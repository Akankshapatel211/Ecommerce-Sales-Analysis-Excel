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Documents\Excel\"/>
    </mc:Choice>
  </mc:AlternateContent>
  <xr:revisionPtr revIDLastSave="0" documentId="13_ncr:1_{B83C7A45-0658-48D6-BCFD-6B4137C524C4}" xr6:coauthVersionLast="47" xr6:coauthVersionMax="47" xr10:uidLastSave="{00000000-0000-0000-0000-000000000000}"/>
  <bookViews>
    <workbookView xWindow="-108" yWindow="-108" windowWidth="23256" windowHeight="12456" activeTab="3" xr2:uid="{00000000-000D-0000-FFFF-FFFF00000000}"/>
  </bookViews>
  <sheets>
    <sheet name="Raw_Data" sheetId="1" r:id="rId1"/>
    <sheet name="Cleaned_Data" sheetId="4" r:id="rId2"/>
    <sheet name="Pivot_Analysis" sheetId="6" r:id="rId3"/>
    <sheet name="Dashboard" sheetId="7" r:id="rId4"/>
    <sheet name="Product_Master" sheetId="5" r:id="rId5"/>
    <sheet name="Project_Guide" sheetId="2" r:id="rId6"/>
  </sheets>
  <definedNames>
    <definedName name="Slicer_Category">#N/A</definedName>
    <definedName name="Slicer_Order_Status">#N/A</definedName>
    <definedName name="Slicer_Region">#N/A</definedName>
  </definedNames>
  <calcPr calcId="191028"/>
  <pivotCaches>
    <pivotCache cacheId="17"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4" i="7" l="1"/>
  <c r="H4" i="7"/>
  <c r="F4" i="7"/>
  <c r="D4" i="7"/>
  <c r="Q3" i="4"/>
  <c r="R3" i="4"/>
  <c r="S3" i="4"/>
  <c r="T3" i="4"/>
  <c r="U3" i="4"/>
  <c r="V3" i="4"/>
  <c r="W3" i="4"/>
  <c r="X3" i="4"/>
  <c r="Y3" i="4"/>
  <c r="Z3" i="4"/>
  <c r="AA3" i="4"/>
  <c r="AB3" i="4"/>
  <c r="AC3" i="4"/>
  <c r="AD3" i="4"/>
  <c r="AE3" i="4"/>
  <c r="AF3" i="4"/>
  <c r="AG3" i="4"/>
  <c r="AH3" i="4"/>
  <c r="Q4" i="4"/>
  <c r="AE4" i="4" s="1"/>
  <c r="R4" i="4"/>
  <c r="T4" i="4"/>
  <c r="U4" i="4"/>
  <c r="V4" i="4"/>
  <c r="W4" i="4"/>
  <c r="Y4" i="4"/>
  <c r="Z4" i="4"/>
  <c r="AA4" i="4"/>
  <c r="AB4" i="4"/>
  <c r="AC4" i="4"/>
  <c r="AD4" i="4"/>
  <c r="AF4" i="4"/>
  <c r="AG4" i="4"/>
  <c r="AH4" i="4"/>
  <c r="Q5" i="4"/>
  <c r="R5" i="4"/>
  <c r="T5" i="4"/>
  <c r="U5" i="4"/>
  <c r="V5" i="4"/>
  <c r="W5" i="4"/>
  <c r="Y5" i="4"/>
  <c r="Z5" i="4"/>
  <c r="AA5" i="4"/>
  <c r="AB5" i="4"/>
  <c r="AC5" i="4"/>
  <c r="AD5" i="4"/>
  <c r="AE5" i="4"/>
  <c r="AF5" i="4"/>
  <c r="AG5" i="4"/>
  <c r="AH5" i="4"/>
  <c r="Q6" i="4"/>
  <c r="AE6" i="4" s="1"/>
  <c r="R6" i="4"/>
  <c r="S6" i="4" s="1"/>
  <c r="T6" i="4"/>
  <c r="U6" i="4"/>
  <c r="V6" i="4"/>
  <c r="W6" i="4"/>
  <c r="X6" i="4"/>
  <c r="Y6" i="4"/>
  <c r="Z6" i="4"/>
  <c r="AA6" i="4"/>
  <c r="AB6" i="4"/>
  <c r="AC6" i="4"/>
  <c r="AD6" i="4"/>
  <c r="AF6" i="4"/>
  <c r="AG6" i="4"/>
  <c r="AH6" i="4"/>
  <c r="Q7" i="4"/>
  <c r="R7" i="4"/>
  <c r="S7" i="4"/>
  <c r="T7" i="4"/>
  <c r="U7" i="4"/>
  <c r="V7" i="4"/>
  <c r="W7" i="4"/>
  <c r="X7" i="4"/>
  <c r="Y7" i="4"/>
  <c r="Z7" i="4"/>
  <c r="AA7" i="4"/>
  <c r="AB7" i="4"/>
  <c r="AC7" i="4"/>
  <c r="AD7" i="4"/>
  <c r="AE7" i="4"/>
  <c r="AF7" i="4"/>
  <c r="AG7" i="4"/>
  <c r="AH7" i="4"/>
  <c r="Q8" i="4"/>
  <c r="AE8" i="4" s="1"/>
  <c r="R8" i="4"/>
  <c r="T8" i="4"/>
  <c r="U8" i="4"/>
  <c r="V8" i="4"/>
  <c r="W8" i="4"/>
  <c r="Y8" i="4"/>
  <c r="Z8" i="4"/>
  <c r="AA8" i="4"/>
  <c r="AB8" i="4"/>
  <c r="AC8" i="4"/>
  <c r="AD8" i="4"/>
  <c r="AF8" i="4"/>
  <c r="AG8" i="4"/>
  <c r="AH8" i="4"/>
  <c r="Q9" i="4"/>
  <c r="R9" i="4"/>
  <c r="T9" i="4"/>
  <c r="U9" i="4"/>
  <c r="V9" i="4"/>
  <c r="W9" i="4"/>
  <c r="Y9" i="4"/>
  <c r="Z9" i="4"/>
  <c r="AA9" i="4"/>
  <c r="AB9" i="4"/>
  <c r="AC9" i="4"/>
  <c r="AD9" i="4"/>
  <c r="AE9" i="4"/>
  <c r="AF9" i="4"/>
  <c r="AG9" i="4"/>
  <c r="AH9" i="4"/>
  <c r="Q10" i="4"/>
  <c r="AE10" i="4" s="1"/>
  <c r="R10" i="4"/>
  <c r="S10" i="4" s="1"/>
  <c r="T10" i="4"/>
  <c r="U10" i="4"/>
  <c r="V10" i="4"/>
  <c r="W10" i="4"/>
  <c r="X10" i="4"/>
  <c r="Y10" i="4"/>
  <c r="Z10" i="4"/>
  <c r="AA10" i="4"/>
  <c r="AB10" i="4"/>
  <c r="AC10" i="4"/>
  <c r="AD10" i="4"/>
  <c r="AF10" i="4"/>
  <c r="AG10" i="4"/>
  <c r="AH10" i="4"/>
  <c r="Q11" i="4"/>
  <c r="R11" i="4"/>
  <c r="S11" i="4"/>
  <c r="T11" i="4"/>
  <c r="U11" i="4"/>
  <c r="V11" i="4"/>
  <c r="W11" i="4"/>
  <c r="X11" i="4"/>
  <c r="Y11" i="4"/>
  <c r="Z11" i="4"/>
  <c r="AA11" i="4"/>
  <c r="AB11" i="4"/>
  <c r="AC11" i="4"/>
  <c r="AD11" i="4"/>
  <c r="AE11" i="4"/>
  <c r="AF11" i="4"/>
  <c r="AG11" i="4"/>
  <c r="AH11" i="4"/>
  <c r="Q12" i="4"/>
  <c r="AE12" i="4" s="1"/>
  <c r="R12" i="4"/>
  <c r="T12" i="4"/>
  <c r="U12" i="4"/>
  <c r="V12" i="4"/>
  <c r="W12" i="4"/>
  <c r="Y12" i="4"/>
  <c r="Z12" i="4"/>
  <c r="AA12" i="4"/>
  <c r="AB12" i="4"/>
  <c r="AC12" i="4"/>
  <c r="AD12" i="4"/>
  <c r="AF12" i="4"/>
  <c r="AG12" i="4"/>
  <c r="AH12" i="4"/>
  <c r="Q13" i="4"/>
  <c r="R13" i="4"/>
  <c r="T13" i="4"/>
  <c r="U13" i="4"/>
  <c r="V13" i="4"/>
  <c r="W13" i="4"/>
  <c r="Y13" i="4"/>
  <c r="Z13" i="4"/>
  <c r="AA13" i="4"/>
  <c r="AB13" i="4"/>
  <c r="AC13" i="4"/>
  <c r="AD13" i="4"/>
  <c r="AE13" i="4"/>
  <c r="AF13" i="4"/>
  <c r="AG13" i="4"/>
  <c r="AH13" i="4"/>
  <c r="Q14" i="4"/>
  <c r="AE14" i="4" s="1"/>
  <c r="R14" i="4"/>
  <c r="S14" i="4" s="1"/>
  <c r="T14" i="4"/>
  <c r="U14" i="4"/>
  <c r="V14" i="4"/>
  <c r="W14" i="4"/>
  <c r="X14" i="4"/>
  <c r="Y14" i="4"/>
  <c r="Z14" i="4"/>
  <c r="AA14" i="4"/>
  <c r="AB14" i="4"/>
  <c r="AC14" i="4"/>
  <c r="AD14" i="4"/>
  <c r="AF14" i="4"/>
  <c r="AG14" i="4"/>
  <c r="AH14" i="4"/>
  <c r="Q15" i="4"/>
  <c r="R15" i="4"/>
  <c r="S15" i="4"/>
  <c r="T15" i="4"/>
  <c r="U15" i="4"/>
  <c r="V15" i="4"/>
  <c r="W15" i="4"/>
  <c r="X15" i="4"/>
  <c r="Y15" i="4"/>
  <c r="Z15" i="4"/>
  <c r="AA15" i="4"/>
  <c r="AB15" i="4"/>
  <c r="AC15" i="4"/>
  <c r="AD15" i="4"/>
  <c r="AE15" i="4"/>
  <c r="AF15" i="4"/>
  <c r="AG15" i="4"/>
  <c r="AH15" i="4"/>
  <c r="Q16" i="4"/>
  <c r="AE16" i="4" s="1"/>
  <c r="R16" i="4"/>
  <c r="T16" i="4"/>
  <c r="U16" i="4"/>
  <c r="V16" i="4"/>
  <c r="W16" i="4"/>
  <c r="Y16" i="4"/>
  <c r="Z16" i="4"/>
  <c r="AA16" i="4"/>
  <c r="AB16" i="4"/>
  <c r="AC16" i="4"/>
  <c r="AD16" i="4"/>
  <c r="AF16" i="4"/>
  <c r="AG16" i="4"/>
  <c r="AH16" i="4"/>
  <c r="Q17" i="4"/>
  <c r="R17" i="4"/>
  <c r="T17" i="4"/>
  <c r="U17" i="4"/>
  <c r="V17" i="4"/>
  <c r="W17" i="4"/>
  <c r="Y17" i="4"/>
  <c r="Z17" i="4"/>
  <c r="AA17" i="4"/>
  <c r="AB17" i="4"/>
  <c r="AC17" i="4"/>
  <c r="AD17" i="4"/>
  <c r="AE17" i="4"/>
  <c r="AF17" i="4"/>
  <c r="AG17" i="4"/>
  <c r="AH17" i="4"/>
  <c r="Q18" i="4"/>
  <c r="AE18" i="4" s="1"/>
  <c r="R18" i="4"/>
  <c r="S18" i="4" s="1"/>
  <c r="T18" i="4"/>
  <c r="U18" i="4"/>
  <c r="V18" i="4"/>
  <c r="W18" i="4"/>
  <c r="X18" i="4"/>
  <c r="Y18" i="4"/>
  <c r="Z18" i="4"/>
  <c r="AA18" i="4"/>
  <c r="AB18" i="4"/>
  <c r="AC18" i="4"/>
  <c r="AD18" i="4"/>
  <c r="AF18" i="4"/>
  <c r="AG18" i="4"/>
  <c r="AH18" i="4"/>
  <c r="Q19" i="4"/>
  <c r="R19" i="4"/>
  <c r="S19" i="4"/>
  <c r="T19" i="4"/>
  <c r="U19" i="4"/>
  <c r="V19" i="4"/>
  <c r="W19" i="4"/>
  <c r="X19" i="4"/>
  <c r="Y19" i="4"/>
  <c r="Z19" i="4"/>
  <c r="AA19" i="4"/>
  <c r="AB19" i="4"/>
  <c r="AC19" i="4"/>
  <c r="AD19" i="4"/>
  <c r="AE19" i="4"/>
  <c r="AF19" i="4"/>
  <c r="AG19" i="4"/>
  <c r="AH19" i="4"/>
  <c r="Q20" i="4"/>
  <c r="AE20" i="4" s="1"/>
  <c r="R20" i="4"/>
  <c r="T20" i="4"/>
  <c r="U20" i="4"/>
  <c r="V20" i="4"/>
  <c r="W20" i="4"/>
  <c r="Y20" i="4"/>
  <c r="Z20" i="4"/>
  <c r="AA20" i="4"/>
  <c r="AB20" i="4"/>
  <c r="AC20" i="4"/>
  <c r="AD20" i="4"/>
  <c r="AF20" i="4"/>
  <c r="AG20" i="4"/>
  <c r="AH20" i="4"/>
  <c r="Q21" i="4"/>
  <c r="R21" i="4"/>
  <c r="T21" i="4"/>
  <c r="U21" i="4"/>
  <c r="V21" i="4"/>
  <c r="W21" i="4"/>
  <c r="Y21" i="4"/>
  <c r="Z21" i="4"/>
  <c r="AA21" i="4"/>
  <c r="AB21" i="4"/>
  <c r="AC21" i="4"/>
  <c r="AD21" i="4"/>
  <c r="AE21" i="4"/>
  <c r="AF21" i="4"/>
  <c r="AG21" i="4"/>
  <c r="AH21" i="4"/>
  <c r="Q22" i="4"/>
  <c r="AE22" i="4" s="1"/>
  <c r="R22" i="4"/>
  <c r="S22" i="4" s="1"/>
  <c r="T22" i="4"/>
  <c r="U22" i="4"/>
  <c r="V22" i="4"/>
  <c r="W22" i="4"/>
  <c r="X22" i="4"/>
  <c r="Y22" i="4"/>
  <c r="Z22" i="4"/>
  <c r="AA22" i="4"/>
  <c r="AB22" i="4"/>
  <c r="AC22" i="4"/>
  <c r="AD22" i="4"/>
  <c r="AF22" i="4"/>
  <c r="AG22" i="4"/>
  <c r="AH22" i="4"/>
  <c r="Q23" i="4"/>
  <c r="R23" i="4"/>
  <c r="S23" i="4"/>
  <c r="T23" i="4"/>
  <c r="U23" i="4"/>
  <c r="V23" i="4"/>
  <c r="W23" i="4"/>
  <c r="X23" i="4"/>
  <c r="Y23" i="4"/>
  <c r="Z23" i="4"/>
  <c r="AA23" i="4"/>
  <c r="AB23" i="4"/>
  <c r="AC23" i="4"/>
  <c r="AD23" i="4"/>
  <c r="AE23" i="4"/>
  <c r="AF23" i="4"/>
  <c r="AG23" i="4"/>
  <c r="AH23" i="4"/>
  <c r="Q24" i="4"/>
  <c r="AE24" i="4" s="1"/>
  <c r="R24" i="4"/>
  <c r="T24" i="4"/>
  <c r="U24" i="4"/>
  <c r="V24" i="4"/>
  <c r="W24" i="4"/>
  <c r="Y24" i="4"/>
  <c r="Z24" i="4"/>
  <c r="AA24" i="4"/>
  <c r="AB24" i="4"/>
  <c r="AC24" i="4"/>
  <c r="AD24" i="4"/>
  <c r="AF24" i="4"/>
  <c r="AG24" i="4"/>
  <c r="AH24" i="4"/>
  <c r="Q25" i="4"/>
  <c r="R25" i="4"/>
  <c r="T25" i="4"/>
  <c r="U25" i="4"/>
  <c r="V25" i="4"/>
  <c r="W25" i="4"/>
  <c r="Y25" i="4"/>
  <c r="Z25" i="4"/>
  <c r="AA25" i="4"/>
  <c r="AB25" i="4"/>
  <c r="AC25" i="4"/>
  <c r="AD25" i="4"/>
  <c r="AE25" i="4"/>
  <c r="AF25" i="4"/>
  <c r="AG25" i="4"/>
  <c r="AH25" i="4"/>
  <c r="Q26" i="4"/>
  <c r="AE26" i="4" s="1"/>
  <c r="R26" i="4"/>
  <c r="S26" i="4" s="1"/>
  <c r="T26" i="4"/>
  <c r="U26" i="4"/>
  <c r="V26" i="4"/>
  <c r="W26" i="4"/>
  <c r="X26" i="4"/>
  <c r="Y26" i="4"/>
  <c r="Z26" i="4"/>
  <c r="AA26" i="4"/>
  <c r="AB26" i="4"/>
  <c r="AC26" i="4"/>
  <c r="AD26" i="4"/>
  <c r="AF26" i="4"/>
  <c r="AG26" i="4"/>
  <c r="AH26" i="4"/>
  <c r="Q27" i="4"/>
  <c r="R27" i="4"/>
  <c r="S27" i="4"/>
  <c r="T27" i="4"/>
  <c r="U27" i="4"/>
  <c r="V27" i="4"/>
  <c r="W27" i="4"/>
  <c r="X27" i="4"/>
  <c r="Y27" i="4"/>
  <c r="Z27" i="4"/>
  <c r="AA27" i="4"/>
  <c r="AB27" i="4"/>
  <c r="AC27" i="4"/>
  <c r="AD27" i="4"/>
  <c r="AE27" i="4"/>
  <c r="AF27" i="4"/>
  <c r="AG27" i="4"/>
  <c r="AH27" i="4"/>
  <c r="Q28" i="4"/>
  <c r="AE28" i="4" s="1"/>
  <c r="R28" i="4"/>
  <c r="T28" i="4"/>
  <c r="U28" i="4"/>
  <c r="V28" i="4"/>
  <c r="W28" i="4"/>
  <c r="Y28" i="4"/>
  <c r="Z28" i="4"/>
  <c r="AA28" i="4"/>
  <c r="AB28" i="4"/>
  <c r="AC28" i="4"/>
  <c r="AD28" i="4"/>
  <c r="AF28" i="4"/>
  <c r="AG28" i="4"/>
  <c r="AH28" i="4"/>
  <c r="Q29" i="4"/>
  <c r="R29" i="4"/>
  <c r="T29" i="4"/>
  <c r="U29" i="4"/>
  <c r="V29" i="4"/>
  <c r="W29" i="4"/>
  <c r="Y29" i="4"/>
  <c r="Z29" i="4"/>
  <c r="AA29" i="4"/>
  <c r="AB29" i="4"/>
  <c r="AC29" i="4"/>
  <c r="AD29" i="4"/>
  <c r="AE29" i="4"/>
  <c r="AF29" i="4"/>
  <c r="AG29" i="4"/>
  <c r="AH29" i="4"/>
  <c r="Q30" i="4"/>
  <c r="AE30" i="4" s="1"/>
  <c r="R30" i="4"/>
  <c r="S30" i="4" s="1"/>
  <c r="T30" i="4"/>
  <c r="U30" i="4"/>
  <c r="V30" i="4"/>
  <c r="W30" i="4"/>
  <c r="X30" i="4"/>
  <c r="Y30" i="4"/>
  <c r="Z30" i="4"/>
  <c r="AA30" i="4"/>
  <c r="AB30" i="4"/>
  <c r="AC30" i="4"/>
  <c r="AD30" i="4"/>
  <c r="AF30" i="4"/>
  <c r="AG30" i="4"/>
  <c r="AH30" i="4"/>
  <c r="Q31" i="4"/>
  <c r="R31" i="4"/>
  <c r="S31" i="4"/>
  <c r="T31" i="4"/>
  <c r="U31" i="4"/>
  <c r="V31" i="4"/>
  <c r="W31" i="4"/>
  <c r="X31" i="4"/>
  <c r="Y31" i="4"/>
  <c r="Z31" i="4"/>
  <c r="AA31" i="4"/>
  <c r="AB31" i="4"/>
  <c r="AC31" i="4"/>
  <c r="AD31" i="4"/>
  <c r="AE31" i="4"/>
  <c r="AF31" i="4"/>
  <c r="AG31" i="4"/>
  <c r="AH31" i="4"/>
  <c r="Q32" i="4"/>
  <c r="AE32" i="4" s="1"/>
  <c r="R32" i="4"/>
  <c r="T32" i="4"/>
  <c r="U32" i="4"/>
  <c r="V32" i="4"/>
  <c r="W32" i="4"/>
  <c r="Y32" i="4"/>
  <c r="Z32" i="4"/>
  <c r="AA32" i="4"/>
  <c r="AB32" i="4"/>
  <c r="AC32" i="4"/>
  <c r="AD32" i="4"/>
  <c r="AF32" i="4"/>
  <c r="AG32" i="4"/>
  <c r="AH32" i="4"/>
  <c r="Q33" i="4"/>
  <c r="R33" i="4"/>
  <c r="T33" i="4"/>
  <c r="U33" i="4"/>
  <c r="V33" i="4"/>
  <c r="W33" i="4"/>
  <c r="Y33" i="4"/>
  <c r="Z33" i="4"/>
  <c r="AA33" i="4"/>
  <c r="AB33" i="4"/>
  <c r="AC33" i="4"/>
  <c r="AD33" i="4"/>
  <c r="AE33" i="4"/>
  <c r="AF33" i="4"/>
  <c r="AG33" i="4"/>
  <c r="AH33" i="4"/>
  <c r="Q34" i="4"/>
  <c r="AE34" i="4" s="1"/>
  <c r="R34" i="4"/>
  <c r="S34" i="4" s="1"/>
  <c r="T34" i="4"/>
  <c r="U34" i="4"/>
  <c r="V34" i="4"/>
  <c r="W34" i="4"/>
  <c r="X34" i="4"/>
  <c r="Y34" i="4"/>
  <c r="Z34" i="4"/>
  <c r="AA34" i="4"/>
  <c r="AB34" i="4"/>
  <c r="AC34" i="4"/>
  <c r="AD34" i="4"/>
  <c r="AF34" i="4"/>
  <c r="AG34" i="4"/>
  <c r="AH34" i="4"/>
  <c r="Q35" i="4"/>
  <c r="R35" i="4"/>
  <c r="S35" i="4"/>
  <c r="T35" i="4"/>
  <c r="U35" i="4"/>
  <c r="V35" i="4"/>
  <c r="W35" i="4"/>
  <c r="X35" i="4"/>
  <c r="Y35" i="4"/>
  <c r="Z35" i="4"/>
  <c r="AA35" i="4"/>
  <c r="AB35" i="4"/>
  <c r="AC35" i="4"/>
  <c r="AD35" i="4"/>
  <c r="AE35" i="4"/>
  <c r="AF35" i="4"/>
  <c r="AG35" i="4"/>
  <c r="AH35" i="4"/>
  <c r="Q36" i="4"/>
  <c r="AE36" i="4" s="1"/>
  <c r="R36" i="4"/>
  <c r="T36" i="4"/>
  <c r="U36" i="4"/>
  <c r="V36" i="4"/>
  <c r="W36" i="4"/>
  <c r="Y36" i="4"/>
  <c r="Z36" i="4"/>
  <c r="AA36" i="4"/>
  <c r="AB36" i="4"/>
  <c r="AC36" i="4"/>
  <c r="AD36" i="4"/>
  <c r="AF36" i="4"/>
  <c r="AG36" i="4"/>
  <c r="AH36" i="4"/>
  <c r="Q37" i="4"/>
  <c r="R37" i="4"/>
  <c r="T37" i="4"/>
  <c r="U37" i="4"/>
  <c r="V37" i="4"/>
  <c r="W37" i="4"/>
  <c r="Y37" i="4"/>
  <c r="Z37" i="4"/>
  <c r="AA37" i="4"/>
  <c r="AB37" i="4"/>
  <c r="AC37" i="4"/>
  <c r="AD37" i="4"/>
  <c r="AE37" i="4"/>
  <c r="AF37" i="4"/>
  <c r="AG37" i="4"/>
  <c r="AH37" i="4"/>
  <c r="Q38" i="4"/>
  <c r="AE38" i="4" s="1"/>
  <c r="R38" i="4"/>
  <c r="S38" i="4" s="1"/>
  <c r="T38" i="4"/>
  <c r="U38" i="4"/>
  <c r="V38" i="4"/>
  <c r="W38" i="4"/>
  <c r="X38" i="4"/>
  <c r="Y38" i="4"/>
  <c r="Z38" i="4"/>
  <c r="AA38" i="4"/>
  <c r="AB38" i="4"/>
  <c r="AC38" i="4"/>
  <c r="AD38" i="4"/>
  <c r="AF38" i="4"/>
  <c r="AG38" i="4"/>
  <c r="AH38" i="4"/>
  <c r="Q39" i="4"/>
  <c r="R39" i="4"/>
  <c r="S39" i="4"/>
  <c r="T39" i="4"/>
  <c r="U39" i="4"/>
  <c r="V39" i="4"/>
  <c r="W39" i="4"/>
  <c r="X39" i="4"/>
  <c r="Y39" i="4"/>
  <c r="Z39" i="4"/>
  <c r="AA39" i="4"/>
  <c r="AB39" i="4"/>
  <c r="AC39" i="4"/>
  <c r="AD39" i="4"/>
  <c r="AE39" i="4"/>
  <c r="AF39" i="4"/>
  <c r="AG39" i="4"/>
  <c r="AH39" i="4"/>
  <c r="Q40" i="4"/>
  <c r="AE40" i="4" s="1"/>
  <c r="R40" i="4"/>
  <c r="T40" i="4"/>
  <c r="U40" i="4"/>
  <c r="V40" i="4"/>
  <c r="W40" i="4"/>
  <c r="Y40" i="4"/>
  <c r="Z40" i="4"/>
  <c r="AA40" i="4"/>
  <c r="AB40" i="4"/>
  <c r="AC40" i="4"/>
  <c r="AD40" i="4"/>
  <c r="AF40" i="4"/>
  <c r="AG40" i="4"/>
  <c r="AH40" i="4"/>
  <c r="Q41" i="4"/>
  <c r="R41" i="4"/>
  <c r="T41" i="4"/>
  <c r="U41" i="4"/>
  <c r="V41" i="4"/>
  <c r="W41" i="4"/>
  <c r="Y41" i="4"/>
  <c r="Z41" i="4"/>
  <c r="AA41" i="4"/>
  <c r="AB41" i="4"/>
  <c r="AC41" i="4"/>
  <c r="AD41" i="4"/>
  <c r="AE41" i="4"/>
  <c r="AF41" i="4"/>
  <c r="AG41" i="4"/>
  <c r="AH41" i="4"/>
  <c r="Q42" i="4"/>
  <c r="AE42" i="4" s="1"/>
  <c r="R42" i="4"/>
  <c r="S42" i="4" s="1"/>
  <c r="T42" i="4"/>
  <c r="U42" i="4"/>
  <c r="V42" i="4"/>
  <c r="W42" i="4"/>
  <c r="X42" i="4"/>
  <c r="Y42" i="4"/>
  <c r="Z42" i="4"/>
  <c r="AA42" i="4"/>
  <c r="AB42" i="4"/>
  <c r="AC42" i="4"/>
  <c r="AD42" i="4"/>
  <c r="AF42" i="4"/>
  <c r="AG42" i="4"/>
  <c r="AH42" i="4"/>
  <c r="Q43" i="4"/>
  <c r="R43" i="4"/>
  <c r="S43" i="4"/>
  <c r="T43" i="4"/>
  <c r="U43" i="4"/>
  <c r="V43" i="4"/>
  <c r="W43" i="4"/>
  <c r="X43" i="4"/>
  <c r="Y43" i="4"/>
  <c r="Z43" i="4"/>
  <c r="AA43" i="4"/>
  <c r="AB43" i="4"/>
  <c r="AC43" i="4"/>
  <c r="AD43" i="4"/>
  <c r="AE43" i="4"/>
  <c r="AF43" i="4"/>
  <c r="AG43" i="4"/>
  <c r="AH43" i="4"/>
  <c r="Q44" i="4"/>
  <c r="AE44" i="4" s="1"/>
  <c r="R44" i="4"/>
  <c r="T44" i="4"/>
  <c r="U44" i="4"/>
  <c r="V44" i="4"/>
  <c r="W44" i="4"/>
  <c r="Y44" i="4"/>
  <c r="Z44" i="4"/>
  <c r="AA44" i="4"/>
  <c r="AB44" i="4"/>
  <c r="AC44" i="4"/>
  <c r="AD44" i="4"/>
  <c r="AF44" i="4"/>
  <c r="AG44" i="4"/>
  <c r="AH44" i="4"/>
  <c r="Q45" i="4"/>
  <c r="R45" i="4"/>
  <c r="T45" i="4"/>
  <c r="U45" i="4"/>
  <c r="V45" i="4"/>
  <c r="W45" i="4"/>
  <c r="Y45" i="4"/>
  <c r="Z45" i="4"/>
  <c r="AA45" i="4"/>
  <c r="AB45" i="4"/>
  <c r="AC45" i="4"/>
  <c r="AD45" i="4"/>
  <c r="AE45" i="4"/>
  <c r="AF45" i="4"/>
  <c r="AG45" i="4"/>
  <c r="AH45" i="4"/>
  <c r="Q46" i="4"/>
  <c r="AE46" i="4" s="1"/>
  <c r="R46" i="4"/>
  <c r="S46" i="4" s="1"/>
  <c r="T46" i="4"/>
  <c r="U46" i="4"/>
  <c r="V46" i="4"/>
  <c r="W46" i="4"/>
  <c r="X46" i="4"/>
  <c r="Y46" i="4"/>
  <c r="Z46" i="4"/>
  <c r="AA46" i="4"/>
  <c r="AB46" i="4"/>
  <c r="AC46" i="4"/>
  <c r="AD46" i="4"/>
  <c r="AF46" i="4"/>
  <c r="AG46" i="4"/>
  <c r="AH46" i="4"/>
  <c r="Q47" i="4"/>
  <c r="R47" i="4"/>
  <c r="S47" i="4"/>
  <c r="T47" i="4"/>
  <c r="U47" i="4"/>
  <c r="V47" i="4"/>
  <c r="W47" i="4"/>
  <c r="X47" i="4"/>
  <c r="Y47" i="4"/>
  <c r="Z47" i="4"/>
  <c r="AA47" i="4"/>
  <c r="AB47" i="4"/>
  <c r="AC47" i="4"/>
  <c r="AD47" i="4"/>
  <c r="AE47" i="4"/>
  <c r="AF47" i="4"/>
  <c r="AG47" i="4"/>
  <c r="AH47" i="4"/>
  <c r="Q48" i="4"/>
  <c r="AE48" i="4" s="1"/>
  <c r="R48" i="4"/>
  <c r="T48" i="4"/>
  <c r="U48" i="4"/>
  <c r="V48" i="4"/>
  <c r="W48" i="4"/>
  <c r="Y48" i="4"/>
  <c r="Z48" i="4"/>
  <c r="AA48" i="4"/>
  <c r="AB48" i="4"/>
  <c r="AC48" i="4"/>
  <c r="AD48" i="4"/>
  <c r="AF48" i="4"/>
  <c r="AG48" i="4"/>
  <c r="AH48" i="4"/>
  <c r="Q49" i="4"/>
  <c r="R49" i="4"/>
  <c r="T49" i="4"/>
  <c r="U49" i="4"/>
  <c r="V49" i="4"/>
  <c r="W49" i="4"/>
  <c r="Y49" i="4"/>
  <c r="Z49" i="4"/>
  <c r="AA49" i="4"/>
  <c r="AB49" i="4"/>
  <c r="AC49" i="4"/>
  <c r="AD49" i="4"/>
  <c r="AE49" i="4"/>
  <c r="AF49" i="4"/>
  <c r="AG49" i="4"/>
  <c r="AH49" i="4"/>
  <c r="Q50" i="4"/>
  <c r="AE50" i="4" s="1"/>
  <c r="R50" i="4"/>
  <c r="S50" i="4" s="1"/>
  <c r="T50" i="4"/>
  <c r="U50" i="4"/>
  <c r="V50" i="4"/>
  <c r="W50" i="4"/>
  <c r="X50" i="4"/>
  <c r="Y50" i="4"/>
  <c r="Z50" i="4"/>
  <c r="AA50" i="4"/>
  <c r="AB50" i="4"/>
  <c r="AC50" i="4"/>
  <c r="AD50" i="4"/>
  <c r="AF50" i="4"/>
  <c r="AG50" i="4"/>
  <c r="AH50" i="4"/>
  <c r="Q51" i="4"/>
  <c r="R51" i="4"/>
  <c r="S51" i="4"/>
  <c r="T51" i="4"/>
  <c r="U51" i="4"/>
  <c r="V51" i="4"/>
  <c r="W51" i="4"/>
  <c r="X51" i="4"/>
  <c r="Y51" i="4"/>
  <c r="Z51" i="4"/>
  <c r="AA51" i="4"/>
  <c r="AB51" i="4"/>
  <c r="AC51" i="4"/>
  <c r="AD51" i="4"/>
  <c r="AE51" i="4"/>
  <c r="AF51" i="4"/>
  <c r="AG51" i="4"/>
  <c r="AH51" i="4"/>
  <c r="Q52" i="4"/>
  <c r="AE52" i="4" s="1"/>
  <c r="R52" i="4"/>
  <c r="T52" i="4"/>
  <c r="U52" i="4"/>
  <c r="V52" i="4"/>
  <c r="W52" i="4"/>
  <c r="Y52" i="4"/>
  <c r="Z52" i="4"/>
  <c r="AA52" i="4"/>
  <c r="AB52" i="4"/>
  <c r="AC52" i="4"/>
  <c r="AD52" i="4"/>
  <c r="AF52" i="4"/>
  <c r="AG52" i="4"/>
  <c r="AH52" i="4"/>
  <c r="Q53" i="4"/>
  <c r="R53" i="4"/>
  <c r="T53" i="4"/>
  <c r="U53" i="4"/>
  <c r="V53" i="4"/>
  <c r="W53" i="4"/>
  <c r="Y53" i="4"/>
  <c r="Z53" i="4"/>
  <c r="AA53" i="4"/>
  <c r="AB53" i="4"/>
  <c r="AC53" i="4"/>
  <c r="AD53" i="4"/>
  <c r="AE53" i="4"/>
  <c r="AF53" i="4"/>
  <c r="AG53" i="4"/>
  <c r="AH53" i="4"/>
  <c r="Q54" i="4"/>
  <c r="AE54" i="4" s="1"/>
  <c r="R54" i="4"/>
  <c r="S54" i="4" s="1"/>
  <c r="T54" i="4"/>
  <c r="U54" i="4"/>
  <c r="V54" i="4"/>
  <c r="W54" i="4"/>
  <c r="X54" i="4"/>
  <c r="Y54" i="4"/>
  <c r="Z54" i="4"/>
  <c r="AA54" i="4"/>
  <c r="AB54" i="4"/>
  <c r="AC54" i="4"/>
  <c r="AD54" i="4"/>
  <c r="AF54" i="4"/>
  <c r="AG54" i="4"/>
  <c r="AH54" i="4"/>
  <c r="Q55" i="4"/>
  <c r="R55" i="4"/>
  <c r="S55" i="4"/>
  <c r="T55" i="4"/>
  <c r="U55" i="4"/>
  <c r="V55" i="4"/>
  <c r="W55" i="4"/>
  <c r="X55" i="4"/>
  <c r="Y55" i="4"/>
  <c r="Z55" i="4"/>
  <c r="AA55" i="4"/>
  <c r="AB55" i="4"/>
  <c r="AC55" i="4"/>
  <c r="AD55" i="4"/>
  <c r="AE55" i="4"/>
  <c r="AF55" i="4"/>
  <c r="AG55" i="4"/>
  <c r="AH55" i="4"/>
  <c r="Q56" i="4"/>
  <c r="AE56" i="4" s="1"/>
  <c r="R56" i="4"/>
  <c r="T56" i="4"/>
  <c r="U56" i="4"/>
  <c r="V56" i="4"/>
  <c r="W56" i="4"/>
  <c r="Y56" i="4"/>
  <c r="Z56" i="4"/>
  <c r="AA56" i="4"/>
  <c r="AB56" i="4"/>
  <c r="AC56" i="4"/>
  <c r="AD56" i="4"/>
  <c r="AF56" i="4"/>
  <c r="AG56" i="4"/>
  <c r="AH56" i="4"/>
  <c r="Q57" i="4"/>
  <c r="R57" i="4"/>
  <c r="T57" i="4"/>
  <c r="U57" i="4"/>
  <c r="V57" i="4"/>
  <c r="W57" i="4"/>
  <c r="Y57" i="4"/>
  <c r="Z57" i="4"/>
  <c r="AA57" i="4"/>
  <c r="AB57" i="4"/>
  <c r="AC57" i="4"/>
  <c r="AD57" i="4"/>
  <c r="AE57" i="4"/>
  <c r="AF57" i="4"/>
  <c r="AG57" i="4"/>
  <c r="AH57" i="4"/>
  <c r="Q58" i="4"/>
  <c r="AE58" i="4" s="1"/>
  <c r="R58" i="4"/>
  <c r="S58" i="4" s="1"/>
  <c r="T58" i="4"/>
  <c r="U58" i="4"/>
  <c r="V58" i="4"/>
  <c r="W58" i="4"/>
  <c r="X58" i="4"/>
  <c r="Y58" i="4"/>
  <c r="Z58" i="4"/>
  <c r="AA58" i="4"/>
  <c r="AB58" i="4"/>
  <c r="AC58" i="4"/>
  <c r="AD58" i="4"/>
  <c r="AF58" i="4"/>
  <c r="AG58" i="4"/>
  <c r="AH58" i="4"/>
  <c r="Q59" i="4"/>
  <c r="R59" i="4"/>
  <c r="S59" i="4"/>
  <c r="T59" i="4"/>
  <c r="U59" i="4"/>
  <c r="V59" i="4"/>
  <c r="W59" i="4"/>
  <c r="X59" i="4"/>
  <c r="Y59" i="4"/>
  <c r="Z59" i="4"/>
  <c r="AA59" i="4"/>
  <c r="AB59" i="4"/>
  <c r="AC59" i="4"/>
  <c r="AD59" i="4"/>
  <c r="AE59" i="4"/>
  <c r="AF59" i="4"/>
  <c r="AG59" i="4"/>
  <c r="AH59" i="4"/>
  <c r="Q60" i="4"/>
  <c r="AE60" i="4" s="1"/>
  <c r="R60" i="4"/>
  <c r="T60" i="4"/>
  <c r="U60" i="4"/>
  <c r="V60" i="4"/>
  <c r="W60" i="4"/>
  <c r="Y60" i="4"/>
  <c r="Z60" i="4"/>
  <c r="AA60" i="4"/>
  <c r="AB60" i="4"/>
  <c r="AC60" i="4"/>
  <c r="AD60" i="4"/>
  <c r="AF60" i="4"/>
  <c r="AG60" i="4"/>
  <c r="AH60" i="4"/>
  <c r="Q61" i="4"/>
  <c r="R61" i="4"/>
  <c r="T61" i="4"/>
  <c r="U61" i="4"/>
  <c r="V61" i="4"/>
  <c r="W61" i="4"/>
  <c r="Y61" i="4"/>
  <c r="Z61" i="4"/>
  <c r="AA61" i="4"/>
  <c r="AB61" i="4"/>
  <c r="AC61" i="4"/>
  <c r="AD61" i="4"/>
  <c r="AE61" i="4"/>
  <c r="AF61" i="4"/>
  <c r="AG61" i="4"/>
  <c r="AH61" i="4"/>
  <c r="Q62" i="4"/>
  <c r="AE62" i="4" s="1"/>
  <c r="R62" i="4"/>
  <c r="S62" i="4" s="1"/>
  <c r="T62" i="4"/>
  <c r="U62" i="4"/>
  <c r="V62" i="4"/>
  <c r="W62" i="4"/>
  <c r="X62" i="4"/>
  <c r="Y62" i="4"/>
  <c r="Z62" i="4"/>
  <c r="AA62" i="4"/>
  <c r="AB62" i="4"/>
  <c r="AC62" i="4"/>
  <c r="AD62" i="4"/>
  <c r="AF62" i="4"/>
  <c r="AG62" i="4"/>
  <c r="AH62" i="4"/>
  <c r="Q63" i="4"/>
  <c r="R63" i="4"/>
  <c r="S63" i="4"/>
  <c r="T63" i="4"/>
  <c r="U63" i="4"/>
  <c r="V63" i="4"/>
  <c r="W63" i="4"/>
  <c r="X63" i="4"/>
  <c r="Y63" i="4"/>
  <c r="Z63" i="4"/>
  <c r="AA63" i="4"/>
  <c r="AB63" i="4"/>
  <c r="AC63" i="4"/>
  <c r="AD63" i="4"/>
  <c r="AE63" i="4"/>
  <c r="AF63" i="4"/>
  <c r="AG63" i="4"/>
  <c r="AH63" i="4"/>
  <c r="Q64" i="4"/>
  <c r="AE64" i="4" s="1"/>
  <c r="R64" i="4"/>
  <c r="T64" i="4"/>
  <c r="U64" i="4"/>
  <c r="V64" i="4"/>
  <c r="W64" i="4"/>
  <c r="Y64" i="4"/>
  <c r="Z64" i="4"/>
  <c r="AA64" i="4"/>
  <c r="AB64" i="4"/>
  <c r="AC64" i="4"/>
  <c r="AD64" i="4"/>
  <c r="AF64" i="4"/>
  <c r="AG64" i="4"/>
  <c r="AH64" i="4"/>
  <c r="Q65" i="4"/>
  <c r="R65" i="4"/>
  <c r="T65" i="4"/>
  <c r="U65" i="4"/>
  <c r="V65" i="4"/>
  <c r="W65" i="4"/>
  <c r="Y65" i="4"/>
  <c r="Z65" i="4"/>
  <c r="AA65" i="4"/>
  <c r="AB65" i="4"/>
  <c r="AC65" i="4"/>
  <c r="AD65" i="4"/>
  <c r="AE65" i="4"/>
  <c r="AF65" i="4"/>
  <c r="AG65" i="4"/>
  <c r="AH65" i="4"/>
  <c r="Q66" i="4"/>
  <c r="AE66" i="4" s="1"/>
  <c r="R66" i="4"/>
  <c r="S66" i="4" s="1"/>
  <c r="T66" i="4"/>
  <c r="U66" i="4"/>
  <c r="V66" i="4"/>
  <c r="W66" i="4"/>
  <c r="X66" i="4"/>
  <c r="Y66" i="4"/>
  <c r="Z66" i="4"/>
  <c r="AA66" i="4"/>
  <c r="AB66" i="4"/>
  <c r="AC66" i="4"/>
  <c r="AD66" i="4"/>
  <c r="AF66" i="4"/>
  <c r="AG66" i="4"/>
  <c r="AH66" i="4"/>
  <c r="Q67" i="4"/>
  <c r="R67" i="4"/>
  <c r="S67" i="4"/>
  <c r="T67" i="4"/>
  <c r="U67" i="4"/>
  <c r="V67" i="4"/>
  <c r="W67" i="4"/>
  <c r="X67" i="4"/>
  <c r="Y67" i="4"/>
  <c r="Z67" i="4"/>
  <c r="AA67" i="4"/>
  <c r="AB67" i="4"/>
  <c r="AC67" i="4"/>
  <c r="AD67" i="4"/>
  <c r="AE67" i="4"/>
  <c r="AF67" i="4"/>
  <c r="AG67" i="4"/>
  <c r="AH67" i="4"/>
  <c r="Q68" i="4"/>
  <c r="AE68" i="4" s="1"/>
  <c r="R68" i="4"/>
  <c r="T68" i="4"/>
  <c r="U68" i="4"/>
  <c r="V68" i="4"/>
  <c r="W68" i="4"/>
  <c r="Y68" i="4"/>
  <c r="Z68" i="4"/>
  <c r="AA68" i="4"/>
  <c r="AB68" i="4"/>
  <c r="AC68" i="4"/>
  <c r="AD68" i="4"/>
  <c r="AF68" i="4"/>
  <c r="AG68" i="4"/>
  <c r="AH68" i="4"/>
  <c r="Q69" i="4"/>
  <c r="R69" i="4"/>
  <c r="T69" i="4"/>
  <c r="U69" i="4"/>
  <c r="V69" i="4"/>
  <c r="W69" i="4"/>
  <c r="Y69" i="4"/>
  <c r="Z69" i="4"/>
  <c r="AA69" i="4"/>
  <c r="AB69" i="4"/>
  <c r="AC69" i="4"/>
  <c r="AD69" i="4"/>
  <c r="AE69" i="4"/>
  <c r="AF69" i="4"/>
  <c r="AG69" i="4"/>
  <c r="AH69" i="4"/>
  <c r="Q70" i="4"/>
  <c r="AE70" i="4" s="1"/>
  <c r="R70" i="4"/>
  <c r="S70" i="4" s="1"/>
  <c r="T70" i="4"/>
  <c r="U70" i="4"/>
  <c r="V70" i="4"/>
  <c r="W70" i="4"/>
  <c r="X70" i="4"/>
  <c r="Y70" i="4"/>
  <c r="Z70" i="4"/>
  <c r="AA70" i="4"/>
  <c r="AB70" i="4"/>
  <c r="AC70" i="4"/>
  <c r="AD70" i="4"/>
  <c r="AF70" i="4"/>
  <c r="AG70" i="4"/>
  <c r="AH70" i="4"/>
  <c r="Q71" i="4"/>
  <c r="R71" i="4"/>
  <c r="S71" i="4"/>
  <c r="T71" i="4"/>
  <c r="U71" i="4"/>
  <c r="V71" i="4"/>
  <c r="W71" i="4"/>
  <c r="X71" i="4"/>
  <c r="Y71" i="4"/>
  <c r="Z71" i="4"/>
  <c r="AA71" i="4"/>
  <c r="AB71" i="4"/>
  <c r="AC71" i="4"/>
  <c r="AD71" i="4"/>
  <c r="AE71" i="4"/>
  <c r="AF71" i="4"/>
  <c r="AG71" i="4"/>
  <c r="AH71" i="4"/>
  <c r="Q72" i="4"/>
  <c r="AE72" i="4" s="1"/>
  <c r="R72" i="4"/>
  <c r="T72" i="4"/>
  <c r="U72" i="4"/>
  <c r="V72" i="4"/>
  <c r="W72" i="4"/>
  <c r="Y72" i="4"/>
  <c r="Z72" i="4"/>
  <c r="AA72" i="4"/>
  <c r="AB72" i="4"/>
  <c r="AC72" i="4"/>
  <c r="AD72" i="4"/>
  <c r="AF72" i="4"/>
  <c r="AG72" i="4"/>
  <c r="AH72" i="4"/>
  <c r="Q73" i="4"/>
  <c r="R73" i="4"/>
  <c r="T73" i="4"/>
  <c r="U73" i="4"/>
  <c r="V73" i="4"/>
  <c r="W73" i="4"/>
  <c r="Y73" i="4"/>
  <c r="Z73" i="4"/>
  <c r="AA73" i="4"/>
  <c r="AB73" i="4"/>
  <c r="AC73" i="4"/>
  <c r="AD73" i="4"/>
  <c r="AE73" i="4"/>
  <c r="AF73" i="4"/>
  <c r="AG73" i="4"/>
  <c r="AH73" i="4"/>
  <c r="Q74" i="4"/>
  <c r="AE74" i="4" s="1"/>
  <c r="R74" i="4"/>
  <c r="S74" i="4" s="1"/>
  <c r="T74" i="4"/>
  <c r="U74" i="4"/>
  <c r="V74" i="4"/>
  <c r="W74" i="4"/>
  <c r="X74" i="4"/>
  <c r="Y74" i="4"/>
  <c r="Z74" i="4"/>
  <c r="AA74" i="4"/>
  <c r="AB74" i="4"/>
  <c r="AC74" i="4"/>
  <c r="AD74" i="4"/>
  <c r="AF74" i="4"/>
  <c r="AG74" i="4"/>
  <c r="AH74" i="4"/>
  <c r="Q75" i="4"/>
  <c r="R75" i="4"/>
  <c r="S75" i="4"/>
  <c r="T75" i="4"/>
  <c r="U75" i="4"/>
  <c r="V75" i="4"/>
  <c r="W75" i="4"/>
  <c r="X75" i="4"/>
  <c r="Y75" i="4"/>
  <c r="Z75" i="4"/>
  <c r="AA75" i="4"/>
  <c r="AB75" i="4"/>
  <c r="AC75" i="4"/>
  <c r="AD75" i="4"/>
  <c r="AE75" i="4"/>
  <c r="AF75" i="4"/>
  <c r="AG75" i="4"/>
  <c r="AH75" i="4"/>
  <c r="Q76" i="4"/>
  <c r="AE76" i="4" s="1"/>
  <c r="R76" i="4"/>
  <c r="T76" i="4"/>
  <c r="U76" i="4"/>
  <c r="V76" i="4"/>
  <c r="W76" i="4"/>
  <c r="Y76" i="4"/>
  <c r="Z76" i="4"/>
  <c r="AA76" i="4"/>
  <c r="AB76" i="4"/>
  <c r="AC76" i="4"/>
  <c r="AD76" i="4"/>
  <c r="AF76" i="4"/>
  <c r="AG76" i="4"/>
  <c r="AH76" i="4"/>
  <c r="Q77" i="4"/>
  <c r="R77" i="4"/>
  <c r="T77" i="4"/>
  <c r="U77" i="4"/>
  <c r="V77" i="4"/>
  <c r="W77" i="4"/>
  <c r="Y77" i="4"/>
  <c r="Z77" i="4"/>
  <c r="AA77" i="4"/>
  <c r="AB77" i="4"/>
  <c r="AC77" i="4"/>
  <c r="AD77" i="4"/>
  <c r="AE77" i="4"/>
  <c r="AF77" i="4"/>
  <c r="AG77" i="4"/>
  <c r="AH77" i="4"/>
  <c r="Q78" i="4"/>
  <c r="AE78" i="4" s="1"/>
  <c r="R78" i="4"/>
  <c r="S78" i="4" s="1"/>
  <c r="T78" i="4"/>
  <c r="U78" i="4"/>
  <c r="V78" i="4"/>
  <c r="W78" i="4"/>
  <c r="X78" i="4"/>
  <c r="Y78" i="4"/>
  <c r="Z78" i="4"/>
  <c r="AA78" i="4"/>
  <c r="AB78" i="4"/>
  <c r="AC78" i="4"/>
  <c r="AD78" i="4"/>
  <c r="AF78" i="4"/>
  <c r="AG78" i="4"/>
  <c r="AH78" i="4"/>
  <c r="Q79" i="4"/>
  <c r="R79" i="4"/>
  <c r="S79" i="4"/>
  <c r="T79" i="4"/>
  <c r="U79" i="4"/>
  <c r="V79" i="4"/>
  <c r="W79" i="4"/>
  <c r="X79" i="4"/>
  <c r="Y79" i="4"/>
  <c r="Z79" i="4"/>
  <c r="AA79" i="4"/>
  <c r="AB79" i="4"/>
  <c r="AC79" i="4"/>
  <c r="AD79" i="4"/>
  <c r="AE79" i="4"/>
  <c r="AF79" i="4"/>
  <c r="AG79" i="4"/>
  <c r="AH79" i="4"/>
  <c r="Q80" i="4"/>
  <c r="AE80" i="4" s="1"/>
  <c r="R80" i="4"/>
  <c r="T80" i="4"/>
  <c r="U80" i="4"/>
  <c r="V80" i="4"/>
  <c r="W80" i="4"/>
  <c r="Y80" i="4"/>
  <c r="Z80" i="4"/>
  <c r="AA80" i="4"/>
  <c r="AB80" i="4"/>
  <c r="AC80" i="4"/>
  <c r="AD80" i="4"/>
  <c r="AF80" i="4"/>
  <c r="AG80" i="4"/>
  <c r="AH80" i="4"/>
  <c r="Q81" i="4"/>
  <c r="R81" i="4"/>
  <c r="T81" i="4"/>
  <c r="U81" i="4"/>
  <c r="V81" i="4"/>
  <c r="W81" i="4"/>
  <c r="Y81" i="4"/>
  <c r="Z81" i="4"/>
  <c r="AA81" i="4"/>
  <c r="AB81" i="4"/>
  <c r="AC81" i="4"/>
  <c r="AD81" i="4"/>
  <c r="AE81" i="4"/>
  <c r="AF81" i="4"/>
  <c r="AG81" i="4"/>
  <c r="AH81" i="4"/>
  <c r="Q82" i="4"/>
  <c r="AE82" i="4" s="1"/>
  <c r="R82" i="4"/>
  <c r="S82" i="4" s="1"/>
  <c r="T82" i="4"/>
  <c r="U82" i="4"/>
  <c r="V82" i="4"/>
  <c r="W82" i="4"/>
  <c r="X82" i="4"/>
  <c r="Y82" i="4"/>
  <c r="Z82" i="4"/>
  <c r="AA82" i="4"/>
  <c r="AB82" i="4"/>
  <c r="AC82" i="4"/>
  <c r="AD82" i="4"/>
  <c r="AF82" i="4"/>
  <c r="AG82" i="4"/>
  <c r="AH82" i="4"/>
  <c r="Q83" i="4"/>
  <c r="R83" i="4"/>
  <c r="S83" i="4"/>
  <c r="T83" i="4"/>
  <c r="U83" i="4"/>
  <c r="V83" i="4"/>
  <c r="W83" i="4"/>
  <c r="X83" i="4"/>
  <c r="Y83" i="4"/>
  <c r="Z83" i="4"/>
  <c r="AA83" i="4"/>
  <c r="AB83" i="4"/>
  <c r="AC83" i="4"/>
  <c r="AD83" i="4"/>
  <c r="AE83" i="4"/>
  <c r="AF83" i="4"/>
  <c r="AG83" i="4"/>
  <c r="AH83" i="4"/>
  <c r="Q84" i="4"/>
  <c r="AE84" i="4" s="1"/>
  <c r="R84" i="4"/>
  <c r="T84" i="4"/>
  <c r="U84" i="4"/>
  <c r="V84" i="4"/>
  <c r="W84" i="4"/>
  <c r="Y84" i="4"/>
  <c r="Z84" i="4"/>
  <c r="AA84" i="4"/>
  <c r="AB84" i="4"/>
  <c r="AC84" i="4"/>
  <c r="AD84" i="4"/>
  <c r="AF84" i="4"/>
  <c r="AG84" i="4"/>
  <c r="AH84" i="4"/>
  <c r="Q85" i="4"/>
  <c r="R85" i="4"/>
  <c r="T85" i="4"/>
  <c r="U85" i="4"/>
  <c r="V85" i="4"/>
  <c r="W85" i="4"/>
  <c r="Y85" i="4"/>
  <c r="Z85" i="4"/>
  <c r="AA85" i="4"/>
  <c r="AB85" i="4"/>
  <c r="AC85" i="4"/>
  <c r="AD85" i="4"/>
  <c r="AE85" i="4"/>
  <c r="AF85" i="4"/>
  <c r="AG85" i="4"/>
  <c r="AH85" i="4"/>
  <c r="Q86" i="4"/>
  <c r="AE86" i="4" s="1"/>
  <c r="R86" i="4"/>
  <c r="S86" i="4" s="1"/>
  <c r="T86" i="4"/>
  <c r="U86" i="4"/>
  <c r="V86" i="4"/>
  <c r="W86" i="4"/>
  <c r="X86" i="4"/>
  <c r="Y86" i="4"/>
  <c r="Z86" i="4"/>
  <c r="AA86" i="4"/>
  <c r="AB86" i="4"/>
  <c r="AC86" i="4"/>
  <c r="AD86" i="4"/>
  <c r="AF86" i="4"/>
  <c r="AG86" i="4"/>
  <c r="AH86" i="4"/>
  <c r="Q87" i="4"/>
  <c r="R87" i="4"/>
  <c r="S87" i="4"/>
  <c r="T87" i="4"/>
  <c r="U87" i="4"/>
  <c r="V87" i="4"/>
  <c r="W87" i="4"/>
  <c r="X87" i="4"/>
  <c r="Y87" i="4"/>
  <c r="Z87" i="4"/>
  <c r="AA87" i="4"/>
  <c r="AB87" i="4"/>
  <c r="AC87" i="4"/>
  <c r="AD87" i="4"/>
  <c r="AE87" i="4"/>
  <c r="AF87" i="4"/>
  <c r="AG87" i="4"/>
  <c r="AH87" i="4"/>
  <c r="Q88" i="4"/>
  <c r="R88" i="4"/>
  <c r="T88" i="4"/>
  <c r="U88" i="4"/>
  <c r="V88" i="4"/>
  <c r="W88" i="4"/>
  <c r="Y88" i="4"/>
  <c r="Z88" i="4"/>
  <c r="AA88" i="4"/>
  <c r="AB88" i="4"/>
  <c r="AC88" i="4"/>
  <c r="AD88" i="4"/>
  <c r="AE88" i="4"/>
  <c r="AF88" i="4"/>
  <c r="AG88" i="4"/>
  <c r="AH88" i="4"/>
  <c r="Q89" i="4"/>
  <c r="AE89" i="4" s="1"/>
  <c r="R89" i="4"/>
  <c r="S89" i="4"/>
  <c r="T89" i="4"/>
  <c r="U89" i="4"/>
  <c r="V89" i="4"/>
  <c r="W89" i="4"/>
  <c r="X89" i="4"/>
  <c r="Y89" i="4"/>
  <c r="Z89" i="4"/>
  <c r="AA89" i="4"/>
  <c r="AB89" i="4"/>
  <c r="AC89" i="4"/>
  <c r="AD89" i="4"/>
  <c r="AF89" i="4"/>
  <c r="AG89" i="4"/>
  <c r="AH89" i="4"/>
  <c r="Q90" i="4"/>
  <c r="R90" i="4"/>
  <c r="X90" i="4" s="1"/>
  <c r="S90" i="4"/>
  <c r="T90" i="4"/>
  <c r="U90" i="4"/>
  <c r="V90" i="4"/>
  <c r="W90" i="4"/>
  <c r="Y90" i="4"/>
  <c r="Z90" i="4"/>
  <c r="AA90" i="4"/>
  <c r="AB90" i="4"/>
  <c r="AC90" i="4"/>
  <c r="AD90" i="4"/>
  <c r="AE90" i="4"/>
  <c r="AF90" i="4"/>
  <c r="AG90" i="4"/>
  <c r="AH90" i="4"/>
  <c r="Q91" i="4"/>
  <c r="AE91" i="4" s="1"/>
  <c r="R91" i="4"/>
  <c r="S91" i="4"/>
  <c r="T91" i="4"/>
  <c r="U91" i="4"/>
  <c r="V91" i="4"/>
  <c r="W91" i="4"/>
  <c r="X91" i="4"/>
  <c r="Y91" i="4"/>
  <c r="Z91" i="4"/>
  <c r="AA91" i="4"/>
  <c r="AB91" i="4"/>
  <c r="AC91" i="4"/>
  <c r="AD91" i="4"/>
  <c r="AF91" i="4"/>
  <c r="AG91" i="4"/>
  <c r="AH91" i="4"/>
  <c r="Q92" i="4"/>
  <c r="R92" i="4"/>
  <c r="X92" i="4" s="1"/>
  <c r="S92" i="4"/>
  <c r="T92" i="4"/>
  <c r="U92" i="4"/>
  <c r="V92" i="4"/>
  <c r="W92" i="4"/>
  <c r="Y92" i="4"/>
  <c r="Z92" i="4"/>
  <c r="AA92" i="4"/>
  <c r="AB92" i="4"/>
  <c r="AC92" i="4"/>
  <c r="AD92" i="4"/>
  <c r="AE92" i="4"/>
  <c r="AF92" i="4"/>
  <c r="AG92" i="4"/>
  <c r="AH92" i="4"/>
  <c r="Q93" i="4"/>
  <c r="AE93" i="4" s="1"/>
  <c r="R93" i="4"/>
  <c r="S93" i="4"/>
  <c r="T93" i="4"/>
  <c r="U93" i="4"/>
  <c r="V93" i="4"/>
  <c r="W93" i="4"/>
  <c r="X93" i="4"/>
  <c r="Y93" i="4"/>
  <c r="Z93" i="4"/>
  <c r="AA93" i="4"/>
  <c r="AB93" i="4"/>
  <c r="AC93" i="4"/>
  <c r="AD93" i="4"/>
  <c r="AF93" i="4"/>
  <c r="AG93" i="4"/>
  <c r="AH93" i="4"/>
  <c r="Q94" i="4"/>
  <c r="R94" i="4"/>
  <c r="X94" i="4" s="1"/>
  <c r="S94" i="4"/>
  <c r="T94" i="4"/>
  <c r="U94" i="4"/>
  <c r="V94" i="4"/>
  <c r="W94" i="4"/>
  <c r="Y94" i="4"/>
  <c r="Z94" i="4"/>
  <c r="AA94" i="4"/>
  <c r="AB94" i="4"/>
  <c r="AC94" i="4"/>
  <c r="AD94" i="4"/>
  <c r="AE94" i="4"/>
  <c r="AF94" i="4"/>
  <c r="AG94" i="4"/>
  <c r="AH94" i="4"/>
  <c r="Q95" i="4"/>
  <c r="AE95" i="4" s="1"/>
  <c r="R95" i="4"/>
  <c r="S95" i="4"/>
  <c r="T95" i="4"/>
  <c r="U95" i="4"/>
  <c r="V95" i="4"/>
  <c r="W95" i="4"/>
  <c r="X95" i="4"/>
  <c r="Y95" i="4"/>
  <c r="Z95" i="4"/>
  <c r="AA95" i="4"/>
  <c r="AB95" i="4"/>
  <c r="AC95" i="4"/>
  <c r="AD95" i="4"/>
  <c r="AF95" i="4"/>
  <c r="AG95" i="4"/>
  <c r="AH95" i="4"/>
  <c r="Q96" i="4"/>
  <c r="R96" i="4"/>
  <c r="X96" i="4" s="1"/>
  <c r="S96" i="4"/>
  <c r="T96" i="4"/>
  <c r="U96" i="4"/>
  <c r="V96" i="4"/>
  <c r="W96" i="4"/>
  <c r="Y96" i="4"/>
  <c r="Z96" i="4"/>
  <c r="AA96" i="4"/>
  <c r="AB96" i="4"/>
  <c r="AC96" i="4"/>
  <c r="AD96" i="4"/>
  <c r="AE96" i="4"/>
  <c r="AF96" i="4"/>
  <c r="AG96" i="4"/>
  <c r="AH96" i="4"/>
  <c r="Q97" i="4"/>
  <c r="AE97" i="4" s="1"/>
  <c r="R97" i="4"/>
  <c r="S97" i="4"/>
  <c r="T97" i="4"/>
  <c r="U97" i="4"/>
  <c r="V97" i="4"/>
  <c r="W97" i="4"/>
  <c r="X97" i="4"/>
  <c r="Y97" i="4"/>
  <c r="Z97" i="4"/>
  <c r="AA97" i="4"/>
  <c r="AB97" i="4"/>
  <c r="AC97" i="4"/>
  <c r="AD97" i="4"/>
  <c r="AF97" i="4"/>
  <c r="AG97" i="4"/>
  <c r="AH97" i="4"/>
  <c r="Q98" i="4"/>
  <c r="R98" i="4"/>
  <c r="X98" i="4" s="1"/>
  <c r="S98" i="4"/>
  <c r="T98" i="4"/>
  <c r="U98" i="4"/>
  <c r="V98" i="4"/>
  <c r="W98" i="4"/>
  <c r="Y98" i="4"/>
  <c r="Z98" i="4"/>
  <c r="AA98" i="4"/>
  <c r="AB98" i="4"/>
  <c r="AC98" i="4"/>
  <c r="AD98" i="4"/>
  <c r="AE98" i="4"/>
  <c r="AF98" i="4"/>
  <c r="AG98" i="4"/>
  <c r="AH98" i="4"/>
  <c r="Q99" i="4"/>
  <c r="AE99" i="4" s="1"/>
  <c r="R99" i="4"/>
  <c r="S99" i="4"/>
  <c r="T99" i="4"/>
  <c r="U99" i="4"/>
  <c r="V99" i="4"/>
  <c r="W99" i="4"/>
  <c r="X99" i="4"/>
  <c r="Y99" i="4"/>
  <c r="Z99" i="4"/>
  <c r="AA99" i="4"/>
  <c r="AB99" i="4"/>
  <c r="AC99" i="4"/>
  <c r="AD99" i="4"/>
  <c r="AF99" i="4"/>
  <c r="AG99" i="4"/>
  <c r="AH99" i="4"/>
  <c r="Q100" i="4"/>
  <c r="R100" i="4"/>
  <c r="X100" i="4" s="1"/>
  <c r="S100" i="4"/>
  <c r="T100" i="4"/>
  <c r="U100" i="4"/>
  <c r="V100" i="4"/>
  <c r="W100" i="4"/>
  <c r="Y100" i="4"/>
  <c r="Z100" i="4"/>
  <c r="AA100" i="4"/>
  <c r="AB100" i="4"/>
  <c r="AC100" i="4"/>
  <c r="AD100" i="4"/>
  <c r="AE100" i="4"/>
  <c r="AF100" i="4"/>
  <c r="AG100" i="4"/>
  <c r="AH100" i="4"/>
  <c r="Q101" i="4"/>
  <c r="AE101" i="4" s="1"/>
  <c r="R101" i="4"/>
  <c r="S101" i="4"/>
  <c r="T101" i="4"/>
  <c r="U101" i="4"/>
  <c r="V101" i="4"/>
  <c r="W101" i="4"/>
  <c r="X101" i="4"/>
  <c r="Y101" i="4"/>
  <c r="Z101" i="4"/>
  <c r="AA101" i="4"/>
  <c r="AB101" i="4"/>
  <c r="AC101" i="4"/>
  <c r="AD101" i="4"/>
  <c r="AF101" i="4"/>
  <c r="AG101" i="4"/>
  <c r="AH101" i="4"/>
  <c r="Q102" i="4"/>
  <c r="R102" i="4"/>
  <c r="X102" i="4" s="1"/>
  <c r="S102" i="4"/>
  <c r="T102" i="4"/>
  <c r="U102" i="4"/>
  <c r="V102" i="4"/>
  <c r="W102" i="4"/>
  <c r="Y102" i="4"/>
  <c r="Z102" i="4"/>
  <c r="AA102" i="4"/>
  <c r="AB102" i="4"/>
  <c r="AC102" i="4"/>
  <c r="AD102" i="4"/>
  <c r="AE102" i="4"/>
  <c r="AF102" i="4"/>
  <c r="AG102" i="4"/>
  <c r="AH102" i="4"/>
  <c r="Q103" i="4"/>
  <c r="AE103" i="4" s="1"/>
  <c r="R103" i="4"/>
  <c r="S103" i="4"/>
  <c r="T103" i="4"/>
  <c r="U103" i="4"/>
  <c r="V103" i="4"/>
  <c r="W103" i="4"/>
  <c r="X103" i="4"/>
  <c r="Y103" i="4"/>
  <c r="Z103" i="4"/>
  <c r="AA103" i="4"/>
  <c r="AB103" i="4"/>
  <c r="AC103" i="4"/>
  <c r="AD103" i="4"/>
  <c r="AF103" i="4"/>
  <c r="AG103" i="4"/>
  <c r="AH103" i="4"/>
  <c r="Q104" i="4"/>
  <c r="R104" i="4"/>
  <c r="X104" i="4" s="1"/>
  <c r="S104" i="4"/>
  <c r="T104" i="4"/>
  <c r="U104" i="4"/>
  <c r="V104" i="4"/>
  <c r="W104" i="4"/>
  <c r="Y104" i="4"/>
  <c r="Z104" i="4"/>
  <c r="AA104" i="4"/>
  <c r="AB104" i="4"/>
  <c r="AC104" i="4"/>
  <c r="AD104" i="4"/>
  <c r="AE104" i="4"/>
  <c r="AF104" i="4"/>
  <c r="AG104" i="4"/>
  <c r="AH104" i="4"/>
  <c r="Q105" i="4"/>
  <c r="AE105" i="4" s="1"/>
  <c r="R105" i="4"/>
  <c r="S105" i="4"/>
  <c r="T105" i="4"/>
  <c r="U105" i="4"/>
  <c r="V105" i="4"/>
  <c r="W105" i="4"/>
  <c r="X105" i="4"/>
  <c r="Y105" i="4"/>
  <c r="Z105" i="4"/>
  <c r="AA105" i="4"/>
  <c r="AB105" i="4"/>
  <c r="AC105" i="4"/>
  <c r="AD105" i="4"/>
  <c r="AF105" i="4"/>
  <c r="AG105" i="4"/>
  <c r="AH105" i="4"/>
  <c r="Q106" i="4"/>
  <c r="R106" i="4"/>
  <c r="X106" i="4" s="1"/>
  <c r="S106" i="4"/>
  <c r="T106" i="4"/>
  <c r="U106" i="4"/>
  <c r="V106" i="4"/>
  <c r="W106" i="4"/>
  <c r="Y106" i="4"/>
  <c r="Z106" i="4"/>
  <c r="AA106" i="4"/>
  <c r="AB106" i="4"/>
  <c r="AC106" i="4"/>
  <c r="AD106" i="4"/>
  <c r="AE106" i="4"/>
  <c r="AF106" i="4"/>
  <c r="AG106" i="4"/>
  <c r="AH106" i="4"/>
  <c r="Q107" i="4"/>
  <c r="AE107" i="4" s="1"/>
  <c r="R107" i="4"/>
  <c r="S107" i="4"/>
  <c r="T107" i="4"/>
  <c r="U107" i="4"/>
  <c r="V107" i="4"/>
  <c r="W107" i="4"/>
  <c r="X107" i="4"/>
  <c r="Y107" i="4"/>
  <c r="Z107" i="4"/>
  <c r="AA107" i="4"/>
  <c r="AB107" i="4"/>
  <c r="AC107" i="4"/>
  <c r="AD107" i="4"/>
  <c r="AF107" i="4"/>
  <c r="AG107" i="4"/>
  <c r="AH107" i="4"/>
  <c r="Q108" i="4"/>
  <c r="R108" i="4"/>
  <c r="X108" i="4" s="1"/>
  <c r="S108" i="4"/>
  <c r="T108" i="4"/>
  <c r="U108" i="4"/>
  <c r="V108" i="4"/>
  <c r="W108" i="4"/>
  <c r="Y108" i="4"/>
  <c r="Z108" i="4"/>
  <c r="AA108" i="4"/>
  <c r="AB108" i="4"/>
  <c r="AC108" i="4"/>
  <c r="AD108" i="4"/>
  <c r="AE108" i="4"/>
  <c r="AF108" i="4"/>
  <c r="AG108" i="4"/>
  <c r="AH108" i="4"/>
  <c r="Q109" i="4"/>
  <c r="AE109" i="4" s="1"/>
  <c r="R109" i="4"/>
  <c r="S109" i="4"/>
  <c r="T109" i="4"/>
  <c r="U109" i="4"/>
  <c r="V109" i="4"/>
  <c r="W109" i="4"/>
  <c r="X109" i="4"/>
  <c r="Y109" i="4"/>
  <c r="Z109" i="4"/>
  <c r="AA109" i="4"/>
  <c r="AB109" i="4"/>
  <c r="AC109" i="4"/>
  <c r="AD109" i="4"/>
  <c r="AF109" i="4"/>
  <c r="AG109" i="4"/>
  <c r="AH109" i="4"/>
  <c r="Q110" i="4"/>
  <c r="R110" i="4"/>
  <c r="X110" i="4" s="1"/>
  <c r="S110" i="4"/>
  <c r="T110" i="4"/>
  <c r="U110" i="4"/>
  <c r="V110" i="4"/>
  <c r="W110" i="4"/>
  <c r="Y110" i="4"/>
  <c r="Z110" i="4"/>
  <c r="AA110" i="4"/>
  <c r="AB110" i="4"/>
  <c r="AC110" i="4"/>
  <c r="AD110" i="4"/>
  <c r="AE110" i="4"/>
  <c r="AF110" i="4"/>
  <c r="AG110" i="4"/>
  <c r="AH110" i="4"/>
  <c r="Q111" i="4"/>
  <c r="AE111" i="4" s="1"/>
  <c r="R111" i="4"/>
  <c r="S111" i="4"/>
  <c r="T111" i="4"/>
  <c r="U111" i="4"/>
  <c r="V111" i="4"/>
  <c r="W111" i="4"/>
  <c r="X111" i="4"/>
  <c r="Y111" i="4"/>
  <c r="Z111" i="4"/>
  <c r="AA111" i="4"/>
  <c r="AB111" i="4"/>
  <c r="AC111" i="4"/>
  <c r="AD111" i="4"/>
  <c r="AF111" i="4"/>
  <c r="AG111" i="4"/>
  <c r="AH111" i="4"/>
  <c r="Q112" i="4"/>
  <c r="R112" i="4"/>
  <c r="X112" i="4" s="1"/>
  <c r="S112" i="4"/>
  <c r="T112" i="4"/>
  <c r="U112" i="4"/>
  <c r="V112" i="4"/>
  <c r="W112" i="4"/>
  <c r="Y112" i="4"/>
  <c r="Z112" i="4"/>
  <c r="AA112" i="4"/>
  <c r="AB112" i="4"/>
  <c r="AC112" i="4"/>
  <c r="AD112" i="4"/>
  <c r="AE112" i="4"/>
  <c r="AF112" i="4"/>
  <c r="AG112" i="4"/>
  <c r="AH112" i="4"/>
  <c r="Q113" i="4"/>
  <c r="AE113" i="4" s="1"/>
  <c r="R113" i="4"/>
  <c r="S113" i="4"/>
  <c r="T113" i="4"/>
  <c r="U113" i="4"/>
  <c r="V113" i="4"/>
  <c r="W113" i="4"/>
  <c r="X113" i="4"/>
  <c r="Y113" i="4"/>
  <c r="Z113" i="4"/>
  <c r="AA113" i="4"/>
  <c r="AB113" i="4"/>
  <c r="AC113" i="4"/>
  <c r="AD113" i="4"/>
  <c r="AF113" i="4"/>
  <c r="AG113" i="4"/>
  <c r="AH113" i="4"/>
  <c r="Q114" i="4"/>
  <c r="R114" i="4"/>
  <c r="X114" i="4" s="1"/>
  <c r="S114" i="4"/>
  <c r="T114" i="4"/>
  <c r="U114" i="4"/>
  <c r="V114" i="4"/>
  <c r="W114" i="4"/>
  <c r="Y114" i="4"/>
  <c r="Z114" i="4"/>
  <c r="AA114" i="4"/>
  <c r="AB114" i="4"/>
  <c r="AC114" i="4"/>
  <c r="AD114" i="4"/>
  <c r="AE114" i="4"/>
  <c r="AF114" i="4"/>
  <c r="AG114" i="4"/>
  <c r="AH114" i="4"/>
  <c r="Q115" i="4"/>
  <c r="AE115" i="4" s="1"/>
  <c r="R115" i="4"/>
  <c r="S115" i="4"/>
  <c r="T115" i="4"/>
  <c r="U115" i="4"/>
  <c r="V115" i="4"/>
  <c r="W115" i="4"/>
  <c r="X115" i="4"/>
  <c r="Y115" i="4"/>
  <c r="Z115" i="4"/>
  <c r="AA115" i="4"/>
  <c r="AB115" i="4"/>
  <c r="AC115" i="4"/>
  <c r="AD115" i="4"/>
  <c r="AF115" i="4"/>
  <c r="AG115" i="4"/>
  <c r="AH115" i="4"/>
  <c r="Q116" i="4"/>
  <c r="R116" i="4"/>
  <c r="X116" i="4" s="1"/>
  <c r="S116" i="4"/>
  <c r="T116" i="4"/>
  <c r="U116" i="4"/>
  <c r="V116" i="4"/>
  <c r="W116" i="4"/>
  <c r="Y116" i="4"/>
  <c r="Z116" i="4"/>
  <c r="AA116" i="4"/>
  <c r="AB116" i="4"/>
  <c r="AC116" i="4"/>
  <c r="AD116" i="4"/>
  <c r="AE116" i="4"/>
  <c r="AF116" i="4"/>
  <c r="AG116" i="4"/>
  <c r="AH116" i="4"/>
  <c r="Q117" i="4"/>
  <c r="AE117" i="4" s="1"/>
  <c r="R117" i="4"/>
  <c r="S117" i="4"/>
  <c r="T117" i="4"/>
  <c r="U117" i="4"/>
  <c r="V117" i="4"/>
  <c r="W117" i="4"/>
  <c r="X117" i="4"/>
  <c r="Y117" i="4"/>
  <c r="Z117" i="4"/>
  <c r="AA117" i="4"/>
  <c r="AB117" i="4"/>
  <c r="AC117" i="4"/>
  <c r="AD117" i="4"/>
  <c r="AF117" i="4"/>
  <c r="AG117" i="4"/>
  <c r="AH117" i="4"/>
  <c r="Q118" i="4"/>
  <c r="R118" i="4"/>
  <c r="X118" i="4" s="1"/>
  <c r="S118" i="4"/>
  <c r="T118" i="4"/>
  <c r="U118" i="4"/>
  <c r="V118" i="4"/>
  <c r="W118" i="4"/>
  <c r="Y118" i="4"/>
  <c r="Z118" i="4"/>
  <c r="AA118" i="4"/>
  <c r="AB118" i="4"/>
  <c r="AC118" i="4"/>
  <c r="AD118" i="4"/>
  <c r="AE118" i="4"/>
  <c r="AF118" i="4"/>
  <c r="AG118" i="4"/>
  <c r="AH118" i="4"/>
  <c r="Q119" i="4"/>
  <c r="AE119" i="4" s="1"/>
  <c r="R119" i="4"/>
  <c r="S119" i="4"/>
  <c r="T119" i="4"/>
  <c r="U119" i="4"/>
  <c r="V119" i="4"/>
  <c r="W119" i="4"/>
  <c r="X119" i="4"/>
  <c r="Y119" i="4"/>
  <c r="Z119" i="4"/>
  <c r="AA119" i="4"/>
  <c r="AB119" i="4"/>
  <c r="AC119" i="4"/>
  <c r="AD119" i="4"/>
  <c r="AF119" i="4"/>
  <c r="AG119" i="4"/>
  <c r="AH119" i="4"/>
  <c r="Q120" i="4"/>
  <c r="R120" i="4"/>
  <c r="X120" i="4" s="1"/>
  <c r="S120" i="4"/>
  <c r="T120" i="4"/>
  <c r="U120" i="4"/>
  <c r="V120" i="4"/>
  <c r="W120" i="4"/>
  <c r="Y120" i="4"/>
  <c r="Z120" i="4"/>
  <c r="AA120" i="4"/>
  <c r="AB120" i="4"/>
  <c r="AC120" i="4"/>
  <c r="AD120" i="4"/>
  <c r="AE120" i="4"/>
  <c r="AF120" i="4"/>
  <c r="AG120" i="4"/>
  <c r="AH120" i="4"/>
  <c r="Q121" i="4"/>
  <c r="AE121" i="4" s="1"/>
  <c r="R121" i="4"/>
  <c r="S121" i="4"/>
  <c r="T121" i="4"/>
  <c r="U121" i="4"/>
  <c r="V121" i="4"/>
  <c r="W121" i="4"/>
  <c r="X121" i="4"/>
  <c r="Y121" i="4"/>
  <c r="Z121" i="4"/>
  <c r="AA121" i="4"/>
  <c r="AB121" i="4"/>
  <c r="AC121" i="4"/>
  <c r="AD121" i="4"/>
  <c r="AF121" i="4"/>
  <c r="AG121" i="4"/>
  <c r="AH121" i="4"/>
  <c r="Q122" i="4"/>
  <c r="R122" i="4"/>
  <c r="X122" i="4" s="1"/>
  <c r="S122" i="4"/>
  <c r="T122" i="4"/>
  <c r="U122" i="4"/>
  <c r="V122" i="4"/>
  <c r="W122" i="4"/>
  <c r="Y122" i="4"/>
  <c r="Z122" i="4"/>
  <c r="AA122" i="4"/>
  <c r="AB122" i="4"/>
  <c r="AC122" i="4"/>
  <c r="AD122" i="4"/>
  <c r="AE122" i="4"/>
  <c r="AF122" i="4"/>
  <c r="AG122" i="4"/>
  <c r="AH122" i="4"/>
  <c r="Q123" i="4"/>
  <c r="AE123" i="4" s="1"/>
  <c r="R123" i="4"/>
  <c r="S123" i="4"/>
  <c r="T123" i="4"/>
  <c r="U123" i="4"/>
  <c r="V123" i="4"/>
  <c r="W123" i="4"/>
  <c r="X123" i="4"/>
  <c r="Y123" i="4"/>
  <c r="Z123" i="4"/>
  <c r="AA123" i="4"/>
  <c r="AB123" i="4"/>
  <c r="AC123" i="4"/>
  <c r="AD123" i="4"/>
  <c r="AF123" i="4"/>
  <c r="AG123" i="4"/>
  <c r="AH123" i="4"/>
  <c r="Q124" i="4"/>
  <c r="R124" i="4"/>
  <c r="X124" i="4" s="1"/>
  <c r="S124" i="4"/>
  <c r="T124" i="4"/>
  <c r="U124" i="4"/>
  <c r="V124" i="4"/>
  <c r="W124" i="4"/>
  <c r="Y124" i="4"/>
  <c r="Z124" i="4"/>
  <c r="AA124" i="4"/>
  <c r="AB124" i="4"/>
  <c r="AC124" i="4"/>
  <c r="AD124" i="4"/>
  <c r="AE124" i="4"/>
  <c r="AF124" i="4"/>
  <c r="AG124" i="4"/>
  <c r="AH124" i="4"/>
  <c r="Q125" i="4"/>
  <c r="AE125" i="4" s="1"/>
  <c r="R125" i="4"/>
  <c r="S125" i="4"/>
  <c r="T125" i="4"/>
  <c r="U125" i="4"/>
  <c r="V125" i="4"/>
  <c r="W125" i="4"/>
  <c r="X125" i="4"/>
  <c r="Y125" i="4"/>
  <c r="Z125" i="4"/>
  <c r="AA125" i="4"/>
  <c r="AB125" i="4"/>
  <c r="AC125" i="4"/>
  <c r="AD125" i="4"/>
  <c r="AF125" i="4"/>
  <c r="AG125" i="4"/>
  <c r="AH125" i="4"/>
  <c r="Q126" i="4"/>
  <c r="R126" i="4"/>
  <c r="X126" i="4" s="1"/>
  <c r="S126" i="4"/>
  <c r="T126" i="4"/>
  <c r="U126" i="4"/>
  <c r="V126" i="4"/>
  <c r="W126" i="4"/>
  <c r="Y126" i="4"/>
  <c r="Z126" i="4"/>
  <c r="AA126" i="4"/>
  <c r="AB126" i="4"/>
  <c r="AC126" i="4"/>
  <c r="AD126" i="4"/>
  <c r="AE126" i="4"/>
  <c r="AF126" i="4"/>
  <c r="AG126" i="4"/>
  <c r="AH126" i="4"/>
  <c r="Q127" i="4"/>
  <c r="AE127" i="4" s="1"/>
  <c r="R127" i="4"/>
  <c r="S127" i="4"/>
  <c r="T127" i="4"/>
  <c r="U127" i="4"/>
  <c r="V127" i="4"/>
  <c r="W127" i="4"/>
  <c r="X127" i="4"/>
  <c r="Y127" i="4"/>
  <c r="Z127" i="4"/>
  <c r="AA127" i="4"/>
  <c r="AB127" i="4"/>
  <c r="AC127" i="4"/>
  <c r="AD127" i="4"/>
  <c r="AF127" i="4"/>
  <c r="AG127" i="4"/>
  <c r="AH127" i="4"/>
  <c r="Q128" i="4"/>
  <c r="R128" i="4"/>
  <c r="X128" i="4" s="1"/>
  <c r="S128" i="4"/>
  <c r="T128" i="4"/>
  <c r="U128" i="4"/>
  <c r="V128" i="4"/>
  <c r="W128" i="4"/>
  <c r="Y128" i="4"/>
  <c r="Z128" i="4"/>
  <c r="AA128" i="4"/>
  <c r="AB128" i="4"/>
  <c r="AC128" i="4"/>
  <c r="AD128" i="4"/>
  <c r="AE128" i="4"/>
  <c r="AF128" i="4"/>
  <c r="AG128" i="4"/>
  <c r="AH128" i="4"/>
  <c r="Q129" i="4"/>
  <c r="AE129" i="4" s="1"/>
  <c r="R129" i="4"/>
  <c r="S129" i="4"/>
  <c r="T129" i="4"/>
  <c r="U129" i="4"/>
  <c r="V129" i="4"/>
  <c r="W129" i="4"/>
  <c r="X129" i="4"/>
  <c r="Y129" i="4"/>
  <c r="Z129" i="4"/>
  <c r="AA129" i="4"/>
  <c r="AB129" i="4"/>
  <c r="AC129" i="4"/>
  <c r="AD129" i="4"/>
  <c r="AF129" i="4"/>
  <c r="AG129" i="4"/>
  <c r="AH129" i="4"/>
  <c r="Q130" i="4"/>
  <c r="R130" i="4"/>
  <c r="X130" i="4" s="1"/>
  <c r="S130" i="4"/>
  <c r="T130" i="4"/>
  <c r="U130" i="4"/>
  <c r="V130" i="4"/>
  <c r="W130" i="4"/>
  <c r="Y130" i="4"/>
  <c r="Z130" i="4"/>
  <c r="AA130" i="4"/>
  <c r="AB130" i="4"/>
  <c r="AC130" i="4"/>
  <c r="AD130" i="4"/>
  <c r="AE130" i="4"/>
  <c r="AF130" i="4"/>
  <c r="AG130" i="4"/>
  <c r="AH130" i="4"/>
  <c r="Q131" i="4"/>
  <c r="AE131" i="4" s="1"/>
  <c r="R131" i="4"/>
  <c r="S131" i="4"/>
  <c r="T131" i="4"/>
  <c r="U131" i="4"/>
  <c r="V131" i="4"/>
  <c r="W131" i="4"/>
  <c r="X131" i="4"/>
  <c r="Y131" i="4"/>
  <c r="Z131" i="4"/>
  <c r="AA131" i="4"/>
  <c r="AB131" i="4"/>
  <c r="AC131" i="4"/>
  <c r="AD131" i="4"/>
  <c r="AF131" i="4"/>
  <c r="AG131" i="4"/>
  <c r="AH131" i="4"/>
  <c r="Q132" i="4"/>
  <c r="R132" i="4"/>
  <c r="X132" i="4" s="1"/>
  <c r="S132" i="4"/>
  <c r="T132" i="4"/>
  <c r="U132" i="4"/>
  <c r="V132" i="4"/>
  <c r="W132" i="4"/>
  <c r="Y132" i="4"/>
  <c r="Z132" i="4"/>
  <c r="AA132" i="4"/>
  <c r="AB132" i="4"/>
  <c r="AC132" i="4"/>
  <c r="AD132" i="4"/>
  <c r="AE132" i="4"/>
  <c r="AF132" i="4"/>
  <c r="AG132" i="4"/>
  <c r="AH132" i="4"/>
  <c r="Q133" i="4"/>
  <c r="AE133" i="4" s="1"/>
  <c r="R133" i="4"/>
  <c r="S133" i="4"/>
  <c r="T133" i="4"/>
  <c r="U133" i="4"/>
  <c r="V133" i="4"/>
  <c r="W133" i="4"/>
  <c r="X133" i="4"/>
  <c r="Y133" i="4"/>
  <c r="Z133" i="4"/>
  <c r="AA133" i="4"/>
  <c r="AB133" i="4"/>
  <c r="AC133" i="4"/>
  <c r="AD133" i="4"/>
  <c r="AF133" i="4"/>
  <c r="AG133" i="4"/>
  <c r="AH133" i="4"/>
  <c r="Q134" i="4"/>
  <c r="R134" i="4"/>
  <c r="X134" i="4" s="1"/>
  <c r="S134" i="4"/>
  <c r="T134" i="4"/>
  <c r="U134" i="4"/>
  <c r="V134" i="4"/>
  <c r="W134" i="4"/>
  <c r="Y134" i="4"/>
  <c r="Z134" i="4"/>
  <c r="AA134" i="4"/>
  <c r="AB134" i="4"/>
  <c r="AC134" i="4"/>
  <c r="AD134" i="4"/>
  <c r="AE134" i="4"/>
  <c r="AF134" i="4"/>
  <c r="AG134" i="4"/>
  <c r="AH134" i="4"/>
  <c r="Q135" i="4"/>
  <c r="AE135" i="4" s="1"/>
  <c r="R135" i="4"/>
  <c r="S135" i="4"/>
  <c r="T135" i="4"/>
  <c r="U135" i="4"/>
  <c r="V135" i="4"/>
  <c r="W135" i="4"/>
  <c r="X135" i="4"/>
  <c r="Y135" i="4"/>
  <c r="Z135" i="4"/>
  <c r="AA135" i="4"/>
  <c r="AB135" i="4"/>
  <c r="AC135" i="4"/>
  <c r="AD135" i="4"/>
  <c r="AF135" i="4"/>
  <c r="AG135" i="4"/>
  <c r="AH135" i="4"/>
  <c r="Q136" i="4"/>
  <c r="R136" i="4"/>
  <c r="T136" i="4"/>
  <c r="U136" i="4"/>
  <c r="V136" i="4"/>
  <c r="W136" i="4"/>
  <c r="Y136" i="4"/>
  <c r="Z136" i="4"/>
  <c r="AA136" i="4"/>
  <c r="AB136" i="4"/>
  <c r="AC136" i="4"/>
  <c r="AD136" i="4"/>
  <c r="AE136" i="4"/>
  <c r="AF136" i="4"/>
  <c r="AG136" i="4"/>
  <c r="AH136" i="4"/>
  <c r="Q137" i="4"/>
  <c r="AE137" i="4" s="1"/>
  <c r="R137" i="4"/>
  <c r="S137" i="4"/>
  <c r="T137" i="4"/>
  <c r="U137" i="4"/>
  <c r="V137" i="4"/>
  <c r="W137" i="4"/>
  <c r="X137" i="4"/>
  <c r="Y137" i="4"/>
  <c r="Z137" i="4"/>
  <c r="AA137" i="4"/>
  <c r="AB137" i="4"/>
  <c r="AC137" i="4"/>
  <c r="AD137" i="4"/>
  <c r="AF137" i="4"/>
  <c r="AG137" i="4"/>
  <c r="AH137" i="4"/>
  <c r="Q138" i="4"/>
  <c r="R138" i="4"/>
  <c r="X138" i="4" s="1"/>
  <c r="S138" i="4"/>
  <c r="T138" i="4"/>
  <c r="U138" i="4"/>
  <c r="V138" i="4"/>
  <c r="W138" i="4"/>
  <c r="Y138" i="4"/>
  <c r="Z138" i="4"/>
  <c r="AA138" i="4"/>
  <c r="AB138" i="4"/>
  <c r="AC138" i="4"/>
  <c r="AD138" i="4"/>
  <c r="AE138" i="4"/>
  <c r="AF138" i="4"/>
  <c r="AG138" i="4"/>
  <c r="AH138" i="4"/>
  <c r="Q139" i="4"/>
  <c r="AE139" i="4" s="1"/>
  <c r="R139" i="4"/>
  <c r="S139" i="4"/>
  <c r="T139" i="4"/>
  <c r="U139" i="4"/>
  <c r="V139" i="4"/>
  <c r="W139" i="4"/>
  <c r="X139" i="4"/>
  <c r="Y139" i="4"/>
  <c r="Z139" i="4"/>
  <c r="AA139" i="4"/>
  <c r="AB139" i="4"/>
  <c r="AC139" i="4"/>
  <c r="AD139" i="4"/>
  <c r="AF139" i="4"/>
  <c r="AG139" i="4"/>
  <c r="AH139" i="4"/>
  <c r="Q140" i="4"/>
  <c r="R140" i="4"/>
  <c r="T140" i="4"/>
  <c r="U140" i="4"/>
  <c r="V140" i="4"/>
  <c r="W140" i="4"/>
  <c r="Y140" i="4"/>
  <c r="Z140" i="4"/>
  <c r="AA140" i="4"/>
  <c r="AB140" i="4"/>
  <c r="AC140" i="4"/>
  <c r="AD140" i="4"/>
  <c r="AE140" i="4"/>
  <c r="AF140" i="4"/>
  <c r="AG140" i="4"/>
  <c r="AH140" i="4"/>
  <c r="Q141" i="4"/>
  <c r="AE141" i="4" s="1"/>
  <c r="R141" i="4"/>
  <c r="S141" i="4"/>
  <c r="T141" i="4"/>
  <c r="U141" i="4"/>
  <c r="V141" i="4"/>
  <c r="W141" i="4"/>
  <c r="X141" i="4"/>
  <c r="Y141" i="4"/>
  <c r="Z141" i="4"/>
  <c r="AA141" i="4"/>
  <c r="AB141" i="4"/>
  <c r="AC141" i="4"/>
  <c r="AD141" i="4"/>
  <c r="AF141" i="4"/>
  <c r="AG141" i="4"/>
  <c r="AH141" i="4"/>
  <c r="Q142" i="4"/>
  <c r="R142" i="4"/>
  <c r="X142" i="4" s="1"/>
  <c r="S142" i="4"/>
  <c r="T142" i="4"/>
  <c r="U142" i="4"/>
  <c r="V142" i="4"/>
  <c r="W142" i="4"/>
  <c r="Y142" i="4"/>
  <c r="Z142" i="4"/>
  <c r="AA142" i="4"/>
  <c r="AB142" i="4"/>
  <c r="AC142" i="4"/>
  <c r="AD142" i="4"/>
  <c r="AE142" i="4"/>
  <c r="AF142" i="4"/>
  <c r="AG142" i="4"/>
  <c r="AH142" i="4"/>
  <c r="Q143" i="4"/>
  <c r="AE143" i="4" s="1"/>
  <c r="R143" i="4"/>
  <c r="S143" i="4"/>
  <c r="T143" i="4"/>
  <c r="U143" i="4"/>
  <c r="V143" i="4"/>
  <c r="W143" i="4"/>
  <c r="X143" i="4"/>
  <c r="Y143" i="4"/>
  <c r="Z143" i="4"/>
  <c r="AA143" i="4"/>
  <c r="AB143" i="4"/>
  <c r="AC143" i="4"/>
  <c r="AD143" i="4"/>
  <c r="AF143" i="4"/>
  <c r="AG143" i="4"/>
  <c r="AH143" i="4"/>
  <c r="Q144" i="4"/>
  <c r="R144" i="4"/>
  <c r="T144" i="4"/>
  <c r="U144" i="4"/>
  <c r="V144" i="4"/>
  <c r="W144" i="4"/>
  <c r="Y144" i="4"/>
  <c r="Z144" i="4"/>
  <c r="AA144" i="4"/>
  <c r="AB144" i="4"/>
  <c r="AC144" i="4"/>
  <c r="AD144" i="4"/>
  <c r="AE144" i="4"/>
  <c r="AF144" i="4"/>
  <c r="AG144" i="4"/>
  <c r="AH144" i="4"/>
  <c r="Q145" i="4"/>
  <c r="AE145" i="4" s="1"/>
  <c r="R145" i="4"/>
  <c r="S145" i="4"/>
  <c r="T145" i="4"/>
  <c r="U145" i="4"/>
  <c r="V145" i="4"/>
  <c r="W145" i="4"/>
  <c r="X145" i="4"/>
  <c r="Y145" i="4"/>
  <c r="Z145" i="4"/>
  <c r="AA145" i="4"/>
  <c r="AB145" i="4"/>
  <c r="AC145" i="4"/>
  <c r="AD145" i="4"/>
  <c r="AF145" i="4"/>
  <c r="AG145" i="4"/>
  <c r="AH145" i="4"/>
  <c r="Q146" i="4"/>
  <c r="R146" i="4"/>
  <c r="X146" i="4" s="1"/>
  <c r="S146" i="4"/>
  <c r="T146" i="4"/>
  <c r="U146" i="4"/>
  <c r="V146" i="4"/>
  <c r="W146" i="4"/>
  <c r="Y146" i="4"/>
  <c r="Z146" i="4"/>
  <c r="AA146" i="4"/>
  <c r="AB146" i="4"/>
  <c r="AC146" i="4"/>
  <c r="AD146" i="4"/>
  <c r="AE146" i="4"/>
  <c r="AF146" i="4"/>
  <c r="AG146" i="4"/>
  <c r="AH146" i="4"/>
  <c r="Q147" i="4"/>
  <c r="AE147" i="4" s="1"/>
  <c r="R147" i="4"/>
  <c r="S147" i="4"/>
  <c r="T147" i="4"/>
  <c r="U147" i="4"/>
  <c r="V147" i="4"/>
  <c r="W147" i="4"/>
  <c r="X147" i="4"/>
  <c r="Y147" i="4"/>
  <c r="Z147" i="4"/>
  <c r="AA147" i="4"/>
  <c r="AB147" i="4"/>
  <c r="AC147" i="4"/>
  <c r="AD147" i="4"/>
  <c r="AF147" i="4"/>
  <c r="AG147" i="4"/>
  <c r="AH147" i="4"/>
  <c r="Q148" i="4"/>
  <c r="R148" i="4"/>
  <c r="T148" i="4"/>
  <c r="U148" i="4"/>
  <c r="V148" i="4"/>
  <c r="W148" i="4"/>
  <c r="Y148" i="4"/>
  <c r="Z148" i="4"/>
  <c r="AA148" i="4"/>
  <c r="AB148" i="4"/>
  <c r="AC148" i="4"/>
  <c r="AD148" i="4"/>
  <c r="AE148" i="4"/>
  <c r="AF148" i="4"/>
  <c r="AG148" i="4"/>
  <c r="AH148" i="4"/>
  <c r="Q149" i="4"/>
  <c r="AE149" i="4" s="1"/>
  <c r="R149" i="4"/>
  <c r="S149" i="4"/>
  <c r="T149" i="4"/>
  <c r="U149" i="4"/>
  <c r="V149" i="4"/>
  <c r="W149" i="4"/>
  <c r="X149" i="4"/>
  <c r="Y149" i="4"/>
  <c r="Z149" i="4"/>
  <c r="AA149" i="4"/>
  <c r="AB149" i="4"/>
  <c r="AC149" i="4"/>
  <c r="AD149" i="4"/>
  <c r="AF149" i="4"/>
  <c r="AG149" i="4"/>
  <c r="AH149" i="4"/>
  <c r="Q150" i="4"/>
  <c r="R150" i="4"/>
  <c r="X150" i="4" s="1"/>
  <c r="S150" i="4"/>
  <c r="T150" i="4"/>
  <c r="U150" i="4"/>
  <c r="V150" i="4"/>
  <c r="W150" i="4"/>
  <c r="Y150" i="4"/>
  <c r="Z150" i="4"/>
  <c r="AA150" i="4"/>
  <c r="AB150" i="4"/>
  <c r="AC150" i="4"/>
  <c r="AD150" i="4"/>
  <c r="AE150" i="4"/>
  <c r="AF150" i="4"/>
  <c r="AG150" i="4"/>
  <c r="AH150" i="4"/>
  <c r="Q151" i="4"/>
  <c r="AE151" i="4" s="1"/>
  <c r="R151" i="4"/>
  <c r="S151" i="4"/>
  <c r="T151" i="4"/>
  <c r="U151" i="4"/>
  <c r="V151" i="4"/>
  <c r="W151" i="4"/>
  <c r="X151" i="4"/>
  <c r="Y151" i="4"/>
  <c r="Z151" i="4"/>
  <c r="AA151" i="4"/>
  <c r="AB151" i="4"/>
  <c r="AC151" i="4"/>
  <c r="AD151" i="4"/>
  <c r="AF151" i="4"/>
  <c r="AG151" i="4"/>
  <c r="AH151" i="4"/>
  <c r="Q152" i="4"/>
  <c r="R152" i="4"/>
  <c r="T152" i="4"/>
  <c r="U152" i="4"/>
  <c r="V152" i="4"/>
  <c r="W152" i="4"/>
  <c r="Y152" i="4"/>
  <c r="Z152" i="4"/>
  <c r="AA152" i="4"/>
  <c r="AB152" i="4"/>
  <c r="AC152" i="4"/>
  <c r="AD152" i="4"/>
  <c r="AE152" i="4"/>
  <c r="AF152" i="4"/>
  <c r="AG152" i="4"/>
  <c r="AH152" i="4"/>
  <c r="Q153" i="4"/>
  <c r="AE153" i="4" s="1"/>
  <c r="R153" i="4"/>
  <c r="S153" i="4"/>
  <c r="T153" i="4"/>
  <c r="U153" i="4"/>
  <c r="V153" i="4"/>
  <c r="W153" i="4"/>
  <c r="X153" i="4"/>
  <c r="Y153" i="4"/>
  <c r="Z153" i="4"/>
  <c r="AA153" i="4"/>
  <c r="AB153" i="4"/>
  <c r="AC153" i="4"/>
  <c r="AD153" i="4"/>
  <c r="AF153" i="4"/>
  <c r="AG153" i="4"/>
  <c r="AH153" i="4"/>
  <c r="Q154" i="4"/>
  <c r="R154" i="4"/>
  <c r="X154" i="4" s="1"/>
  <c r="S154" i="4"/>
  <c r="T154" i="4"/>
  <c r="U154" i="4"/>
  <c r="V154" i="4"/>
  <c r="W154" i="4"/>
  <c r="Y154" i="4"/>
  <c r="Z154" i="4"/>
  <c r="AA154" i="4"/>
  <c r="AB154" i="4"/>
  <c r="AC154" i="4"/>
  <c r="AD154" i="4"/>
  <c r="AE154" i="4"/>
  <c r="AF154" i="4"/>
  <c r="AG154" i="4"/>
  <c r="AH154" i="4"/>
  <c r="Q155" i="4"/>
  <c r="AE155" i="4" s="1"/>
  <c r="R155" i="4"/>
  <c r="S155" i="4"/>
  <c r="T155" i="4"/>
  <c r="U155" i="4"/>
  <c r="V155" i="4"/>
  <c r="W155" i="4"/>
  <c r="X155" i="4"/>
  <c r="Y155" i="4"/>
  <c r="Z155" i="4"/>
  <c r="AA155" i="4"/>
  <c r="AB155" i="4"/>
  <c r="AC155" i="4"/>
  <c r="AD155" i="4"/>
  <c r="AF155" i="4"/>
  <c r="AG155" i="4"/>
  <c r="AH155" i="4"/>
  <c r="Q156" i="4"/>
  <c r="R156" i="4"/>
  <c r="T156" i="4"/>
  <c r="U156" i="4"/>
  <c r="V156" i="4"/>
  <c r="W156" i="4"/>
  <c r="Y156" i="4"/>
  <c r="Z156" i="4"/>
  <c r="AA156" i="4"/>
  <c r="AB156" i="4"/>
  <c r="AC156" i="4"/>
  <c r="AD156" i="4"/>
  <c r="AE156" i="4"/>
  <c r="AF156" i="4"/>
  <c r="AG156" i="4"/>
  <c r="AH156" i="4"/>
  <c r="Q157" i="4"/>
  <c r="AE157" i="4" s="1"/>
  <c r="R157" i="4"/>
  <c r="S157" i="4"/>
  <c r="T157" i="4"/>
  <c r="U157" i="4"/>
  <c r="V157" i="4"/>
  <c r="W157" i="4"/>
  <c r="X157" i="4"/>
  <c r="Y157" i="4"/>
  <c r="Z157" i="4"/>
  <c r="AA157" i="4"/>
  <c r="AB157" i="4"/>
  <c r="AC157" i="4"/>
  <c r="AD157" i="4"/>
  <c r="AF157" i="4"/>
  <c r="AG157" i="4"/>
  <c r="AH157" i="4"/>
  <c r="Q158" i="4"/>
  <c r="R158" i="4"/>
  <c r="X158" i="4" s="1"/>
  <c r="S158" i="4"/>
  <c r="T158" i="4"/>
  <c r="U158" i="4"/>
  <c r="V158" i="4"/>
  <c r="W158" i="4"/>
  <c r="Y158" i="4"/>
  <c r="Z158" i="4"/>
  <c r="AA158" i="4"/>
  <c r="AB158" i="4"/>
  <c r="AC158" i="4"/>
  <c r="AD158" i="4"/>
  <c r="AE158" i="4"/>
  <c r="AF158" i="4"/>
  <c r="AG158" i="4"/>
  <c r="AH158" i="4"/>
  <c r="Q159" i="4"/>
  <c r="AE159" i="4" s="1"/>
  <c r="R159" i="4"/>
  <c r="S159" i="4"/>
  <c r="T159" i="4"/>
  <c r="U159" i="4"/>
  <c r="V159" i="4"/>
  <c r="W159" i="4"/>
  <c r="X159" i="4"/>
  <c r="Y159" i="4"/>
  <c r="Z159" i="4"/>
  <c r="AA159" i="4"/>
  <c r="AB159" i="4"/>
  <c r="AC159" i="4"/>
  <c r="AD159" i="4"/>
  <c r="AF159" i="4"/>
  <c r="AG159" i="4"/>
  <c r="AH159" i="4"/>
  <c r="Q160" i="4"/>
  <c r="R160" i="4"/>
  <c r="T160" i="4"/>
  <c r="U160" i="4"/>
  <c r="V160" i="4"/>
  <c r="W160" i="4"/>
  <c r="Y160" i="4"/>
  <c r="Z160" i="4"/>
  <c r="AA160" i="4"/>
  <c r="AB160" i="4"/>
  <c r="AC160" i="4"/>
  <c r="AD160" i="4"/>
  <c r="AE160" i="4"/>
  <c r="AF160" i="4"/>
  <c r="AG160" i="4"/>
  <c r="AH160" i="4"/>
  <c r="Q161" i="4"/>
  <c r="AE161" i="4" s="1"/>
  <c r="R161" i="4"/>
  <c r="S161" i="4"/>
  <c r="T161" i="4"/>
  <c r="U161" i="4"/>
  <c r="V161" i="4"/>
  <c r="W161" i="4"/>
  <c r="X161" i="4"/>
  <c r="Y161" i="4"/>
  <c r="Z161" i="4"/>
  <c r="AA161" i="4"/>
  <c r="AB161" i="4"/>
  <c r="AC161" i="4"/>
  <c r="AD161" i="4"/>
  <c r="AF161" i="4"/>
  <c r="AG161" i="4"/>
  <c r="AH161" i="4"/>
  <c r="Q162" i="4"/>
  <c r="R162" i="4"/>
  <c r="X162" i="4" s="1"/>
  <c r="S162" i="4"/>
  <c r="T162" i="4"/>
  <c r="U162" i="4"/>
  <c r="V162" i="4"/>
  <c r="W162" i="4"/>
  <c r="Y162" i="4"/>
  <c r="Z162" i="4"/>
  <c r="AA162" i="4"/>
  <c r="AB162" i="4"/>
  <c r="AC162" i="4"/>
  <c r="AD162" i="4"/>
  <c r="AE162" i="4"/>
  <c r="AF162" i="4"/>
  <c r="AG162" i="4"/>
  <c r="AH162" i="4"/>
  <c r="Q163" i="4"/>
  <c r="AE163" i="4" s="1"/>
  <c r="R163" i="4"/>
  <c r="S163" i="4"/>
  <c r="T163" i="4"/>
  <c r="U163" i="4"/>
  <c r="V163" i="4"/>
  <c r="W163" i="4"/>
  <c r="X163" i="4"/>
  <c r="Y163" i="4"/>
  <c r="Z163" i="4"/>
  <c r="AA163" i="4"/>
  <c r="AB163" i="4"/>
  <c r="AC163" i="4"/>
  <c r="AD163" i="4"/>
  <c r="AF163" i="4"/>
  <c r="AG163" i="4"/>
  <c r="AH163" i="4"/>
  <c r="Q164" i="4"/>
  <c r="R164" i="4"/>
  <c r="T164" i="4"/>
  <c r="U164" i="4"/>
  <c r="V164" i="4"/>
  <c r="W164" i="4"/>
  <c r="Y164" i="4"/>
  <c r="Z164" i="4"/>
  <c r="AA164" i="4"/>
  <c r="AB164" i="4"/>
  <c r="AC164" i="4"/>
  <c r="AD164" i="4"/>
  <c r="AE164" i="4"/>
  <c r="AF164" i="4"/>
  <c r="AG164" i="4"/>
  <c r="AH164" i="4"/>
  <c r="Q165" i="4"/>
  <c r="AE165" i="4" s="1"/>
  <c r="R165" i="4"/>
  <c r="S165" i="4"/>
  <c r="T165" i="4"/>
  <c r="U165" i="4"/>
  <c r="V165" i="4"/>
  <c r="W165" i="4"/>
  <c r="X165" i="4"/>
  <c r="Y165" i="4"/>
  <c r="Z165" i="4"/>
  <c r="AA165" i="4"/>
  <c r="AB165" i="4"/>
  <c r="AC165" i="4"/>
  <c r="AD165" i="4"/>
  <c r="AF165" i="4"/>
  <c r="AG165" i="4"/>
  <c r="AH165" i="4"/>
  <c r="Q166" i="4"/>
  <c r="R166" i="4"/>
  <c r="X166" i="4" s="1"/>
  <c r="S166" i="4"/>
  <c r="T166" i="4"/>
  <c r="U166" i="4"/>
  <c r="V166" i="4"/>
  <c r="W166" i="4"/>
  <c r="Y166" i="4"/>
  <c r="Z166" i="4"/>
  <c r="AA166" i="4"/>
  <c r="AB166" i="4"/>
  <c r="AC166" i="4"/>
  <c r="AD166" i="4"/>
  <c r="AE166" i="4"/>
  <c r="AF166" i="4"/>
  <c r="AG166" i="4"/>
  <c r="AH166" i="4"/>
  <c r="Q167" i="4"/>
  <c r="AE167" i="4" s="1"/>
  <c r="R167" i="4"/>
  <c r="S167" i="4"/>
  <c r="T167" i="4"/>
  <c r="U167" i="4"/>
  <c r="V167" i="4"/>
  <c r="W167" i="4"/>
  <c r="X167" i="4"/>
  <c r="Y167" i="4"/>
  <c r="Z167" i="4"/>
  <c r="AA167" i="4"/>
  <c r="AB167" i="4"/>
  <c r="AC167" i="4"/>
  <c r="AD167" i="4"/>
  <c r="AF167" i="4"/>
  <c r="AG167" i="4"/>
  <c r="AH167" i="4"/>
  <c r="Q168" i="4"/>
  <c r="R168" i="4"/>
  <c r="T168" i="4"/>
  <c r="U168" i="4"/>
  <c r="V168" i="4"/>
  <c r="W168" i="4"/>
  <c r="Y168" i="4"/>
  <c r="Z168" i="4"/>
  <c r="AA168" i="4"/>
  <c r="AB168" i="4"/>
  <c r="AC168" i="4"/>
  <c r="AD168" i="4"/>
  <c r="AE168" i="4"/>
  <c r="AF168" i="4"/>
  <c r="AG168" i="4"/>
  <c r="AH168" i="4"/>
  <c r="Q169" i="4"/>
  <c r="AE169" i="4" s="1"/>
  <c r="R169" i="4"/>
  <c r="S169" i="4"/>
  <c r="T169" i="4"/>
  <c r="U169" i="4"/>
  <c r="V169" i="4"/>
  <c r="W169" i="4"/>
  <c r="X169" i="4"/>
  <c r="Y169" i="4"/>
  <c r="Z169" i="4"/>
  <c r="AA169" i="4"/>
  <c r="AB169" i="4"/>
  <c r="AC169" i="4"/>
  <c r="AD169" i="4"/>
  <c r="AF169" i="4"/>
  <c r="AG169" i="4"/>
  <c r="AH169" i="4"/>
  <c r="Q170" i="4"/>
  <c r="R170" i="4"/>
  <c r="X170" i="4" s="1"/>
  <c r="S170" i="4"/>
  <c r="T170" i="4"/>
  <c r="U170" i="4"/>
  <c r="V170" i="4"/>
  <c r="W170" i="4"/>
  <c r="Y170" i="4"/>
  <c r="Z170" i="4"/>
  <c r="AA170" i="4"/>
  <c r="AB170" i="4"/>
  <c r="AC170" i="4"/>
  <c r="AD170" i="4"/>
  <c r="AE170" i="4"/>
  <c r="AF170" i="4"/>
  <c r="AG170" i="4"/>
  <c r="AH170" i="4"/>
  <c r="Q171" i="4"/>
  <c r="AE171" i="4" s="1"/>
  <c r="R171" i="4"/>
  <c r="S171" i="4"/>
  <c r="T171" i="4"/>
  <c r="U171" i="4"/>
  <c r="V171" i="4"/>
  <c r="W171" i="4"/>
  <c r="X171" i="4"/>
  <c r="Y171" i="4"/>
  <c r="Z171" i="4"/>
  <c r="AA171" i="4"/>
  <c r="AB171" i="4"/>
  <c r="AC171" i="4"/>
  <c r="AD171" i="4"/>
  <c r="AF171" i="4"/>
  <c r="AG171" i="4"/>
  <c r="AH171" i="4"/>
  <c r="Q172" i="4"/>
  <c r="R172" i="4"/>
  <c r="T172" i="4"/>
  <c r="U172" i="4"/>
  <c r="V172" i="4"/>
  <c r="W172" i="4"/>
  <c r="Y172" i="4"/>
  <c r="Z172" i="4"/>
  <c r="AA172" i="4"/>
  <c r="AB172" i="4"/>
  <c r="AC172" i="4"/>
  <c r="AD172" i="4"/>
  <c r="AE172" i="4"/>
  <c r="AF172" i="4"/>
  <c r="AG172" i="4"/>
  <c r="AH172" i="4"/>
  <c r="Q173" i="4"/>
  <c r="AE173" i="4" s="1"/>
  <c r="R173" i="4"/>
  <c r="S173" i="4"/>
  <c r="T173" i="4"/>
  <c r="U173" i="4"/>
  <c r="V173" i="4"/>
  <c r="W173" i="4"/>
  <c r="X173" i="4"/>
  <c r="Y173" i="4"/>
  <c r="Z173" i="4"/>
  <c r="AA173" i="4"/>
  <c r="AB173" i="4"/>
  <c r="AC173" i="4"/>
  <c r="AD173" i="4"/>
  <c r="AF173" i="4"/>
  <c r="AG173" i="4"/>
  <c r="AH173" i="4"/>
  <c r="Q174" i="4"/>
  <c r="R174" i="4"/>
  <c r="X174" i="4" s="1"/>
  <c r="S174" i="4"/>
  <c r="T174" i="4"/>
  <c r="U174" i="4"/>
  <c r="V174" i="4"/>
  <c r="W174" i="4"/>
  <c r="Y174" i="4"/>
  <c r="Z174" i="4"/>
  <c r="AA174" i="4"/>
  <c r="AB174" i="4"/>
  <c r="AC174" i="4"/>
  <c r="AD174" i="4"/>
  <c r="AE174" i="4"/>
  <c r="AF174" i="4"/>
  <c r="AG174" i="4"/>
  <c r="AH174" i="4"/>
  <c r="Q175" i="4"/>
  <c r="AE175" i="4" s="1"/>
  <c r="R175" i="4"/>
  <c r="S175" i="4"/>
  <c r="T175" i="4"/>
  <c r="U175" i="4"/>
  <c r="V175" i="4"/>
  <c r="W175" i="4"/>
  <c r="X175" i="4"/>
  <c r="Y175" i="4"/>
  <c r="Z175" i="4"/>
  <c r="AA175" i="4"/>
  <c r="AB175" i="4"/>
  <c r="AC175" i="4"/>
  <c r="AD175" i="4"/>
  <c r="AF175" i="4"/>
  <c r="AG175" i="4"/>
  <c r="AH175" i="4"/>
  <c r="Q176" i="4"/>
  <c r="R176" i="4"/>
  <c r="T176" i="4"/>
  <c r="U176" i="4"/>
  <c r="V176" i="4"/>
  <c r="W176" i="4"/>
  <c r="Y176" i="4"/>
  <c r="Z176" i="4"/>
  <c r="AA176" i="4"/>
  <c r="AB176" i="4"/>
  <c r="AC176" i="4"/>
  <c r="AD176" i="4"/>
  <c r="AE176" i="4"/>
  <c r="AF176" i="4"/>
  <c r="AG176" i="4"/>
  <c r="AH176" i="4"/>
  <c r="Q177" i="4"/>
  <c r="AE177" i="4" s="1"/>
  <c r="R177" i="4"/>
  <c r="S177" i="4"/>
  <c r="T177" i="4"/>
  <c r="U177" i="4"/>
  <c r="V177" i="4"/>
  <c r="W177" i="4"/>
  <c r="X177" i="4"/>
  <c r="Y177" i="4"/>
  <c r="Z177" i="4"/>
  <c r="AA177" i="4"/>
  <c r="AB177" i="4"/>
  <c r="AC177" i="4"/>
  <c r="AD177" i="4"/>
  <c r="AF177" i="4"/>
  <c r="AG177" i="4"/>
  <c r="AH177" i="4"/>
  <c r="Q178" i="4"/>
  <c r="R178" i="4"/>
  <c r="X178" i="4" s="1"/>
  <c r="S178" i="4"/>
  <c r="T178" i="4"/>
  <c r="U178" i="4"/>
  <c r="V178" i="4"/>
  <c r="W178" i="4"/>
  <c r="Y178" i="4"/>
  <c r="Z178" i="4"/>
  <c r="AA178" i="4"/>
  <c r="AB178" i="4"/>
  <c r="AC178" i="4"/>
  <c r="AD178" i="4"/>
  <c r="AE178" i="4"/>
  <c r="AF178" i="4"/>
  <c r="AG178" i="4"/>
  <c r="AH178" i="4"/>
  <c r="Q179" i="4"/>
  <c r="AE179" i="4" s="1"/>
  <c r="R179" i="4"/>
  <c r="S179" i="4"/>
  <c r="T179" i="4"/>
  <c r="U179" i="4"/>
  <c r="V179" i="4"/>
  <c r="W179" i="4"/>
  <c r="X179" i="4"/>
  <c r="Y179" i="4"/>
  <c r="Z179" i="4"/>
  <c r="AA179" i="4"/>
  <c r="AB179" i="4"/>
  <c r="AC179" i="4"/>
  <c r="AD179" i="4"/>
  <c r="AF179" i="4"/>
  <c r="AG179" i="4"/>
  <c r="AH179" i="4"/>
  <c r="Q180" i="4"/>
  <c r="R180" i="4"/>
  <c r="T180" i="4"/>
  <c r="U180" i="4"/>
  <c r="V180" i="4"/>
  <c r="W180" i="4"/>
  <c r="Y180" i="4"/>
  <c r="Z180" i="4"/>
  <c r="AA180" i="4"/>
  <c r="AB180" i="4"/>
  <c r="AC180" i="4"/>
  <c r="AD180" i="4"/>
  <c r="AE180" i="4"/>
  <c r="AF180" i="4"/>
  <c r="AG180" i="4"/>
  <c r="AH180" i="4"/>
  <c r="Q181" i="4"/>
  <c r="AE181" i="4" s="1"/>
  <c r="R181" i="4"/>
  <c r="S181" i="4"/>
  <c r="T181" i="4"/>
  <c r="U181" i="4"/>
  <c r="V181" i="4"/>
  <c r="W181" i="4"/>
  <c r="X181" i="4"/>
  <c r="Y181" i="4"/>
  <c r="Z181" i="4"/>
  <c r="AA181" i="4"/>
  <c r="AB181" i="4"/>
  <c r="AC181" i="4"/>
  <c r="AD181" i="4"/>
  <c r="AF181" i="4"/>
  <c r="AG181" i="4"/>
  <c r="AH181" i="4"/>
  <c r="Q182" i="4"/>
  <c r="R182" i="4"/>
  <c r="X182" i="4" s="1"/>
  <c r="S182" i="4"/>
  <c r="T182" i="4"/>
  <c r="U182" i="4"/>
  <c r="V182" i="4"/>
  <c r="W182" i="4"/>
  <c r="Y182" i="4"/>
  <c r="Z182" i="4"/>
  <c r="AA182" i="4"/>
  <c r="AB182" i="4"/>
  <c r="AC182" i="4"/>
  <c r="AD182" i="4"/>
  <c r="AE182" i="4"/>
  <c r="AF182" i="4"/>
  <c r="AG182" i="4"/>
  <c r="AH182" i="4"/>
  <c r="Q183" i="4"/>
  <c r="AE183" i="4" s="1"/>
  <c r="R183" i="4"/>
  <c r="S183" i="4"/>
  <c r="T183" i="4"/>
  <c r="U183" i="4"/>
  <c r="V183" i="4"/>
  <c r="W183" i="4"/>
  <c r="X183" i="4"/>
  <c r="Y183" i="4"/>
  <c r="Z183" i="4"/>
  <c r="AA183" i="4"/>
  <c r="AB183" i="4"/>
  <c r="AC183" i="4"/>
  <c r="AD183" i="4"/>
  <c r="AF183" i="4"/>
  <c r="AG183" i="4"/>
  <c r="AH183" i="4"/>
  <c r="Q184" i="4"/>
  <c r="R184" i="4"/>
  <c r="T184" i="4"/>
  <c r="U184" i="4"/>
  <c r="V184" i="4"/>
  <c r="W184" i="4"/>
  <c r="Y184" i="4"/>
  <c r="Z184" i="4"/>
  <c r="AA184" i="4"/>
  <c r="AB184" i="4"/>
  <c r="AC184" i="4"/>
  <c r="AD184" i="4"/>
  <c r="AE184" i="4"/>
  <c r="AF184" i="4"/>
  <c r="AG184" i="4"/>
  <c r="AH184" i="4"/>
  <c r="Q185" i="4"/>
  <c r="AE185" i="4" s="1"/>
  <c r="R185" i="4"/>
  <c r="S185" i="4"/>
  <c r="T185" i="4"/>
  <c r="U185" i="4"/>
  <c r="V185" i="4"/>
  <c r="W185" i="4"/>
  <c r="X185" i="4"/>
  <c r="Y185" i="4"/>
  <c r="Z185" i="4"/>
  <c r="AA185" i="4"/>
  <c r="AB185" i="4"/>
  <c r="AC185" i="4"/>
  <c r="AD185" i="4"/>
  <c r="AF185" i="4"/>
  <c r="AG185" i="4"/>
  <c r="AH185" i="4"/>
  <c r="Q186" i="4"/>
  <c r="R186" i="4"/>
  <c r="X186" i="4" s="1"/>
  <c r="S186" i="4"/>
  <c r="T186" i="4"/>
  <c r="U186" i="4"/>
  <c r="V186" i="4"/>
  <c r="W186" i="4"/>
  <c r="Y186" i="4"/>
  <c r="Z186" i="4"/>
  <c r="AA186" i="4"/>
  <c r="AB186" i="4"/>
  <c r="AC186" i="4"/>
  <c r="AD186" i="4"/>
  <c r="AE186" i="4"/>
  <c r="AF186" i="4"/>
  <c r="AG186" i="4"/>
  <c r="AH186" i="4"/>
  <c r="Q187" i="4"/>
  <c r="AE187" i="4" s="1"/>
  <c r="R187" i="4"/>
  <c r="S187" i="4"/>
  <c r="T187" i="4"/>
  <c r="U187" i="4"/>
  <c r="V187" i="4"/>
  <c r="W187" i="4"/>
  <c r="X187" i="4"/>
  <c r="Y187" i="4"/>
  <c r="Z187" i="4"/>
  <c r="AA187" i="4"/>
  <c r="AB187" i="4"/>
  <c r="AC187" i="4"/>
  <c r="AD187" i="4"/>
  <c r="AF187" i="4"/>
  <c r="AG187" i="4"/>
  <c r="AH187" i="4"/>
  <c r="Q188" i="4"/>
  <c r="R188" i="4"/>
  <c r="T188" i="4"/>
  <c r="U188" i="4"/>
  <c r="V188" i="4"/>
  <c r="W188" i="4"/>
  <c r="Y188" i="4"/>
  <c r="Z188" i="4"/>
  <c r="AA188" i="4"/>
  <c r="AB188" i="4"/>
  <c r="AC188" i="4"/>
  <c r="AD188" i="4"/>
  <c r="AE188" i="4"/>
  <c r="AF188" i="4"/>
  <c r="AG188" i="4"/>
  <c r="AH188" i="4"/>
  <c r="Q189" i="4"/>
  <c r="AE189" i="4" s="1"/>
  <c r="R189" i="4"/>
  <c r="S189" i="4"/>
  <c r="T189" i="4"/>
  <c r="U189" i="4"/>
  <c r="V189" i="4"/>
  <c r="W189" i="4"/>
  <c r="X189" i="4"/>
  <c r="Y189" i="4"/>
  <c r="Z189" i="4"/>
  <c r="AA189" i="4"/>
  <c r="AB189" i="4"/>
  <c r="AC189" i="4"/>
  <c r="AD189" i="4"/>
  <c r="AF189" i="4"/>
  <c r="AG189" i="4"/>
  <c r="AH189" i="4"/>
  <c r="Q190" i="4"/>
  <c r="R190" i="4"/>
  <c r="X190" i="4" s="1"/>
  <c r="S190" i="4"/>
  <c r="T190" i="4"/>
  <c r="U190" i="4"/>
  <c r="V190" i="4"/>
  <c r="W190" i="4"/>
  <c r="Y190" i="4"/>
  <c r="Z190" i="4"/>
  <c r="AA190" i="4"/>
  <c r="AB190" i="4"/>
  <c r="AC190" i="4"/>
  <c r="AD190" i="4"/>
  <c r="AE190" i="4"/>
  <c r="AF190" i="4"/>
  <c r="AG190" i="4"/>
  <c r="AH190" i="4"/>
  <c r="Q191" i="4"/>
  <c r="AE191" i="4" s="1"/>
  <c r="R191" i="4"/>
  <c r="S191" i="4"/>
  <c r="T191" i="4"/>
  <c r="U191" i="4"/>
  <c r="V191" i="4"/>
  <c r="W191" i="4"/>
  <c r="X191" i="4"/>
  <c r="Y191" i="4"/>
  <c r="Z191" i="4"/>
  <c r="AA191" i="4"/>
  <c r="AB191" i="4"/>
  <c r="AC191" i="4"/>
  <c r="AD191" i="4"/>
  <c r="AF191" i="4"/>
  <c r="AG191" i="4"/>
  <c r="AH191" i="4"/>
  <c r="Q192" i="4"/>
  <c r="R192" i="4"/>
  <c r="T192" i="4"/>
  <c r="U192" i="4"/>
  <c r="V192" i="4"/>
  <c r="W192" i="4"/>
  <c r="Y192" i="4"/>
  <c r="Z192" i="4"/>
  <c r="AA192" i="4"/>
  <c r="AB192" i="4"/>
  <c r="AC192" i="4"/>
  <c r="AD192" i="4"/>
  <c r="AE192" i="4"/>
  <c r="AF192" i="4"/>
  <c r="AG192" i="4"/>
  <c r="AH192" i="4"/>
  <c r="Q193" i="4"/>
  <c r="AE193" i="4" s="1"/>
  <c r="R193" i="4"/>
  <c r="S193" i="4"/>
  <c r="T193" i="4"/>
  <c r="U193" i="4"/>
  <c r="V193" i="4"/>
  <c r="W193" i="4"/>
  <c r="X193" i="4"/>
  <c r="Y193" i="4"/>
  <c r="Z193" i="4"/>
  <c r="AA193" i="4"/>
  <c r="AB193" i="4"/>
  <c r="AC193" i="4"/>
  <c r="AD193" i="4"/>
  <c r="AF193" i="4"/>
  <c r="AG193" i="4"/>
  <c r="AH193" i="4"/>
  <c r="Q194" i="4"/>
  <c r="R194" i="4"/>
  <c r="X194" i="4" s="1"/>
  <c r="S194" i="4"/>
  <c r="T194" i="4"/>
  <c r="U194" i="4"/>
  <c r="V194" i="4"/>
  <c r="W194" i="4"/>
  <c r="Y194" i="4"/>
  <c r="Z194" i="4"/>
  <c r="AA194" i="4"/>
  <c r="AB194" i="4"/>
  <c r="AC194" i="4"/>
  <c r="AD194" i="4"/>
  <c r="AE194" i="4"/>
  <c r="AF194" i="4"/>
  <c r="AG194" i="4"/>
  <c r="AH194" i="4"/>
  <c r="Q195" i="4"/>
  <c r="AE195" i="4" s="1"/>
  <c r="R195" i="4"/>
  <c r="S195" i="4"/>
  <c r="T195" i="4"/>
  <c r="U195" i="4"/>
  <c r="V195" i="4"/>
  <c r="W195" i="4"/>
  <c r="X195" i="4"/>
  <c r="Y195" i="4"/>
  <c r="Z195" i="4"/>
  <c r="AA195" i="4"/>
  <c r="AB195" i="4"/>
  <c r="AC195" i="4"/>
  <c r="AD195" i="4"/>
  <c r="AF195" i="4"/>
  <c r="AG195" i="4"/>
  <c r="AH195" i="4"/>
  <c r="Q196" i="4"/>
  <c r="R196" i="4"/>
  <c r="T196" i="4"/>
  <c r="U196" i="4"/>
  <c r="V196" i="4"/>
  <c r="W196" i="4"/>
  <c r="Y196" i="4"/>
  <c r="Z196" i="4"/>
  <c r="AA196" i="4"/>
  <c r="AB196" i="4"/>
  <c r="AC196" i="4"/>
  <c r="AD196" i="4"/>
  <c r="AE196" i="4"/>
  <c r="AF196" i="4"/>
  <c r="AG196" i="4"/>
  <c r="AH196" i="4"/>
  <c r="Q197" i="4"/>
  <c r="AE197" i="4" s="1"/>
  <c r="R197" i="4"/>
  <c r="S197" i="4"/>
  <c r="T197" i="4"/>
  <c r="U197" i="4"/>
  <c r="V197" i="4"/>
  <c r="W197" i="4"/>
  <c r="X197" i="4"/>
  <c r="Y197" i="4"/>
  <c r="Z197" i="4"/>
  <c r="AA197" i="4"/>
  <c r="AB197" i="4"/>
  <c r="AC197" i="4"/>
  <c r="AD197" i="4"/>
  <c r="AF197" i="4"/>
  <c r="AG197" i="4"/>
  <c r="AH197" i="4"/>
  <c r="Q198" i="4"/>
  <c r="R198" i="4"/>
  <c r="X198" i="4" s="1"/>
  <c r="S198" i="4"/>
  <c r="T198" i="4"/>
  <c r="U198" i="4"/>
  <c r="V198" i="4"/>
  <c r="W198" i="4"/>
  <c r="Y198" i="4"/>
  <c r="Z198" i="4"/>
  <c r="AA198" i="4"/>
  <c r="AB198" i="4"/>
  <c r="AC198" i="4"/>
  <c r="AD198" i="4"/>
  <c r="AE198" i="4"/>
  <c r="AF198" i="4"/>
  <c r="AG198" i="4"/>
  <c r="AH198" i="4"/>
  <c r="Q199" i="4"/>
  <c r="AE199" i="4" s="1"/>
  <c r="R199" i="4"/>
  <c r="S199" i="4"/>
  <c r="T199" i="4"/>
  <c r="U199" i="4"/>
  <c r="V199" i="4"/>
  <c r="W199" i="4"/>
  <c r="X199" i="4"/>
  <c r="Y199" i="4"/>
  <c r="Z199" i="4"/>
  <c r="AA199" i="4"/>
  <c r="AB199" i="4"/>
  <c r="AC199" i="4"/>
  <c r="AD199" i="4"/>
  <c r="AF199" i="4"/>
  <c r="AG199" i="4"/>
  <c r="AH199" i="4"/>
  <c r="Q200" i="4"/>
  <c r="R200" i="4"/>
  <c r="T200" i="4"/>
  <c r="U200" i="4"/>
  <c r="V200" i="4"/>
  <c r="W200" i="4"/>
  <c r="Y200" i="4"/>
  <c r="Z200" i="4"/>
  <c r="AA200" i="4"/>
  <c r="AB200" i="4"/>
  <c r="AC200" i="4"/>
  <c r="AD200" i="4"/>
  <c r="AE200" i="4"/>
  <c r="AF200" i="4"/>
  <c r="AG200" i="4"/>
  <c r="AH200" i="4"/>
  <c r="Q201" i="4"/>
  <c r="AE201" i="4" s="1"/>
  <c r="R201" i="4"/>
  <c r="S201" i="4"/>
  <c r="T201" i="4"/>
  <c r="U201" i="4"/>
  <c r="V201" i="4"/>
  <c r="W201" i="4"/>
  <c r="X201" i="4"/>
  <c r="Y201" i="4"/>
  <c r="Z201" i="4"/>
  <c r="AA201" i="4"/>
  <c r="AB201" i="4"/>
  <c r="AC201" i="4"/>
  <c r="AD201" i="4"/>
  <c r="AF201" i="4"/>
  <c r="AG201" i="4"/>
  <c r="AH201" i="4"/>
  <c r="Q202" i="4"/>
  <c r="R202" i="4"/>
  <c r="X202" i="4" s="1"/>
  <c r="S202" i="4"/>
  <c r="T202" i="4"/>
  <c r="U202" i="4"/>
  <c r="V202" i="4"/>
  <c r="W202" i="4"/>
  <c r="Y202" i="4"/>
  <c r="Z202" i="4"/>
  <c r="AA202" i="4"/>
  <c r="AB202" i="4"/>
  <c r="AC202" i="4"/>
  <c r="AD202" i="4"/>
  <c r="AE202" i="4"/>
  <c r="AF202" i="4"/>
  <c r="AG202" i="4"/>
  <c r="AH202" i="4"/>
  <c r="Q203" i="4"/>
  <c r="AE203" i="4" s="1"/>
  <c r="R203" i="4"/>
  <c r="S203" i="4"/>
  <c r="T203" i="4"/>
  <c r="U203" i="4"/>
  <c r="V203" i="4"/>
  <c r="W203" i="4"/>
  <c r="X203" i="4"/>
  <c r="Y203" i="4"/>
  <c r="Z203" i="4"/>
  <c r="AA203" i="4"/>
  <c r="AB203" i="4"/>
  <c r="AC203" i="4"/>
  <c r="AD203" i="4"/>
  <c r="AF203" i="4"/>
  <c r="AG203" i="4"/>
  <c r="AH203" i="4"/>
  <c r="Q204" i="4"/>
  <c r="R204" i="4"/>
  <c r="T204" i="4"/>
  <c r="U204" i="4"/>
  <c r="V204" i="4"/>
  <c r="W204" i="4"/>
  <c r="Y204" i="4"/>
  <c r="Z204" i="4"/>
  <c r="AA204" i="4"/>
  <c r="AB204" i="4"/>
  <c r="AC204" i="4"/>
  <c r="AD204" i="4"/>
  <c r="AE204" i="4"/>
  <c r="AF204" i="4"/>
  <c r="AG204" i="4"/>
  <c r="AH204" i="4"/>
  <c r="Q205" i="4"/>
  <c r="AE205" i="4" s="1"/>
  <c r="R205" i="4"/>
  <c r="S205" i="4" s="1"/>
  <c r="T205" i="4"/>
  <c r="U205" i="4"/>
  <c r="V205" i="4"/>
  <c r="W205" i="4"/>
  <c r="X205" i="4"/>
  <c r="Y205" i="4"/>
  <c r="Z205" i="4"/>
  <c r="AA205" i="4"/>
  <c r="AB205" i="4"/>
  <c r="AC205" i="4"/>
  <c r="AD205" i="4"/>
  <c r="AF205" i="4"/>
  <c r="AG205" i="4"/>
  <c r="AH205" i="4"/>
  <c r="Q206" i="4"/>
  <c r="R206" i="4"/>
  <c r="S206" i="4"/>
  <c r="T206" i="4"/>
  <c r="U206" i="4"/>
  <c r="V206" i="4"/>
  <c r="W206" i="4"/>
  <c r="X206" i="4"/>
  <c r="Y206" i="4"/>
  <c r="Z206" i="4"/>
  <c r="AA206" i="4"/>
  <c r="AB206" i="4"/>
  <c r="AC206" i="4"/>
  <c r="AD206" i="4"/>
  <c r="AE206" i="4"/>
  <c r="AF206" i="4"/>
  <c r="AG206" i="4"/>
  <c r="AH206" i="4"/>
  <c r="Q207" i="4"/>
  <c r="AE207" i="4" s="1"/>
  <c r="R207" i="4"/>
  <c r="T207" i="4"/>
  <c r="U207" i="4"/>
  <c r="V207" i="4"/>
  <c r="W207" i="4"/>
  <c r="Y207" i="4"/>
  <c r="Z207" i="4"/>
  <c r="AA207" i="4"/>
  <c r="AB207" i="4"/>
  <c r="AC207" i="4"/>
  <c r="AD207" i="4"/>
  <c r="AF207" i="4"/>
  <c r="AG207" i="4"/>
  <c r="AH207" i="4"/>
  <c r="Q208" i="4"/>
  <c r="R208" i="4"/>
  <c r="T208" i="4"/>
  <c r="U208" i="4"/>
  <c r="V208" i="4"/>
  <c r="W208" i="4"/>
  <c r="Y208" i="4"/>
  <c r="Z208" i="4"/>
  <c r="AA208" i="4"/>
  <c r="AB208" i="4"/>
  <c r="AC208" i="4"/>
  <c r="AD208" i="4"/>
  <c r="AE208" i="4"/>
  <c r="AF208" i="4"/>
  <c r="AG208" i="4"/>
  <c r="AH208" i="4"/>
  <c r="Q209" i="4"/>
  <c r="AE209" i="4" s="1"/>
  <c r="R209" i="4"/>
  <c r="S209" i="4" s="1"/>
  <c r="T209" i="4"/>
  <c r="U209" i="4"/>
  <c r="V209" i="4"/>
  <c r="W209" i="4"/>
  <c r="X209" i="4"/>
  <c r="Y209" i="4"/>
  <c r="Z209" i="4"/>
  <c r="AA209" i="4"/>
  <c r="AB209" i="4"/>
  <c r="AC209" i="4"/>
  <c r="AD209" i="4"/>
  <c r="AF209" i="4"/>
  <c r="AG209" i="4"/>
  <c r="AH209" i="4"/>
  <c r="Q210" i="4"/>
  <c r="R210" i="4"/>
  <c r="S210" i="4"/>
  <c r="T210" i="4"/>
  <c r="U210" i="4"/>
  <c r="V210" i="4"/>
  <c r="W210" i="4"/>
  <c r="X210" i="4"/>
  <c r="Y210" i="4"/>
  <c r="Z210" i="4"/>
  <c r="AA210" i="4"/>
  <c r="AB210" i="4"/>
  <c r="AC210" i="4"/>
  <c r="AD210" i="4"/>
  <c r="AE210" i="4"/>
  <c r="AF210" i="4"/>
  <c r="AG210" i="4"/>
  <c r="AH210" i="4"/>
  <c r="Q211" i="4"/>
  <c r="AE211" i="4" s="1"/>
  <c r="R211" i="4"/>
  <c r="T211" i="4"/>
  <c r="U211" i="4"/>
  <c r="V211" i="4"/>
  <c r="W211" i="4"/>
  <c r="Y211" i="4"/>
  <c r="Z211" i="4"/>
  <c r="AA211" i="4"/>
  <c r="AB211" i="4"/>
  <c r="AC211" i="4"/>
  <c r="AD211" i="4"/>
  <c r="AF211" i="4"/>
  <c r="AG211" i="4"/>
  <c r="AH211" i="4"/>
  <c r="Q212" i="4"/>
  <c r="R212" i="4"/>
  <c r="S212" i="4"/>
  <c r="T212" i="4"/>
  <c r="U212" i="4"/>
  <c r="V212" i="4"/>
  <c r="W212" i="4"/>
  <c r="X212" i="4"/>
  <c r="Y212" i="4"/>
  <c r="Z212" i="4"/>
  <c r="AA212" i="4"/>
  <c r="AB212" i="4"/>
  <c r="AC212" i="4"/>
  <c r="AD212" i="4"/>
  <c r="AE212" i="4"/>
  <c r="AF212" i="4"/>
  <c r="AG212" i="4"/>
  <c r="AH212" i="4"/>
  <c r="Q213" i="4"/>
  <c r="AE213" i="4" s="1"/>
  <c r="R213" i="4"/>
  <c r="T213" i="4"/>
  <c r="U213" i="4"/>
  <c r="V213" i="4"/>
  <c r="W213" i="4"/>
  <c r="Y213" i="4"/>
  <c r="Z213" i="4"/>
  <c r="AA213" i="4"/>
  <c r="AB213" i="4"/>
  <c r="AC213" i="4"/>
  <c r="AD213" i="4"/>
  <c r="AF213" i="4"/>
  <c r="AG213" i="4"/>
  <c r="AH213" i="4"/>
  <c r="Q214" i="4"/>
  <c r="R214" i="4"/>
  <c r="S214" i="4"/>
  <c r="T214" i="4"/>
  <c r="U214" i="4"/>
  <c r="V214" i="4"/>
  <c r="W214" i="4"/>
  <c r="X214" i="4"/>
  <c r="Y214" i="4"/>
  <c r="Z214" i="4"/>
  <c r="AA214" i="4"/>
  <c r="AB214" i="4"/>
  <c r="AC214" i="4"/>
  <c r="AD214" i="4"/>
  <c r="AE214" i="4"/>
  <c r="AF214" i="4"/>
  <c r="AG214" i="4"/>
  <c r="AH214" i="4"/>
  <c r="Q215" i="4"/>
  <c r="AE215" i="4" s="1"/>
  <c r="R215" i="4"/>
  <c r="T215" i="4"/>
  <c r="U215" i="4"/>
  <c r="V215" i="4"/>
  <c r="W215" i="4"/>
  <c r="Y215" i="4"/>
  <c r="Z215" i="4"/>
  <c r="AA215" i="4"/>
  <c r="AB215" i="4"/>
  <c r="AC215" i="4"/>
  <c r="AD215" i="4"/>
  <c r="AF215" i="4"/>
  <c r="AG215" i="4"/>
  <c r="AH215" i="4"/>
  <c r="Q216" i="4"/>
  <c r="R216" i="4"/>
  <c r="S216" i="4"/>
  <c r="T216" i="4"/>
  <c r="U216" i="4"/>
  <c r="V216" i="4"/>
  <c r="W216" i="4"/>
  <c r="X216" i="4"/>
  <c r="Y216" i="4"/>
  <c r="Z216" i="4"/>
  <c r="AA216" i="4"/>
  <c r="AB216" i="4"/>
  <c r="AC216" i="4"/>
  <c r="AD216" i="4"/>
  <c r="AE216" i="4"/>
  <c r="AF216" i="4"/>
  <c r="AG216" i="4"/>
  <c r="AH216" i="4"/>
  <c r="Q217" i="4"/>
  <c r="AE217" i="4" s="1"/>
  <c r="R217" i="4"/>
  <c r="T217" i="4"/>
  <c r="U217" i="4"/>
  <c r="V217" i="4"/>
  <c r="W217" i="4"/>
  <c r="Y217" i="4"/>
  <c r="Z217" i="4"/>
  <c r="AA217" i="4"/>
  <c r="AB217" i="4"/>
  <c r="AC217" i="4"/>
  <c r="AD217" i="4"/>
  <c r="AF217" i="4"/>
  <c r="AG217" i="4"/>
  <c r="AH217" i="4"/>
  <c r="Q218" i="4"/>
  <c r="R218" i="4"/>
  <c r="S218" i="4"/>
  <c r="T218" i="4"/>
  <c r="U218" i="4"/>
  <c r="V218" i="4"/>
  <c r="W218" i="4"/>
  <c r="X218" i="4"/>
  <c r="Y218" i="4"/>
  <c r="Z218" i="4"/>
  <c r="AA218" i="4"/>
  <c r="AB218" i="4"/>
  <c r="AC218" i="4"/>
  <c r="AD218" i="4"/>
  <c r="AE218" i="4"/>
  <c r="AF218" i="4"/>
  <c r="AG218" i="4"/>
  <c r="AH218" i="4"/>
  <c r="Q219" i="4"/>
  <c r="AE219" i="4" s="1"/>
  <c r="R219" i="4"/>
  <c r="T219" i="4"/>
  <c r="U219" i="4"/>
  <c r="V219" i="4"/>
  <c r="W219" i="4"/>
  <c r="Y219" i="4"/>
  <c r="Z219" i="4"/>
  <c r="AA219" i="4"/>
  <c r="AB219" i="4"/>
  <c r="AC219" i="4"/>
  <c r="AD219" i="4"/>
  <c r="AF219" i="4"/>
  <c r="AG219" i="4"/>
  <c r="AH219" i="4"/>
  <c r="Q220" i="4"/>
  <c r="R220" i="4"/>
  <c r="S220" i="4"/>
  <c r="T220" i="4"/>
  <c r="U220" i="4"/>
  <c r="V220" i="4"/>
  <c r="W220" i="4"/>
  <c r="X220" i="4"/>
  <c r="Y220" i="4"/>
  <c r="Z220" i="4"/>
  <c r="AA220" i="4"/>
  <c r="AB220" i="4"/>
  <c r="AC220" i="4"/>
  <c r="AD220" i="4"/>
  <c r="AE220" i="4"/>
  <c r="AF220" i="4"/>
  <c r="AG220" i="4"/>
  <c r="AH220" i="4"/>
  <c r="Q221" i="4"/>
  <c r="AE221" i="4" s="1"/>
  <c r="R221" i="4"/>
  <c r="T221" i="4"/>
  <c r="U221" i="4"/>
  <c r="V221" i="4"/>
  <c r="W221" i="4"/>
  <c r="Y221" i="4"/>
  <c r="Z221" i="4"/>
  <c r="AA221" i="4"/>
  <c r="AB221" i="4"/>
  <c r="AC221" i="4"/>
  <c r="AD221" i="4"/>
  <c r="AF221" i="4"/>
  <c r="AG221" i="4"/>
  <c r="AH221" i="4"/>
  <c r="Q222" i="4"/>
  <c r="R222" i="4"/>
  <c r="S222" i="4"/>
  <c r="T222" i="4"/>
  <c r="U222" i="4"/>
  <c r="V222" i="4"/>
  <c r="W222" i="4"/>
  <c r="X222" i="4"/>
  <c r="Y222" i="4"/>
  <c r="Z222" i="4"/>
  <c r="AA222" i="4"/>
  <c r="AB222" i="4"/>
  <c r="AC222" i="4"/>
  <c r="AD222" i="4"/>
  <c r="AE222" i="4"/>
  <c r="AF222" i="4"/>
  <c r="AG222" i="4"/>
  <c r="AH222" i="4"/>
  <c r="Q223" i="4"/>
  <c r="AE223" i="4" s="1"/>
  <c r="R223" i="4"/>
  <c r="T223" i="4"/>
  <c r="U223" i="4"/>
  <c r="V223" i="4"/>
  <c r="W223" i="4"/>
  <c r="Y223" i="4"/>
  <c r="Z223" i="4"/>
  <c r="AA223" i="4"/>
  <c r="AB223" i="4"/>
  <c r="AC223" i="4"/>
  <c r="AD223" i="4"/>
  <c r="AF223" i="4"/>
  <c r="AG223" i="4"/>
  <c r="AH223" i="4"/>
  <c r="Q224" i="4"/>
  <c r="R224" i="4"/>
  <c r="S224" i="4"/>
  <c r="T224" i="4"/>
  <c r="U224" i="4"/>
  <c r="V224" i="4"/>
  <c r="W224" i="4"/>
  <c r="X224" i="4"/>
  <c r="Y224" i="4"/>
  <c r="Z224" i="4"/>
  <c r="AA224" i="4"/>
  <c r="AB224" i="4"/>
  <c r="AC224" i="4"/>
  <c r="AD224" i="4"/>
  <c r="AE224" i="4"/>
  <c r="AF224" i="4"/>
  <c r="AG224" i="4"/>
  <c r="AH224" i="4"/>
  <c r="Q225" i="4"/>
  <c r="AE225" i="4" s="1"/>
  <c r="R225" i="4"/>
  <c r="T225" i="4"/>
  <c r="U225" i="4"/>
  <c r="V225" i="4"/>
  <c r="W225" i="4"/>
  <c r="Y225" i="4"/>
  <c r="Z225" i="4"/>
  <c r="AA225" i="4"/>
  <c r="AB225" i="4"/>
  <c r="AC225" i="4"/>
  <c r="AD225" i="4"/>
  <c r="AF225" i="4"/>
  <c r="AG225" i="4"/>
  <c r="AH225" i="4"/>
  <c r="Q226" i="4"/>
  <c r="R226" i="4"/>
  <c r="S226" i="4"/>
  <c r="T226" i="4"/>
  <c r="U226" i="4"/>
  <c r="V226" i="4"/>
  <c r="W226" i="4"/>
  <c r="X226" i="4"/>
  <c r="Y226" i="4"/>
  <c r="Z226" i="4"/>
  <c r="AA226" i="4"/>
  <c r="AB226" i="4"/>
  <c r="AC226" i="4"/>
  <c r="AD226" i="4"/>
  <c r="AE226" i="4"/>
  <c r="AF226" i="4"/>
  <c r="AG226" i="4"/>
  <c r="AH226" i="4"/>
  <c r="Q227" i="4"/>
  <c r="AE227" i="4" s="1"/>
  <c r="R227" i="4"/>
  <c r="T227" i="4"/>
  <c r="U227" i="4"/>
  <c r="V227" i="4"/>
  <c r="W227" i="4"/>
  <c r="Y227" i="4"/>
  <c r="Z227" i="4"/>
  <c r="AA227" i="4"/>
  <c r="AB227" i="4"/>
  <c r="AC227" i="4"/>
  <c r="AD227" i="4"/>
  <c r="AF227" i="4"/>
  <c r="AG227" i="4"/>
  <c r="AH227" i="4"/>
  <c r="Q228" i="4"/>
  <c r="R228" i="4"/>
  <c r="S228" i="4"/>
  <c r="T228" i="4"/>
  <c r="U228" i="4"/>
  <c r="V228" i="4"/>
  <c r="W228" i="4"/>
  <c r="X228" i="4"/>
  <c r="Y228" i="4"/>
  <c r="Z228" i="4"/>
  <c r="AA228" i="4"/>
  <c r="AB228" i="4"/>
  <c r="AC228" i="4"/>
  <c r="AD228" i="4"/>
  <c r="AE228" i="4"/>
  <c r="AF228" i="4"/>
  <c r="AG228" i="4"/>
  <c r="AH228" i="4"/>
  <c r="Q229" i="4"/>
  <c r="AE229" i="4" s="1"/>
  <c r="R229" i="4"/>
  <c r="T229" i="4"/>
  <c r="U229" i="4"/>
  <c r="V229" i="4"/>
  <c r="W229" i="4"/>
  <c r="Y229" i="4"/>
  <c r="Z229" i="4"/>
  <c r="AA229" i="4"/>
  <c r="AB229" i="4"/>
  <c r="AC229" i="4"/>
  <c r="AD229" i="4"/>
  <c r="AF229" i="4"/>
  <c r="AG229" i="4"/>
  <c r="AH229" i="4"/>
  <c r="Q230" i="4"/>
  <c r="R230" i="4"/>
  <c r="S230" i="4"/>
  <c r="T230" i="4"/>
  <c r="U230" i="4"/>
  <c r="V230" i="4"/>
  <c r="W230" i="4"/>
  <c r="X230" i="4"/>
  <c r="Y230" i="4"/>
  <c r="Z230" i="4"/>
  <c r="AA230" i="4"/>
  <c r="AB230" i="4"/>
  <c r="AC230" i="4"/>
  <c r="AD230" i="4"/>
  <c r="AE230" i="4"/>
  <c r="AF230" i="4"/>
  <c r="AG230" i="4"/>
  <c r="AH230" i="4"/>
  <c r="Q231" i="4"/>
  <c r="AE231" i="4" s="1"/>
  <c r="R231" i="4"/>
  <c r="T231" i="4"/>
  <c r="U231" i="4"/>
  <c r="V231" i="4"/>
  <c r="W231" i="4"/>
  <c r="Y231" i="4"/>
  <c r="Z231" i="4"/>
  <c r="AA231" i="4"/>
  <c r="AB231" i="4"/>
  <c r="AC231" i="4"/>
  <c r="AD231" i="4"/>
  <c r="AF231" i="4"/>
  <c r="AG231" i="4"/>
  <c r="AH231" i="4"/>
  <c r="Q232" i="4"/>
  <c r="R232" i="4"/>
  <c r="S232" i="4"/>
  <c r="T232" i="4"/>
  <c r="U232" i="4"/>
  <c r="V232" i="4"/>
  <c r="W232" i="4"/>
  <c r="X232" i="4"/>
  <c r="Y232" i="4"/>
  <c r="Z232" i="4"/>
  <c r="AA232" i="4"/>
  <c r="AB232" i="4"/>
  <c r="AC232" i="4"/>
  <c r="AD232" i="4"/>
  <c r="AE232" i="4"/>
  <c r="AF232" i="4"/>
  <c r="AG232" i="4"/>
  <c r="AH232" i="4"/>
  <c r="Q233" i="4"/>
  <c r="AE233" i="4" s="1"/>
  <c r="R233" i="4"/>
  <c r="T233" i="4"/>
  <c r="U233" i="4"/>
  <c r="V233" i="4"/>
  <c r="W233" i="4"/>
  <c r="Y233" i="4"/>
  <c r="Z233" i="4"/>
  <c r="AA233" i="4"/>
  <c r="AB233" i="4"/>
  <c r="AC233" i="4"/>
  <c r="AD233" i="4"/>
  <c r="AF233" i="4"/>
  <c r="AG233" i="4"/>
  <c r="AH233" i="4"/>
  <c r="Q234" i="4"/>
  <c r="R234" i="4"/>
  <c r="S234" i="4"/>
  <c r="T234" i="4"/>
  <c r="U234" i="4"/>
  <c r="V234" i="4"/>
  <c r="W234" i="4"/>
  <c r="X234" i="4"/>
  <c r="Y234" i="4"/>
  <c r="Z234" i="4"/>
  <c r="AA234" i="4"/>
  <c r="AB234" i="4"/>
  <c r="AC234" i="4"/>
  <c r="AD234" i="4"/>
  <c r="AE234" i="4"/>
  <c r="AF234" i="4"/>
  <c r="AG234" i="4"/>
  <c r="AH234" i="4"/>
  <c r="Q235" i="4"/>
  <c r="AE235" i="4" s="1"/>
  <c r="R235" i="4"/>
  <c r="T235" i="4"/>
  <c r="U235" i="4"/>
  <c r="V235" i="4"/>
  <c r="W235" i="4"/>
  <c r="Y235" i="4"/>
  <c r="Z235" i="4"/>
  <c r="AA235" i="4"/>
  <c r="AB235" i="4"/>
  <c r="AC235" i="4"/>
  <c r="AD235" i="4"/>
  <c r="AF235" i="4"/>
  <c r="AG235" i="4"/>
  <c r="AH235" i="4"/>
  <c r="Q236" i="4"/>
  <c r="R236" i="4"/>
  <c r="S236" i="4"/>
  <c r="T236" i="4"/>
  <c r="U236" i="4"/>
  <c r="V236" i="4"/>
  <c r="W236" i="4"/>
  <c r="X236" i="4"/>
  <c r="Y236" i="4"/>
  <c r="Z236" i="4"/>
  <c r="AA236" i="4"/>
  <c r="AB236" i="4"/>
  <c r="AC236" i="4"/>
  <c r="AD236" i="4"/>
  <c r="AE236" i="4"/>
  <c r="AF236" i="4"/>
  <c r="AG236" i="4"/>
  <c r="AH236" i="4"/>
  <c r="Q237" i="4"/>
  <c r="AE237" i="4" s="1"/>
  <c r="R237" i="4"/>
  <c r="T237" i="4"/>
  <c r="U237" i="4"/>
  <c r="V237" i="4"/>
  <c r="W237" i="4"/>
  <c r="Y237" i="4"/>
  <c r="Z237" i="4"/>
  <c r="AA237" i="4"/>
  <c r="AB237" i="4"/>
  <c r="AC237" i="4"/>
  <c r="AD237" i="4"/>
  <c r="AF237" i="4"/>
  <c r="AG237" i="4"/>
  <c r="AH237" i="4"/>
  <c r="Q238" i="4"/>
  <c r="R238" i="4"/>
  <c r="S238" i="4"/>
  <c r="T238" i="4"/>
  <c r="U238" i="4"/>
  <c r="V238" i="4"/>
  <c r="W238" i="4"/>
  <c r="X238" i="4"/>
  <c r="Y238" i="4"/>
  <c r="Z238" i="4"/>
  <c r="AA238" i="4"/>
  <c r="AB238" i="4"/>
  <c r="AC238" i="4"/>
  <c r="AD238" i="4"/>
  <c r="AE238" i="4"/>
  <c r="AF238" i="4"/>
  <c r="AG238" i="4"/>
  <c r="AH238" i="4"/>
  <c r="Q239" i="4"/>
  <c r="AE239" i="4" s="1"/>
  <c r="R239" i="4"/>
  <c r="T239" i="4"/>
  <c r="U239" i="4"/>
  <c r="V239" i="4"/>
  <c r="W239" i="4"/>
  <c r="Y239" i="4"/>
  <c r="Z239" i="4"/>
  <c r="AA239" i="4"/>
  <c r="AB239" i="4"/>
  <c r="AC239" i="4"/>
  <c r="AD239" i="4"/>
  <c r="AF239" i="4"/>
  <c r="AG239" i="4"/>
  <c r="AH239" i="4"/>
  <c r="Q240" i="4"/>
  <c r="R240" i="4"/>
  <c r="S240" i="4"/>
  <c r="T240" i="4"/>
  <c r="U240" i="4"/>
  <c r="V240" i="4"/>
  <c r="W240" i="4"/>
  <c r="X240" i="4"/>
  <c r="Y240" i="4"/>
  <c r="Z240" i="4"/>
  <c r="AA240" i="4"/>
  <c r="AB240" i="4"/>
  <c r="AC240" i="4"/>
  <c r="AD240" i="4"/>
  <c r="AE240" i="4"/>
  <c r="AF240" i="4"/>
  <c r="AG240" i="4"/>
  <c r="AH240" i="4"/>
  <c r="Q241" i="4"/>
  <c r="AE241" i="4" s="1"/>
  <c r="R241" i="4"/>
  <c r="T241" i="4"/>
  <c r="U241" i="4"/>
  <c r="V241" i="4"/>
  <c r="W241" i="4"/>
  <c r="Y241" i="4"/>
  <c r="Z241" i="4"/>
  <c r="AA241" i="4"/>
  <c r="AB241" i="4"/>
  <c r="AC241" i="4"/>
  <c r="AD241" i="4"/>
  <c r="AF241" i="4"/>
  <c r="AG241" i="4"/>
  <c r="AH241" i="4"/>
  <c r="Q242" i="4"/>
  <c r="R242" i="4"/>
  <c r="S242" i="4"/>
  <c r="T242" i="4"/>
  <c r="U242" i="4"/>
  <c r="V242" i="4"/>
  <c r="W242" i="4"/>
  <c r="X242" i="4"/>
  <c r="Y242" i="4"/>
  <c r="Z242" i="4"/>
  <c r="AA242" i="4"/>
  <c r="AB242" i="4"/>
  <c r="AC242" i="4"/>
  <c r="AD242" i="4"/>
  <c r="AE242" i="4"/>
  <c r="AF242" i="4"/>
  <c r="AG242" i="4"/>
  <c r="AH242" i="4"/>
  <c r="Q243" i="4"/>
  <c r="AE243" i="4" s="1"/>
  <c r="R243" i="4"/>
  <c r="T243" i="4"/>
  <c r="U243" i="4"/>
  <c r="V243" i="4"/>
  <c r="W243" i="4"/>
  <c r="Y243" i="4"/>
  <c r="Z243" i="4"/>
  <c r="AA243" i="4"/>
  <c r="AB243" i="4"/>
  <c r="AC243" i="4"/>
  <c r="AD243" i="4"/>
  <c r="AF243" i="4"/>
  <c r="AG243" i="4"/>
  <c r="AH243" i="4"/>
  <c r="Q244" i="4"/>
  <c r="R244" i="4"/>
  <c r="S244" i="4"/>
  <c r="T244" i="4"/>
  <c r="U244" i="4"/>
  <c r="V244" i="4"/>
  <c r="W244" i="4"/>
  <c r="X244" i="4"/>
  <c r="Y244" i="4"/>
  <c r="Z244" i="4"/>
  <c r="AA244" i="4"/>
  <c r="AB244" i="4"/>
  <c r="AC244" i="4"/>
  <c r="AD244" i="4"/>
  <c r="AE244" i="4"/>
  <c r="AF244" i="4"/>
  <c r="AG244" i="4"/>
  <c r="AH244" i="4"/>
  <c r="Q245" i="4"/>
  <c r="AE245" i="4" s="1"/>
  <c r="R245" i="4"/>
  <c r="T245" i="4"/>
  <c r="U245" i="4"/>
  <c r="V245" i="4"/>
  <c r="W245" i="4"/>
  <c r="Y245" i="4"/>
  <c r="Z245" i="4"/>
  <c r="AA245" i="4"/>
  <c r="AB245" i="4"/>
  <c r="AC245" i="4"/>
  <c r="AD245" i="4"/>
  <c r="AF245" i="4"/>
  <c r="AG245" i="4"/>
  <c r="AH245" i="4"/>
  <c r="Q246" i="4"/>
  <c r="R246" i="4"/>
  <c r="S246" i="4"/>
  <c r="T246" i="4"/>
  <c r="U246" i="4"/>
  <c r="V246" i="4"/>
  <c r="W246" i="4"/>
  <c r="X246" i="4"/>
  <c r="Y246" i="4"/>
  <c r="Z246" i="4"/>
  <c r="AA246" i="4"/>
  <c r="AB246" i="4"/>
  <c r="AC246" i="4"/>
  <c r="AD246" i="4"/>
  <c r="AE246" i="4"/>
  <c r="AF246" i="4"/>
  <c r="AG246" i="4"/>
  <c r="AH246" i="4"/>
  <c r="Q247" i="4"/>
  <c r="AE247" i="4" s="1"/>
  <c r="R247" i="4"/>
  <c r="T247" i="4"/>
  <c r="U247" i="4"/>
  <c r="V247" i="4"/>
  <c r="W247" i="4"/>
  <c r="Y247" i="4"/>
  <c r="Z247" i="4"/>
  <c r="AA247" i="4"/>
  <c r="AB247" i="4"/>
  <c r="AC247" i="4"/>
  <c r="AD247" i="4"/>
  <c r="AF247" i="4"/>
  <c r="AG247" i="4"/>
  <c r="AH247" i="4"/>
  <c r="Q248" i="4"/>
  <c r="R248" i="4"/>
  <c r="S248" i="4"/>
  <c r="T248" i="4"/>
  <c r="U248" i="4"/>
  <c r="V248" i="4"/>
  <c r="W248" i="4"/>
  <c r="X248" i="4"/>
  <c r="Y248" i="4"/>
  <c r="Z248" i="4"/>
  <c r="AA248" i="4"/>
  <c r="AB248" i="4"/>
  <c r="AC248" i="4"/>
  <c r="AD248" i="4"/>
  <c r="AE248" i="4"/>
  <c r="AF248" i="4"/>
  <c r="AG248" i="4"/>
  <c r="AH248" i="4"/>
  <c r="Q249" i="4"/>
  <c r="AE249" i="4" s="1"/>
  <c r="R249" i="4"/>
  <c r="T249" i="4"/>
  <c r="U249" i="4"/>
  <c r="V249" i="4"/>
  <c r="W249" i="4"/>
  <c r="Y249" i="4"/>
  <c r="Z249" i="4"/>
  <c r="AA249" i="4"/>
  <c r="AB249" i="4"/>
  <c r="AC249" i="4"/>
  <c r="AD249" i="4"/>
  <c r="AF249" i="4"/>
  <c r="AG249" i="4"/>
  <c r="AH249" i="4"/>
  <c r="Q250" i="4"/>
  <c r="R250" i="4"/>
  <c r="S250" i="4"/>
  <c r="T250" i="4"/>
  <c r="U250" i="4"/>
  <c r="V250" i="4"/>
  <c r="W250" i="4"/>
  <c r="X250" i="4"/>
  <c r="Y250" i="4"/>
  <c r="Z250" i="4"/>
  <c r="AA250" i="4"/>
  <c r="AB250" i="4"/>
  <c r="AC250" i="4"/>
  <c r="AD250" i="4"/>
  <c r="AE250" i="4"/>
  <c r="AF250" i="4"/>
  <c r="AG250" i="4"/>
  <c r="AH250" i="4"/>
  <c r="Q251" i="4"/>
  <c r="AE251" i="4" s="1"/>
  <c r="R251" i="4"/>
  <c r="T251" i="4"/>
  <c r="U251" i="4"/>
  <c r="V251" i="4"/>
  <c r="W251" i="4"/>
  <c r="Y251" i="4"/>
  <c r="Z251" i="4"/>
  <c r="AA251" i="4"/>
  <c r="AB251" i="4"/>
  <c r="AC251" i="4"/>
  <c r="AD251" i="4"/>
  <c r="AF251" i="4"/>
  <c r="AG251" i="4"/>
  <c r="AH251" i="4"/>
  <c r="Q252" i="4"/>
  <c r="R252" i="4"/>
  <c r="S252" i="4"/>
  <c r="T252" i="4"/>
  <c r="U252" i="4"/>
  <c r="V252" i="4"/>
  <c r="W252" i="4"/>
  <c r="X252" i="4"/>
  <c r="Y252" i="4"/>
  <c r="Z252" i="4"/>
  <c r="AA252" i="4"/>
  <c r="AB252" i="4"/>
  <c r="AC252" i="4"/>
  <c r="AD252" i="4"/>
  <c r="AE252" i="4"/>
  <c r="AF252" i="4"/>
  <c r="AG252" i="4"/>
  <c r="AH252" i="4"/>
  <c r="Q253" i="4"/>
  <c r="AE253" i="4" s="1"/>
  <c r="R253" i="4"/>
  <c r="T253" i="4"/>
  <c r="U253" i="4"/>
  <c r="V253" i="4"/>
  <c r="W253" i="4"/>
  <c r="Y253" i="4"/>
  <c r="Z253" i="4"/>
  <c r="AA253" i="4"/>
  <c r="AB253" i="4"/>
  <c r="AC253" i="4"/>
  <c r="AD253" i="4"/>
  <c r="AF253" i="4"/>
  <c r="AG253" i="4"/>
  <c r="AH253" i="4"/>
  <c r="Q254" i="4"/>
  <c r="R254" i="4"/>
  <c r="S254" i="4"/>
  <c r="T254" i="4"/>
  <c r="U254" i="4"/>
  <c r="V254" i="4"/>
  <c r="W254" i="4"/>
  <c r="X254" i="4"/>
  <c r="Y254" i="4"/>
  <c r="Z254" i="4"/>
  <c r="AA254" i="4"/>
  <c r="AB254" i="4"/>
  <c r="AC254" i="4"/>
  <c r="AD254" i="4"/>
  <c r="AE254" i="4"/>
  <c r="AF254" i="4"/>
  <c r="AG254" i="4"/>
  <c r="AH254" i="4"/>
  <c r="Q255" i="4"/>
  <c r="AE255" i="4" s="1"/>
  <c r="R255" i="4"/>
  <c r="T255" i="4"/>
  <c r="U255" i="4"/>
  <c r="V255" i="4"/>
  <c r="W255" i="4"/>
  <c r="Y255" i="4"/>
  <c r="Z255" i="4"/>
  <c r="AA255" i="4"/>
  <c r="AB255" i="4"/>
  <c r="AC255" i="4"/>
  <c r="AD255" i="4"/>
  <c r="AF255" i="4"/>
  <c r="AG255" i="4"/>
  <c r="AH255" i="4"/>
  <c r="Q256" i="4"/>
  <c r="R256" i="4"/>
  <c r="S256" i="4"/>
  <c r="T256" i="4"/>
  <c r="U256" i="4"/>
  <c r="V256" i="4"/>
  <c r="W256" i="4"/>
  <c r="X256" i="4"/>
  <c r="Y256" i="4"/>
  <c r="Z256" i="4"/>
  <c r="AA256" i="4"/>
  <c r="AB256" i="4"/>
  <c r="AC256" i="4"/>
  <c r="AD256" i="4"/>
  <c r="AE256" i="4"/>
  <c r="AF256" i="4"/>
  <c r="AG256" i="4"/>
  <c r="AH256" i="4"/>
  <c r="Q257" i="4"/>
  <c r="AE257" i="4" s="1"/>
  <c r="R257" i="4"/>
  <c r="T257" i="4"/>
  <c r="U257" i="4"/>
  <c r="V257" i="4"/>
  <c r="W257" i="4"/>
  <c r="Y257" i="4"/>
  <c r="Z257" i="4"/>
  <c r="AA257" i="4"/>
  <c r="AB257" i="4"/>
  <c r="AC257" i="4"/>
  <c r="AD257" i="4"/>
  <c r="AF257" i="4"/>
  <c r="AG257" i="4"/>
  <c r="AH257" i="4"/>
  <c r="Q258" i="4"/>
  <c r="R258" i="4"/>
  <c r="S258" i="4"/>
  <c r="T258" i="4"/>
  <c r="U258" i="4"/>
  <c r="V258" i="4"/>
  <c r="W258" i="4"/>
  <c r="X258" i="4"/>
  <c r="Y258" i="4"/>
  <c r="Z258" i="4"/>
  <c r="AA258" i="4"/>
  <c r="AB258" i="4"/>
  <c r="AC258" i="4"/>
  <c r="AD258" i="4"/>
  <c r="AE258" i="4"/>
  <c r="AF258" i="4"/>
  <c r="AG258" i="4"/>
  <c r="AH258" i="4"/>
  <c r="Q259" i="4"/>
  <c r="AE259" i="4" s="1"/>
  <c r="R259" i="4"/>
  <c r="T259" i="4"/>
  <c r="U259" i="4"/>
  <c r="V259" i="4"/>
  <c r="W259" i="4"/>
  <c r="Y259" i="4"/>
  <c r="Z259" i="4"/>
  <c r="AA259" i="4"/>
  <c r="AB259" i="4"/>
  <c r="AC259" i="4"/>
  <c r="AD259" i="4"/>
  <c r="AF259" i="4"/>
  <c r="AG259" i="4"/>
  <c r="AH259" i="4"/>
  <c r="Q260" i="4"/>
  <c r="R260" i="4"/>
  <c r="S260" i="4"/>
  <c r="T260" i="4"/>
  <c r="U260" i="4"/>
  <c r="V260" i="4"/>
  <c r="W260" i="4"/>
  <c r="X260" i="4"/>
  <c r="Y260" i="4"/>
  <c r="Z260" i="4"/>
  <c r="AA260" i="4"/>
  <c r="AB260" i="4"/>
  <c r="AC260" i="4"/>
  <c r="AD260" i="4"/>
  <c r="AE260" i="4"/>
  <c r="AF260" i="4"/>
  <c r="AG260" i="4"/>
  <c r="AH260" i="4"/>
  <c r="Q261" i="4"/>
  <c r="AE261" i="4" s="1"/>
  <c r="R261" i="4"/>
  <c r="T261" i="4"/>
  <c r="U261" i="4"/>
  <c r="V261" i="4"/>
  <c r="W261" i="4"/>
  <c r="Y261" i="4"/>
  <c r="Z261" i="4"/>
  <c r="AA261" i="4"/>
  <c r="AB261" i="4"/>
  <c r="AC261" i="4"/>
  <c r="AD261" i="4"/>
  <c r="AF261" i="4"/>
  <c r="AG261" i="4"/>
  <c r="AH261" i="4"/>
  <c r="Q262" i="4"/>
  <c r="R262" i="4"/>
  <c r="S262" i="4"/>
  <c r="T262" i="4"/>
  <c r="U262" i="4"/>
  <c r="V262" i="4"/>
  <c r="W262" i="4"/>
  <c r="X262" i="4"/>
  <c r="Y262" i="4"/>
  <c r="Z262" i="4"/>
  <c r="AA262" i="4"/>
  <c r="AB262" i="4"/>
  <c r="AC262" i="4"/>
  <c r="AD262" i="4"/>
  <c r="AE262" i="4"/>
  <c r="AF262" i="4"/>
  <c r="AG262" i="4"/>
  <c r="AH262" i="4"/>
  <c r="Q263" i="4"/>
  <c r="AE263" i="4" s="1"/>
  <c r="R263" i="4"/>
  <c r="T263" i="4"/>
  <c r="U263" i="4"/>
  <c r="V263" i="4"/>
  <c r="W263" i="4"/>
  <c r="Y263" i="4"/>
  <c r="Z263" i="4"/>
  <c r="AA263" i="4"/>
  <c r="AB263" i="4"/>
  <c r="AC263" i="4"/>
  <c r="AD263" i="4"/>
  <c r="AF263" i="4"/>
  <c r="AG263" i="4"/>
  <c r="AH263" i="4"/>
  <c r="Q264" i="4"/>
  <c r="R264" i="4"/>
  <c r="S264" i="4"/>
  <c r="T264" i="4"/>
  <c r="U264" i="4"/>
  <c r="V264" i="4"/>
  <c r="W264" i="4"/>
  <c r="X264" i="4"/>
  <c r="Y264" i="4"/>
  <c r="Z264" i="4"/>
  <c r="AA264" i="4"/>
  <c r="AB264" i="4"/>
  <c r="AC264" i="4"/>
  <c r="AD264" i="4"/>
  <c r="AE264" i="4"/>
  <c r="AF264" i="4"/>
  <c r="AG264" i="4"/>
  <c r="AH264" i="4"/>
  <c r="Q265" i="4"/>
  <c r="AE265" i="4" s="1"/>
  <c r="R265" i="4"/>
  <c r="T265" i="4"/>
  <c r="U265" i="4"/>
  <c r="V265" i="4"/>
  <c r="W265" i="4"/>
  <c r="Y265" i="4"/>
  <c r="Z265" i="4"/>
  <c r="AA265" i="4"/>
  <c r="AB265" i="4"/>
  <c r="AC265" i="4"/>
  <c r="AD265" i="4"/>
  <c r="AF265" i="4"/>
  <c r="AG265" i="4"/>
  <c r="AH265" i="4"/>
  <c r="Q266" i="4"/>
  <c r="R266" i="4"/>
  <c r="S266" i="4"/>
  <c r="T266" i="4"/>
  <c r="U266" i="4"/>
  <c r="V266" i="4"/>
  <c r="W266" i="4"/>
  <c r="X266" i="4"/>
  <c r="Y266" i="4"/>
  <c r="Z266" i="4"/>
  <c r="AA266" i="4"/>
  <c r="AB266" i="4"/>
  <c r="AC266" i="4"/>
  <c r="AD266" i="4"/>
  <c r="AE266" i="4"/>
  <c r="AF266" i="4"/>
  <c r="AG266" i="4"/>
  <c r="AH266" i="4"/>
  <c r="Q267" i="4"/>
  <c r="AE267" i="4" s="1"/>
  <c r="R267" i="4"/>
  <c r="T267" i="4"/>
  <c r="U267" i="4"/>
  <c r="V267" i="4"/>
  <c r="W267" i="4"/>
  <c r="Y267" i="4"/>
  <c r="Z267" i="4"/>
  <c r="AA267" i="4"/>
  <c r="AB267" i="4"/>
  <c r="AC267" i="4"/>
  <c r="AD267" i="4"/>
  <c r="AF267" i="4"/>
  <c r="AG267" i="4"/>
  <c r="AH267" i="4"/>
  <c r="Q268" i="4"/>
  <c r="R268" i="4"/>
  <c r="S268" i="4"/>
  <c r="T268" i="4"/>
  <c r="U268" i="4"/>
  <c r="V268" i="4"/>
  <c r="W268" i="4"/>
  <c r="X268" i="4"/>
  <c r="Y268" i="4"/>
  <c r="Z268" i="4"/>
  <c r="AA268" i="4"/>
  <c r="AB268" i="4"/>
  <c r="AC268" i="4"/>
  <c r="AD268" i="4"/>
  <c r="AE268" i="4"/>
  <c r="AF268" i="4"/>
  <c r="AG268" i="4"/>
  <c r="AH268" i="4"/>
  <c r="Q269" i="4"/>
  <c r="AE269" i="4" s="1"/>
  <c r="R269" i="4"/>
  <c r="T269" i="4"/>
  <c r="U269" i="4"/>
  <c r="V269" i="4"/>
  <c r="W269" i="4"/>
  <c r="Y269" i="4"/>
  <c r="Z269" i="4"/>
  <c r="AA269" i="4"/>
  <c r="AB269" i="4"/>
  <c r="AC269" i="4"/>
  <c r="AD269" i="4"/>
  <c r="AF269" i="4"/>
  <c r="AG269" i="4"/>
  <c r="AH269" i="4"/>
  <c r="Q270" i="4"/>
  <c r="R270" i="4"/>
  <c r="S270" i="4"/>
  <c r="T270" i="4"/>
  <c r="U270" i="4"/>
  <c r="V270" i="4"/>
  <c r="W270" i="4"/>
  <c r="X270" i="4"/>
  <c r="Y270" i="4"/>
  <c r="Z270" i="4"/>
  <c r="AA270" i="4"/>
  <c r="AB270" i="4"/>
  <c r="AC270" i="4"/>
  <c r="AD270" i="4"/>
  <c r="AE270" i="4"/>
  <c r="AF270" i="4"/>
  <c r="AG270" i="4"/>
  <c r="AH270" i="4"/>
  <c r="Q271" i="4"/>
  <c r="AE271" i="4" s="1"/>
  <c r="R271" i="4"/>
  <c r="T271" i="4"/>
  <c r="U271" i="4"/>
  <c r="V271" i="4"/>
  <c r="W271" i="4"/>
  <c r="Y271" i="4"/>
  <c r="Z271" i="4"/>
  <c r="AA271" i="4"/>
  <c r="AB271" i="4"/>
  <c r="AC271" i="4"/>
  <c r="AD271" i="4"/>
  <c r="AF271" i="4"/>
  <c r="AG271" i="4"/>
  <c r="AH271" i="4"/>
  <c r="Q272" i="4"/>
  <c r="R272" i="4"/>
  <c r="S272" i="4"/>
  <c r="T272" i="4"/>
  <c r="U272" i="4"/>
  <c r="V272" i="4"/>
  <c r="W272" i="4"/>
  <c r="X272" i="4"/>
  <c r="Y272" i="4"/>
  <c r="Z272" i="4"/>
  <c r="AA272" i="4"/>
  <c r="AB272" i="4"/>
  <c r="AC272" i="4"/>
  <c r="AD272" i="4"/>
  <c r="AE272" i="4"/>
  <c r="AF272" i="4"/>
  <c r="AG272" i="4"/>
  <c r="AH272" i="4"/>
  <c r="Q273" i="4"/>
  <c r="AE273" i="4" s="1"/>
  <c r="R273" i="4"/>
  <c r="T273" i="4"/>
  <c r="U273" i="4"/>
  <c r="V273" i="4"/>
  <c r="W273" i="4"/>
  <c r="Y273" i="4"/>
  <c r="Z273" i="4"/>
  <c r="AA273" i="4"/>
  <c r="AB273" i="4"/>
  <c r="AC273" i="4"/>
  <c r="AD273" i="4"/>
  <c r="AF273" i="4"/>
  <c r="AG273" i="4"/>
  <c r="AH273" i="4"/>
  <c r="Q274" i="4"/>
  <c r="R274" i="4"/>
  <c r="S274" i="4"/>
  <c r="T274" i="4"/>
  <c r="U274" i="4"/>
  <c r="V274" i="4"/>
  <c r="W274" i="4"/>
  <c r="X274" i="4"/>
  <c r="Y274" i="4"/>
  <c r="Z274" i="4"/>
  <c r="AA274" i="4"/>
  <c r="AB274" i="4"/>
  <c r="AC274" i="4"/>
  <c r="AD274" i="4"/>
  <c r="AE274" i="4"/>
  <c r="AF274" i="4"/>
  <c r="AG274" i="4"/>
  <c r="AH274" i="4"/>
  <c r="Q275" i="4"/>
  <c r="AE275" i="4" s="1"/>
  <c r="R275" i="4"/>
  <c r="T275" i="4"/>
  <c r="U275" i="4"/>
  <c r="V275" i="4"/>
  <c r="W275" i="4"/>
  <c r="Y275" i="4"/>
  <c r="Z275" i="4"/>
  <c r="AA275" i="4"/>
  <c r="AB275" i="4"/>
  <c r="AC275" i="4"/>
  <c r="AD275" i="4"/>
  <c r="AF275" i="4"/>
  <c r="AG275" i="4"/>
  <c r="AH275" i="4"/>
  <c r="Q276" i="4"/>
  <c r="R276" i="4"/>
  <c r="S276" i="4"/>
  <c r="T276" i="4"/>
  <c r="U276" i="4"/>
  <c r="V276" i="4"/>
  <c r="W276" i="4"/>
  <c r="X276" i="4"/>
  <c r="Y276" i="4"/>
  <c r="Z276" i="4"/>
  <c r="AA276" i="4"/>
  <c r="AB276" i="4"/>
  <c r="AC276" i="4"/>
  <c r="AD276" i="4"/>
  <c r="AE276" i="4"/>
  <c r="AF276" i="4"/>
  <c r="AG276" i="4"/>
  <c r="AH276" i="4"/>
  <c r="Q277" i="4"/>
  <c r="AE277" i="4" s="1"/>
  <c r="R277" i="4"/>
  <c r="T277" i="4"/>
  <c r="U277" i="4"/>
  <c r="V277" i="4"/>
  <c r="W277" i="4"/>
  <c r="Y277" i="4"/>
  <c r="Z277" i="4"/>
  <c r="AA277" i="4"/>
  <c r="AB277" i="4"/>
  <c r="AC277" i="4"/>
  <c r="AD277" i="4"/>
  <c r="AF277" i="4"/>
  <c r="AG277" i="4"/>
  <c r="AH277" i="4"/>
  <c r="Q278" i="4"/>
  <c r="R278" i="4"/>
  <c r="S278" i="4"/>
  <c r="T278" i="4"/>
  <c r="U278" i="4"/>
  <c r="V278" i="4"/>
  <c r="W278" i="4"/>
  <c r="X278" i="4"/>
  <c r="Y278" i="4"/>
  <c r="Z278" i="4"/>
  <c r="AA278" i="4"/>
  <c r="AB278" i="4"/>
  <c r="AC278" i="4"/>
  <c r="AD278" i="4"/>
  <c r="AE278" i="4"/>
  <c r="AF278" i="4"/>
  <c r="AG278" i="4"/>
  <c r="AH278" i="4"/>
  <c r="Q279" i="4"/>
  <c r="AE279" i="4" s="1"/>
  <c r="R279" i="4"/>
  <c r="T279" i="4"/>
  <c r="U279" i="4"/>
  <c r="V279" i="4"/>
  <c r="W279" i="4"/>
  <c r="Y279" i="4"/>
  <c r="Z279" i="4"/>
  <c r="AA279" i="4"/>
  <c r="AB279" i="4"/>
  <c r="AC279" i="4"/>
  <c r="AD279" i="4"/>
  <c r="AF279" i="4"/>
  <c r="AG279" i="4"/>
  <c r="AH279" i="4"/>
  <c r="Q280" i="4"/>
  <c r="R280" i="4"/>
  <c r="S280" i="4"/>
  <c r="T280" i="4"/>
  <c r="U280" i="4"/>
  <c r="V280" i="4"/>
  <c r="W280" i="4"/>
  <c r="X280" i="4"/>
  <c r="Y280" i="4"/>
  <c r="Z280" i="4"/>
  <c r="AA280" i="4"/>
  <c r="AB280" i="4"/>
  <c r="AC280" i="4"/>
  <c r="AD280" i="4"/>
  <c r="AE280" i="4"/>
  <c r="AF280" i="4"/>
  <c r="AG280" i="4"/>
  <c r="AH280" i="4"/>
  <c r="Q281" i="4"/>
  <c r="AE281" i="4" s="1"/>
  <c r="R281" i="4"/>
  <c r="T281" i="4"/>
  <c r="U281" i="4"/>
  <c r="V281" i="4"/>
  <c r="W281" i="4"/>
  <c r="Y281" i="4"/>
  <c r="Z281" i="4"/>
  <c r="AA281" i="4"/>
  <c r="AB281" i="4"/>
  <c r="AC281" i="4"/>
  <c r="AD281" i="4"/>
  <c r="AF281" i="4"/>
  <c r="AG281" i="4"/>
  <c r="AH281" i="4"/>
  <c r="Q282" i="4"/>
  <c r="R282" i="4"/>
  <c r="S282" i="4"/>
  <c r="T282" i="4"/>
  <c r="U282" i="4"/>
  <c r="V282" i="4"/>
  <c r="W282" i="4"/>
  <c r="X282" i="4"/>
  <c r="Y282" i="4"/>
  <c r="Z282" i="4"/>
  <c r="AA282" i="4"/>
  <c r="AB282" i="4"/>
  <c r="AC282" i="4"/>
  <c r="AD282" i="4"/>
  <c r="AE282" i="4"/>
  <c r="AF282" i="4"/>
  <c r="AG282" i="4"/>
  <c r="AH282" i="4"/>
  <c r="Q283" i="4"/>
  <c r="AE283" i="4" s="1"/>
  <c r="R283" i="4"/>
  <c r="T283" i="4"/>
  <c r="U283" i="4"/>
  <c r="V283" i="4"/>
  <c r="W283" i="4"/>
  <c r="Y283" i="4"/>
  <c r="Z283" i="4"/>
  <c r="AA283" i="4"/>
  <c r="AB283" i="4"/>
  <c r="AC283" i="4"/>
  <c r="AD283" i="4"/>
  <c r="AF283" i="4"/>
  <c r="AG283" i="4"/>
  <c r="AH283" i="4"/>
  <c r="Q284" i="4"/>
  <c r="R284" i="4"/>
  <c r="S284" i="4"/>
  <c r="T284" i="4"/>
  <c r="U284" i="4"/>
  <c r="V284" i="4"/>
  <c r="W284" i="4"/>
  <c r="X284" i="4"/>
  <c r="Y284" i="4"/>
  <c r="Z284" i="4"/>
  <c r="AA284" i="4"/>
  <c r="AB284" i="4"/>
  <c r="AC284" i="4"/>
  <c r="AD284" i="4"/>
  <c r="AE284" i="4"/>
  <c r="AF284" i="4"/>
  <c r="AG284" i="4"/>
  <c r="AH284" i="4"/>
  <c r="Q285" i="4"/>
  <c r="AE285" i="4" s="1"/>
  <c r="R285" i="4"/>
  <c r="T285" i="4"/>
  <c r="U285" i="4"/>
  <c r="V285" i="4"/>
  <c r="W285" i="4"/>
  <c r="Y285" i="4"/>
  <c r="Z285" i="4"/>
  <c r="AA285" i="4"/>
  <c r="AB285" i="4"/>
  <c r="AC285" i="4"/>
  <c r="AD285" i="4"/>
  <c r="AF285" i="4"/>
  <c r="AG285" i="4"/>
  <c r="AH285" i="4"/>
  <c r="Q286" i="4"/>
  <c r="R286" i="4"/>
  <c r="S286" i="4"/>
  <c r="T286" i="4"/>
  <c r="U286" i="4"/>
  <c r="V286" i="4"/>
  <c r="W286" i="4"/>
  <c r="X286" i="4"/>
  <c r="Y286" i="4"/>
  <c r="Z286" i="4"/>
  <c r="AA286" i="4"/>
  <c r="AB286" i="4"/>
  <c r="AC286" i="4"/>
  <c r="AD286" i="4"/>
  <c r="AE286" i="4"/>
  <c r="AF286" i="4"/>
  <c r="AG286" i="4"/>
  <c r="AH286" i="4"/>
  <c r="Q287" i="4"/>
  <c r="AE287" i="4" s="1"/>
  <c r="R287" i="4"/>
  <c r="T287" i="4"/>
  <c r="U287" i="4"/>
  <c r="V287" i="4"/>
  <c r="W287" i="4"/>
  <c r="Y287" i="4"/>
  <c r="Z287" i="4"/>
  <c r="AA287" i="4"/>
  <c r="AB287" i="4"/>
  <c r="AC287" i="4"/>
  <c r="AD287" i="4"/>
  <c r="AF287" i="4"/>
  <c r="AG287" i="4"/>
  <c r="AH287" i="4"/>
  <c r="Q288" i="4"/>
  <c r="R288" i="4"/>
  <c r="S288" i="4"/>
  <c r="T288" i="4"/>
  <c r="U288" i="4"/>
  <c r="V288" i="4"/>
  <c r="W288" i="4"/>
  <c r="X288" i="4"/>
  <c r="Y288" i="4"/>
  <c r="Z288" i="4"/>
  <c r="AA288" i="4"/>
  <c r="AB288" i="4"/>
  <c r="AC288" i="4"/>
  <c r="AD288" i="4"/>
  <c r="AE288" i="4"/>
  <c r="AF288" i="4"/>
  <c r="AG288" i="4"/>
  <c r="AH288" i="4"/>
  <c r="Q289" i="4"/>
  <c r="AE289" i="4" s="1"/>
  <c r="R289" i="4"/>
  <c r="T289" i="4"/>
  <c r="U289" i="4"/>
  <c r="V289" i="4"/>
  <c r="W289" i="4"/>
  <c r="Y289" i="4"/>
  <c r="Z289" i="4"/>
  <c r="AA289" i="4"/>
  <c r="AB289" i="4"/>
  <c r="AC289" i="4"/>
  <c r="AD289" i="4"/>
  <c r="AF289" i="4"/>
  <c r="AG289" i="4"/>
  <c r="AH289" i="4"/>
  <c r="Q290" i="4"/>
  <c r="R290" i="4"/>
  <c r="S290" i="4"/>
  <c r="T290" i="4"/>
  <c r="U290" i="4"/>
  <c r="V290" i="4"/>
  <c r="W290" i="4"/>
  <c r="X290" i="4"/>
  <c r="Y290" i="4"/>
  <c r="Z290" i="4"/>
  <c r="AA290" i="4"/>
  <c r="AB290" i="4"/>
  <c r="AC290" i="4"/>
  <c r="AD290" i="4"/>
  <c r="AE290" i="4"/>
  <c r="AF290" i="4"/>
  <c r="AG290" i="4"/>
  <c r="AH290" i="4"/>
  <c r="Q291" i="4"/>
  <c r="AE291" i="4" s="1"/>
  <c r="R291" i="4"/>
  <c r="T291" i="4"/>
  <c r="U291" i="4"/>
  <c r="V291" i="4"/>
  <c r="W291" i="4"/>
  <c r="Y291" i="4"/>
  <c r="Z291" i="4"/>
  <c r="AA291" i="4"/>
  <c r="AB291" i="4"/>
  <c r="AC291" i="4"/>
  <c r="AD291" i="4"/>
  <c r="AF291" i="4"/>
  <c r="AG291" i="4"/>
  <c r="AH291" i="4"/>
  <c r="Q292" i="4"/>
  <c r="R292" i="4"/>
  <c r="S292" i="4"/>
  <c r="T292" i="4"/>
  <c r="U292" i="4"/>
  <c r="V292" i="4"/>
  <c r="W292" i="4"/>
  <c r="X292" i="4"/>
  <c r="Y292" i="4"/>
  <c r="Z292" i="4"/>
  <c r="AA292" i="4"/>
  <c r="AB292" i="4"/>
  <c r="AC292" i="4"/>
  <c r="AD292" i="4"/>
  <c r="AE292" i="4"/>
  <c r="AF292" i="4"/>
  <c r="AG292" i="4"/>
  <c r="AH292" i="4"/>
  <c r="Q293" i="4"/>
  <c r="AE293" i="4" s="1"/>
  <c r="R293" i="4"/>
  <c r="T293" i="4"/>
  <c r="U293" i="4"/>
  <c r="V293" i="4"/>
  <c r="W293" i="4"/>
  <c r="Y293" i="4"/>
  <c r="Z293" i="4"/>
  <c r="AA293" i="4"/>
  <c r="AB293" i="4"/>
  <c r="AC293" i="4"/>
  <c r="AD293" i="4"/>
  <c r="AF293" i="4"/>
  <c r="AG293" i="4"/>
  <c r="AH293" i="4"/>
  <c r="Q294" i="4"/>
  <c r="R294" i="4"/>
  <c r="S294" i="4"/>
  <c r="T294" i="4"/>
  <c r="U294" i="4"/>
  <c r="V294" i="4"/>
  <c r="W294" i="4"/>
  <c r="X294" i="4"/>
  <c r="Y294" i="4"/>
  <c r="Z294" i="4"/>
  <c r="AA294" i="4"/>
  <c r="AB294" i="4"/>
  <c r="AC294" i="4"/>
  <c r="AD294" i="4"/>
  <c r="AE294" i="4"/>
  <c r="AF294" i="4"/>
  <c r="AG294" i="4"/>
  <c r="AH294" i="4"/>
  <c r="Q295" i="4"/>
  <c r="AE295" i="4" s="1"/>
  <c r="R295" i="4"/>
  <c r="T295" i="4"/>
  <c r="U295" i="4"/>
  <c r="V295" i="4"/>
  <c r="W295" i="4"/>
  <c r="Y295" i="4"/>
  <c r="Z295" i="4"/>
  <c r="AA295" i="4"/>
  <c r="AB295" i="4"/>
  <c r="AC295" i="4"/>
  <c r="AD295" i="4"/>
  <c r="AF295" i="4"/>
  <c r="AG295" i="4"/>
  <c r="AH295" i="4"/>
  <c r="Q296" i="4"/>
  <c r="R296" i="4"/>
  <c r="S296" i="4"/>
  <c r="T296" i="4"/>
  <c r="U296" i="4"/>
  <c r="V296" i="4"/>
  <c r="W296" i="4"/>
  <c r="X296" i="4"/>
  <c r="Y296" i="4"/>
  <c r="Z296" i="4"/>
  <c r="AA296" i="4"/>
  <c r="AB296" i="4"/>
  <c r="AC296" i="4"/>
  <c r="AD296" i="4"/>
  <c r="AE296" i="4"/>
  <c r="AF296" i="4"/>
  <c r="AG296" i="4"/>
  <c r="AH296" i="4"/>
  <c r="Q297" i="4"/>
  <c r="AE297" i="4" s="1"/>
  <c r="R297" i="4"/>
  <c r="T297" i="4"/>
  <c r="U297" i="4"/>
  <c r="V297" i="4"/>
  <c r="W297" i="4"/>
  <c r="Y297" i="4"/>
  <c r="Z297" i="4"/>
  <c r="AA297" i="4"/>
  <c r="AB297" i="4"/>
  <c r="AC297" i="4"/>
  <c r="AD297" i="4"/>
  <c r="AF297" i="4"/>
  <c r="AG297" i="4"/>
  <c r="AH297" i="4"/>
  <c r="Q298" i="4"/>
  <c r="R298" i="4"/>
  <c r="S298" i="4"/>
  <c r="T298" i="4"/>
  <c r="U298" i="4"/>
  <c r="V298" i="4"/>
  <c r="W298" i="4"/>
  <c r="X298" i="4"/>
  <c r="Y298" i="4"/>
  <c r="Z298" i="4"/>
  <c r="AA298" i="4"/>
  <c r="AB298" i="4"/>
  <c r="AC298" i="4"/>
  <c r="AD298" i="4"/>
  <c r="AE298" i="4"/>
  <c r="AF298" i="4"/>
  <c r="AG298" i="4"/>
  <c r="AH298" i="4"/>
  <c r="Q299" i="4"/>
  <c r="AE299" i="4" s="1"/>
  <c r="R299" i="4"/>
  <c r="T299" i="4"/>
  <c r="U299" i="4"/>
  <c r="V299" i="4"/>
  <c r="W299" i="4"/>
  <c r="Y299" i="4"/>
  <c r="Z299" i="4"/>
  <c r="AA299" i="4"/>
  <c r="AB299" i="4"/>
  <c r="AC299" i="4"/>
  <c r="AD299" i="4"/>
  <c r="AF299" i="4"/>
  <c r="AG299" i="4"/>
  <c r="AH299" i="4"/>
  <c r="Q300" i="4"/>
  <c r="R300" i="4"/>
  <c r="S300" i="4"/>
  <c r="T300" i="4"/>
  <c r="U300" i="4"/>
  <c r="V300" i="4"/>
  <c r="W300" i="4"/>
  <c r="X300" i="4"/>
  <c r="Y300" i="4"/>
  <c r="Z300" i="4"/>
  <c r="AA300" i="4"/>
  <c r="AB300" i="4"/>
  <c r="AC300" i="4"/>
  <c r="AD300" i="4"/>
  <c r="AE300" i="4"/>
  <c r="AF300" i="4"/>
  <c r="AG300" i="4"/>
  <c r="AH300" i="4"/>
  <c r="Q301" i="4"/>
  <c r="AE301" i="4" s="1"/>
  <c r="R301" i="4"/>
  <c r="T301" i="4"/>
  <c r="U301" i="4"/>
  <c r="V301" i="4"/>
  <c r="W301" i="4"/>
  <c r="Y301" i="4"/>
  <c r="Z301" i="4"/>
  <c r="AA301" i="4"/>
  <c r="AB301" i="4"/>
  <c r="AC301" i="4"/>
  <c r="AD301" i="4"/>
  <c r="AF301" i="4"/>
  <c r="AG301" i="4"/>
  <c r="AH301" i="4"/>
  <c r="Q302" i="4"/>
  <c r="R302" i="4"/>
  <c r="S302" i="4"/>
  <c r="T302" i="4"/>
  <c r="U302" i="4"/>
  <c r="V302" i="4"/>
  <c r="W302" i="4"/>
  <c r="X302" i="4"/>
  <c r="Y302" i="4"/>
  <c r="Z302" i="4"/>
  <c r="AA302" i="4"/>
  <c r="AB302" i="4"/>
  <c r="AC302" i="4"/>
  <c r="AD302" i="4"/>
  <c r="AE302" i="4"/>
  <c r="AF302" i="4"/>
  <c r="AG302" i="4"/>
  <c r="AH302" i="4"/>
  <c r="Q303" i="4"/>
  <c r="AE303" i="4" s="1"/>
  <c r="R303" i="4"/>
  <c r="T303" i="4"/>
  <c r="U303" i="4"/>
  <c r="V303" i="4"/>
  <c r="W303" i="4"/>
  <c r="Y303" i="4"/>
  <c r="Z303" i="4"/>
  <c r="AA303" i="4"/>
  <c r="AB303" i="4"/>
  <c r="AC303" i="4"/>
  <c r="AD303" i="4"/>
  <c r="AF303" i="4"/>
  <c r="AG303" i="4"/>
  <c r="AH303" i="4"/>
  <c r="Q304" i="4"/>
  <c r="R304" i="4"/>
  <c r="S304" i="4"/>
  <c r="T304" i="4"/>
  <c r="U304" i="4"/>
  <c r="V304" i="4"/>
  <c r="W304" i="4"/>
  <c r="X304" i="4"/>
  <c r="Y304" i="4"/>
  <c r="Z304" i="4"/>
  <c r="AA304" i="4"/>
  <c r="AB304" i="4"/>
  <c r="AC304" i="4"/>
  <c r="AD304" i="4"/>
  <c r="AE304" i="4"/>
  <c r="AF304" i="4"/>
  <c r="AG304" i="4"/>
  <c r="AH304" i="4"/>
  <c r="Q305" i="4"/>
  <c r="AE305" i="4" s="1"/>
  <c r="R305" i="4"/>
  <c r="T305" i="4"/>
  <c r="U305" i="4"/>
  <c r="V305" i="4"/>
  <c r="W305" i="4"/>
  <c r="Y305" i="4"/>
  <c r="Z305" i="4"/>
  <c r="AA305" i="4"/>
  <c r="AB305" i="4"/>
  <c r="AC305" i="4"/>
  <c r="AD305" i="4"/>
  <c r="AF305" i="4"/>
  <c r="AG305" i="4"/>
  <c r="AH305" i="4"/>
  <c r="Q306" i="4"/>
  <c r="R306" i="4"/>
  <c r="S306" i="4"/>
  <c r="T306" i="4"/>
  <c r="U306" i="4"/>
  <c r="V306" i="4"/>
  <c r="W306" i="4"/>
  <c r="X306" i="4"/>
  <c r="Y306" i="4"/>
  <c r="Z306" i="4"/>
  <c r="AA306" i="4"/>
  <c r="AB306" i="4"/>
  <c r="AC306" i="4"/>
  <c r="AD306" i="4"/>
  <c r="AE306" i="4"/>
  <c r="AF306" i="4"/>
  <c r="AG306" i="4"/>
  <c r="AH306" i="4"/>
  <c r="Q307" i="4"/>
  <c r="AE307" i="4" s="1"/>
  <c r="R307" i="4"/>
  <c r="T307" i="4"/>
  <c r="U307" i="4"/>
  <c r="V307" i="4"/>
  <c r="W307" i="4"/>
  <c r="Y307" i="4"/>
  <c r="Z307" i="4"/>
  <c r="AA307" i="4"/>
  <c r="AB307" i="4"/>
  <c r="AC307" i="4"/>
  <c r="AD307" i="4"/>
  <c r="AF307" i="4"/>
  <c r="AG307" i="4"/>
  <c r="AH307" i="4"/>
  <c r="Q308" i="4"/>
  <c r="R308" i="4"/>
  <c r="S308" i="4"/>
  <c r="T308" i="4"/>
  <c r="U308" i="4"/>
  <c r="V308" i="4"/>
  <c r="W308" i="4"/>
  <c r="X308" i="4"/>
  <c r="Y308" i="4"/>
  <c r="Z308" i="4"/>
  <c r="AA308" i="4"/>
  <c r="AB308" i="4"/>
  <c r="AC308" i="4"/>
  <c r="AD308" i="4"/>
  <c r="AE308" i="4"/>
  <c r="AF308" i="4"/>
  <c r="AG308" i="4"/>
  <c r="AH308" i="4"/>
  <c r="Q309" i="4"/>
  <c r="AE309" i="4" s="1"/>
  <c r="R309" i="4"/>
  <c r="T309" i="4"/>
  <c r="U309" i="4"/>
  <c r="V309" i="4"/>
  <c r="W309" i="4"/>
  <c r="Y309" i="4"/>
  <c r="Z309" i="4"/>
  <c r="AA309" i="4"/>
  <c r="AB309" i="4"/>
  <c r="AC309" i="4"/>
  <c r="AD309" i="4"/>
  <c r="AF309" i="4"/>
  <c r="AG309" i="4"/>
  <c r="AH309" i="4"/>
  <c r="Q310" i="4"/>
  <c r="R310" i="4"/>
  <c r="S310" i="4"/>
  <c r="T310" i="4"/>
  <c r="U310" i="4"/>
  <c r="V310" i="4"/>
  <c r="W310" i="4"/>
  <c r="X310" i="4"/>
  <c r="Y310" i="4"/>
  <c r="Z310" i="4"/>
  <c r="AA310" i="4"/>
  <c r="AB310" i="4"/>
  <c r="AC310" i="4"/>
  <c r="AD310" i="4"/>
  <c r="AE310" i="4"/>
  <c r="AF310" i="4"/>
  <c r="AG310" i="4"/>
  <c r="AH310" i="4"/>
  <c r="Q311" i="4"/>
  <c r="AE311" i="4" s="1"/>
  <c r="R311" i="4"/>
  <c r="T311" i="4"/>
  <c r="U311" i="4"/>
  <c r="V311" i="4"/>
  <c r="W311" i="4"/>
  <c r="Y311" i="4"/>
  <c r="Z311" i="4"/>
  <c r="AA311" i="4"/>
  <c r="AB311" i="4"/>
  <c r="AC311" i="4"/>
  <c r="AD311" i="4"/>
  <c r="AF311" i="4"/>
  <c r="AG311" i="4"/>
  <c r="AH311" i="4"/>
  <c r="Q312" i="4"/>
  <c r="R312" i="4"/>
  <c r="S312" i="4"/>
  <c r="T312" i="4"/>
  <c r="U312" i="4"/>
  <c r="V312" i="4"/>
  <c r="W312" i="4"/>
  <c r="X312" i="4"/>
  <c r="Y312" i="4"/>
  <c r="Z312" i="4"/>
  <c r="AA312" i="4"/>
  <c r="AB312" i="4"/>
  <c r="AC312" i="4"/>
  <c r="AD312" i="4"/>
  <c r="AE312" i="4"/>
  <c r="AF312" i="4"/>
  <c r="AG312" i="4"/>
  <c r="AH312" i="4"/>
  <c r="Q313" i="4"/>
  <c r="AE313" i="4" s="1"/>
  <c r="R313" i="4"/>
  <c r="T313" i="4"/>
  <c r="U313" i="4"/>
  <c r="V313" i="4"/>
  <c r="W313" i="4"/>
  <c r="Y313" i="4"/>
  <c r="Z313" i="4"/>
  <c r="AA313" i="4"/>
  <c r="AB313" i="4"/>
  <c r="AC313" i="4"/>
  <c r="AD313" i="4"/>
  <c r="AF313" i="4"/>
  <c r="AG313" i="4"/>
  <c r="AH313" i="4"/>
  <c r="Q314" i="4"/>
  <c r="R314" i="4"/>
  <c r="S314" i="4"/>
  <c r="T314" i="4"/>
  <c r="U314" i="4"/>
  <c r="V314" i="4"/>
  <c r="W314" i="4"/>
  <c r="X314" i="4"/>
  <c r="Y314" i="4"/>
  <c r="Z314" i="4"/>
  <c r="AA314" i="4"/>
  <c r="AB314" i="4"/>
  <c r="AC314" i="4"/>
  <c r="AD314" i="4"/>
  <c r="AE314" i="4"/>
  <c r="AF314" i="4"/>
  <c r="AG314" i="4"/>
  <c r="AH314" i="4"/>
  <c r="Q315" i="4"/>
  <c r="AE315" i="4" s="1"/>
  <c r="R315" i="4"/>
  <c r="T315" i="4"/>
  <c r="U315" i="4"/>
  <c r="V315" i="4"/>
  <c r="W315" i="4"/>
  <c r="Y315" i="4"/>
  <c r="Z315" i="4"/>
  <c r="AA315" i="4"/>
  <c r="AB315" i="4"/>
  <c r="AC315" i="4"/>
  <c r="AD315" i="4"/>
  <c r="AF315" i="4"/>
  <c r="AG315" i="4"/>
  <c r="AH315" i="4"/>
  <c r="Q316" i="4"/>
  <c r="R316" i="4"/>
  <c r="S316" i="4"/>
  <c r="T316" i="4"/>
  <c r="U316" i="4"/>
  <c r="V316" i="4"/>
  <c r="W316" i="4"/>
  <c r="X316" i="4"/>
  <c r="Y316" i="4"/>
  <c r="Z316" i="4"/>
  <c r="AA316" i="4"/>
  <c r="AB316" i="4"/>
  <c r="AC316" i="4"/>
  <c r="AD316" i="4"/>
  <c r="AE316" i="4"/>
  <c r="AF316" i="4"/>
  <c r="AG316" i="4"/>
  <c r="AH316" i="4"/>
  <c r="Q317" i="4"/>
  <c r="AE317" i="4" s="1"/>
  <c r="R317" i="4"/>
  <c r="T317" i="4"/>
  <c r="U317" i="4"/>
  <c r="V317" i="4"/>
  <c r="W317" i="4"/>
  <c r="Y317" i="4"/>
  <c r="Z317" i="4"/>
  <c r="AA317" i="4"/>
  <c r="AB317" i="4"/>
  <c r="AC317" i="4"/>
  <c r="AD317" i="4"/>
  <c r="AF317" i="4"/>
  <c r="AG317" i="4"/>
  <c r="AH317" i="4"/>
  <c r="Q318" i="4"/>
  <c r="R318" i="4"/>
  <c r="S318" i="4"/>
  <c r="T318" i="4"/>
  <c r="U318" i="4"/>
  <c r="V318" i="4"/>
  <c r="W318" i="4"/>
  <c r="X318" i="4"/>
  <c r="Y318" i="4"/>
  <c r="Z318" i="4"/>
  <c r="AA318" i="4"/>
  <c r="AB318" i="4"/>
  <c r="AC318" i="4"/>
  <c r="AD318" i="4"/>
  <c r="AE318" i="4"/>
  <c r="AF318" i="4"/>
  <c r="AG318" i="4"/>
  <c r="AH318" i="4"/>
  <c r="Q319" i="4"/>
  <c r="AE319" i="4" s="1"/>
  <c r="R319" i="4"/>
  <c r="T319" i="4"/>
  <c r="U319" i="4"/>
  <c r="V319" i="4"/>
  <c r="W319" i="4"/>
  <c r="Y319" i="4"/>
  <c r="Z319" i="4"/>
  <c r="AA319" i="4"/>
  <c r="AB319" i="4"/>
  <c r="AC319" i="4"/>
  <c r="AD319" i="4"/>
  <c r="AF319" i="4"/>
  <c r="AG319" i="4"/>
  <c r="AH319" i="4"/>
  <c r="Q320" i="4"/>
  <c r="R320" i="4"/>
  <c r="S320" i="4"/>
  <c r="T320" i="4"/>
  <c r="U320" i="4"/>
  <c r="V320" i="4"/>
  <c r="W320" i="4"/>
  <c r="X320" i="4"/>
  <c r="Y320" i="4"/>
  <c r="Z320" i="4"/>
  <c r="AA320" i="4"/>
  <c r="AB320" i="4"/>
  <c r="AC320" i="4"/>
  <c r="AD320" i="4"/>
  <c r="AE320" i="4"/>
  <c r="AF320" i="4"/>
  <c r="AG320" i="4"/>
  <c r="AH320" i="4"/>
  <c r="Q321" i="4"/>
  <c r="AE321" i="4" s="1"/>
  <c r="R321" i="4"/>
  <c r="T321" i="4"/>
  <c r="U321" i="4"/>
  <c r="V321" i="4"/>
  <c r="W321" i="4"/>
  <c r="Y321" i="4"/>
  <c r="Z321" i="4"/>
  <c r="AA321" i="4"/>
  <c r="AB321" i="4"/>
  <c r="AC321" i="4"/>
  <c r="AD321" i="4"/>
  <c r="AF321" i="4"/>
  <c r="AG321" i="4"/>
  <c r="AH321" i="4"/>
  <c r="Q322" i="4"/>
  <c r="R322" i="4"/>
  <c r="S322" i="4"/>
  <c r="T322" i="4"/>
  <c r="U322" i="4"/>
  <c r="V322" i="4"/>
  <c r="W322" i="4"/>
  <c r="X322" i="4"/>
  <c r="Y322" i="4"/>
  <c r="Z322" i="4"/>
  <c r="AA322" i="4"/>
  <c r="AB322" i="4"/>
  <c r="AC322" i="4"/>
  <c r="AD322" i="4"/>
  <c r="AE322" i="4"/>
  <c r="AF322" i="4"/>
  <c r="AG322" i="4"/>
  <c r="AH322" i="4"/>
  <c r="Q323" i="4"/>
  <c r="AE323" i="4" s="1"/>
  <c r="R323" i="4"/>
  <c r="T323" i="4"/>
  <c r="U323" i="4"/>
  <c r="V323" i="4"/>
  <c r="W323" i="4"/>
  <c r="Y323" i="4"/>
  <c r="Z323" i="4"/>
  <c r="AA323" i="4"/>
  <c r="AB323" i="4"/>
  <c r="AC323" i="4"/>
  <c r="AD323" i="4"/>
  <c r="AF323" i="4"/>
  <c r="AG323" i="4"/>
  <c r="AH323" i="4"/>
  <c r="Q324" i="4"/>
  <c r="R324" i="4"/>
  <c r="S324" i="4"/>
  <c r="T324" i="4"/>
  <c r="U324" i="4"/>
  <c r="V324" i="4"/>
  <c r="W324" i="4"/>
  <c r="X324" i="4"/>
  <c r="Y324" i="4"/>
  <c r="Z324" i="4"/>
  <c r="AA324" i="4"/>
  <c r="AB324" i="4"/>
  <c r="AC324" i="4"/>
  <c r="AD324" i="4"/>
  <c r="AE324" i="4"/>
  <c r="AF324" i="4"/>
  <c r="AG324" i="4"/>
  <c r="AH324" i="4"/>
  <c r="Q325" i="4"/>
  <c r="AE325" i="4" s="1"/>
  <c r="R325" i="4"/>
  <c r="T325" i="4"/>
  <c r="U325" i="4"/>
  <c r="V325" i="4"/>
  <c r="W325" i="4"/>
  <c r="Y325" i="4"/>
  <c r="Z325" i="4"/>
  <c r="AA325" i="4"/>
  <c r="AB325" i="4"/>
  <c r="AC325" i="4"/>
  <c r="AD325" i="4"/>
  <c r="AF325" i="4"/>
  <c r="AG325" i="4"/>
  <c r="AH325" i="4"/>
  <c r="Q326" i="4"/>
  <c r="R326" i="4"/>
  <c r="S326" i="4"/>
  <c r="T326" i="4"/>
  <c r="U326" i="4"/>
  <c r="V326" i="4"/>
  <c r="W326" i="4"/>
  <c r="X326" i="4"/>
  <c r="Y326" i="4"/>
  <c r="Z326" i="4"/>
  <c r="AA326" i="4"/>
  <c r="AB326" i="4"/>
  <c r="AC326" i="4"/>
  <c r="AD326" i="4"/>
  <c r="AE326" i="4"/>
  <c r="AF326" i="4"/>
  <c r="AG326" i="4"/>
  <c r="AH326" i="4"/>
  <c r="Q327" i="4"/>
  <c r="AE327" i="4" s="1"/>
  <c r="R327" i="4"/>
  <c r="T327" i="4"/>
  <c r="U327" i="4"/>
  <c r="V327" i="4"/>
  <c r="W327" i="4"/>
  <c r="Y327" i="4"/>
  <c r="Z327" i="4"/>
  <c r="AA327" i="4"/>
  <c r="AB327" i="4"/>
  <c r="AC327" i="4"/>
  <c r="AD327" i="4"/>
  <c r="AF327" i="4"/>
  <c r="AG327" i="4"/>
  <c r="AH327" i="4"/>
  <c r="Q328" i="4"/>
  <c r="R328" i="4"/>
  <c r="S328" i="4"/>
  <c r="T328" i="4"/>
  <c r="U328" i="4"/>
  <c r="V328" i="4"/>
  <c r="W328" i="4"/>
  <c r="X328" i="4"/>
  <c r="Y328" i="4"/>
  <c r="Z328" i="4"/>
  <c r="AA328" i="4"/>
  <c r="AB328" i="4"/>
  <c r="AC328" i="4"/>
  <c r="AD328" i="4"/>
  <c r="AE328" i="4"/>
  <c r="AF328" i="4"/>
  <c r="AG328" i="4"/>
  <c r="AH328" i="4"/>
  <c r="Q329" i="4"/>
  <c r="AE329" i="4" s="1"/>
  <c r="R329" i="4"/>
  <c r="T329" i="4"/>
  <c r="U329" i="4"/>
  <c r="V329" i="4"/>
  <c r="W329" i="4"/>
  <c r="Y329" i="4"/>
  <c r="Z329" i="4"/>
  <c r="AA329" i="4"/>
  <c r="AB329" i="4"/>
  <c r="AC329" i="4"/>
  <c r="AD329" i="4"/>
  <c r="AF329" i="4"/>
  <c r="AG329" i="4"/>
  <c r="AH329" i="4"/>
  <c r="Q330" i="4"/>
  <c r="R330" i="4"/>
  <c r="S330" i="4"/>
  <c r="T330" i="4"/>
  <c r="U330" i="4"/>
  <c r="V330" i="4"/>
  <c r="W330" i="4"/>
  <c r="X330" i="4"/>
  <c r="Y330" i="4"/>
  <c r="Z330" i="4"/>
  <c r="AA330" i="4"/>
  <c r="AB330" i="4"/>
  <c r="AC330" i="4"/>
  <c r="AD330" i="4"/>
  <c r="AE330" i="4"/>
  <c r="AF330" i="4"/>
  <c r="AG330" i="4"/>
  <c r="AH330" i="4"/>
  <c r="Q331" i="4"/>
  <c r="AE331" i="4" s="1"/>
  <c r="R331" i="4"/>
  <c r="T331" i="4"/>
  <c r="U331" i="4"/>
  <c r="V331" i="4"/>
  <c r="W331" i="4"/>
  <c r="Y331" i="4"/>
  <c r="Z331" i="4"/>
  <c r="AA331" i="4"/>
  <c r="AB331" i="4"/>
  <c r="AC331" i="4"/>
  <c r="AD331" i="4"/>
  <c r="AF331" i="4"/>
  <c r="AG331" i="4"/>
  <c r="AH331" i="4"/>
  <c r="Q332" i="4"/>
  <c r="R332" i="4"/>
  <c r="S332" i="4"/>
  <c r="T332" i="4"/>
  <c r="U332" i="4"/>
  <c r="V332" i="4"/>
  <c r="W332" i="4"/>
  <c r="X332" i="4"/>
  <c r="Y332" i="4"/>
  <c r="Z332" i="4"/>
  <c r="AA332" i="4"/>
  <c r="AB332" i="4"/>
  <c r="AC332" i="4"/>
  <c r="AD332" i="4"/>
  <c r="AE332" i="4"/>
  <c r="AF332" i="4"/>
  <c r="AG332" i="4"/>
  <c r="AH332" i="4"/>
  <c r="Q333" i="4"/>
  <c r="AE333" i="4" s="1"/>
  <c r="R333" i="4"/>
  <c r="T333" i="4"/>
  <c r="U333" i="4"/>
  <c r="V333" i="4"/>
  <c r="W333" i="4"/>
  <c r="Y333" i="4"/>
  <c r="Z333" i="4"/>
  <c r="AA333" i="4"/>
  <c r="AB333" i="4"/>
  <c r="AC333" i="4"/>
  <c r="AD333" i="4"/>
  <c r="AF333" i="4"/>
  <c r="AG333" i="4"/>
  <c r="AH333" i="4"/>
  <c r="Q334" i="4"/>
  <c r="R334" i="4"/>
  <c r="S334" i="4"/>
  <c r="T334" i="4"/>
  <c r="U334" i="4"/>
  <c r="V334" i="4"/>
  <c r="W334" i="4"/>
  <c r="X334" i="4"/>
  <c r="Y334" i="4"/>
  <c r="Z334" i="4"/>
  <c r="AA334" i="4"/>
  <c r="AB334" i="4"/>
  <c r="AC334" i="4"/>
  <c r="AD334" i="4"/>
  <c r="AE334" i="4"/>
  <c r="AF334" i="4"/>
  <c r="AG334" i="4"/>
  <c r="AH334" i="4"/>
  <c r="Q335" i="4"/>
  <c r="AE335" i="4" s="1"/>
  <c r="R335" i="4"/>
  <c r="T335" i="4"/>
  <c r="U335" i="4"/>
  <c r="V335" i="4"/>
  <c r="W335" i="4"/>
  <c r="Y335" i="4"/>
  <c r="Z335" i="4"/>
  <c r="AA335" i="4"/>
  <c r="AB335" i="4"/>
  <c r="AC335" i="4"/>
  <c r="AD335" i="4"/>
  <c r="AF335" i="4"/>
  <c r="AG335" i="4"/>
  <c r="AH335" i="4"/>
  <c r="Q336" i="4"/>
  <c r="R336" i="4"/>
  <c r="S336" i="4"/>
  <c r="T336" i="4"/>
  <c r="U336" i="4"/>
  <c r="V336" i="4"/>
  <c r="W336" i="4"/>
  <c r="X336" i="4"/>
  <c r="Y336" i="4"/>
  <c r="Z336" i="4"/>
  <c r="AA336" i="4"/>
  <c r="AB336" i="4"/>
  <c r="AC336" i="4"/>
  <c r="AD336" i="4"/>
  <c r="AE336" i="4"/>
  <c r="AF336" i="4"/>
  <c r="AG336" i="4"/>
  <c r="AH336" i="4"/>
  <c r="Q337" i="4"/>
  <c r="AE337" i="4" s="1"/>
  <c r="R337" i="4"/>
  <c r="T337" i="4"/>
  <c r="U337" i="4"/>
  <c r="V337" i="4"/>
  <c r="W337" i="4"/>
  <c r="Y337" i="4"/>
  <c r="Z337" i="4"/>
  <c r="AA337" i="4"/>
  <c r="AB337" i="4"/>
  <c r="AC337" i="4"/>
  <c r="AD337" i="4"/>
  <c r="AF337" i="4"/>
  <c r="AG337" i="4"/>
  <c r="AH337" i="4"/>
  <c r="Q338" i="4"/>
  <c r="R338" i="4"/>
  <c r="S338" i="4"/>
  <c r="T338" i="4"/>
  <c r="U338" i="4"/>
  <c r="V338" i="4"/>
  <c r="W338" i="4"/>
  <c r="X338" i="4"/>
  <c r="Y338" i="4"/>
  <c r="Z338" i="4"/>
  <c r="AA338" i="4"/>
  <c r="AB338" i="4"/>
  <c r="AC338" i="4"/>
  <c r="AD338" i="4"/>
  <c r="AE338" i="4"/>
  <c r="AF338" i="4"/>
  <c r="AG338" i="4"/>
  <c r="AH338" i="4"/>
  <c r="Q339" i="4"/>
  <c r="AE339" i="4" s="1"/>
  <c r="R339" i="4"/>
  <c r="T339" i="4"/>
  <c r="U339" i="4"/>
  <c r="V339" i="4"/>
  <c r="W339" i="4"/>
  <c r="Y339" i="4"/>
  <c r="Z339" i="4"/>
  <c r="AA339" i="4"/>
  <c r="AB339" i="4"/>
  <c r="AC339" i="4"/>
  <c r="AD339" i="4"/>
  <c r="AF339" i="4"/>
  <c r="AG339" i="4"/>
  <c r="AH339" i="4"/>
  <c r="Q340" i="4"/>
  <c r="R340" i="4"/>
  <c r="S340" i="4"/>
  <c r="T340" i="4"/>
  <c r="U340" i="4"/>
  <c r="V340" i="4"/>
  <c r="W340" i="4"/>
  <c r="X340" i="4"/>
  <c r="Y340" i="4"/>
  <c r="Z340" i="4"/>
  <c r="AA340" i="4"/>
  <c r="AB340" i="4"/>
  <c r="AC340" i="4"/>
  <c r="AD340" i="4"/>
  <c r="AE340" i="4"/>
  <c r="AF340" i="4"/>
  <c r="AG340" i="4"/>
  <c r="AH340" i="4"/>
  <c r="Q341" i="4"/>
  <c r="AE341" i="4" s="1"/>
  <c r="R341" i="4"/>
  <c r="T341" i="4"/>
  <c r="U341" i="4"/>
  <c r="V341" i="4"/>
  <c r="W341" i="4"/>
  <c r="Y341" i="4"/>
  <c r="Z341" i="4"/>
  <c r="AA341" i="4"/>
  <c r="AB341" i="4"/>
  <c r="AC341" i="4"/>
  <c r="AD341" i="4"/>
  <c r="AF341" i="4"/>
  <c r="AG341" i="4"/>
  <c r="AH341" i="4"/>
  <c r="Q342" i="4"/>
  <c r="R342" i="4"/>
  <c r="S342" i="4"/>
  <c r="T342" i="4"/>
  <c r="U342" i="4"/>
  <c r="V342" i="4"/>
  <c r="W342" i="4"/>
  <c r="X342" i="4"/>
  <c r="Y342" i="4"/>
  <c r="Z342" i="4"/>
  <c r="AA342" i="4"/>
  <c r="AB342" i="4"/>
  <c r="AC342" i="4"/>
  <c r="AD342" i="4"/>
  <c r="AE342" i="4"/>
  <c r="AF342" i="4"/>
  <c r="AG342" i="4"/>
  <c r="AH342" i="4"/>
  <c r="Q343" i="4"/>
  <c r="AE343" i="4" s="1"/>
  <c r="R343" i="4"/>
  <c r="T343" i="4"/>
  <c r="U343" i="4"/>
  <c r="V343" i="4"/>
  <c r="W343" i="4"/>
  <c r="Y343" i="4"/>
  <c r="Z343" i="4"/>
  <c r="AA343" i="4"/>
  <c r="AB343" i="4"/>
  <c r="AC343" i="4"/>
  <c r="AD343" i="4"/>
  <c r="AF343" i="4"/>
  <c r="AG343" i="4"/>
  <c r="AH343" i="4"/>
  <c r="Q344" i="4"/>
  <c r="R344" i="4"/>
  <c r="S344" i="4"/>
  <c r="T344" i="4"/>
  <c r="U344" i="4"/>
  <c r="V344" i="4"/>
  <c r="W344" i="4"/>
  <c r="X344" i="4"/>
  <c r="Y344" i="4"/>
  <c r="Z344" i="4"/>
  <c r="AA344" i="4"/>
  <c r="AB344" i="4"/>
  <c r="AC344" i="4"/>
  <c r="AD344" i="4"/>
  <c r="AE344" i="4"/>
  <c r="AF344" i="4"/>
  <c r="AG344" i="4"/>
  <c r="AH344" i="4"/>
  <c r="Q345" i="4"/>
  <c r="AE345" i="4" s="1"/>
  <c r="R345" i="4"/>
  <c r="T345" i="4"/>
  <c r="U345" i="4"/>
  <c r="V345" i="4"/>
  <c r="W345" i="4"/>
  <c r="Y345" i="4"/>
  <c r="Z345" i="4"/>
  <c r="AA345" i="4"/>
  <c r="AB345" i="4"/>
  <c r="AC345" i="4"/>
  <c r="AD345" i="4"/>
  <c r="AF345" i="4"/>
  <c r="AG345" i="4"/>
  <c r="AH345" i="4"/>
  <c r="Q346" i="4"/>
  <c r="R346" i="4"/>
  <c r="S346" i="4"/>
  <c r="T346" i="4"/>
  <c r="U346" i="4"/>
  <c r="V346" i="4"/>
  <c r="W346" i="4"/>
  <c r="X346" i="4"/>
  <c r="Y346" i="4"/>
  <c r="Z346" i="4"/>
  <c r="AA346" i="4"/>
  <c r="AB346" i="4"/>
  <c r="AC346" i="4"/>
  <c r="AD346" i="4"/>
  <c r="AE346" i="4"/>
  <c r="AF346" i="4"/>
  <c r="AG346" i="4"/>
  <c r="AH346" i="4"/>
  <c r="Q347" i="4"/>
  <c r="AE347" i="4" s="1"/>
  <c r="R347" i="4"/>
  <c r="T347" i="4"/>
  <c r="U347" i="4"/>
  <c r="V347" i="4"/>
  <c r="W347" i="4"/>
  <c r="Y347" i="4"/>
  <c r="Z347" i="4"/>
  <c r="AA347" i="4"/>
  <c r="AB347" i="4"/>
  <c r="AC347" i="4"/>
  <c r="AD347" i="4"/>
  <c r="AF347" i="4"/>
  <c r="AG347" i="4"/>
  <c r="AH347" i="4"/>
  <c r="Q348" i="4"/>
  <c r="R348" i="4"/>
  <c r="S348" i="4"/>
  <c r="T348" i="4"/>
  <c r="U348" i="4"/>
  <c r="V348" i="4"/>
  <c r="W348" i="4"/>
  <c r="X348" i="4"/>
  <c r="Y348" i="4"/>
  <c r="Z348" i="4"/>
  <c r="AA348" i="4"/>
  <c r="AB348" i="4"/>
  <c r="AC348" i="4"/>
  <c r="AD348" i="4"/>
  <c r="AE348" i="4"/>
  <c r="AF348" i="4"/>
  <c r="AG348" i="4"/>
  <c r="AH348" i="4"/>
  <c r="Q349" i="4"/>
  <c r="AE349" i="4" s="1"/>
  <c r="R349" i="4"/>
  <c r="T349" i="4"/>
  <c r="U349" i="4"/>
  <c r="V349" i="4"/>
  <c r="W349" i="4"/>
  <c r="Y349" i="4"/>
  <c r="Z349" i="4"/>
  <c r="AA349" i="4"/>
  <c r="AB349" i="4"/>
  <c r="AC349" i="4"/>
  <c r="AD349" i="4"/>
  <c r="AF349" i="4"/>
  <c r="AG349" i="4"/>
  <c r="AH349" i="4"/>
  <c r="Q350" i="4"/>
  <c r="R350" i="4"/>
  <c r="S350" i="4"/>
  <c r="T350" i="4"/>
  <c r="U350" i="4"/>
  <c r="V350" i="4"/>
  <c r="W350" i="4"/>
  <c r="X350" i="4"/>
  <c r="Y350" i="4"/>
  <c r="Z350" i="4"/>
  <c r="AA350" i="4"/>
  <c r="AB350" i="4"/>
  <c r="AC350" i="4"/>
  <c r="AD350" i="4"/>
  <c r="AE350" i="4"/>
  <c r="AF350" i="4"/>
  <c r="AG350" i="4"/>
  <c r="AH350" i="4"/>
  <c r="Q351" i="4"/>
  <c r="AE351" i="4" s="1"/>
  <c r="R351" i="4"/>
  <c r="T351" i="4"/>
  <c r="U351" i="4"/>
  <c r="V351" i="4"/>
  <c r="W351" i="4"/>
  <c r="Y351" i="4"/>
  <c r="Z351" i="4"/>
  <c r="AA351" i="4"/>
  <c r="AB351" i="4"/>
  <c r="AC351" i="4"/>
  <c r="AD351" i="4"/>
  <c r="AF351" i="4"/>
  <c r="AG351" i="4"/>
  <c r="AH351" i="4"/>
  <c r="Q352" i="4"/>
  <c r="R352" i="4"/>
  <c r="S352" i="4"/>
  <c r="T352" i="4"/>
  <c r="U352" i="4"/>
  <c r="V352" i="4"/>
  <c r="W352" i="4"/>
  <c r="X352" i="4"/>
  <c r="Y352" i="4"/>
  <c r="Z352" i="4"/>
  <c r="AA352" i="4"/>
  <c r="AB352" i="4"/>
  <c r="AC352" i="4"/>
  <c r="AD352" i="4"/>
  <c r="AE352" i="4"/>
  <c r="AF352" i="4"/>
  <c r="AG352" i="4"/>
  <c r="AH352" i="4"/>
  <c r="Q353" i="4"/>
  <c r="AE353" i="4" s="1"/>
  <c r="R353" i="4"/>
  <c r="T353" i="4"/>
  <c r="U353" i="4"/>
  <c r="V353" i="4"/>
  <c r="W353" i="4"/>
  <c r="Y353" i="4"/>
  <c r="Z353" i="4"/>
  <c r="AA353" i="4"/>
  <c r="AB353" i="4"/>
  <c r="AC353" i="4"/>
  <c r="AD353" i="4"/>
  <c r="AF353" i="4"/>
  <c r="AG353" i="4"/>
  <c r="AH353" i="4"/>
  <c r="Q354" i="4"/>
  <c r="R354" i="4"/>
  <c r="S354" i="4"/>
  <c r="T354" i="4"/>
  <c r="U354" i="4"/>
  <c r="V354" i="4"/>
  <c r="W354" i="4"/>
  <c r="X354" i="4"/>
  <c r="Y354" i="4"/>
  <c r="Z354" i="4"/>
  <c r="AA354" i="4"/>
  <c r="AB354" i="4"/>
  <c r="AC354" i="4"/>
  <c r="AD354" i="4"/>
  <c r="AE354" i="4"/>
  <c r="AF354" i="4"/>
  <c r="AG354" i="4"/>
  <c r="AH354" i="4"/>
  <c r="Q355" i="4"/>
  <c r="AE355" i="4" s="1"/>
  <c r="R355" i="4"/>
  <c r="T355" i="4"/>
  <c r="U355" i="4"/>
  <c r="V355" i="4"/>
  <c r="W355" i="4"/>
  <c r="Y355" i="4"/>
  <c r="Z355" i="4"/>
  <c r="AA355" i="4"/>
  <c r="AB355" i="4"/>
  <c r="AC355" i="4"/>
  <c r="AD355" i="4"/>
  <c r="AF355" i="4"/>
  <c r="AG355" i="4"/>
  <c r="AH355" i="4"/>
  <c r="Q356" i="4"/>
  <c r="R356" i="4"/>
  <c r="S356" i="4"/>
  <c r="T356" i="4"/>
  <c r="U356" i="4"/>
  <c r="V356" i="4"/>
  <c r="W356" i="4"/>
  <c r="X356" i="4"/>
  <c r="Y356" i="4"/>
  <c r="Z356" i="4"/>
  <c r="AA356" i="4"/>
  <c r="AB356" i="4"/>
  <c r="AC356" i="4"/>
  <c r="AD356" i="4"/>
  <c r="AE356" i="4"/>
  <c r="AF356" i="4"/>
  <c r="AG356" i="4"/>
  <c r="AH356" i="4"/>
  <c r="Q357" i="4"/>
  <c r="R357" i="4"/>
  <c r="T357" i="4"/>
  <c r="U357" i="4"/>
  <c r="V357" i="4"/>
  <c r="W357" i="4"/>
  <c r="Y357" i="4"/>
  <c r="Z357" i="4"/>
  <c r="AA357" i="4"/>
  <c r="AB357" i="4"/>
  <c r="AC357" i="4"/>
  <c r="AD357" i="4"/>
  <c r="AE357" i="4"/>
  <c r="AF357" i="4"/>
  <c r="AG357" i="4"/>
  <c r="AH357" i="4"/>
  <c r="Q358" i="4"/>
  <c r="R358" i="4"/>
  <c r="S358" i="4"/>
  <c r="T358" i="4"/>
  <c r="U358" i="4"/>
  <c r="V358" i="4"/>
  <c r="W358" i="4"/>
  <c r="X358" i="4"/>
  <c r="Y358" i="4"/>
  <c r="Z358" i="4"/>
  <c r="AA358" i="4"/>
  <c r="AB358" i="4"/>
  <c r="AC358" i="4"/>
  <c r="AD358" i="4"/>
  <c r="AE358" i="4"/>
  <c r="AF358" i="4"/>
  <c r="AG358" i="4"/>
  <c r="AH358" i="4"/>
  <c r="Q359" i="4"/>
  <c r="AE359" i="4" s="1"/>
  <c r="R359" i="4"/>
  <c r="X359" i="4" s="1"/>
  <c r="T359" i="4"/>
  <c r="U359" i="4"/>
  <c r="V359" i="4"/>
  <c r="W359" i="4"/>
  <c r="Y359" i="4"/>
  <c r="Z359" i="4"/>
  <c r="AA359" i="4"/>
  <c r="AB359" i="4"/>
  <c r="AC359" i="4"/>
  <c r="AD359" i="4"/>
  <c r="AF359" i="4"/>
  <c r="AG359" i="4"/>
  <c r="AH359" i="4"/>
  <c r="Q360" i="4"/>
  <c r="R360" i="4"/>
  <c r="S360" i="4"/>
  <c r="T360" i="4"/>
  <c r="U360" i="4"/>
  <c r="V360" i="4"/>
  <c r="W360" i="4"/>
  <c r="X360" i="4"/>
  <c r="Y360" i="4"/>
  <c r="Z360" i="4"/>
  <c r="AA360" i="4"/>
  <c r="AB360" i="4"/>
  <c r="AC360" i="4"/>
  <c r="AD360" i="4"/>
  <c r="AE360" i="4"/>
  <c r="AF360" i="4"/>
  <c r="AG360" i="4"/>
  <c r="AH360" i="4"/>
  <c r="Q361" i="4"/>
  <c r="R361" i="4"/>
  <c r="T361" i="4"/>
  <c r="U361" i="4"/>
  <c r="V361" i="4"/>
  <c r="W361" i="4"/>
  <c r="Y361" i="4"/>
  <c r="Z361" i="4"/>
  <c r="AA361" i="4"/>
  <c r="AB361" i="4"/>
  <c r="AC361" i="4"/>
  <c r="AD361" i="4"/>
  <c r="AE361" i="4"/>
  <c r="AF361" i="4"/>
  <c r="AG361" i="4"/>
  <c r="AH361" i="4"/>
  <c r="Q362" i="4"/>
  <c r="AE362" i="4" s="1"/>
  <c r="R362" i="4"/>
  <c r="S362" i="4"/>
  <c r="T362" i="4"/>
  <c r="U362" i="4"/>
  <c r="V362" i="4"/>
  <c r="W362" i="4"/>
  <c r="X362" i="4"/>
  <c r="Y362" i="4"/>
  <c r="Z362" i="4"/>
  <c r="AA362" i="4"/>
  <c r="AB362" i="4"/>
  <c r="AC362" i="4"/>
  <c r="AD362" i="4"/>
  <c r="AF362" i="4"/>
  <c r="AG362" i="4"/>
  <c r="AH362" i="4"/>
  <c r="Q363" i="4"/>
  <c r="R363" i="4"/>
  <c r="X363" i="4" s="1"/>
  <c r="S363" i="4"/>
  <c r="T363" i="4"/>
  <c r="U363" i="4"/>
  <c r="V363" i="4"/>
  <c r="W363" i="4"/>
  <c r="Y363" i="4"/>
  <c r="Z363" i="4"/>
  <c r="AA363" i="4"/>
  <c r="AB363" i="4"/>
  <c r="AC363" i="4"/>
  <c r="AD363" i="4"/>
  <c r="AE363" i="4"/>
  <c r="AF363" i="4"/>
  <c r="AG363" i="4"/>
  <c r="AH363" i="4"/>
  <c r="Q364" i="4"/>
  <c r="AE364" i="4" s="1"/>
  <c r="R364" i="4"/>
  <c r="S364" i="4" s="1"/>
  <c r="T364" i="4"/>
  <c r="U364" i="4"/>
  <c r="V364" i="4"/>
  <c r="W364" i="4"/>
  <c r="X364" i="4"/>
  <c r="Y364" i="4"/>
  <c r="Z364" i="4"/>
  <c r="AA364" i="4"/>
  <c r="AB364" i="4"/>
  <c r="AC364" i="4"/>
  <c r="AD364" i="4"/>
  <c r="AF364" i="4"/>
  <c r="AG364" i="4"/>
  <c r="AH364" i="4"/>
  <c r="Q365" i="4"/>
  <c r="R365" i="4"/>
  <c r="X365" i="4" s="1"/>
  <c r="S365" i="4"/>
  <c r="T365" i="4"/>
  <c r="U365" i="4"/>
  <c r="V365" i="4"/>
  <c r="W365" i="4"/>
  <c r="Y365" i="4"/>
  <c r="Z365" i="4"/>
  <c r="AA365" i="4"/>
  <c r="AB365" i="4"/>
  <c r="AC365" i="4"/>
  <c r="AD365" i="4"/>
  <c r="AE365" i="4"/>
  <c r="AF365" i="4"/>
  <c r="AG365" i="4"/>
  <c r="AH365" i="4"/>
  <c r="Q366" i="4"/>
  <c r="AE366" i="4" s="1"/>
  <c r="R366" i="4"/>
  <c r="S366" i="4" s="1"/>
  <c r="T366" i="4"/>
  <c r="U366" i="4"/>
  <c r="V366" i="4"/>
  <c r="W366" i="4"/>
  <c r="X366" i="4"/>
  <c r="Y366" i="4"/>
  <c r="Z366" i="4"/>
  <c r="AA366" i="4"/>
  <c r="AB366" i="4"/>
  <c r="AC366" i="4"/>
  <c r="AD366" i="4"/>
  <c r="AF366" i="4"/>
  <c r="AG366" i="4"/>
  <c r="AH366" i="4"/>
  <c r="Q367" i="4"/>
  <c r="R367" i="4"/>
  <c r="X367" i="4" s="1"/>
  <c r="S367" i="4"/>
  <c r="T367" i="4"/>
  <c r="U367" i="4"/>
  <c r="V367" i="4"/>
  <c r="W367" i="4"/>
  <c r="Y367" i="4"/>
  <c r="Z367" i="4"/>
  <c r="AA367" i="4"/>
  <c r="AB367" i="4"/>
  <c r="AC367" i="4"/>
  <c r="AD367" i="4"/>
  <c r="AE367" i="4"/>
  <c r="AF367" i="4"/>
  <c r="AG367" i="4"/>
  <c r="AH367" i="4"/>
  <c r="Q368" i="4"/>
  <c r="AE368" i="4" s="1"/>
  <c r="R368" i="4"/>
  <c r="S368" i="4" s="1"/>
  <c r="T368" i="4"/>
  <c r="U368" i="4"/>
  <c r="V368" i="4"/>
  <c r="W368" i="4"/>
  <c r="X368" i="4"/>
  <c r="Y368" i="4"/>
  <c r="Z368" i="4"/>
  <c r="AA368" i="4"/>
  <c r="AB368" i="4"/>
  <c r="AC368" i="4"/>
  <c r="AD368" i="4"/>
  <c r="AF368" i="4"/>
  <c r="AG368" i="4"/>
  <c r="AH368" i="4"/>
  <c r="Q369" i="4"/>
  <c r="R369" i="4"/>
  <c r="X369" i="4" s="1"/>
  <c r="S369" i="4"/>
  <c r="T369" i="4"/>
  <c r="U369" i="4"/>
  <c r="V369" i="4"/>
  <c r="W369" i="4"/>
  <c r="Y369" i="4"/>
  <c r="Z369" i="4"/>
  <c r="AA369" i="4"/>
  <c r="AB369" i="4"/>
  <c r="AC369" i="4"/>
  <c r="AD369" i="4"/>
  <c r="AE369" i="4"/>
  <c r="AF369" i="4"/>
  <c r="AG369" i="4"/>
  <c r="AH369" i="4"/>
  <c r="Q370" i="4"/>
  <c r="AE370" i="4" s="1"/>
  <c r="R370" i="4"/>
  <c r="S370" i="4" s="1"/>
  <c r="T370" i="4"/>
  <c r="U370" i="4"/>
  <c r="V370" i="4"/>
  <c r="W370" i="4"/>
  <c r="X370" i="4"/>
  <c r="Y370" i="4"/>
  <c r="Z370" i="4"/>
  <c r="AA370" i="4"/>
  <c r="AB370" i="4"/>
  <c r="AC370" i="4"/>
  <c r="AD370" i="4"/>
  <c r="AF370" i="4"/>
  <c r="AG370" i="4"/>
  <c r="AH370" i="4"/>
  <c r="Q371" i="4"/>
  <c r="R371" i="4"/>
  <c r="X371" i="4" s="1"/>
  <c r="S371" i="4"/>
  <c r="T371" i="4"/>
  <c r="U371" i="4"/>
  <c r="V371" i="4"/>
  <c r="W371" i="4"/>
  <c r="Y371" i="4"/>
  <c r="Z371" i="4"/>
  <c r="AA371" i="4"/>
  <c r="AB371" i="4"/>
  <c r="AC371" i="4"/>
  <c r="AD371" i="4"/>
  <c r="AE371" i="4"/>
  <c r="AF371" i="4"/>
  <c r="AG371" i="4"/>
  <c r="AH371" i="4"/>
  <c r="Q372" i="4"/>
  <c r="AE372" i="4" s="1"/>
  <c r="R372" i="4"/>
  <c r="S372" i="4" s="1"/>
  <c r="T372" i="4"/>
  <c r="U372" i="4"/>
  <c r="V372" i="4"/>
  <c r="W372" i="4"/>
  <c r="X372" i="4"/>
  <c r="Y372" i="4"/>
  <c r="Z372" i="4"/>
  <c r="AA372" i="4"/>
  <c r="AB372" i="4"/>
  <c r="AC372" i="4"/>
  <c r="AD372" i="4"/>
  <c r="AF372" i="4"/>
  <c r="AG372" i="4"/>
  <c r="AH372" i="4"/>
  <c r="Q373" i="4"/>
  <c r="R373" i="4"/>
  <c r="X373" i="4" s="1"/>
  <c r="S373" i="4"/>
  <c r="T373" i="4"/>
  <c r="U373" i="4"/>
  <c r="V373" i="4"/>
  <c r="W373" i="4"/>
  <c r="Y373" i="4"/>
  <c r="Z373" i="4"/>
  <c r="AA373" i="4"/>
  <c r="AB373" i="4"/>
  <c r="AC373" i="4"/>
  <c r="AD373" i="4"/>
  <c r="AE373" i="4"/>
  <c r="AF373" i="4"/>
  <c r="AG373" i="4"/>
  <c r="AH373" i="4"/>
  <c r="Q374" i="4"/>
  <c r="AE374" i="4" s="1"/>
  <c r="R374" i="4"/>
  <c r="S374" i="4" s="1"/>
  <c r="T374" i="4"/>
  <c r="U374" i="4"/>
  <c r="V374" i="4"/>
  <c r="W374" i="4"/>
  <c r="X374" i="4"/>
  <c r="Y374" i="4"/>
  <c r="Z374" i="4"/>
  <c r="AA374" i="4"/>
  <c r="AB374" i="4"/>
  <c r="AC374" i="4"/>
  <c r="AD374" i="4"/>
  <c r="AF374" i="4"/>
  <c r="AG374" i="4"/>
  <c r="AH374" i="4"/>
  <c r="Q375" i="4"/>
  <c r="R375" i="4"/>
  <c r="X375" i="4" s="1"/>
  <c r="S375" i="4"/>
  <c r="T375" i="4"/>
  <c r="U375" i="4"/>
  <c r="V375" i="4"/>
  <c r="W375" i="4"/>
  <c r="Y375" i="4"/>
  <c r="Z375" i="4"/>
  <c r="AA375" i="4"/>
  <c r="AB375" i="4"/>
  <c r="AC375" i="4"/>
  <c r="AD375" i="4"/>
  <c r="AE375" i="4"/>
  <c r="AF375" i="4"/>
  <c r="AG375" i="4"/>
  <c r="AH375" i="4"/>
  <c r="Q376" i="4"/>
  <c r="AE376" i="4" s="1"/>
  <c r="R376" i="4"/>
  <c r="S376" i="4" s="1"/>
  <c r="T376" i="4"/>
  <c r="U376" i="4"/>
  <c r="V376" i="4"/>
  <c r="W376" i="4"/>
  <c r="X376" i="4"/>
  <c r="Y376" i="4"/>
  <c r="Z376" i="4"/>
  <c r="AA376" i="4"/>
  <c r="AB376" i="4"/>
  <c r="AC376" i="4"/>
  <c r="AD376" i="4"/>
  <c r="AF376" i="4"/>
  <c r="AG376" i="4"/>
  <c r="AH376" i="4"/>
  <c r="Q377" i="4"/>
  <c r="R377" i="4"/>
  <c r="X377" i="4" s="1"/>
  <c r="S377" i="4"/>
  <c r="T377" i="4"/>
  <c r="U377" i="4"/>
  <c r="V377" i="4"/>
  <c r="W377" i="4"/>
  <c r="Y377" i="4"/>
  <c r="Z377" i="4"/>
  <c r="AA377" i="4"/>
  <c r="AB377" i="4"/>
  <c r="AC377" i="4"/>
  <c r="AD377" i="4"/>
  <c r="AE377" i="4"/>
  <c r="AF377" i="4"/>
  <c r="AG377" i="4"/>
  <c r="AH377" i="4"/>
  <c r="Q378" i="4"/>
  <c r="AE378" i="4" s="1"/>
  <c r="R378" i="4"/>
  <c r="S378" i="4" s="1"/>
  <c r="T378" i="4"/>
  <c r="U378" i="4"/>
  <c r="V378" i="4"/>
  <c r="W378" i="4"/>
  <c r="X378" i="4"/>
  <c r="Y378" i="4"/>
  <c r="Z378" i="4"/>
  <c r="AA378" i="4"/>
  <c r="AB378" i="4"/>
  <c r="AC378" i="4"/>
  <c r="AD378" i="4"/>
  <c r="AF378" i="4"/>
  <c r="AG378" i="4"/>
  <c r="AH378" i="4"/>
  <c r="Q379" i="4"/>
  <c r="R379" i="4"/>
  <c r="X379" i="4" s="1"/>
  <c r="S379" i="4"/>
  <c r="T379" i="4"/>
  <c r="U379" i="4"/>
  <c r="V379" i="4"/>
  <c r="W379" i="4"/>
  <c r="Y379" i="4"/>
  <c r="Z379" i="4"/>
  <c r="AA379" i="4"/>
  <c r="AB379" i="4"/>
  <c r="AC379" i="4"/>
  <c r="AD379" i="4"/>
  <c r="AE379" i="4"/>
  <c r="AF379" i="4"/>
  <c r="AG379" i="4"/>
  <c r="AH379" i="4"/>
  <c r="Q380" i="4"/>
  <c r="AE380" i="4" s="1"/>
  <c r="R380" i="4"/>
  <c r="S380" i="4" s="1"/>
  <c r="T380" i="4"/>
  <c r="U380" i="4"/>
  <c r="V380" i="4"/>
  <c r="W380" i="4"/>
  <c r="X380" i="4"/>
  <c r="Y380" i="4"/>
  <c r="Z380" i="4"/>
  <c r="AA380" i="4"/>
  <c r="AB380" i="4"/>
  <c r="AC380" i="4"/>
  <c r="AD380" i="4"/>
  <c r="AF380" i="4"/>
  <c r="AG380" i="4"/>
  <c r="AH380" i="4"/>
  <c r="Q381" i="4"/>
  <c r="R381" i="4"/>
  <c r="X381" i="4" s="1"/>
  <c r="S381" i="4"/>
  <c r="T381" i="4"/>
  <c r="U381" i="4"/>
  <c r="V381" i="4"/>
  <c r="W381" i="4"/>
  <c r="Y381" i="4"/>
  <c r="Z381" i="4"/>
  <c r="AA381" i="4"/>
  <c r="AB381" i="4"/>
  <c r="AC381" i="4"/>
  <c r="AD381" i="4"/>
  <c r="AE381" i="4"/>
  <c r="AF381" i="4"/>
  <c r="AG381" i="4"/>
  <c r="AH381" i="4"/>
  <c r="Q382" i="4"/>
  <c r="AE382" i="4" s="1"/>
  <c r="R382" i="4"/>
  <c r="S382" i="4" s="1"/>
  <c r="T382" i="4"/>
  <c r="U382" i="4"/>
  <c r="V382" i="4"/>
  <c r="W382" i="4"/>
  <c r="X382" i="4"/>
  <c r="Y382" i="4"/>
  <c r="Z382" i="4"/>
  <c r="AA382" i="4"/>
  <c r="AB382" i="4"/>
  <c r="AC382" i="4"/>
  <c r="AD382" i="4"/>
  <c r="AF382" i="4"/>
  <c r="AG382" i="4"/>
  <c r="AH382" i="4"/>
  <c r="Q383" i="4"/>
  <c r="R383" i="4"/>
  <c r="X383" i="4" s="1"/>
  <c r="S383" i="4"/>
  <c r="T383" i="4"/>
  <c r="U383" i="4"/>
  <c r="V383" i="4"/>
  <c r="W383" i="4"/>
  <c r="Y383" i="4"/>
  <c r="Z383" i="4"/>
  <c r="AA383" i="4"/>
  <c r="AB383" i="4"/>
  <c r="AC383" i="4"/>
  <c r="AD383" i="4"/>
  <c r="AE383" i="4"/>
  <c r="AF383" i="4"/>
  <c r="AG383" i="4"/>
  <c r="AH383" i="4"/>
  <c r="Q384" i="4"/>
  <c r="AE384" i="4" s="1"/>
  <c r="R384" i="4"/>
  <c r="S384" i="4" s="1"/>
  <c r="T384" i="4"/>
  <c r="U384" i="4"/>
  <c r="V384" i="4"/>
  <c r="W384" i="4"/>
  <c r="X384" i="4"/>
  <c r="Y384" i="4"/>
  <c r="Z384" i="4"/>
  <c r="AA384" i="4"/>
  <c r="AB384" i="4"/>
  <c r="AC384" i="4"/>
  <c r="AD384" i="4"/>
  <c r="AF384" i="4"/>
  <c r="AG384" i="4"/>
  <c r="AH384" i="4"/>
  <c r="Q385" i="4"/>
  <c r="R385" i="4"/>
  <c r="X385" i="4" s="1"/>
  <c r="S385" i="4"/>
  <c r="T385" i="4"/>
  <c r="U385" i="4"/>
  <c r="V385" i="4"/>
  <c r="W385" i="4"/>
  <c r="Y385" i="4"/>
  <c r="Z385" i="4"/>
  <c r="AA385" i="4"/>
  <c r="AB385" i="4"/>
  <c r="AC385" i="4"/>
  <c r="AD385" i="4"/>
  <c r="AE385" i="4"/>
  <c r="AF385" i="4"/>
  <c r="AG385" i="4"/>
  <c r="AH385" i="4"/>
  <c r="Q386" i="4"/>
  <c r="AE386" i="4" s="1"/>
  <c r="R386" i="4"/>
  <c r="S386" i="4" s="1"/>
  <c r="T386" i="4"/>
  <c r="U386" i="4"/>
  <c r="V386" i="4"/>
  <c r="W386" i="4"/>
  <c r="X386" i="4"/>
  <c r="Y386" i="4"/>
  <c r="Z386" i="4"/>
  <c r="AA386" i="4"/>
  <c r="AB386" i="4"/>
  <c r="AC386" i="4"/>
  <c r="AD386" i="4"/>
  <c r="AF386" i="4"/>
  <c r="AG386" i="4"/>
  <c r="AH386" i="4"/>
  <c r="Q387" i="4"/>
  <c r="R387" i="4"/>
  <c r="X387" i="4" s="1"/>
  <c r="S387" i="4"/>
  <c r="T387" i="4"/>
  <c r="U387" i="4"/>
  <c r="V387" i="4"/>
  <c r="W387" i="4"/>
  <c r="Y387" i="4"/>
  <c r="Z387" i="4"/>
  <c r="AA387" i="4"/>
  <c r="AB387" i="4"/>
  <c r="AC387" i="4"/>
  <c r="AD387" i="4"/>
  <c r="AE387" i="4"/>
  <c r="AF387" i="4"/>
  <c r="AG387" i="4"/>
  <c r="AH387" i="4"/>
  <c r="Q388" i="4"/>
  <c r="AE388" i="4" s="1"/>
  <c r="R388" i="4"/>
  <c r="S388" i="4" s="1"/>
  <c r="T388" i="4"/>
  <c r="U388" i="4"/>
  <c r="V388" i="4"/>
  <c r="W388" i="4"/>
  <c r="X388" i="4"/>
  <c r="Y388" i="4"/>
  <c r="Z388" i="4"/>
  <c r="AA388" i="4"/>
  <c r="AB388" i="4"/>
  <c r="AC388" i="4"/>
  <c r="AD388" i="4"/>
  <c r="AF388" i="4"/>
  <c r="AG388" i="4"/>
  <c r="AH388" i="4"/>
  <c r="Q389" i="4"/>
  <c r="R389" i="4"/>
  <c r="X389" i="4" s="1"/>
  <c r="S389" i="4"/>
  <c r="T389" i="4"/>
  <c r="U389" i="4"/>
  <c r="V389" i="4"/>
  <c r="W389" i="4"/>
  <c r="Y389" i="4"/>
  <c r="Z389" i="4"/>
  <c r="AA389" i="4"/>
  <c r="AB389" i="4"/>
  <c r="AC389" i="4"/>
  <c r="AD389" i="4"/>
  <c r="AE389" i="4"/>
  <c r="AF389" i="4"/>
  <c r="AG389" i="4"/>
  <c r="AH389" i="4"/>
  <c r="Q390" i="4"/>
  <c r="AE390" i="4" s="1"/>
  <c r="R390" i="4"/>
  <c r="S390" i="4" s="1"/>
  <c r="T390" i="4"/>
  <c r="U390" i="4"/>
  <c r="V390" i="4"/>
  <c r="W390" i="4"/>
  <c r="X390" i="4"/>
  <c r="Y390" i="4"/>
  <c r="Z390" i="4"/>
  <c r="AA390" i="4"/>
  <c r="AB390" i="4"/>
  <c r="AC390" i="4"/>
  <c r="AD390" i="4"/>
  <c r="AF390" i="4"/>
  <c r="AG390" i="4"/>
  <c r="AH390" i="4"/>
  <c r="Q391" i="4"/>
  <c r="R391" i="4"/>
  <c r="X391" i="4" s="1"/>
  <c r="S391" i="4"/>
  <c r="T391" i="4"/>
  <c r="U391" i="4"/>
  <c r="V391" i="4"/>
  <c r="W391" i="4"/>
  <c r="Y391" i="4"/>
  <c r="Z391" i="4"/>
  <c r="AA391" i="4"/>
  <c r="AB391" i="4"/>
  <c r="AC391" i="4"/>
  <c r="AD391" i="4"/>
  <c r="AE391" i="4"/>
  <c r="AF391" i="4"/>
  <c r="AG391" i="4"/>
  <c r="AH391" i="4"/>
  <c r="Q392" i="4"/>
  <c r="AE392" i="4" s="1"/>
  <c r="R392" i="4"/>
  <c r="S392" i="4" s="1"/>
  <c r="T392" i="4"/>
  <c r="U392" i="4"/>
  <c r="V392" i="4"/>
  <c r="W392" i="4"/>
  <c r="X392" i="4"/>
  <c r="Y392" i="4"/>
  <c r="Z392" i="4"/>
  <c r="AA392" i="4"/>
  <c r="AB392" i="4"/>
  <c r="AC392" i="4"/>
  <c r="AD392" i="4"/>
  <c r="AF392" i="4"/>
  <c r="AG392" i="4"/>
  <c r="AH392" i="4"/>
  <c r="Q393" i="4"/>
  <c r="R393" i="4"/>
  <c r="X393" i="4" s="1"/>
  <c r="S393" i="4"/>
  <c r="T393" i="4"/>
  <c r="U393" i="4"/>
  <c r="V393" i="4"/>
  <c r="W393" i="4"/>
  <c r="Y393" i="4"/>
  <c r="Z393" i="4"/>
  <c r="AA393" i="4"/>
  <c r="AB393" i="4"/>
  <c r="AC393" i="4"/>
  <c r="AD393" i="4"/>
  <c r="AE393" i="4"/>
  <c r="AF393" i="4"/>
  <c r="AG393" i="4"/>
  <c r="AH393" i="4"/>
  <c r="Q394" i="4"/>
  <c r="AE394" i="4" s="1"/>
  <c r="R394" i="4"/>
  <c r="S394" i="4" s="1"/>
  <c r="T394" i="4"/>
  <c r="U394" i="4"/>
  <c r="V394" i="4"/>
  <c r="W394" i="4"/>
  <c r="X394" i="4"/>
  <c r="Y394" i="4"/>
  <c r="Z394" i="4"/>
  <c r="AA394" i="4"/>
  <c r="AB394" i="4"/>
  <c r="AC394" i="4"/>
  <c r="AD394" i="4"/>
  <c r="AF394" i="4"/>
  <c r="AG394" i="4"/>
  <c r="AH394" i="4"/>
  <c r="Q395" i="4"/>
  <c r="R395" i="4"/>
  <c r="X395" i="4" s="1"/>
  <c r="S395" i="4"/>
  <c r="T395" i="4"/>
  <c r="U395" i="4"/>
  <c r="V395" i="4"/>
  <c r="W395" i="4"/>
  <c r="Y395" i="4"/>
  <c r="Z395" i="4"/>
  <c r="AA395" i="4"/>
  <c r="AB395" i="4"/>
  <c r="AC395" i="4"/>
  <c r="AD395" i="4"/>
  <c r="AE395" i="4"/>
  <c r="AF395" i="4"/>
  <c r="AG395" i="4"/>
  <c r="AH395" i="4"/>
  <c r="Q396" i="4"/>
  <c r="AE396" i="4" s="1"/>
  <c r="R396" i="4"/>
  <c r="S396" i="4" s="1"/>
  <c r="T396" i="4"/>
  <c r="U396" i="4"/>
  <c r="V396" i="4"/>
  <c r="W396" i="4"/>
  <c r="X396" i="4"/>
  <c r="Y396" i="4"/>
  <c r="Z396" i="4"/>
  <c r="AA396" i="4"/>
  <c r="AB396" i="4"/>
  <c r="AC396" i="4"/>
  <c r="AD396" i="4"/>
  <c r="AF396" i="4"/>
  <c r="AG396" i="4"/>
  <c r="AH396" i="4"/>
  <c r="Q397" i="4"/>
  <c r="R397" i="4"/>
  <c r="X397" i="4" s="1"/>
  <c r="S397" i="4"/>
  <c r="T397" i="4"/>
  <c r="U397" i="4"/>
  <c r="V397" i="4"/>
  <c r="W397" i="4"/>
  <c r="Y397" i="4"/>
  <c r="Z397" i="4"/>
  <c r="AA397" i="4"/>
  <c r="AB397" i="4"/>
  <c r="AC397" i="4"/>
  <c r="AD397" i="4"/>
  <c r="AE397" i="4"/>
  <c r="AF397" i="4"/>
  <c r="AG397" i="4"/>
  <c r="AH397" i="4"/>
  <c r="Q398" i="4"/>
  <c r="AE398" i="4" s="1"/>
  <c r="R398" i="4"/>
  <c r="S398" i="4" s="1"/>
  <c r="T398" i="4"/>
  <c r="U398" i="4"/>
  <c r="V398" i="4"/>
  <c r="W398" i="4"/>
  <c r="X398" i="4"/>
  <c r="Y398" i="4"/>
  <c r="Z398" i="4"/>
  <c r="AA398" i="4"/>
  <c r="AB398" i="4"/>
  <c r="AC398" i="4"/>
  <c r="AD398" i="4"/>
  <c r="AF398" i="4"/>
  <c r="AG398" i="4"/>
  <c r="AH398" i="4"/>
  <c r="Q399" i="4"/>
  <c r="R399" i="4"/>
  <c r="X399" i="4" s="1"/>
  <c r="S399" i="4"/>
  <c r="T399" i="4"/>
  <c r="U399" i="4"/>
  <c r="V399" i="4"/>
  <c r="W399" i="4"/>
  <c r="Y399" i="4"/>
  <c r="Z399" i="4"/>
  <c r="AA399" i="4"/>
  <c r="AB399" i="4"/>
  <c r="AC399" i="4"/>
  <c r="AD399" i="4"/>
  <c r="AE399" i="4"/>
  <c r="AF399" i="4"/>
  <c r="AG399" i="4"/>
  <c r="AH399" i="4"/>
  <c r="Q400" i="4"/>
  <c r="AE400" i="4" s="1"/>
  <c r="R400" i="4"/>
  <c r="S400" i="4" s="1"/>
  <c r="T400" i="4"/>
  <c r="U400" i="4"/>
  <c r="V400" i="4"/>
  <c r="W400" i="4"/>
  <c r="X400" i="4"/>
  <c r="Y400" i="4"/>
  <c r="Z400" i="4"/>
  <c r="AA400" i="4"/>
  <c r="AB400" i="4"/>
  <c r="AC400" i="4"/>
  <c r="AD400" i="4"/>
  <c r="AF400" i="4"/>
  <c r="AG400" i="4"/>
  <c r="AH400" i="4"/>
  <c r="Q401" i="4"/>
  <c r="R401" i="4"/>
  <c r="X401" i="4" s="1"/>
  <c r="S401" i="4"/>
  <c r="T401" i="4"/>
  <c r="U401" i="4"/>
  <c r="V401" i="4"/>
  <c r="W401" i="4"/>
  <c r="Y401" i="4"/>
  <c r="Z401" i="4"/>
  <c r="AA401" i="4"/>
  <c r="AB401" i="4"/>
  <c r="AC401" i="4"/>
  <c r="AD401" i="4"/>
  <c r="AE401" i="4"/>
  <c r="AF401" i="4"/>
  <c r="AG401" i="4"/>
  <c r="AH401" i="4"/>
  <c r="Q402" i="4"/>
  <c r="AE402" i="4" s="1"/>
  <c r="R402" i="4"/>
  <c r="S402" i="4" s="1"/>
  <c r="T402" i="4"/>
  <c r="U402" i="4"/>
  <c r="V402" i="4"/>
  <c r="W402" i="4"/>
  <c r="X402" i="4"/>
  <c r="Y402" i="4"/>
  <c r="Z402" i="4"/>
  <c r="AA402" i="4"/>
  <c r="AB402" i="4"/>
  <c r="AC402" i="4"/>
  <c r="AD402" i="4"/>
  <c r="AF402" i="4"/>
  <c r="AG402" i="4"/>
  <c r="AH402" i="4"/>
  <c r="Q403" i="4"/>
  <c r="R403" i="4"/>
  <c r="X403" i="4" s="1"/>
  <c r="S403" i="4"/>
  <c r="T403" i="4"/>
  <c r="U403" i="4"/>
  <c r="V403" i="4"/>
  <c r="W403" i="4"/>
  <c r="Y403" i="4"/>
  <c r="Z403" i="4"/>
  <c r="AA403" i="4"/>
  <c r="AB403" i="4"/>
  <c r="AC403" i="4"/>
  <c r="AD403" i="4"/>
  <c r="AE403" i="4"/>
  <c r="AF403" i="4"/>
  <c r="AG403" i="4"/>
  <c r="AH403" i="4"/>
  <c r="Q404" i="4"/>
  <c r="AE404" i="4" s="1"/>
  <c r="R404" i="4"/>
  <c r="S404" i="4" s="1"/>
  <c r="T404" i="4"/>
  <c r="U404" i="4"/>
  <c r="V404" i="4"/>
  <c r="W404" i="4"/>
  <c r="X404" i="4"/>
  <c r="Y404" i="4"/>
  <c r="Z404" i="4"/>
  <c r="AA404" i="4"/>
  <c r="AB404" i="4"/>
  <c r="AC404" i="4"/>
  <c r="AD404" i="4"/>
  <c r="AF404" i="4"/>
  <c r="AG404" i="4"/>
  <c r="AH404" i="4"/>
  <c r="Q405" i="4"/>
  <c r="R405" i="4"/>
  <c r="X405" i="4" s="1"/>
  <c r="S405" i="4"/>
  <c r="T405" i="4"/>
  <c r="U405" i="4"/>
  <c r="V405" i="4"/>
  <c r="W405" i="4"/>
  <c r="Y405" i="4"/>
  <c r="Z405" i="4"/>
  <c r="AA405" i="4"/>
  <c r="AB405" i="4"/>
  <c r="AC405" i="4"/>
  <c r="AD405" i="4"/>
  <c r="AE405" i="4"/>
  <c r="AF405" i="4"/>
  <c r="AG405" i="4"/>
  <c r="AH405" i="4"/>
  <c r="Q406" i="4"/>
  <c r="AE406" i="4" s="1"/>
  <c r="R406" i="4"/>
  <c r="S406" i="4" s="1"/>
  <c r="T406" i="4"/>
  <c r="U406" i="4"/>
  <c r="V406" i="4"/>
  <c r="W406" i="4"/>
  <c r="X406" i="4"/>
  <c r="Y406" i="4"/>
  <c r="Z406" i="4"/>
  <c r="AA406" i="4"/>
  <c r="AB406" i="4"/>
  <c r="AC406" i="4"/>
  <c r="AD406" i="4"/>
  <c r="AF406" i="4"/>
  <c r="AG406" i="4"/>
  <c r="AH406" i="4"/>
  <c r="Q407" i="4"/>
  <c r="R407" i="4"/>
  <c r="X407" i="4" s="1"/>
  <c r="S407" i="4"/>
  <c r="T407" i="4"/>
  <c r="U407" i="4"/>
  <c r="V407" i="4"/>
  <c r="W407" i="4"/>
  <c r="Y407" i="4"/>
  <c r="Z407" i="4"/>
  <c r="AA407" i="4"/>
  <c r="AB407" i="4"/>
  <c r="AC407" i="4"/>
  <c r="AD407" i="4"/>
  <c r="AE407" i="4"/>
  <c r="AF407" i="4"/>
  <c r="AG407" i="4"/>
  <c r="AH407" i="4"/>
  <c r="Q408" i="4"/>
  <c r="AE408" i="4" s="1"/>
  <c r="R408" i="4"/>
  <c r="S408" i="4" s="1"/>
  <c r="T408" i="4"/>
  <c r="U408" i="4"/>
  <c r="V408" i="4"/>
  <c r="W408" i="4"/>
  <c r="X408" i="4"/>
  <c r="Y408" i="4"/>
  <c r="Z408" i="4"/>
  <c r="AA408" i="4"/>
  <c r="AB408" i="4"/>
  <c r="AC408" i="4"/>
  <c r="AD408" i="4"/>
  <c r="AF408" i="4"/>
  <c r="AG408" i="4"/>
  <c r="AH408" i="4"/>
  <c r="Q409" i="4"/>
  <c r="R409" i="4"/>
  <c r="X409" i="4" s="1"/>
  <c r="S409" i="4"/>
  <c r="T409" i="4"/>
  <c r="U409" i="4"/>
  <c r="V409" i="4"/>
  <c r="W409" i="4"/>
  <c r="Y409" i="4"/>
  <c r="Z409" i="4"/>
  <c r="AA409" i="4"/>
  <c r="AB409" i="4"/>
  <c r="AC409" i="4"/>
  <c r="AD409" i="4"/>
  <c r="AE409" i="4"/>
  <c r="AF409" i="4"/>
  <c r="AG409" i="4"/>
  <c r="AH409" i="4"/>
  <c r="Q410" i="4"/>
  <c r="AE410" i="4" s="1"/>
  <c r="R410" i="4"/>
  <c r="S410" i="4" s="1"/>
  <c r="T410" i="4"/>
  <c r="U410" i="4"/>
  <c r="V410" i="4"/>
  <c r="W410" i="4"/>
  <c r="X410" i="4"/>
  <c r="Y410" i="4"/>
  <c r="Z410" i="4"/>
  <c r="AA410" i="4"/>
  <c r="AB410" i="4"/>
  <c r="AC410" i="4"/>
  <c r="AD410" i="4"/>
  <c r="AF410" i="4"/>
  <c r="AG410" i="4"/>
  <c r="AH410" i="4"/>
  <c r="Q411" i="4"/>
  <c r="R411" i="4"/>
  <c r="X411" i="4" s="1"/>
  <c r="S411" i="4"/>
  <c r="T411" i="4"/>
  <c r="U411" i="4"/>
  <c r="V411" i="4"/>
  <c r="W411" i="4"/>
  <c r="Y411" i="4"/>
  <c r="Z411" i="4"/>
  <c r="AA411" i="4"/>
  <c r="AB411" i="4"/>
  <c r="AC411" i="4"/>
  <c r="AD411" i="4"/>
  <c r="AE411" i="4"/>
  <c r="AF411" i="4"/>
  <c r="AG411" i="4"/>
  <c r="AH411" i="4"/>
  <c r="Q412" i="4"/>
  <c r="AE412" i="4" s="1"/>
  <c r="R412" i="4"/>
  <c r="S412" i="4" s="1"/>
  <c r="T412" i="4"/>
  <c r="U412" i="4"/>
  <c r="V412" i="4"/>
  <c r="W412" i="4"/>
  <c r="X412" i="4"/>
  <c r="Y412" i="4"/>
  <c r="Z412" i="4"/>
  <c r="AA412" i="4"/>
  <c r="AB412" i="4"/>
  <c r="AC412" i="4"/>
  <c r="AD412" i="4"/>
  <c r="AF412" i="4"/>
  <c r="AG412" i="4"/>
  <c r="AH412" i="4"/>
  <c r="Q413" i="4"/>
  <c r="R413" i="4"/>
  <c r="X413" i="4" s="1"/>
  <c r="S413" i="4"/>
  <c r="T413" i="4"/>
  <c r="U413" i="4"/>
  <c r="V413" i="4"/>
  <c r="W413" i="4"/>
  <c r="Y413" i="4"/>
  <c r="Z413" i="4"/>
  <c r="AA413" i="4"/>
  <c r="AB413" i="4"/>
  <c r="AC413" i="4"/>
  <c r="AD413" i="4"/>
  <c r="AE413" i="4"/>
  <c r="AF413" i="4"/>
  <c r="AG413" i="4"/>
  <c r="AH413" i="4"/>
  <c r="Q414" i="4"/>
  <c r="AE414" i="4" s="1"/>
  <c r="R414" i="4"/>
  <c r="S414" i="4" s="1"/>
  <c r="T414" i="4"/>
  <c r="U414" i="4"/>
  <c r="V414" i="4"/>
  <c r="W414" i="4"/>
  <c r="X414" i="4"/>
  <c r="Y414" i="4"/>
  <c r="Z414" i="4"/>
  <c r="AA414" i="4"/>
  <c r="AB414" i="4"/>
  <c r="AC414" i="4"/>
  <c r="AD414" i="4"/>
  <c r="AF414" i="4"/>
  <c r="AG414" i="4"/>
  <c r="AH414" i="4"/>
  <c r="Q415" i="4"/>
  <c r="R415" i="4"/>
  <c r="X415" i="4" s="1"/>
  <c r="S415" i="4"/>
  <c r="T415" i="4"/>
  <c r="U415" i="4"/>
  <c r="V415" i="4"/>
  <c r="W415" i="4"/>
  <c r="Y415" i="4"/>
  <c r="Z415" i="4"/>
  <c r="AA415" i="4"/>
  <c r="AB415" i="4"/>
  <c r="AC415" i="4"/>
  <c r="AD415" i="4"/>
  <c r="AE415" i="4"/>
  <c r="AF415" i="4"/>
  <c r="AG415" i="4"/>
  <c r="AH415" i="4"/>
  <c r="Q416" i="4"/>
  <c r="AE416" i="4" s="1"/>
  <c r="R416" i="4"/>
  <c r="S416" i="4" s="1"/>
  <c r="T416" i="4"/>
  <c r="U416" i="4"/>
  <c r="V416" i="4"/>
  <c r="W416" i="4"/>
  <c r="X416" i="4"/>
  <c r="Y416" i="4"/>
  <c r="Z416" i="4"/>
  <c r="AA416" i="4"/>
  <c r="AB416" i="4"/>
  <c r="AC416" i="4"/>
  <c r="AD416" i="4"/>
  <c r="AF416" i="4"/>
  <c r="AG416" i="4"/>
  <c r="AH416" i="4"/>
  <c r="Q417" i="4"/>
  <c r="R417" i="4"/>
  <c r="X417" i="4" s="1"/>
  <c r="S417" i="4"/>
  <c r="T417" i="4"/>
  <c r="U417" i="4"/>
  <c r="V417" i="4"/>
  <c r="W417" i="4"/>
  <c r="Y417" i="4"/>
  <c r="Z417" i="4"/>
  <c r="AA417" i="4"/>
  <c r="AB417" i="4"/>
  <c r="AC417" i="4"/>
  <c r="AD417" i="4"/>
  <c r="AE417" i="4"/>
  <c r="AF417" i="4"/>
  <c r="AG417" i="4"/>
  <c r="AH417" i="4"/>
  <c r="Q418" i="4"/>
  <c r="AE418" i="4" s="1"/>
  <c r="R418" i="4"/>
  <c r="S418" i="4" s="1"/>
  <c r="T418" i="4"/>
  <c r="U418" i="4"/>
  <c r="V418" i="4"/>
  <c r="W418" i="4"/>
  <c r="X418" i="4"/>
  <c r="Y418" i="4"/>
  <c r="Z418" i="4"/>
  <c r="AA418" i="4"/>
  <c r="AB418" i="4"/>
  <c r="AC418" i="4"/>
  <c r="AD418" i="4"/>
  <c r="AF418" i="4"/>
  <c r="AG418" i="4"/>
  <c r="AH418" i="4"/>
  <c r="Q419" i="4"/>
  <c r="R419" i="4"/>
  <c r="X419" i="4" s="1"/>
  <c r="S419" i="4"/>
  <c r="T419" i="4"/>
  <c r="U419" i="4"/>
  <c r="V419" i="4"/>
  <c r="W419" i="4"/>
  <c r="Y419" i="4"/>
  <c r="Z419" i="4"/>
  <c r="AA419" i="4"/>
  <c r="AB419" i="4"/>
  <c r="AC419" i="4"/>
  <c r="AD419" i="4"/>
  <c r="AE419" i="4"/>
  <c r="AF419" i="4"/>
  <c r="AG419" i="4"/>
  <c r="AH419" i="4"/>
  <c r="Q420" i="4"/>
  <c r="AE420" i="4" s="1"/>
  <c r="R420" i="4"/>
  <c r="S420" i="4" s="1"/>
  <c r="T420" i="4"/>
  <c r="U420" i="4"/>
  <c r="V420" i="4"/>
  <c r="W420" i="4"/>
  <c r="X420" i="4"/>
  <c r="Y420" i="4"/>
  <c r="Z420" i="4"/>
  <c r="AA420" i="4"/>
  <c r="AB420" i="4"/>
  <c r="AC420" i="4"/>
  <c r="AD420" i="4"/>
  <c r="AF420" i="4"/>
  <c r="AG420" i="4"/>
  <c r="AH420" i="4"/>
  <c r="Q421" i="4"/>
  <c r="R421" i="4"/>
  <c r="X421" i="4" s="1"/>
  <c r="S421" i="4"/>
  <c r="T421" i="4"/>
  <c r="U421" i="4"/>
  <c r="V421" i="4"/>
  <c r="W421" i="4"/>
  <c r="Y421" i="4"/>
  <c r="Z421" i="4"/>
  <c r="AA421" i="4"/>
  <c r="AB421" i="4"/>
  <c r="AC421" i="4"/>
  <c r="AD421" i="4"/>
  <c r="AE421" i="4"/>
  <c r="AF421" i="4"/>
  <c r="AG421" i="4"/>
  <c r="AH421" i="4"/>
  <c r="Q422" i="4"/>
  <c r="AE422" i="4" s="1"/>
  <c r="R422" i="4"/>
  <c r="S422" i="4" s="1"/>
  <c r="T422" i="4"/>
  <c r="U422" i="4"/>
  <c r="V422" i="4"/>
  <c r="W422" i="4"/>
  <c r="X422" i="4"/>
  <c r="Y422" i="4"/>
  <c r="Z422" i="4"/>
  <c r="AA422" i="4"/>
  <c r="AB422" i="4"/>
  <c r="AC422" i="4"/>
  <c r="AD422" i="4"/>
  <c r="AF422" i="4"/>
  <c r="AG422" i="4"/>
  <c r="AH422" i="4"/>
  <c r="Q423" i="4"/>
  <c r="R423" i="4"/>
  <c r="X423" i="4" s="1"/>
  <c r="S423" i="4"/>
  <c r="T423" i="4"/>
  <c r="U423" i="4"/>
  <c r="V423" i="4"/>
  <c r="W423" i="4"/>
  <c r="Y423" i="4"/>
  <c r="Z423" i="4"/>
  <c r="AA423" i="4"/>
  <c r="AB423" i="4"/>
  <c r="AC423" i="4"/>
  <c r="AD423" i="4"/>
  <c r="AE423" i="4"/>
  <c r="AF423" i="4"/>
  <c r="AG423" i="4"/>
  <c r="AH423" i="4"/>
  <c r="Q424" i="4"/>
  <c r="AE424" i="4" s="1"/>
  <c r="R424" i="4"/>
  <c r="S424" i="4" s="1"/>
  <c r="T424" i="4"/>
  <c r="U424" i="4"/>
  <c r="V424" i="4"/>
  <c r="W424" i="4"/>
  <c r="X424" i="4"/>
  <c r="Y424" i="4"/>
  <c r="Z424" i="4"/>
  <c r="AA424" i="4"/>
  <c r="AB424" i="4"/>
  <c r="AC424" i="4"/>
  <c r="AD424" i="4"/>
  <c r="AF424" i="4"/>
  <c r="AG424" i="4"/>
  <c r="AH424" i="4"/>
  <c r="Q425" i="4"/>
  <c r="R425" i="4"/>
  <c r="X425" i="4" s="1"/>
  <c r="S425" i="4"/>
  <c r="T425" i="4"/>
  <c r="U425" i="4"/>
  <c r="V425" i="4"/>
  <c r="W425" i="4"/>
  <c r="Y425" i="4"/>
  <c r="Z425" i="4"/>
  <c r="AA425" i="4"/>
  <c r="AB425" i="4"/>
  <c r="AC425" i="4"/>
  <c r="AD425" i="4"/>
  <c r="AE425" i="4"/>
  <c r="AF425" i="4"/>
  <c r="AG425" i="4"/>
  <c r="AH425" i="4"/>
  <c r="Q426" i="4"/>
  <c r="AE426" i="4" s="1"/>
  <c r="R426" i="4"/>
  <c r="S426" i="4" s="1"/>
  <c r="T426" i="4"/>
  <c r="U426" i="4"/>
  <c r="V426" i="4"/>
  <c r="W426" i="4"/>
  <c r="X426" i="4"/>
  <c r="Y426" i="4"/>
  <c r="Z426" i="4"/>
  <c r="AA426" i="4"/>
  <c r="AB426" i="4"/>
  <c r="AC426" i="4"/>
  <c r="AD426" i="4"/>
  <c r="AF426" i="4"/>
  <c r="AG426" i="4"/>
  <c r="AH426" i="4"/>
  <c r="Q427" i="4"/>
  <c r="R427" i="4"/>
  <c r="X427" i="4" s="1"/>
  <c r="S427" i="4"/>
  <c r="T427" i="4"/>
  <c r="U427" i="4"/>
  <c r="V427" i="4"/>
  <c r="W427" i="4"/>
  <c r="Y427" i="4"/>
  <c r="Z427" i="4"/>
  <c r="AA427" i="4"/>
  <c r="AB427" i="4"/>
  <c r="AC427" i="4"/>
  <c r="AD427" i="4"/>
  <c r="AE427" i="4"/>
  <c r="AF427" i="4"/>
  <c r="AG427" i="4"/>
  <c r="AH427" i="4"/>
  <c r="Q428" i="4"/>
  <c r="AE428" i="4" s="1"/>
  <c r="R428" i="4"/>
  <c r="S428" i="4" s="1"/>
  <c r="T428" i="4"/>
  <c r="U428" i="4"/>
  <c r="V428" i="4"/>
  <c r="W428" i="4"/>
  <c r="X428" i="4"/>
  <c r="Y428" i="4"/>
  <c r="Z428" i="4"/>
  <c r="AA428" i="4"/>
  <c r="AB428" i="4"/>
  <c r="AC428" i="4"/>
  <c r="AD428" i="4"/>
  <c r="AF428" i="4"/>
  <c r="AG428" i="4"/>
  <c r="AH428" i="4"/>
  <c r="Q429" i="4"/>
  <c r="R429" i="4"/>
  <c r="X429" i="4" s="1"/>
  <c r="S429" i="4"/>
  <c r="T429" i="4"/>
  <c r="U429" i="4"/>
  <c r="V429" i="4"/>
  <c r="W429" i="4"/>
  <c r="Y429" i="4"/>
  <c r="Z429" i="4"/>
  <c r="AA429" i="4"/>
  <c r="AB429" i="4"/>
  <c r="AC429" i="4"/>
  <c r="AD429" i="4"/>
  <c r="AE429" i="4"/>
  <c r="AF429" i="4"/>
  <c r="AG429" i="4"/>
  <c r="AH429" i="4"/>
  <c r="Q430" i="4"/>
  <c r="AE430" i="4" s="1"/>
  <c r="R430" i="4"/>
  <c r="S430" i="4" s="1"/>
  <c r="T430" i="4"/>
  <c r="U430" i="4"/>
  <c r="V430" i="4"/>
  <c r="W430" i="4"/>
  <c r="X430" i="4"/>
  <c r="Y430" i="4"/>
  <c r="Z430" i="4"/>
  <c r="AA430" i="4"/>
  <c r="AB430" i="4"/>
  <c r="AC430" i="4"/>
  <c r="AD430" i="4"/>
  <c r="AF430" i="4"/>
  <c r="AG430" i="4"/>
  <c r="AH430" i="4"/>
  <c r="Q431" i="4"/>
  <c r="R431" i="4"/>
  <c r="X431" i="4" s="1"/>
  <c r="S431" i="4"/>
  <c r="T431" i="4"/>
  <c r="U431" i="4"/>
  <c r="V431" i="4"/>
  <c r="W431" i="4"/>
  <c r="Y431" i="4"/>
  <c r="Z431" i="4"/>
  <c r="AA431" i="4"/>
  <c r="AB431" i="4"/>
  <c r="AC431" i="4"/>
  <c r="AD431" i="4"/>
  <c r="AE431" i="4"/>
  <c r="AF431" i="4"/>
  <c r="AG431" i="4"/>
  <c r="AH431" i="4"/>
  <c r="Q432" i="4"/>
  <c r="AE432" i="4" s="1"/>
  <c r="R432" i="4"/>
  <c r="S432" i="4" s="1"/>
  <c r="T432" i="4"/>
  <c r="U432" i="4"/>
  <c r="V432" i="4"/>
  <c r="W432" i="4"/>
  <c r="X432" i="4"/>
  <c r="Y432" i="4"/>
  <c r="Z432" i="4"/>
  <c r="AA432" i="4"/>
  <c r="AB432" i="4"/>
  <c r="AC432" i="4"/>
  <c r="AD432" i="4"/>
  <c r="AF432" i="4"/>
  <c r="AG432" i="4"/>
  <c r="AH432" i="4"/>
  <c r="Q433" i="4"/>
  <c r="R433" i="4"/>
  <c r="X433" i="4" s="1"/>
  <c r="S433" i="4"/>
  <c r="T433" i="4"/>
  <c r="U433" i="4"/>
  <c r="V433" i="4"/>
  <c r="W433" i="4"/>
  <c r="Y433" i="4"/>
  <c r="Z433" i="4"/>
  <c r="AA433" i="4"/>
  <c r="AB433" i="4"/>
  <c r="AC433" i="4"/>
  <c r="AD433" i="4"/>
  <c r="AE433" i="4"/>
  <c r="AF433" i="4"/>
  <c r="AG433" i="4"/>
  <c r="AH433" i="4"/>
  <c r="Q434" i="4"/>
  <c r="AE434" i="4" s="1"/>
  <c r="R434" i="4"/>
  <c r="S434" i="4" s="1"/>
  <c r="T434" i="4"/>
  <c r="U434" i="4"/>
  <c r="V434" i="4"/>
  <c r="W434" i="4"/>
  <c r="X434" i="4"/>
  <c r="Y434" i="4"/>
  <c r="Z434" i="4"/>
  <c r="AA434" i="4"/>
  <c r="AB434" i="4"/>
  <c r="AC434" i="4"/>
  <c r="AD434" i="4"/>
  <c r="AF434" i="4"/>
  <c r="AG434" i="4"/>
  <c r="AH434" i="4"/>
  <c r="Q435" i="4"/>
  <c r="R435" i="4"/>
  <c r="X435" i="4" s="1"/>
  <c r="S435" i="4"/>
  <c r="T435" i="4"/>
  <c r="U435" i="4"/>
  <c r="V435" i="4"/>
  <c r="W435" i="4"/>
  <c r="Y435" i="4"/>
  <c r="Z435" i="4"/>
  <c r="AA435" i="4"/>
  <c r="AB435" i="4"/>
  <c r="AC435" i="4"/>
  <c r="AD435" i="4"/>
  <c r="AE435" i="4"/>
  <c r="AF435" i="4"/>
  <c r="AG435" i="4"/>
  <c r="AH435" i="4"/>
  <c r="Q436" i="4"/>
  <c r="AE436" i="4" s="1"/>
  <c r="R436" i="4"/>
  <c r="S436" i="4" s="1"/>
  <c r="T436" i="4"/>
  <c r="U436" i="4"/>
  <c r="V436" i="4"/>
  <c r="W436" i="4"/>
  <c r="X436" i="4"/>
  <c r="Y436" i="4"/>
  <c r="Z436" i="4"/>
  <c r="AA436" i="4"/>
  <c r="AB436" i="4"/>
  <c r="AC436" i="4"/>
  <c r="AD436" i="4"/>
  <c r="AF436" i="4"/>
  <c r="AG436" i="4"/>
  <c r="AH436" i="4"/>
  <c r="Q437" i="4"/>
  <c r="R437" i="4"/>
  <c r="X437" i="4" s="1"/>
  <c r="S437" i="4"/>
  <c r="T437" i="4"/>
  <c r="U437" i="4"/>
  <c r="V437" i="4"/>
  <c r="W437" i="4"/>
  <c r="Y437" i="4"/>
  <c r="Z437" i="4"/>
  <c r="AA437" i="4"/>
  <c r="AB437" i="4"/>
  <c r="AC437" i="4"/>
  <c r="AD437" i="4"/>
  <c r="AE437" i="4"/>
  <c r="AF437" i="4"/>
  <c r="AG437" i="4"/>
  <c r="AH437" i="4"/>
  <c r="Q438" i="4"/>
  <c r="AE438" i="4" s="1"/>
  <c r="R438" i="4"/>
  <c r="S438" i="4" s="1"/>
  <c r="T438" i="4"/>
  <c r="U438" i="4"/>
  <c r="V438" i="4"/>
  <c r="W438" i="4"/>
  <c r="X438" i="4"/>
  <c r="Y438" i="4"/>
  <c r="Z438" i="4"/>
  <c r="AA438" i="4"/>
  <c r="AB438" i="4"/>
  <c r="AC438" i="4"/>
  <c r="AD438" i="4"/>
  <c r="AF438" i="4"/>
  <c r="AG438" i="4"/>
  <c r="AH438" i="4"/>
  <c r="Q439" i="4"/>
  <c r="R439" i="4"/>
  <c r="X439" i="4" s="1"/>
  <c r="S439" i="4"/>
  <c r="T439" i="4"/>
  <c r="U439" i="4"/>
  <c r="V439" i="4"/>
  <c r="W439" i="4"/>
  <c r="Y439" i="4"/>
  <c r="Z439" i="4"/>
  <c r="AA439" i="4"/>
  <c r="AB439" i="4"/>
  <c r="AC439" i="4"/>
  <c r="AD439" i="4"/>
  <c r="AE439" i="4"/>
  <c r="AF439" i="4"/>
  <c r="AG439" i="4"/>
  <c r="AH439" i="4"/>
  <c r="Q440" i="4"/>
  <c r="AE440" i="4" s="1"/>
  <c r="R440" i="4"/>
  <c r="S440" i="4" s="1"/>
  <c r="T440" i="4"/>
  <c r="U440" i="4"/>
  <c r="V440" i="4"/>
  <c r="W440" i="4"/>
  <c r="X440" i="4"/>
  <c r="Y440" i="4"/>
  <c r="Z440" i="4"/>
  <c r="AA440" i="4"/>
  <c r="AB440" i="4"/>
  <c r="AC440" i="4"/>
  <c r="AD440" i="4"/>
  <c r="AF440" i="4"/>
  <c r="AG440" i="4"/>
  <c r="AH440" i="4"/>
  <c r="Q441" i="4"/>
  <c r="R441" i="4"/>
  <c r="X441" i="4" s="1"/>
  <c r="S441" i="4"/>
  <c r="T441" i="4"/>
  <c r="U441" i="4"/>
  <c r="V441" i="4"/>
  <c r="W441" i="4"/>
  <c r="Y441" i="4"/>
  <c r="Z441" i="4"/>
  <c r="AA441" i="4"/>
  <c r="AB441" i="4"/>
  <c r="AC441" i="4"/>
  <c r="AD441" i="4"/>
  <c r="AE441" i="4"/>
  <c r="AF441" i="4"/>
  <c r="AG441" i="4"/>
  <c r="AH441" i="4"/>
  <c r="Q442" i="4"/>
  <c r="AE442" i="4" s="1"/>
  <c r="R442" i="4"/>
  <c r="S442" i="4" s="1"/>
  <c r="T442" i="4"/>
  <c r="U442" i="4"/>
  <c r="V442" i="4"/>
  <c r="W442" i="4"/>
  <c r="X442" i="4"/>
  <c r="Y442" i="4"/>
  <c r="Z442" i="4"/>
  <c r="AA442" i="4"/>
  <c r="AB442" i="4"/>
  <c r="AC442" i="4"/>
  <c r="AD442" i="4"/>
  <c r="AF442" i="4"/>
  <c r="AG442" i="4"/>
  <c r="AH442" i="4"/>
  <c r="Q443" i="4"/>
  <c r="R443" i="4"/>
  <c r="X443" i="4" s="1"/>
  <c r="S443" i="4"/>
  <c r="T443" i="4"/>
  <c r="U443" i="4"/>
  <c r="V443" i="4"/>
  <c r="W443" i="4"/>
  <c r="Y443" i="4"/>
  <c r="Z443" i="4"/>
  <c r="AA443" i="4"/>
  <c r="AB443" i="4"/>
  <c r="AC443" i="4"/>
  <c r="AD443" i="4"/>
  <c r="AE443" i="4"/>
  <c r="AF443" i="4"/>
  <c r="AG443" i="4"/>
  <c r="AH443" i="4"/>
  <c r="Q444" i="4"/>
  <c r="AE444" i="4" s="1"/>
  <c r="R444" i="4"/>
  <c r="S444" i="4" s="1"/>
  <c r="T444" i="4"/>
  <c r="U444" i="4"/>
  <c r="V444" i="4"/>
  <c r="W444" i="4"/>
  <c r="X444" i="4"/>
  <c r="Y444" i="4"/>
  <c r="Z444" i="4"/>
  <c r="AA444" i="4"/>
  <c r="AB444" i="4"/>
  <c r="AC444" i="4"/>
  <c r="AD444" i="4"/>
  <c r="AF444" i="4"/>
  <c r="AG444" i="4"/>
  <c r="AH444" i="4"/>
  <c r="Q445" i="4"/>
  <c r="R445" i="4"/>
  <c r="X445" i="4" s="1"/>
  <c r="S445" i="4"/>
  <c r="T445" i="4"/>
  <c r="U445" i="4"/>
  <c r="V445" i="4"/>
  <c r="W445" i="4"/>
  <c r="Y445" i="4"/>
  <c r="Z445" i="4"/>
  <c r="AA445" i="4"/>
  <c r="AB445" i="4"/>
  <c r="AC445" i="4"/>
  <c r="AD445" i="4"/>
  <c r="AE445" i="4"/>
  <c r="AF445" i="4"/>
  <c r="AG445" i="4"/>
  <c r="AH445" i="4"/>
  <c r="Q446" i="4"/>
  <c r="AE446" i="4" s="1"/>
  <c r="R446" i="4"/>
  <c r="S446" i="4" s="1"/>
  <c r="T446" i="4"/>
  <c r="U446" i="4"/>
  <c r="V446" i="4"/>
  <c r="W446" i="4"/>
  <c r="X446" i="4"/>
  <c r="Y446" i="4"/>
  <c r="Z446" i="4"/>
  <c r="AA446" i="4"/>
  <c r="AB446" i="4"/>
  <c r="AC446" i="4"/>
  <c r="AD446" i="4"/>
  <c r="AF446" i="4"/>
  <c r="AG446" i="4"/>
  <c r="AH446" i="4"/>
  <c r="Q447" i="4"/>
  <c r="R447" i="4"/>
  <c r="X447" i="4" s="1"/>
  <c r="S447" i="4"/>
  <c r="T447" i="4"/>
  <c r="U447" i="4"/>
  <c r="V447" i="4"/>
  <c r="W447" i="4"/>
  <c r="Y447" i="4"/>
  <c r="Z447" i="4"/>
  <c r="AA447" i="4"/>
  <c r="AB447" i="4"/>
  <c r="AC447" i="4"/>
  <c r="AD447" i="4"/>
  <c r="AE447" i="4"/>
  <c r="AF447" i="4"/>
  <c r="AG447" i="4"/>
  <c r="AH447" i="4"/>
  <c r="Q448" i="4"/>
  <c r="AE448" i="4" s="1"/>
  <c r="R448" i="4"/>
  <c r="S448" i="4" s="1"/>
  <c r="T448" i="4"/>
  <c r="U448" i="4"/>
  <c r="V448" i="4"/>
  <c r="W448" i="4"/>
  <c r="X448" i="4"/>
  <c r="Y448" i="4"/>
  <c r="Z448" i="4"/>
  <c r="AA448" i="4"/>
  <c r="AB448" i="4"/>
  <c r="AC448" i="4"/>
  <c r="AD448" i="4"/>
  <c r="AF448" i="4"/>
  <c r="AG448" i="4"/>
  <c r="AH448" i="4"/>
  <c r="Q449" i="4"/>
  <c r="R449" i="4"/>
  <c r="X449" i="4" s="1"/>
  <c r="S449" i="4"/>
  <c r="T449" i="4"/>
  <c r="U449" i="4"/>
  <c r="V449" i="4"/>
  <c r="W449" i="4"/>
  <c r="Y449" i="4"/>
  <c r="Z449" i="4"/>
  <c r="AA449" i="4"/>
  <c r="AB449" i="4"/>
  <c r="AC449" i="4"/>
  <c r="AD449" i="4"/>
  <c r="AE449" i="4"/>
  <c r="AF449" i="4"/>
  <c r="AG449" i="4"/>
  <c r="AH449" i="4"/>
  <c r="Q450" i="4"/>
  <c r="AE450" i="4" s="1"/>
  <c r="R450" i="4"/>
  <c r="S450" i="4" s="1"/>
  <c r="T450" i="4"/>
  <c r="U450" i="4"/>
  <c r="V450" i="4"/>
  <c r="W450" i="4"/>
  <c r="X450" i="4"/>
  <c r="Y450" i="4"/>
  <c r="Z450" i="4"/>
  <c r="AA450" i="4"/>
  <c r="AB450" i="4"/>
  <c r="AC450" i="4"/>
  <c r="AD450" i="4"/>
  <c r="AF450" i="4"/>
  <c r="AG450" i="4"/>
  <c r="AH450" i="4"/>
  <c r="Q451" i="4"/>
  <c r="R451" i="4"/>
  <c r="X451" i="4" s="1"/>
  <c r="S451" i="4"/>
  <c r="T451" i="4"/>
  <c r="U451" i="4"/>
  <c r="V451" i="4"/>
  <c r="W451" i="4"/>
  <c r="Y451" i="4"/>
  <c r="Z451" i="4"/>
  <c r="AA451" i="4"/>
  <c r="AB451" i="4"/>
  <c r="AC451" i="4"/>
  <c r="AD451" i="4"/>
  <c r="AE451" i="4"/>
  <c r="AF451" i="4"/>
  <c r="AG451" i="4"/>
  <c r="AH451" i="4"/>
  <c r="Q452" i="4"/>
  <c r="AE452" i="4" s="1"/>
  <c r="R452" i="4"/>
  <c r="S452" i="4" s="1"/>
  <c r="T452" i="4"/>
  <c r="U452" i="4"/>
  <c r="V452" i="4"/>
  <c r="W452" i="4"/>
  <c r="X452" i="4"/>
  <c r="Y452" i="4"/>
  <c r="Z452" i="4"/>
  <c r="AA452" i="4"/>
  <c r="AB452" i="4"/>
  <c r="AC452" i="4"/>
  <c r="AD452" i="4"/>
  <c r="AF452" i="4"/>
  <c r="AG452" i="4"/>
  <c r="AH452" i="4"/>
  <c r="Q453" i="4"/>
  <c r="R453" i="4"/>
  <c r="X453" i="4" s="1"/>
  <c r="S453" i="4"/>
  <c r="T453" i="4"/>
  <c r="U453" i="4"/>
  <c r="V453" i="4"/>
  <c r="W453" i="4"/>
  <c r="Y453" i="4"/>
  <c r="Z453" i="4"/>
  <c r="AA453" i="4"/>
  <c r="AB453" i="4"/>
  <c r="AC453" i="4"/>
  <c r="AD453" i="4"/>
  <c r="AE453" i="4"/>
  <c r="AF453" i="4"/>
  <c r="AG453" i="4"/>
  <c r="AH453" i="4"/>
  <c r="Q454" i="4"/>
  <c r="AE454" i="4" s="1"/>
  <c r="R454" i="4"/>
  <c r="S454" i="4" s="1"/>
  <c r="T454" i="4"/>
  <c r="U454" i="4"/>
  <c r="V454" i="4"/>
  <c r="W454" i="4"/>
  <c r="X454" i="4"/>
  <c r="Y454" i="4"/>
  <c r="Z454" i="4"/>
  <c r="AA454" i="4"/>
  <c r="AB454" i="4"/>
  <c r="AC454" i="4"/>
  <c r="AD454" i="4"/>
  <c r="AF454" i="4"/>
  <c r="AG454" i="4"/>
  <c r="AH454" i="4"/>
  <c r="Q455" i="4"/>
  <c r="R455" i="4"/>
  <c r="X455" i="4" s="1"/>
  <c r="S455" i="4"/>
  <c r="T455" i="4"/>
  <c r="U455" i="4"/>
  <c r="V455" i="4"/>
  <c r="W455" i="4"/>
  <c r="Y455" i="4"/>
  <c r="Z455" i="4"/>
  <c r="AA455" i="4"/>
  <c r="AB455" i="4"/>
  <c r="AC455" i="4"/>
  <c r="AD455" i="4"/>
  <c r="AE455" i="4"/>
  <c r="AF455" i="4"/>
  <c r="AG455" i="4"/>
  <c r="AH455" i="4"/>
  <c r="Q456" i="4"/>
  <c r="AE456" i="4" s="1"/>
  <c r="R456" i="4"/>
  <c r="S456" i="4" s="1"/>
  <c r="T456" i="4"/>
  <c r="U456" i="4"/>
  <c r="V456" i="4"/>
  <c r="W456" i="4"/>
  <c r="X456" i="4"/>
  <c r="Y456" i="4"/>
  <c r="Z456" i="4"/>
  <c r="AA456" i="4"/>
  <c r="AB456" i="4"/>
  <c r="AC456" i="4"/>
  <c r="AD456" i="4"/>
  <c r="AF456" i="4"/>
  <c r="AG456" i="4"/>
  <c r="AH456" i="4"/>
  <c r="Q457" i="4"/>
  <c r="R457" i="4"/>
  <c r="X457" i="4" s="1"/>
  <c r="S457" i="4"/>
  <c r="T457" i="4"/>
  <c r="U457" i="4"/>
  <c r="V457" i="4"/>
  <c r="W457" i="4"/>
  <c r="Y457" i="4"/>
  <c r="Z457" i="4"/>
  <c r="AA457" i="4"/>
  <c r="AB457" i="4"/>
  <c r="AC457" i="4"/>
  <c r="AD457" i="4"/>
  <c r="AE457" i="4"/>
  <c r="AF457" i="4"/>
  <c r="AG457" i="4"/>
  <c r="AH457" i="4"/>
  <c r="Q458" i="4"/>
  <c r="AE458" i="4" s="1"/>
  <c r="R458" i="4"/>
  <c r="S458" i="4" s="1"/>
  <c r="T458" i="4"/>
  <c r="U458" i="4"/>
  <c r="V458" i="4"/>
  <c r="W458" i="4"/>
  <c r="X458" i="4"/>
  <c r="Y458" i="4"/>
  <c r="Z458" i="4"/>
  <c r="AA458" i="4"/>
  <c r="AB458" i="4"/>
  <c r="AC458" i="4"/>
  <c r="AD458" i="4"/>
  <c r="AF458" i="4"/>
  <c r="AG458" i="4"/>
  <c r="AH458" i="4"/>
  <c r="Q459" i="4"/>
  <c r="R459" i="4"/>
  <c r="X459" i="4" s="1"/>
  <c r="S459" i="4"/>
  <c r="T459" i="4"/>
  <c r="U459" i="4"/>
  <c r="V459" i="4"/>
  <c r="W459" i="4"/>
  <c r="Y459" i="4"/>
  <c r="Z459" i="4"/>
  <c r="AA459" i="4"/>
  <c r="AB459" i="4"/>
  <c r="AC459" i="4"/>
  <c r="AD459" i="4"/>
  <c r="AE459" i="4"/>
  <c r="AF459" i="4"/>
  <c r="AG459" i="4"/>
  <c r="AH459" i="4"/>
  <c r="Q460" i="4"/>
  <c r="AE460" i="4" s="1"/>
  <c r="R460" i="4"/>
  <c r="S460" i="4" s="1"/>
  <c r="T460" i="4"/>
  <c r="U460" i="4"/>
  <c r="V460" i="4"/>
  <c r="W460" i="4"/>
  <c r="X460" i="4"/>
  <c r="Y460" i="4"/>
  <c r="Z460" i="4"/>
  <c r="AA460" i="4"/>
  <c r="AB460" i="4"/>
  <c r="AC460" i="4"/>
  <c r="AD460" i="4"/>
  <c r="AF460" i="4"/>
  <c r="AG460" i="4"/>
  <c r="AH460" i="4"/>
  <c r="Q461" i="4"/>
  <c r="R461" i="4"/>
  <c r="X461" i="4" s="1"/>
  <c r="S461" i="4"/>
  <c r="T461" i="4"/>
  <c r="U461" i="4"/>
  <c r="V461" i="4"/>
  <c r="W461" i="4"/>
  <c r="Y461" i="4"/>
  <c r="Z461" i="4"/>
  <c r="AA461" i="4"/>
  <c r="AB461" i="4"/>
  <c r="AC461" i="4"/>
  <c r="AD461" i="4"/>
  <c r="AE461" i="4"/>
  <c r="AF461" i="4"/>
  <c r="AG461" i="4"/>
  <c r="AH461" i="4"/>
  <c r="Q462" i="4"/>
  <c r="AE462" i="4" s="1"/>
  <c r="R462" i="4"/>
  <c r="S462" i="4" s="1"/>
  <c r="T462" i="4"/>
  <c r="U462" i="4"/>
  <c r="V462" i="4"/>
  <c r="W462" i="4"/>
  <c r="X462" i="4"/>
  <c r="Y462" i="4"/>
  <c r="Z462" i="4"/>
  <c r="AA462" i="4"/>
  <c r="AB462" i="4"/>
  <c r="AC462" i="4"/>
  <c r="AD462" i="4"/>
  <c r="AF462" i="4"/>
  <c r="AG462" i="4"/>
  <c r="AH462" i="4"/>
  <c r="Q463" i="4"/>
  <c r="R463" i="4"/>
  <c r="X463" i="4" s="1"/>
  <c r="S463" i="4"/>
  <c r="T463" i="4"/>
  <c r="U463" i="4"/>
  <c r="V463" i="4"/>
  <c r="W463" i="4"/>
  <c r="Y463" i="4"/>
  <c r="Z463" i="4"/>
  <c r="AA463" i="4"/>
  <c r="AB463" i="4"/>
  <c r="AC463" i="4"/>
  <c r="AD463" i="4"/>
  <c r="AE463" i="4"/>
  <c r="AF463" i="4"/>
  <c r="AG463" i="4"/>
  <c r="AH463" i="4"/>
  <c r="Q464" i="4"/>
  <c r="AE464" i="4" s="1"/>
  <c r="R464" i="4"/>
  <c r="S464" i="4" s="1"/>
  <c r="T464" i="4"/>
  <c r="U464" i="4"/>
  <c r="V464" i="4"/>
  <c r="W464" i="4"/>
  <c r="X464" i="4"/>
  <c r="Y464" i="4"/>
  <c r="Z464" i="4"/>
  <c r="AA464" i="4"/>
  <c r="AB464" i="4"/>
  <c r="AC464" i="4"/>
  <c r="AD464" i="4"/>
  <c r="AF464" i="4"/>
  <c r="AG464" i="4"/>
  <c r="AH464" i="4"/>
  <c r="Q465" i="4"/>
  <c r="R465" i="4"/>
  <c r="X465" i="4" s="1"/>
  <c r="S465" i="4"/>
  <c r="T465" i="4"/>
  <c r="U465" i="4"/>
  <c r="V465" i="4"/>
  <c r="W465" i="4"/>
  <c r="Y465" i="4"/>
  <c r="Z465" i="4"/>
  <c r="AA465" i="4"/>
  <c r="AB465" i="4"/>
  <c r="AC465" i="4"/>
  <c r="AD465" i="4"/>
  <c r="AE465" i="4"/>
  <c r="AF465" i="4"/>
  <c r="AG465" i="4"/>
  <c r="AH465" i="4"/>
  <c r="Q466" i="4"/>
  <c r="AE466" i="4" s="1"/>
  <c r="R466" i="4"/>
  <c r="S466" i="4" s="1"/>
  <c r="T466" i="4"/>
  <c r="U466" i="4"/>
  <c r="V466" i="4"/>
  <c r="W466" i="4"/>
  <c r="X466" i="4"/>
  <c r="Y466" i="4"/>
  <c r="Z466" i="4"/>
  <c r="AA466" i="4"/>
  <c r="AB466" i="4"/>
  <c r="AC466" i="4"/>
  <c r="AD466" i="4"/>
  <c r="AF466" i="4"/>
  <c r="AG466" i="4"/>
  <c r="AH466" i="4"/>
  <c r="Q467" i="4"/>
  <c r="R467" i="4"/>
  <c r="X467" i="4" s="1"/>
  <c r="S467" i="4"/>
  <c r="T467" i="4"/>
  <c r="U467" i="4"/>
  <c r="V467" i="4"/>
  <c r="W467" i="4"/>
  <c r="Y467" i="4"/>
  <c r="Z467" i="4"/>
  <c r="AA467" i="4"/>
  <c r="AB467" i="4"/>
  <c r="AC467" i="4"/>
  <c r="AD467" i="4"/>
  <c r="AE467" i="4"/>
  <c r="AF467" i="4"/>
  <c r="AG467" i="4"/>
  <c r="AH467" i="4"/>
  <c r="Q468" i="4"/>
  <c r="AE468" i="4" s="1"/>
  <c r="R468" i="4"/>
  <c r="S468" i="4" s="1"/>
  <c r="T468" i="4"/>
  <c r="U468" i="4"/>
  <c r="V468" i="4"/>
  <c r="W468" i="4"/>
  <c r="X468" i="4"/>
  <c r="Y468" i="4"/>
  <c r="Z468" i="4"/>
  <c r="AA468" i="4"/>
  <c r="AB468" i="4"/>
  <c r="AC468" i="4"/>
  <c r="AD468" i="4"/>
  <c r="AF468" i="4"/>
  <c r="AG468" i="4"/>
  <c r="AH468" i="4"/>
  <c r="Q469" i="4"/>
  <c r="R469" i="4"/>
  <c r="X469" i="4" s="1"/>
  <c r="S469" i="4"/>
  <c r="T469" i="4"/>
  <c r="U469" i="4"/>
  <c r="V469" i="4"/>
  <c r="W469" i="4"/>
  <c r="Y469" i="4"/>
  <c r="Z469" i="4"/>
  <c r="AA469" i="4"/>
  <c r="AB469" i="4"/>
  <c r="AC469" i="4"/>
  <c r="AD469" i="4"/>
  <c r="AE469" i="4"/>
  <c r="AF469" i="4"/>
  <c r="AG469" i="4"/>
  <c r="AH469" i="4"/>
  <c r="Q470" i="4"/>
  <c r="AE470" i="4" s="1"/>
  <c r="R470" i="4"/>
  <c r="S470" i="4" s="1"/>
  <c r="T470" i="4"/>
  <c r="U470" i="4"/>
  <c r="V470" i="4"/>
  <c r="W470" i="4"/>
  <c r="X470" i="4"/>
  <c r="Y470" i="4"/>
  <c r="Z470" i="4"/>
  <c r="AA470" i="4"/>
  <c r="AB470" i="4"/>
  <c r="AC470" i="4"/>
  <c r="AD470" i="4"/>
  <c r="AF470" i="4"/>
  <c r="AG470" i="4"/>
  <c r="AH470" i="4"/>
  <c r="Q471" i="4"/>
  <c r="R471" i="4"/>
  <c r="X471" i="4" s="1"/>
  <c r="S471" i="4"/>
  <c r="T471" i="4"/>
  <c r="U471" i="4"/>
  <c r="V471" i="4"/>
  <c r="W471" i="4"/>
  <c r="Y471" i="4"/>
  <c r="Z471" i="4"/>
  <c r="AA471" i="4"/>
  <c r="AB471" i="4"/>
  <c r="AC471" i="4"/>
  <c r="AD471" i="4"/>
  <c r="AE471" i="4"/>
  <c r="AF471" i="4"/>
  <c r="AG471" i="4"/>
  <c r="AH471" i="4"/>
  <c r="Q472" i="4"/>
  <c r="AE472" i="4" s="1"/>
  <c r="R472" i="4"/>
  <c r="S472" i="4" s="1"/>
  <c r="T472" i="4"/>
  <c r="U472" i="4"/>
  <c r="V472" i="4"/>
  <c r="W472" i="4"/>
  <c r="X472" i="4"/>
  <c r="Y472" i="4"/>
  <c r="Z472" i="4"/>
  <c r="AA472" i="4"/>
  <c r="AB472" i="4"/>
  <c r="AC472" i="4"/>
  <c r="AD472" i="4"/>
  <c r="AF472" i="4"/>
  <c r="AG472" i="4"/>
  <c r="AH472" i="4"/>
  <c r="Q473" i="4"/>
  <c r="R473" i="4"/>
  <c r="X473" i="4" s="1"/>
  <c r="S473" i="4"/>
  <c r="T473" i="4"/>
  <c r="U473" i="4"/>
  <c r="V473" i="4"/>
  <c r="W473" i="4"/>
  <c r="Y473" i="4"/>
  <c r="Z473" i="4"/>
  <c r="AA473" i="4"/>
  <c r="AB473" i="4"/>
  <c r="AC473" i="4"/>
  <c r="AD473" i="4"/>
  <c r="AE473" i="4"/>
  <c r="AF473" i="4"/>
  <c r="AG473" i="4"/>
  <c r="AH473" i="4"/>
  <c r="Q474" i="4"/>
  <c r="AE474" i="4" s="1"/>
  <c r="R474" i="4"/>
  <c r="S474" i="4" s="1"/>
  <c r="T474" i="4"/>
  <c r="U474" i="4"/>
  <c r="V474" i="4"/>
  <c r="W474" i="4"/>
  <c r="X474" i="4"/>
  <c r="Y474" i="4"/>
  <c r="Z474" i="4"/>
  <c r="AA474" i="4"/>
  <c r="AB474" i="4"/>
  <c r="AC474" i="4"/>
  <c r="AD474" i="4"/>
  <c r="AF474" i="4"/>
  <c r="AG474" i="4"/>
  <c r="AH474" i="4"/>
  <c r="Q475" i="4"/>
  <c r="R475" i="4"/>
  <c r="X475" i="4" s="1"/>
  <c r="S475" i="4"/>
  <c r="T475" i="4"/>
  <c r="U475" i="4"/>
  <c r="V475" i="4"/>
  <c r="W475" i="4"/>
  <c r="Y475" i="4"/>
  <c r="Z475" i="4"/>
  <c r="AA475" i="4"/>
  <c r="AB475" i="4"/>
  <c r="AC475" i="4"/>
  <c r="AD475" i="4"/>
  <c r="AE475" i="4"/>
  <c r="AF475" i="4"/>
  <c r="AG475" i="4"/>
  <c r="AH475" i="4"/>
  <c r="Q476" i="4"/>
  <c r="AE476" i="4" s="1"/>
  <c r="R476" i="4"/>
  <c r="S476" i="4" s="1"/>
  <c r="T476" i="4"/>
  <c r="U476" i="4"/>
  <c r="V476" i="4"/>
  <c r="W476" i="4"/>
  <c r="X476" i="4"/>
  <c r="Y476" i="4"/>
  <c r="Z476" i="4"/>
  <c r="AA476" i="4"/>
  <c r="AB476" i="4"/>
  <c r="AC476" i="4"/>
  <c r="AD476" i="4"/>
  <c r="AF476" i="4"/>
  <c r="AG476" i="4"/>
  <c r="AH476" i="4"/>
  <c r="Q477" i="4"/>
  <c r="R477" i="4"/>
  <c r="X477" i="4" s="1"/>
  <c r="S477" i="4"/>
  <c r="T477" i="4"/>
  <c r="U477" i="4"/>
  <c r="V477" i="4"/>
  <c r="W477" i="4"/>
  <c r="Y477" i="4"/>
  <c r="Z477" i="4"/>
  <c r="AA477" i="4"/>
  <c r="AB477" i="4"/>
  <c r="AC477" i="4"/>
  <c r="AD477" i="4"/>
  <c r="AE477" i="4"/>
  <c r="AF477" i="4"/>
  <c r="AG477" i="4"/>
  <c r="AH477" i="4"/>
  <c r="Q478" i="4"/>
  <c r="AE478" i="4" s="1"/>
  <c r="R478" i="4"/>
  <c r="S478" i="4" s="1"/>
  <c r="T478" i="4"/>
  <c r="U478" i="4"/>
  <c r="V478" i="4"/>
  <c r="W478" i="4"/>
  <c r="X478" i="4"/>
  <c r="Y478" i="4"/>
  <c r="Z478" i="4"/>
  <c r="AA478" i="4"/>
  <c r="AB478" i="4"/>
  <c r="AC478" i="4"/>
  <c r="AD478" i="4"/>
  <c r="AF478" i="4"/>
  <c r="AG478" i="4"/>
  <c r="AH478" i="4"/>
  <c r="Q479" i="4"/>
  <c r="R479" i="4"/>
  <c r="X479" i="4" s="1"/>
  <c r="S479" i="4"/>
  <c r="T479" i="4"/>
  <c r="U479" i="4"/>
  <c r="V479" i="4"/>
  <c r="W479" i="4"/>
  <c r="Y479" i="4"/>
  <c r="Z479" i="4"/>
  <c r="AA479" i="4"/>
  <c r="AB479" i="4"/>
  <c r="AC479" i="4"/>
  <c r="AD479" i="4"/>
  <c r="AE479" i="4"/>
  <c r="AF479" i="4"/>
  <c r="AG479" i="4"/>
  <c r="AH479" i="4"/>
  <c r="Q480" i="4"/>
  <c r="AE480" i="4" s="1"/>
  <c r="R480" i="4"/>
  <c r="S480" i="4" s="1"/>
  <c r="T480" i="4"/>
  <c r="U480" i="4"/>
  <c r="V480" i="4"/>
  <c r="W480" i="4"/>
  <c r="X480" i="4"/>
  <c r="Y480" i="4"/>
  <c r="Z480" i="4"/>
  <c r="AA480" i="4"/>
  <c r="AB480" i="4"/>
  <c r="AC480" i="4"/>
  <c r="AD480" i="4"/>
  <c r="AF480" i="4"/>
  <c r="AG480" i="4"/>
  <c r="AH480" i="4"/>
  <c r="Q481" i="4"/>
  <c r="R481" i="4"/>
  <c r="X481" i="4" s="1"/>
  <c r="S481" i="4"/>
  <c r="T481" i="4"/>
  <c r="U481" i="4"/>
  <c r="V481" i="4"/>
  <c r="W481" i="4"/>
  <c r="Y481" i="4"/>
  <c r="Z481" i="4"/>
  <c r="AA481" i="4"/>
  <c r="AB481" i="4"/>
  <c r="AC481" i="4"/>
  <c r="AD481" i="4"/>
  <c r="AE481" i="4"/>
  <c r="AF481" i="4"/>
  <c r="AG481" i="4"/>
  <c r="AH481" i="4"/>
  <c r="Q482" i="4"/>
  <c r="AE482" i="4" s="1"/>
  <c r="R482" i="4"/>
  <c r="S482" i="4" s="1"/>
  <c r="T482" i="4"/>
  <c r="U482" i="4"/>
  <c r="V482" i="4"/>
  <c r="W482" i="4"/>
  <c r="X482" i="4"/>
  <c r="Y482" i="4"/>
  <c r="Z482" i="4"/>
  <c r="AA482" i="4"/>
  <c r="AB482" i="4"/>
  <c r="AC482" i="4"/>
  <c r="AD482" i="4"/>
  <c r="AF482" i="4"/>
  <c r="AG482" i="4"/>
  <c r="AH482" i="4"/>
  <c r="Q483" i="4"/>
  <c r="R483" i="4"/>
  <c r="X483" i="4" s="1"/>
  <c r="S483" i="4"/>
  <c r="T483" i="4"/>
  <c r="U483" i="4"/>
  <c r="V483" i="4"/>
  <c r="W483" i="4"/>
  <c r="Y483" i="4"/>
  <c r="Z483" i="4"/>
  <c r="AA483" i="4"/>
  <c r="AB483" i="4"/>
  <c r="AC483" i="4"/>
  <c r="AD483" i="4"/>
  <c r="AE483" i="4"/>
  <c r="AF483" i="4"/>
  <c r="AG483" i="4"/>
  <c r="AH483" i="4"/>
  <c r="Q484" i="4"/>
  <c r="AE484" i="4" s="1"/>
  <c r="R484" i="4"/>
  <c r="S484" i="4" s="1"/>
  <c r="T484" i="4"/>
  <c r="U484" i="4"/>
  <c r="V484" i="4"/>
  <c r="W484" i="4"/>
  <c r="X484" i="4"/>
  <c r="Y484" i="4"/>
  <c r="Z484" i="4"/>
  <c r="AA484" i="4"/>
  <c r="AB484" i="4"/>
  <c r="AC484" i="4"/>
  <c r="AD484" i="4"/>
  <c r="AF484" i="4"/>
  <c r="AG484" i="4"/>
  <c r="AH484" i="4"/>
  <c r="Q485" i="4"/>
  <c r="R485" i="4"/>
  <c r="X485" i="4" s="1"/>
  <c r="S485" i="4"/>
  <c r="T485" i="4"/>
  <c r="U485" i="4"/>
  <c r="V485" i="4"/>
  <c r="W485" i="4"/>
  <c r="Y485" i="4"/>
  <c r="Z485" i="4"/>
  <c r="AA485" i="4"/>
  <c r="AB485" i="4"/>
  <c r="AC485" i="4"/>
  <c r="AD485" i="4"/>
  <c r="AE485" i="4"/>
  <c r="AF485" i="4"/>
  <c r="AG485" i="4"/>
  <c r="AH485" i="4"/>
  <c r="Q486" i="4"/>
  <c r="AE486" i="4" s="1"/>
  <c r="R486" i="4"/>
  <c r="S486" i="4" s="1"/>
  <c r="T486" i="4"/>
  <c r="U486" i="4"/>
  <c r="V486" i="4"/>
  <c r="W486" i="4"/>
  <c r="X486" i="4"/>
  <c r="Y486" i="4"/>
  <c r="Z486" i="4"/>
  <c r="AA486" i="4"/>
  <c r="AB486" i="4"/>
  <c r="AC486" i="4"/>
  <c r="AD486" i="4"/>
  <c r="AF486" i="4"/>
  <c r="AG486" i="4"/>
  <c r="AH486" i="4"/>
  <c r="Q487" i="4"/>
  <c r="R487" i="4"/>
  <c r="X487" i="4" s="1"/>
  <c r="S487" i="4"/>
  <c r="T487" i="4"/>
  <c r="U487" i="4"/>
  <c r="V487" i="4"/>
  <c r="W487" i="4"/>
  <c r="Y487" i="4"/>
  <c r="Z487" i="4"/>
  <c r="AA487" i="4"/>
  <c r="AB487" i="4"/>
  <c r="AC487" i="4"/>
  <c r="AD487" i="4"/>
  <c r="AE487" i="4"/>
  <c r="AF487" i="4"/>
  <c r="AG487" i="4"/>
  <c r="AH487" i="4"/>
  <c r="Q488" i="4"/>
  <c r="AE488" i="4" s="1"/>
  <c r="R488" i="4"/>
  <c r="S488" i="4" s="1"/>
  <c r="T488" i="4"/>
  <c r="U488" i="4"/>
  <c r="V488" i="4"/>
  <c r="W488" i="4"/>
  <c r="X488" i="4"/>
  <c r="Y488" i="4"/>
  <c r="Z488" i="4"/>
  <c r="AA488" i="4"/>
  <c r="AB488" i="4"/>
  <c r="AC488" i="4"/>
  <c r="AD488" i="4"/>
  <c r="AF488" i="4"/>
  <c r="AG488" i="4"/>
  <c r="AH488" i="4"/>
  <c r="Q489" i="4"/>
  <c r="R489" i="4"/>
  <c r="X489" i="4" s="1"/>
  <c r="S489" i="4"/>
  <c r="T489" i="4"/>
  <c r="U489" i="4"/>
  <c r="V489" i="4"/>
  <c r="W489" i="4"/>
  <c r="Y489" i="4"/>
  <c r="Z489" i="4"/>
  <c r="AA489" i="4"/>
  <c r="AB489" i="4"/>
  <c r="AC489" i="4"/>
  <c r="AD489" i="4"/>
  <c r="AE489" i="4"/>
  <c r="AF489" i="4"/>
  <c r="AG489" i="4"/>
  <c r="AH489" i="4"/>
  <c r="Q490" i="4"/>
  <c r="AE490" i="4" s="1"/>
  <c r="R490" i="4"/>
  <c r="S490" i="4" s="1"/>
  <c r="T490" i="4"/>
  <c r="U490" i="4"/>
  <c r="V490" i="4"/>
  <c r="W490" i="4"/>
  <c r="X490" i="4"/>
  <c r="Y490" i="4"/>
  <c r="Z490" i="4"/>
  <c r="AA490" i="4"/>
  <c r="AB490" i="4"/>
  <c r="AC490" i="4"/>
  <c r="AD490" i="4"/>
  <c r="AF490" i="4"/>
  <c r="AG490" i="4"/>
  <c r="AH490" i="4"/>
  <c r="Q491" i="4"/>
  <c r="R491" i="4"/>
  <c r="X491" i="4" s="1"/>
  <c r="S491" i="4"/>
  <c r="T491" i="4"/>
  <c r="U491" i="4"/>
  <c r="V491" i="4"/>
  <c r="W491" i="4"/>
  <c r="Y491" i="4"/>
  <c r="Z491" i="4"/>
  <c r="AA491" i="4"/>
  <c r="AB491" i="4"/>
  <c r="AC491" i="4"/>
  <c r="AD491" i="4"/>
  <c r="AE491" i="4"/>
  <c r="AF491" i="4"/>
  <c r="AG491" i="4"/>
  <c r="AH491" i="4"/>
  <c r="Q492" i="4"/>
  <c r="AE492" i="4" s="1"/>
  <c r="R492" i="4"/>
  <c r="S492" i="4" s="1"/>
  <c r="T492" i="4"/>
  <c r="U492" i="4"/>
  <c r="V492" i="4"/>
  <c r="W492" i="4"/>
  <c r="X492" i="4"/>
  <c r="Y492" i="4"/>
  <c r="Z492" i="4"/>
  <c r="AA492" i="4"/>
  <c r="AB492" i="4"/>
  <c r="AC492" i="4"/>
  <c r="AD492" i="4"/>
  <c r="AF492" i="4"/>
  <c r="AG492" i="4"/>
  <c r="AH492" i="4"/>
  <c r="Q493" i="4"/>
  <c r="R493" i="4"/>
  <c r="X493" i="4" s="1"/>
  <c r="S493" i="4"/>
  <c r="T493" i="4"/>
  <c r="U493" i="4"/>
  <c r="V493" i="4"/>
  <c r="W493" i="4"/>
  <c r="Y493" i="4"/>
  <c r="Z493" i="4"/>
  <c r="AA493" i="4"/>
  <c r="AB493" i="4"/>
  <c r="AC493" i="4"/>
  <c r="AD493" i="4"/>
  <c r="AE493" i="4"/>
  <c r="AF493" i="4"/>
  <c r="AG493" i="4"/>
  <c r="AH493" i="4"/>
  <c r="Q494" i="4"/>
  <c r="AE494" i="4" s="1"/>
  <c r="R494" i="4"/>
  <c r="S494" i="4" s="1"/>
  <c r="T494" i="4"/>
  <c r="U494" i="4"/>
  <c r="V494" i="4"/>
  <c r="W494" i="4"/>
  <c r="X494" i="4"/>
  <c r="Y494" i="4"/>
  <c r="Z494" i="4"/>
  <c r="AA494" i="4"/>
  <c r="AB494" i="4"/>
  <c r="AC494" i="4"/>
  <c r="AD494" i="4"/>
  <c r="AF494" i="4"/>
  <c r="AG494" i="4"/>
  <c r="AH494" i="4"/>
  <c r="Q495" i="4"/>
  <c r="R495" i="4"/>
  <c r="X495" i="4" s="1"/>
  <c r="S495" i="4"/>
  <c r="T495" i="4"/>
  <c r="U495" i="4"/>
  <c r="V495" i="4"/>
  <c r="W495" i="4"/>
  <c r="Y495" i="4"/>
  <c r="Z495" i="4"/>
  <c r="AA495" i="4"/>
  <c r="AB495" i="4"/>
  <c r="AC495" i="4"/>
  <c r="AD495" i="4"/>
  <c r="AE495" i="4"/>
  <c r="AF495" i="4"/>
  <c r="AG495" i="4"/>
  <c r="AH495" i="4"/>
  <c r="Q496" i="4"/>
  <c r="AE496" i="4" s="1"/>
  <c r="R496" i="4"/>
  <c r="S496" i="4" s="1"/>
  <c r="T496" i="4"/>
  <c r="U496" i="4"/>
  <c r="V496" i="4"/>
  <c r="W496" i="4"/>
  <c r="X496" i="4"/>
  <c r="Y496" i="4"/>
  <c r="Z496" i="4"/>
  <c r="AA496" i="4"/>
  <c r="AB496" i="4"/>
  <c r="AC496" i="4"/>
  <c r="AD496" i="4"/>
  <c r="AF496" i="4"/>
  <c r="AG496" i="4"/>
  <c r="AH496" i="4"/>
  <c r="Q497" i="4"/>
  <c r="R497" i="4"/>
  <c r="X497" i="4" s="1"/>
  <c r="S497" i="4"/>
  <c r="T497" i="4"/>
  <c r="U497" i="4"/>
  <c r="V497" i="4"/>
  <c r="W497" i="4"/>
  <c r="Y497" i="4"/>
  <c r="Z497" i="4"/>
  <c r="AA497" i="4"/>
  <c r="AB497" i="4"/>
  <c r="AC497" i="4"/>
  <c r="AD497" i="4"/>
  <c r="AE497" i="4"/>
  <c r="AF497" i="4"/>
  <c r="AG497" i="4"/>
  <c r="AH497" i="4"/>
  <c r="Q498" i="4"/>
  <c r="AE498" i="4" s="1"/>
  <c r="R498" i="4"/>
  <c r="S498" i="4" s="1"/>
  <c r="T498" i="4"/>
  <c r="U498" i="4"/>
  <c r="V498" i="4"/>
  <c r="W498" i="4"/>
  <c r="X498" i="4"/>
  <c r="Y498" i="4"/>
  <c r="Z498" i="4"/>
  <c r="AA498" i="4"/>
  <c r="AB498" i="4"/>
  <c r="AC498" i="4"/>
  <c r="AD498" i="4"/>
  <c r="AF498" i="4"/>
  <c r="AG498" i="4"/>
  <c r="AH498" i="4"/>
  <c r="Q499" i="4"/>
  <c r="R499" i="4"/>
  <c r="X499" i="4" s="1"/>
  <c r="S499" i="4"/>
  <c r="T499" i="4"/>
  <c r="U499" i="4"/>
  <c r="V499" i="4"/>
  <c r="W499" i="4"/>
  <c r="Y499" i="4"/>
  <c r="Z499" i="4"/>
  <c r="AA499" i="4"/>
  <c r="AB499" i="4"/>
  <c r="AC499" i="4"/>
  <c r="AD499" i="4"/>
  <c r="AE499" i="4"/>
  <c r="AF499" i="4"/>
  <c r="AG499" i="4"/>
  <c r="AH499" i="4"/>
  <c r="Q500" i="4"/>
  <c r="AE500" i="4" s="1"/>
  <c r="R500" i="4"/>
  <c r="S500" i="4" s="1"/>
  <c r="T500" i="4"/>
  <c r="U500" i="4"/>
  <c r="V500" i="4"/>
  <c r="W500" i="4"/>
  <c r="X500" i="4"/>
  <c r="Y500" i="4"/>
  <c r="Z500" i="4"/>
  <c r="AA500" i="4"/>
  <c r="AB500" i="4"/>
  <c r="AC500" i="4"/>
  <c r="AD500" i="4"/>
  <c r="AF500" i="4"/>
  <c r="AG500" i="4"/>
  <c r="AH500" i="4"/>
  <c r="Q501" i="4"/>
  <c r="R501" i="4"/>
  <c r="X501" i="4" s="1"/>
  <c r="S501" i="4"/>
  <c r="T501" i="4"/>
  <c r="U501" i="4"/>
  <c r="V501" i="4"/>
  <c r="W501" i="4"/>
  <c r="Y501" i="4"/>
  <c r="Z501" i="4"/>
  <c r="AA501" i="4"/>
  <c r="AB501" i="4"/>
  <c r="AC501" i="4"/>
  <c r="AD501" i="4"/>
  <c r="AE501" i="4"/>
  <c r="AF501" i="4"/>
  <c r="AG501" i="4"/>
  <c r="AH501" i="4"/>
  <c r="Q502" i="4"/>
  <c r="AE502" i="4" s="1"/>
  <c r="R502" i="4"/>
  <c r="S502" i="4" s="1"/>
  <c r="T502" i="4"/>
  <c r="U502" i="4"/>
  <c r="V502" i="4"/>
  <c r="W502" i="4"/>
  <c r="X502" i="4"/>
  <c r="Y502" i="4"/>
  <c r="Z502" i="4"/>
  <c r="AA502" i="4"/>
  <c r="AB502" i="4"/>
  <c r="AC502" i="4"/>
  <c r="AD502" i="4"/>
  <c r="AF502" i="4"/>
  <c r="AG502" i="4"/>
  <c r="AH502" i="4"/>
  <c r="Q503" i="4"/>
  <c r="R503" i="4"/>
  <c r="X503" i="4" s="1"/>
  <c r="S503" i="4"/>
  <c r="T503" i="4"/>
  <c r="U503" i="4"/>
  <c r="V503" i="4"/>
  <c r="W503" i="4"/>
  <c r="Y503" i="4"/>
  <c r="Z503" i="4"/>
  <c r="AA503" i="4"/>
  <c r="AB503" i="4"/>
  <c r="AC503" i="4"/>
  <c r="AD503" i="4"/>
  <c r="AE503" i="4"/>
  <c r="AF503" i="4"/>
  <c r="AG503" i="4"/>
  <c r="AH503" i="4"/>
  <c r="Q504" i="4"/>
  <c r="AE504" i="4" s="1"/>
  <c r="R504" i="4"/>
  <c r="S504" i="4" s="1"/>
  <c r="T504" i="4"/>
  <c r="U504" i="4"/>
  <c r="V504" i="4"/>
  <c r="W504" i="4"/>
  <c r="X504" i="4"/>
  <c r="Y504" i="4"/>
  <c r="Z504" i="4"/>
  <c r="AA504" i="4"/>
  <c r="AB504" i="4"/>
  <c r="AC504" i="4"/>
  <c r="AD504" i="4"/>
  <c r="AF504" i="4"/>
  <c r="AG504" i="4"/>
  <c r="AH504" i="4"/>
  <c r="Q505" i="4"/>
  <c r="R505" i="4"/>
  <c r="X505" i="4" s="1"/>
  <c r="S505" i="4"/>
  <c r="T505" i="4"/>
  <c r="U505" i="4"/>
  <c r="V505" i="4"/>
  <c r="W505" i="4"/>
  <c r="Y505" i="4"/>
  <c r="Z505" i="4"/>
  <c r="AA505" i="4"/>
  <c r="AB505" i="4"/>
  <c r="AC505" i="4"/>
  <c r="AD505" i="4"/>
  <c r="AE505" i="4"/>
  <c r="AF505" i="4"/>
  <c r="AG505" i="4"/>
  <c r="AH505" i="4"/>
  <c r="Q506" i="4"/>
  <c r="AE506" i="4" s="1"/>
  <c r="R506" i="4"/>
  <c r="S506" i="4" s="1"/>
  <c r="T506" i="4"/>
  <c r="U506" i="4"/>
  <c r="V506" i="4"/>
  <c r="W506" i="4"/>
  <c r="X506" i="4"/>
  <c r="Y506" i="4"/>
  <c r="Z506" i="4"/>
  <c r="AA506" i="4"/>
  <c r="AB506" i="4"/>
  <c r="AC506" i="4"/>
  <c r="AD506" i="4"/>
  <c r="AF506" i="4"/>
  <c r="AG506" i="4"/>
  <c r="AH506" i="4"/>
  <c r="Q507" i="4"/>
  <c r="R507" i="4"/>
  <c r="X507" i="4" s="1"/>
  <c r="S507" i="4"/>
  <c r="T507" i="4"/>
  <c r="U507" i="4"/>
  <c r="V507" i="4"/>
  <c r="W507" i="4"/>
  <c r="Y507" i="4"/>
  <c r="Z507" i="4"/>
  <c r="AA507" i="4"/>
  <c r="AB507" i="4"/>
  <c r="AC507" i="4"/>
  <c r="AD507" i="4"/>
  <c r="AE507" i="4"/>
  <c r="AF507" i="4"/>
  <c r="AG507" i="4"/>
  <c r="AH507" i="4"/>
  <c r="Q508" i="4"/>
  <c r="AE508" i="4" s="1"/>
  <c r="R508" i="4"/>
  <c r="S508" i="4" s="1"/>
  <c r="T508" i="4"/>
  <c r="U508" i="4"/>
  <c r="V508" i="4"/>
  <c r="W508" i="4"/>
  <c r="X508" i="4"/>
  <c r="Y508" i="4"/>
  <c r="Z508" i="4"/>
  <c r="AA508" i="4"/>
  <c r="AB508" i="4"/>
  <c r="AC508" i="4"/>
  <c r="AD508" i="4"/>
  <c r="AF508" i="4"/>
  <c r="AG508" i="4"/>
  <c r="AH508" i="4"/>
  <c r="Q509" i="4"/>
  <c r="R509" i="4"/>
  <c r="X509" i="4" s="1"/>
  <c r="S509" i="4"/>
  <c r="T509" i="4"/>
  <c r="U509" i="4"/>
  <c r="V509" i="4"/>
  <c r="W509" i="4"/>
  <c r="Y509" i="4"/>
  <c r="Z509" i="4"/>
  <c r="AA509" i="4"/>
  <c r="AB509" i="4"/>
  <c r="AC509" i="4"/>
  <c r="AD509" i="4"/>
  <c r="AE509" i="4"/>
  <c r="AF509" i="4"/>
  <c r="AG509" i="4"/>
  <c r="AH509" i="4"/>
  <c r="Q510" i="4"/>
  <c r="AE510" i="4" s="1"/>
  <c r="R510" i="4"/>
  <c r="S510" i="4" s="1"/>
  <c r="T510" i="4"/>
  <c r="U510" i="4"/>
  <c r="V510" i="4"/>
  <c r="W510" i="4"/>
  <c r="X510" i="4"/>
  <c r="Y510" i="4"/>
  <c r="Z510" i="4"/>
  <c r="AA510" i="4"/>
  <c r="AB510" i="4"/>
  <c r="AC510" i="4"/>
  <c r="AD510" i="4"/>
  <c r="AF510" i="4"/>
  <c r="AG510" i="4"/>
  <c r="AH510" i="4"/>
  <c r="Q511" i="4"/>
  <c r="R511" i="4"/>
  <c r="X511" i="4" s="1"/>
  <c r="S511" i="4"/>
  <c r="T511" i="4"/>
  <c r="U511" i="4"/>
  <c r="V511" i="4"/>
  <c r="W511" i="4"/>
  <c r="Y511" i="4"/>
  <c r="Z511" i="4"/>
  <c r="AA511" i="4"/>
  <c r="AB511" i="4"/>
  <c r="AC511" i="4"/>
  <c r="AD511" i="4"/>
  <c r="AE511" i="4"/>
  <c r="AF511" i="4"/>
  <c r="AG511" i="4"/>
  <c r="AH511" i="4"/>
  <c r="Q512" i="4"/>
  <c r="AE512" i="4" s="1"/>
  <c r="R512" i="4"/>
  <c r="S512" i="4" s="1"/>
  <c r="T512" i="4"/>
  <c r="U512" i="4"/>
  <c r="V512" i="4"/>
  <c r="W512" i="4"/>
  <c r="X512" i="4"/>
  <c r="Y512" i="4"/>
  <c r="Z512" i="4"/>
  <c r="AA512" i="4"/>
  <c r="AB512" i="4"/>
  <c r="AC512" i="4"/>
  <c r="AD512" i="4"/>
  <c r="AF512" i="4"/>
  <c r="AG512" i="4"/>
  <c r="AH512" i="4"/>
  <c r="Q513" i="4"/>
  <c r="R513" i="4"/>
  <c r="X513" i="4" s="1"/>
  <c r="S513" i="4"/>
  <c r="T513" i="4"/>
  <c r="U513" i="4"/>
  <c r="V513" i="4"/>
  <c r="W513" i="4"/>
  <c r="Y513" i="4"/>
  <c r="Z513" i="4"/>
  <c r="AA513" i="4"/>
  <c r="AB513" i="4"/>
  <c r="AC513" i="4"/>
  <c r="AD513" i="4"/>
  <c r="AE513" i="4"/>
  <c r="AF513" i="4"/>
  <c r="AG513" i="4"/>
  <c r="AH513" i="4"/>
  <c r="Q514" i="4"/>
  <c r="AE514" i="4" s="1"/>
  <c r="R514" i="4"/>
  <c r="S514" i="4" s="1"/>
  <c r="T514" i="4"/>
  <c r="U514" i="4"/>
  <c r="V514" i="4"/>
  <c r="W514" i="4"/>
  <c r="X514" i="4"/>
  <c r="Y514" i="4"/>
  <c r="Z514" i="4"/>
  <c r="AA514" i="4"/>
  <c r="AB514" i="4"/>
  <c r="AC514" i="4"/>
  <c r="AD514" i="4"/>
  <c r="AF514" i="4"/>
  <c r="AG514" i="4"/>
  <c r="AH514" i="4"/>
  <c r="Q515" i="4"/>
  <c r="R515" i="4"/>
  <c r="X515" i="4" s="1"/>
  <c r="S515" i="4"/>
  <c r="T515" i="4"/>
  <c r="U515" i="4"/>
  <c r="V515" i="4"/>
  <c r="W515" i="4"/>
  <c r="Y515" i="4"/>
  <c r="Z515" i="4"/>
  <c r="AA515" i="4"/>
  <c r="AB515" i="4"/>
  <c r="AC515" i="4"/>
  <c r="AD515" i="4"/>
  <c r="AE515" i="4"/>
  <c r="AF515" i="4"/>
  <c r="AG515" i="4"/>
  <c r="AH515" i="4"/>
  <c r="Q516" i="4"/>
  <c r="AE516" i="4" s="1"/>
  <c r="R516" i="4"/>
  <c r="S516" i="4" s="1"/>
  <c r="T516" i="4"/>
  <c r="U516" i="4"/>
  <c r="V516" i="4"/>
  <c r="W516" i="4"/>
  <c r="X516" i="4"/>
  <c r="Y516" i="4"/>
  <c r="Z516" i="4"/>
  <c r="AA516" i="4"/>
  <c r="AB516" i="4"/>
  <c r="AC516" i="4"/>
  <c r="AD516" i="4"/>
  <c r="AF516" i="4"/>
  <c r="AG516" i="4"/>
  <c r="AH516" i="4"/>
  <c r="Q517" i="4"/>
  <c r="R517" i="4"/>
  <c r="X517" i="4" s="1"/>
  <c r="S517" i="4"/>
  <c r="T517" i="4"/>
  <c r="U517" i="4"/>
  <c r="V517" i="4"/>
  <c r="W517" i="4"/>
  <c r="Y517" i="4"/>
  <c r="Z517" i="4"/>
  <c r="AA517" i="4"/>
  <c r="AB517" i="4"/>
  <c r="AC517" i="4"/>
  <c r="AD517" i="4"/>
  <c r="AE517" i="4"/>
  <c r="AF517" i="4"/>
  <c r="AG517" i="4"/>
  <c r="AH517" i="4"/>
  <c r="Q518" i="4"/>
  <c r="AE518" i="4" s="1"/>
  <c r="R518" i="4"/>
  <c r="S518" i="4" s="1"/>
  <c r="T518" i="4"/>
  <c r="U518" i="4"/>
  <c r="V518" i="4"/>
  <c r="W518" i="4"/>
  <c r="X518" i="4"/>
  <c r="Y518" i="4"/>
  <c r="Z518" i="4"/>
  <c r="AA518" i="4"/>
  <c r="AB518" i="4"/>
  <c r="AC518" i="4"/>
  <c r="AD518" i="4"/>
  <c r="AF518" i="4"/>
  <c r="AG518" i="4"/>
  <c r="AH518" i="4"/>
  <c r="Q519" i="4"/>
  <c r="R519" i="4"/>
  <c r="X519" i="4" s="1"/>
  <c r="S519" i="4"/>
  <c r="T519" i="4"/>
  <c r="U519" i="4"/>
  <c r="V519" i="4"/>
  <c r="W519" i="4"/>
  <c r="Y519" i="4"/>
  <c r="Z519" i="4"/>
  <c r="AA519" i="4"/>
  <c r="AB519" i="4"/>
  <c r="AC519" i="4"/>
  <c r="AD519" i="4"/>
  <c r="AE519" i="4"/>
  <c r="AF519" i="4"/>
  <c r="AG519" i="4"/>
  <c r="AH519" i="4"/>
  <c r="Q520" i="4"/>
  <c r="AE520" i="4" s="1"/>
  <c r="R520" i="4"/>
  <c r="S520" i="4" s="1"/>
  <c r="T520" i="4"/>
  <c r="U520" i="4"/>
  <c r="V520" i="4"/>
  <c r="W520" i="4"/>
  <c r="X520" i="4"/>
  <c r="Y520" i="4"/>
  <c r="Z520" i="4"/>
  <c r="AA520" i="4"/>
  <c r="AB520" i="4"/>
  <c r="AC520" i="4"/>
  <c r="AD520" i="4"/>
  <c r="AF520" i="4"/>
  <c r="AG520" i="4"/>
  <c r="AH520" i="4"/>
  <c r="Q521" i="4"/>
  <c r="R521" i="4"/>
  <c r="X521" i="4" s="1"/>
  <c r="S521" i="4"/>
  <c r="T521" i="4"/>
  <c r="U521" i="4"/>
  <c r="V521" i="4"/>
  <c r="W521" i="4"/>
  <c r="Y521" i="4"/>
  <c r="Z521" i="4"/>
  <c r="AA521" i="4"/>
  <c r="AB521" i="4"/>
  <c r="AC521" i="4"/>
  <c r="AD521" i="4"/>
  <c r="AE521" i="4"/>
  <c r="AF521" i="4"/>
  <c r="AG521" i="4"/>
  <c r="AH521" i="4"/>
  <c r="Q522" i="4"/>
  <c r="AE522" i="4" s="1"/>
  <c r="R522" i="4"/>
  <c r="S522" i="4"/>
  <c r="T522" i="4"/>
  <c r="U522" i="4"/>
  <c r="V522" i="4"/>
  <c r="W522" i="4"/>
  <c r="X522" i="4"/>
  <c r="Y522" i="4"/>
  <c r="Z522" i="4"/>
  <c r="AA522" i="4"/>
  <c r="AB522" i="4"/>
  <c r="AC522" i="4"/>
  <c r="AD522" i="4"/>
  <c r="AF522" i="4"/>
  <c r="AG522" i="4"/>
  <c r="AH522" i="4"/>
  <c r="Q523" i="4"/>
  <c r="R523" i="4"/>
  <c r="S523" i="4"/>
  <c r="T523" i="4"/>
  <c r="U523" i="4"/>
  <c r="V523" i="4"/>
  <c r="W523" i="4"/>
  <c r="X523" i="4"/>
  <c r="Y523" i="4"/>
  <c r="Z523" i="4"/>
  <c r="AA523" i="4"/>
  <c r="AB523" i="4"/>
  <c r="AC523" i="4"/>
  <c r="AD523" i="4"/>
  <c r="AE523" i="4"/>
  <c r="AF523" i="4"/>
  <c r="AG523" i="4"/>
  <c r="AH523" i="4"/>
  <c r="Q524" i="4"/>
  <c r="AE524" i="4" s="1"/>
  <c r="R524" i="4"/>
  <c r="T524" i="4"/>
  <c r="U524" i="4"/>
  <c r="V524" i="4"/>
  <c r="W524" i="4"/>
  <c r="Y524" i="4"/>
  <c r="Z524" i="4"/>
  <c r="AA524" i="4"/>
  <c r="AB524" i="4"/>
  <c r="AC524" i="4"/>
  <c r="AD524" i="4"/>
  <c r="AF524" i="4"/>
  <c r="AG524" i="4"/>
  <c r="AH524" i="4"/>
  <c r="Q525" i="4"/>
  <c r="AE525" i="4" s="1"/>
  <c r="R525" i="4"/>
  <c r="S525" i="4"/>
  <c r="T525" i="4"/>
  <c r="U525" i="4"/>
  <c r="V525" i="4"/>
  <c r="W525" i="4"/>
  <c r="X525" i="4"/>
  <c r="Y525" i="4"/>
  <c r="Z525" i="4"/>
  <c r="AA525" i="4"/>
  <c r="AB525" i="4"/>
  <c r="AC525" i="4"/>
  <c r="AD525" i="4"/>
  <c r="AF525" i="4"/>
  <c r="AG525" i="4"/>
  <c r="AH525" i="4"/>
  <c r="Q526" i="4"/>
  <c r="R526" i="4"/>
  <c r="X526" i="4" s="1"/>
  <c r="S526" i="4"/>
  <c r="T526" i="4"/>
  <c r="U526" i="4"/>
  <c r="V526" i="4"/>
  <c r="W526" i="4"/>
  <c r="Y526" i="4"/>
  <c r="Z526" i="4"/>
  <c r="AA526" i="4"/>
  <c r="AB526" i="4"/>
  <c r="AC526" i="4"/>
  <c r="AD526" i="4"/>
  <c r="AE526" i="4"/>
  <c r="AF526" i="4"/>
  <c r="AG526" i="4"/>
  <c r="AH526" i="4"/>
  <c r="Q527" i="4"/>
  <c r="R527" i="4"/>
  <c r="T527" i="4"/>
  <c r="U527" i="4"/>
  <c r="V527" i="4"/>
  <c r="W527" i="4"/>
  <c r="Y527" i="4"/>
  <c r="Z527" i="4"/>
  <c r="AA527" i="4"/>
  <c r="AB527" i="4"/>
  <c r="AC527" i="4"/>
  <c r="AD527" i="4"/>
  <c r="AE527" i="4"/>
  <c r="AF527" i="4"/>
  <c r="AG527" i="4"/>
  <c r="AH527" i="4"/>
  <c r="Q528" i="4"/>
  <c r="AE528" i="4" s="1"/>
  <c r="R528" i="4"/>
  <c r="S528" i="4"/>
  <c r="T528" i="4"/>
  <c r="U528" i="4"/>
  <c r="V528" i="4"/>
  <c r="W528" i="4"/>
  <c r="X528" i="4"/>
  <c r="Y528" i="4"/>
  <c r="Z528" i="4"/>
  <c r="AA528" i="4"/>
  <c r="AB528" i="4"/>
  <c r="AC528" i="4"/>
  <c r="AD528" i="4"/>
  <c r="AF528" i="4"/>
  <c r="AG528" i="4"/>
  <c r="AH528" i="4"/>
  <c r="Q529" i="4"/>
  <c r="R529" i="4"/>
  <c r="T529" i="4"/>
  <c r="U529" i="4"/>
  <c r="V529" i="4"/>
  <c r="W529" i="4"/>
  <c r="Y529" i="4"/>
  <c r="Z529" i="4"/>
  <c r="AA529" i="4"/>
  <c r="AB529" i="4"/>
  <c r="AC529" i="4"/>
  <c r="AD529" i="4"/>
  <c r="AE529" i="4"/>
  <c r="AF529" i="4"/>
  <c r="AG529" i="4"/>
  <c r="AH529" i="4"/>
  <c r="Q530" i="4"/>
  <c r="AE530" i="4" s="1"/>
  <c r="R530" i="4"/>
  <c r="S530" i="4"/>
  <c r="T530" i="4"/>
  <c r="U530" i="4"/>
  <c r="V530" i="4"/>
  <c r="W530" i="4"/>
  <c r="X530" i="4"/>
  <c r="Y530" i="4"/>
  <c r="Z530" i="4"/>
  <c r="AA530" i="4"/>
  <c r="AB530" i="4"/>
  <c r="AC530" i="4"/>
  <c r="AD530" i="4"/>
  <c r="AF530" i="4"/>
  <c r="AG530" i="4"/>
  <c r="AH530" i="4"/>
  <c r="Q531" i="4"/>
  <c r="R531" i="4"/>
  <c r="T531" i="4"/>
  <c r="U531" i="4"/>
  <c r="V531" i="4"/>
  <c r="W531" i="4"/>
  <c r="Y531" i="4"/>
  <c r="Z531" i="4"/>
  <c r="AA531" i="4"/>
  <c r="AB531" i="4"/>
  <c r="AC531" i="4"/>
  <c r="AD531" i="4"/>
  <c r="AE531" i="4"/>
  <c r="AF531" i="4"/>
  <c r="AG531" i="4"/>
  <c r="AH531" i="4"/>
  <c r="Q532" i="4"/>
  <c r="AE532" i="4" s="1"/>
  <c r="R532" i="4"/>
  <c r="S532" i="4"/>
  <c r="T532" i="4"/>
  <c r="U532" i="4"/>
  <c r="V532" i="4"/>
  <c r="W532" i="4"/>
  <c r="X532" i="4"/>
  <c r="Y532" i="4"/>
  <c r="Z532" i="4"/>
  <c r="AA532" i="4"/>
  <c r="AB532" i="4"/>
  <c r="AC532" i="4"/>
  <c r="AD532" i="4"/>
  <c r="AF532" i="4"/>
  <c r="AG532" i="4"/>
  <c r="AH532" i="4"/>
  <c r="Q533" i="4"/>
  <c r="R533" i="4"/>
  <c r="T533" i="4"/>
  <c r="U533" i="4"/>
  <c r="V533" i="4"/>
  <c r="W533" i="4"/>
  <c r="Y533" i="4"/>
  <c r="Z533" i="4"/>
  <c r="AA533" i="4"/>
  <c r="AB533" i="4"/>
  <c r="AC533" i="4"/>
  <c r="AD533" i="4"/>
  <c r="AE533" i="4"/>
  <c r="AF533" i="4"/>
  <c r="AG533" i="4"/>
  <c r="AH533" i="4"/>
  <c r="Q534" i="4"/>
  <c r="AE534" i="4" s="1"/>
  <c r="R534" i="4"/>
  <c r="S534" i="4"/>
  <c r="T534" i="4"/>
  <c r="U534" i="4"/>
  <c r="V534" i="4"/>
  <c r="W534" i="4"/>
  <c r="X534" i="4"/>
  <c r="Y534" i="4"/>
  <c r="Z534" i="4"/>
  <c r="AA534" i="4"/>
  <c r="AB534" i="4"/>
  <c r="AC534" i="4"/>
  <c r="AD534" i="4"/>
  <c r="AF534" i="4"/>
  <c r="AG534" i="4"/>
  <c r="AH534" i="4"/>
  <c r="Q535" i="4"/>
  <c r="R535" i="4"/>
  <c r="T535" i="4"/>
  <c r="U535" i="4"/>
  <c r="V535" i="4"/>
  <c r="W535" i="4"/>
  <c r="Y535" i="4"/>
  <c r="Z535" i="4"/>
  <c r="AA535" i="4"/>
  <c r="AB535" i="4"/>
  <c r="AC535" i="4"/>
  <c r="AD535" i="4"/>
  <c r="AE535" i="4"/>
  <c r="AF535" i="4"/>
  <c r="AG535" i="4"/>
  <c r="AH535" i="4"/>
  <c r="Q536" i="4"/>
  <c r="AE536" i="4" s="1"/>
  <c r="R536" i="4"/>
  <c r="S536" i="4"/>
  <c r="T536" i="4"/>
  <c r="U536" i="4"/>
  <c r="V536" i="4"/>
  <c r="W536" i="4"/>
  <c r="X536" i="4"/>
  <c r="Y536" i="4"/>
  <c r="Z536" i="4"/>
  <c r="AA536" i="4"/>
  <c r="AB536" i="4"/>
  <c r="AC536" i="4"/>
  <c r="AD536" i="4"/>
  <c r="AF536" i="4"/>
  <c r="AG536" i="4"/>
  <c r="AH536" i="4"/>
  <c r="Q537" i="4"/>
  <c r="R537" i="4"/>
  <c r="T537" i="4"/>
  <c r="U537" i="4"/>
  <c r="V537" i="4"/>
  <c r="W537" i="4"/>
  <c r="Y537" i="4"/>
  <c r="Z537" i="4"/>
  <c r="AA537" i="4"/>
  <c r="AB537" i="4"/>
  <c r="AC537" i="4"/>
  <c r="AD537" i="4"/>
  <c r="AE537" i="4"/>
  <c r="AF537" i="4"/>
  <c r="AG537" i="4"/>
  <c r="AH537" i="4"/>
  <c r="Q538" i="4"/>
  <c r="AE538" i="4" s="1"/>
  <c r="R538" i="4"/>
  <c r="S538" i="4"/>
  <c r="T538" i="4"/>
  <c r="U538" i="4"/>
  <c r="V538" i="4"/>
  <c r="W538" i="4"/>
  <c r="X538" i="4"/>
  <c r="Y538" i="4"/>
  <c r="Z538" i="4"/>
  <c r="AA538" i="4"/>
  <c r="AB538" i="4"/>
  <c r="AC538" i="4"/>
  <c r="AD538" i="4"/>
  <c r="AF538" i="4"/>
  <c r="AG538" i="4"/>
  <c r="AH538" i="4"/>
  <c r="Q539" i="4"/>
  <c r="R539" i="4"/>
  <c r="T539" i="4"/>
  <c r="U539" i="4"/>
  <c r="V539" i="4"/>
  <c r="W539" i="4"/>
  <c r="Y539" i="4"/>
  <c r="Z539" i="4"/>
  <c r="AA539" i="4"/>
  <c r="AB539" i="4"/>
  <c r="AC539" i="4"/>
  <c r="AD539" i="4"/>
  <c r="AE539" i="4"/>
  <c r="AF539" i="4"/>
  <c r="AG539" i="4"/>
  <c r="AH539" i="4"/>
  <c r="Q540" i="4"/>
  <c r="AE540" i="4" s="1"/>
  <c r="R540" i="4"/>
  <c r="S540" i="4"/>
  <c r="T540" i="4"/>
  <c r="U540" i="4"/>
  <c r="V540" i="4"/>
  <c r="W540" i="4"/>
  <c r="X540" i="4"/>
  <c r="Y540" i="4"/>
  <c r="Z540" i="4"/>
  <c r="AA540" i="4"/>
  <c r="AB540" i="4"/>
  <c r="AC540" i="4"/>
  <c r="AD540" i="4"/>
  <c r="AF540" i="4"/>
  <c r="AG540" i="4"/>
  <c r="AH540" i="4"/>
  <c r="Q541" i="4"/>
  <c r="R541" i="4"/>
  <c r="T541" i="4"/>
  <c r="U541" i="4"/>
  <c r="V541" i="4"/>
  <c r="W541" i="4"/>
  <c r="Y541" i="4"/>
  <c r="Z541" i="4"/>
  <c r="AA541" i="4"/>
  <c r="AB541" i="4"/>
  <c r="AC541" i="4"/>
  <c r="AD541" i="4"/>
  <c r="AE541" i="4"/>
  <c r="AF541" i="4"/>
  <c r="AG541" i="4"/>
  <c r="AH541" i="4"/>
  <c r="Q542" i="4"/>
  <c r="AE542" i="4" s="1"/>
  <c r="R542" i="4"/>
  <c r="S542" i="4"/>
  <c r="T542" i="4"/>
  <c r="U542" i="4"/>
  <c r="V542" i="4"/>
  <c r="W542" i="4"/>
  <c r="X542" i="4"/>
  <c r="Y542" i="4"/>
  <c r="Z542" i="4"/>
  <c r="AA542" i="4"/>
  <c r="AB542" i="4"/>
  <c r="AC542" i="4"/>
  <c r="AD542" i="4"/>
  <c r="AF542" i="4"/>
  <c r="AG542" i="4"/>
  <c r="AH542" i="4"/>
  <c r="Q543" i="4"/>
  <c r="R543" i="4"/>
  <c r="T543" i="4"/>
  <c r="U543" i="4"/>
  <c r="V543" i="4"/>
  <c r="W543" i="4"/>
  <c r="Y543" i="4"/>
  <c r="Z543" i="4"/>
  <c r="AA543" i="4"/>
  <c r="AB543" i="4"/>
  <c r="AC543" i="4"/>
  <c r="AD543" i="4"/>
  <c r="AE543" i="4"/>
  <c r="AF543" i="4"/>
  <c r="AG543" i="4"/>
  <c r="AH543" i="4"/>
  <c r="Q544" i="4"/>
  <c r="AE544" i="4" s="1"/>
  <c r="R544" i="4"/>
  <c r="S544" i="4"/>
  <c r="T544" i="4"/>
  <c r="U544" i="4"/>
  <c r="V544" i="4"/>
  <c r="W544" i="4"/>
  <c r="X544" i="4"/>
  <c r="Y544" i="4"/>
  <c r="Z544" i="4"/>
  <c r="AA544" i="4"/>
  <c r="AB544" i="4"/>
  <c r="AC544" i="4"/>
  <c r="AD544" i="4"/>
  <c r="AF544" i="4"/>
  <c r="AG544" i="4"/>
  <c r="AH544" i="4"/>
  <c r="Q545" i="4"/>
  <c r="R545" i="4"/>
  <c r="T545" i="4"/>
  <c r="U545" i="4"/>
  <c r="V545" i="4"/>
  <c r="W545" i="4"/>
  <c r="Y545" i="4"/>
  <c r="Z545" i="4"/>
  <c r="AA545" i="4"/>
  <c r="AB545" i="4"/>
  <c r="AC545" i="4"/>
  <c r="AD545" i="4"/>
  <c r="AE545" i="4"/>
  <c r="AF545" i="4"/>
  <c r="AG545" i="4"/>
  <c r="AH545" i="4"/>
  <c r="Q546" i="4"/>
  <c r="AE546" i="4" s="1"/>
  <c r="R546" i="4"/>
  <c r="S546" i="4"/>
  <c r="T546" i="4"/>
  <c r="U546" i="4"/>
  <c r="V546" i="4"/>
  <c r="W546" i="4"/>
  <c r="X546" i="4"/>
  <c r="Y546" i="4"/>
  <c r="Z546" i="4"/>
  <c r="AA546" i="4"/>
  <c r="AB546" i="4"/>
  <c r="AC546" i="4"/>
  <c r="AD546" i="4"/>
  <c r="AF546" i="4"/>
  <c r="AG546" i="4"/>
  <c r="AH546" i="4"/>
  <c r="Q547" i="4"/>
  <c r="R547" i="4"/>
  <c r="T547" i="4"/>
  <c r="U547" i="4"/>
  <c r="V547" i="4"/>
  <c r="W547" i="4"/>
  <c r="Y547" i="4"/>
  <c r="Z547" i="4"/>
  <c r="AA547" i="4"/>
  <c r="AB547" i="4"/>
  <c r="AC547" i="4"/>
  <c r="AD547" i="4"/>
  <c r="AE547" i="4"/>
  <c r="AF547" i="4"/>
  <c r="AG547" i="4"/>
  <c r="AH547" i="4"/>
  <c r="Q548" i="4"/>
  <c r="AE548" i="4" s="1"/>
  <c r="R548" i="4"/>
  <c r="S548" i="4"/>
  <c r="T548" i="4"/>
  <c r="U548" i="4"/>
  <c r="V548" i="4"/>
  <c r="W548" i="4"/>
  <c r="X548" i="4"/>
  <c r="Y548" i="4"/>
  <c r="Z548" i="4"/>
  <c r="AA548" i="4"/>
  <c r="AB548" i="4"/>
  <c r="AC548" i="4"/>
  <c r="AD548" i="4"/>
  <c r="AF548" i="4"/>
  <c r="AG548" i="4"/>
  <c r="AH548" i="4"/>
  <c r="Q549" i="4"/>
  <c r="R549" i="4"/>
  <c r="T549" i="4"/>
  <c r="U549" i="4"/>
  <c r="V549" i="4"/>
  <c r="W549" i="4"/>
  <c r="Y549" i="4"/>
  <c r="Z549" i="4"/>
  <c r="AA549" i="4"/>
  <c r="AB549" i="4"/>
  <c r="AC549" i="4"/>
  <c r="AD549" i="4"/>
  <c r="AE549" i="4"/>
  <c r="AF549" i="4"/>
  <c r="AG549" i="4"/>
  <c r="AH549" i="4"/>
  <c r="Q550" i="4"/>
  <c r="AE550" i="4" s="1"/>
  <c r="R550" i="4"/>
  <c r="S550" i="4"/>
  <c r="T550" i="4"/>
  <c r="U550" i="4"/>
  <c r="V550" i="4"/>
  <c r="W550" i="4"/>
  <c r="X550" i="4"/>
  <c r="Y550" i="4"/>
  <c r="Z550" i="4"/>
  <c r="AA550" i="4"/>
  <c r="AB550" i="4"/>
  <c r="AC550" i="4"/>
  <c r="AD550" i="4"/>
  <c r="AF550" i="4"/>
  <c r="AG550" i="4"/>
  <c r="AH550" i="4"/>
  <c r="Q551" i="4"/>
  <c r="R551" i="4"/>
  <c r="T551" i="4"/>
  <c r="U551" i="4"/>
  <c r="V551" i="4"/>
  <c r="W551" i="4"/>
  <c r="Y551" i="4"/>
  <c r="Z551" i="4"/>
  <c r="AA551" i="4"/>
  <c r="AB551" i="4"/>
  <c r="AC551" i="4"/>
  <c r="AD551" i="4"/>
  <c r="AE551" i="4"/>
  <c r="AF551" i="4"/>
  <c r="AG551" i="4"/>
  <c r="AH551" i="4"/>
  <c r="Q552" i="4"/>
  <c r="AE552" i="4" s="1"/>
  <c r="R552" i="4"/>
  <c r="S552" i="4"/>
  <c r="T552" i="4"/>
  <c r="U552" i="4"/>
  <c r="V552" i="4"/>
  <c r="W552" i="4"/>
  <c r="X552" i="4"/>
  <c r="Y552" i="4"/>
  <c r="Z552" i="4"/>
  <c r="AA552" i="4"/>
  <c r="AB552" i="4"/>
  <c r="AC552" i="4"/>
  <c r="AD552" i="4"/>
  <c r="AF552" i="4"/>
  <c r="AG552" i="4"/>
  <c r="AH552" i="4"/>
  <c r="Q553" i="4"/>
  <c r="R553" i="4"/>
  <c r="T553" i="4"/>
  <c r="U553" i="4"/>
  <c r="V553" i="4"/>
  <c r="W553" i="4"/>
  <c r="Y553" i="4"/>
  <c r="Z553" i="4"/>
  <c r="AA553" i="4"/>
  <c r="AB553" i="4"/>
  <c r="AC553" i="4"/>
  <c r="AD553" i="4"/>
  <c r="AE553" i="4"/>
  <c r="AF553" i="4"/>
  <c r="AG553" i="4"/>
  <c r="AH553" i="4"/>
  <c r="Q554" i="4"/>
  <c r="AE554" i="4" s="1"/>
  <c r="R554" i="4"/>
  <c r="S554" i="4"/>
  <c r="T554" i="4"/>
  <c r="U554" i="4"/>
  <c r="V554" i="4"/>
  <c r="W554" i="4"/>
  <c r="X554" i="4"/>
  <c r="Y554" i="4"/>
  <c r="Z554" i="4"/>
  <c r="AA554" i="4"/>
  <c r="AB554" i="4"/>
  <c r="AC554" i="4"/>
  <c r="AD554" i="4"/>
  <c r="AF554" i="4"/>
  <c r="AG554" i="4"/>
  <c r="AH554" i="4"/>
  <c r="Q555" i="4"/>
  <c r="R555" i="4"/>
  <c r="T555" i="4"/>
  <c r="U555" i="4"/>
  <c r="V555" i="4"/>
  <c r="W555" i="4"/>
  <c r="Y555" i="4"/>
  <c r="Z555" i="4"/>
  <c r="AA555" i="4"/>
  <c r="AB555" i="4"/>
  <c r="AC555" i="4"/>
  <c r="AD555" i="4"/>
  <c r="AE555" i="4"/>
  <c r="AF555" i="4"/>
  <c r="AG555" i="4"/>
  <c r="AH555" i="4"/>
  <c r="Q556" i="4"/>
  <c r="AE556" i="4" s="1"/>
  <c r="R556" i="4"/>
  <c r="S556" i="4"/>
  <c r="T556" i="4"/>
  <c r="U556" i="4"/>
  <c r="V556" i="4"/>
  <c r="W556" i="4"/>
  <c r="X556" i="4"/>
  <c r="Y556" i="4"/>
  <c r="Z556" i="4"/>
  <c r="AA556" i="4"/>
  <c r="AB556" i="4"/>
  <c r="AC556" i="4"/>
  <c r="AD556" i="4"/>
  <c r="AF556" i="4"/>
  <c r="AG556" i="4"/>
  <c r="AH556" i="4"/>
  <c r="Q557" i="4"/>
  <c r="R557" i="4"/>
  <c r="T557" i="4"/>
  <c r="U557" i="4"/>
  <c r="V557" i="4"/>
  <c r="W557" i="4"/>
  <c r="Y557" i="4"/>
  <c r="Z557" i="4"/>
  <c r="AA557" i="4"/>
  <c r="AB557" i="4"/>
  <c r="AC557" i="4"/>
  <c r="AD557" i="4"/>
  <c r="AE557" i="4"/>
  <c r="AF557" i="4"/>
  <c r="AG557" i="4"/>
  <c r="AH557" i="4"/>
  <c r="Q558" i="4"/>
  <c r="AE558" i="4" s="1"/>
  <c r="R558" i="4"/>
  <c r="S558" i="4"/>
  <c r="T558" i="4"/>
  <c r="U558" i="4"/>
  <c r="V558" i="4"/>
  <c r="W558" i="4"/>
  <c r="X558" i="4"/>
  <c r="Y558" i="4"/>
  <c r="Z558" i="4"/>
  <c r="AA558" i="4"/>
  <c r="AB558" i="4"/>
  <c r="AC558" i="4"/>
  <c r="AD558" i="4"/>
  <c r="AF558" i="4"/>
  <c r="AG558" i="4"/>
  <c r="AH558" i="4"/>
  <c r="Q559" i="4"/>
  <c r="R559" i="4"/>
  <c r="T559" i="4"/>
  <c r="U559" i="4"/>
  <c r="V559" i="4"/>
  <c r="W559" i="4"/>
  <c r="Y559" i="4"/>
  <c r="Z559" i="4"/>
  <c r="AA559" i="4"/>
  <c r="AB559" i="4"/>
  <c r="AC559" i="4"/>
  <c r="AD559" i="4"/>
  <c r="AE559" i="4"/>
  <c r="AF559" i="4"/>
  <c r="AG559" i="4"/>
  <c r="AH559" i="4"/>
  <c r="Q560" i="4"/>
  <c r="AE560" i="4" s="1"/>
  <c r="R560" i="4"/>
  <c r="S560" i="4"/>
  <c r="T560" i="4"/>
  <c r="U560" i="4"/>
  <c r="V560" i="4"/>
  <c r="W560" i="4"/>
  <c r="X560" i="4"/>
  <c r="Y560" i="4"/>
  <c r="Z560" i="4"/>
  <c r="AA560" i="4"/>
  <c r="AB560" i="4"/>
  <c r="AC560" i="4"/>
  <c r="AD560" i="4"/>
  <c r="AF560" i="4"/>
  <c r="AG560" i="4"/>
  <c r="AH560" i="4"/>
  <c r="Q561" i="4"/>
  <c r="R561" i="4"/>
  <c r="T561" i="4"/>
  <c r="U561" i="4"/>
  <c r="V561" i="4"/>
  <c r="W561" i="4"/>
  <c r="Y561" i="4"/>
  <c r="Z561" i="4"/>
  <c r="AA561" i="4"/>
  <c r="AB561" i="4"/>
  <c r="AC561" i="4"/>
  <c r="AD561" i="4"/>
  <c r="AE561" i="4"/>
  <c r="AF561" i="4"/>
  <c r="AG561" i="4"/>
  <c r="AH561" i="4"/>
  <c r="Q562" i="4"/>
  <c r="AE562" i="4" s="1"/>
  <c r="R562" i="4"/>
  <c r="S562" i="4"/>
  <c r="T562" i="4"/>
  <c r="U562" i="4"/>
  <c r="V562" i="4"/>
  <c r="W562" i="4"/>
  <c r="X562" i="4"/>
  <c r="Y562" i="4"/>
  <c r="Z562" i="4"/>
  <c r="AA562" i="4"/>
  <c r="AB562" i="4"/>
  <c r="AC562" i="4"/>
  <c r="AD562" i="4"/>
  <c r="AF562" i="4"/>
  <c r="AG562" i="4"/>
  <c r="AH562" i="4"/>
  <c r="Q563" i="4"/>
  <c r="R563" i="4"/>
  <c r="T563" i="4"/>
  <c r="U563" i="4"/>
  <c r="V563" i="4"/>
  <c r="W563" i="4"/>
  <c r="Y563" i="4"/>
  <c r="Z563" i="4"/>
  <c r="AA563" i="4"/>
  <c r="AB563" i="4"/>
  <c r="AC563" i="4"/>
  <c r="AD563" i="4"/>
  <c r="AE563" i="4"/>
  <c r="AF563" i="4"/>
  <c r="AG563" i="4"/>
  <c r="AH563" i="4"/>
  <c r="Q564" i="4"/>
  <c r="AE564" i="4" s="1"/>
  <c r="R564" i="4"/>
  <c r="S564" i="4"/>
  <c r="T564" i="4"/>
  <c r="U564" i="4"/>
  <c r="V564" i="4"/>
  <c r="W564" i="4"/>
  <c r="X564" i="4"/>
  <c r="Y564" i="4"/>
  <c r="Z564" i="4"/>
  <c r="AA564" i="4"/>
  <c r="AB564" i="4"/>
  <c r="AC564" i="4"/>
  <c r="AD564" i="4"/>
  <c r="AF564" i="4"/>
  <c r="AG564" i="4"/>
  <c r="AH564" i="4"/>
  <c r="Q565" i="4"/>
  <c r="R565" i="4"/>
  <c r="T565" i="4"/>
  <c r="U565" i="4"/>
  <c r="V565" i="4"/>
  <c r="W565" i="4"/>
  <c r="Y565" i="4"/>
  <c r="Z565" i="4"/>
  <c r="AA565" i="4"/>
  <c r="AB565" i="4"/>
  <c r="AC565" i="4"/>
  <c r="AD565" i="4"/>
  <c r="AE565" i="4"/>
  <c r="AF565" i="4"/>
  <c r="AG565" i="4"/>
  <c r="AH565" i="4"/>
  <c r="Q566" i="4"/>
  <c r="AE566" i="4" s="1"/>
  <c r="R566" i="4"/>
  <c r="S566" i="4"/>
  <c r="T566" i="4"/>
  <c r="U566" i="4"/>
  <c r="V566" i="4"/>
  <c r="W566" i="4"/>
  <c r="X566" i="4"/>
  <c r="Y566" i="4"/>
  <c r="Z566" i="4"/>
  <c r="AA566" i="4"/>
  <c r="AB566" i="4"/>
  <c r="AC566" i="4"/>
  <c r="AD566" i="4"/>
  <c r="AF566" i="4"/>
  <c r="AG566" i="4"/>
  <c r="AH566" i="4"/>
  <c r="Q567" i="4"/>
  <c r="R567" i="4"/>
  <c r="T567" i="4"/>
  <c r="U567" i="4"/>
  <c r="V567" i="4"/>
  <c r="W567" i="4"/>
  <c r="Y567" i="4"/>
  <c r="Z567" i="4"/>
  <c r="AA567" i="4"/>
  <c r="AB567" i="4"/>
  <c r="AC567" i="4"/>
  <c r="AD567" i="4"/>
  <c r="AE567" i="4"/>
  <c r="AF567" i="4"/>
  <c r="AG567" i="4"/>
  <c r="AH567" i="4"/>
  <c r="Q568" i="4"/>
  <c r="AE568" i="4" s="1"/>
  <c r="R568" i="4"/>
  <c r="S568" i="4"/>
  <c r="T568" i="4"/>
  <c r="U568" i="4"/>
  <c r="V568" i="4"/>
  <c r="W568" i="4"/>
  <c r="X568" i="4"/>
  <c r="Y568" i="4"/>
  <c r="Z568" i="4"/>
  <c r="AA568" i="4"/>
  <c r="AB568" i="4"/>
  <c r="AC568" i="4"/>
  <c r="AD568" i="4"/>
  <c r="AF568" i="4"/>
  <c r="AG568" i="4"/>
  <c r="AH568" i="4"/>
  <c r="Q569" i="4"/>
  <c r="R569" i="4"/>
  <c r="T569" i="4"/>
  <c r="U569" i="4"/>
  <c r="V569" i="4"/>
  <c r="W569" i="4"/>
  <c r="Y569" i="4"/>
  <c r="Z569" i="4"/>
  <c r="AA569" i="4"/>
  <c r="AB569" i="4"/>
  <c r="AC569" i="4"/>
  <c r="AD569" i="4"/>
  <c r="AE569" i="4"/>
  <c r="AF569" i="4"/>
  <c r="AG569" i="4"/>
  <c r="AH569" i="4"/>
  <c r="Q570" i="4"/>
  <c r="AE570" i="4" s="1"/>
  <c r="R570" i="4"/>
  <c r="S570" i="4"/>
  <c r="T570" i="4"/>
  <c r="U570" i="4"/>
  <c r="V570" i="4"/>
  <c r="W570" i="4"/>
  <c r="X570" i="4"/>
  <c r="Y570" i="4"/>
  <c r="Z570" i="4"/>
  <c r="AA570" i="4"/>
  <c r="AB570" i="4"/>
  <c r="AC570" i="4"/>
  <c r="AD570" i="4"/>
  <c r="AF570" i="4"/>
  <c r="AG570" i="4"/>
  <c r="AH570" i="4"/>
  <c r="Q571" i="4"/>
  <c r="R571" i="4"/>
  <c r="T571" i="4"/>
  <c r="U571" i="4"/>
  <c r="V571" i="4"/>
  <c r="W571" i="4"/>
  <c r="Y571" i="4"/>
  <c r="Z571" i="4"/>
  <c r="AA571" i="4"/>
  <c r="AB571" i="4"/>
  <c r="AC571" i="4"/>
  <c r="AD571" i="4"/>
  <c r="AE571" i="4"/>
  <c r="AF571" i="4"/>
  <c r="AG571" i="4"/>
  <c r="AH571" i="4"/>
  <c r="Q572" i="4"/>
  <c r="AE572" i="4" s="1"/>
  <c r="R572" i="4"/>
  <c r="S572" i="4"/>
  <c r="T572" i="4"/>
  <c r="U572" i="4"/>
  <c r="V572" i="4"/>
  <c r="W572" i="4"/>
  <c r="X572" i="4"/>
  <c r="Y572" i="4"/>
  <c r="Z572" i="4"/>
  <c r="AA572" i="4"/>
  <c r="AB572" i="4"/>
  <c r="AC572" i="4"/>
  <c r="AD572" i="4"/>
  <c r="AF572" i="4"/>
  <c r="AG572" i="4"/>
  <c r="AH572" i="4"/>
  <c r="Q573" i="4"/>
  <c r="R573" i="4"/>
  <c r="T573" i="4"/>
  <c r="U573" i="4"/>
  <c r="V573" i="4"/>
  <c r="W573" i="4"/>
  <c r="Y573" i="4"/>
  <c r="Z573" i="4"/>
  <c r="AA573" i="4"/>
  <c r="AB573" i="4"/>
  <c r="AC573" i="4"/>
  <c r="AD573" i="4"/>
  <c r="AE573" i="4"/>
  <c r="AF573" i="4"/>
  <c r="AG573" i="4"/>
  <c r="AH573" i="4"/>
  <c r="Q574" i="4"/>
  <c r="AE574" i="4" s="1"/>
  <c r="R574" i="4"/>
  <c r="S574" i="4"/>
  <c r="T574" i="4"/>
  <c r="U574" i="4"/>
  <c r="V574" i="4"/>
  <c r="W574" i="4"/>
  <c r="X574" i="4"/>
  <c r="Y574" i="4"/>
  <c r="Z574" i="4"/>
  <c r="AA574" i="4"/>
  <c r="AB574" i="4"/>
  <c r="AC574" i="4"/>
  <c r="AD574" i="4"/>
  <c r="AF574" i="4"/>
  <c r="AG574" i="4"/>
  <c r="AH574" i="4"/>
  <c r="Q575" i="4"/>
  <c r="R575" i="4"/>
  <c r="T575" i="4"/>
  <c r="U575" i="4"/>
  <c r="V575" i="4"/>
  <c r="W575" i="4"/>
  <c r="Y575" i="4"/>
  <c r="Z575" i="4"/>
  <c r="AA575" i="4"/>
  <c r="AB575" i="4"/>
  <c r="AC575" i="4"/>
  <c r="AD575" i="4"/>
  <c r="AE575" i="4"/>
  <c r="AF575" i="4"/>
  <c r="AG575" i="4"/>
  <c r="AH575" i="4"/>
  <c r="Q576" i="4"/>
  <c r="AE576" i="4" s="1"/>
  <c r="R576" i="4"/>
  <c r="S576" i="4"/>
  <c r="T576" i="4"/>
  <c r="U576" i="4"/>
  <c r="V576" i="4"/>
  <c r="W576" i="4"/>
  <c r="X576" i="4"/>
  <c r="Y576" i="4"/>
  <c r="Z576" i="4"/>
  <c r="AA576" i="4"/>
  <c r="AB576" i="4"/>
  <c r="AC576" i="4"/>
  <c r="AD576" i="4"/>
  <c r="AF576" i="4"/>
  <c r="AG576" i="4"/>
  <c r="AH576" i="4"/>
  <c r="Q577" i="4"/>
  <c r="R577" i="4"/>
  <c r="T577" i="4"/>
  <c r="U577" i="4"/>
  <c r="V577" i="4"/>
  <c r="W577" i="4"/>
  <c r="Y577" i="4"/>
  <c r="Z577" i="4"/>
  <c r="AA577" i="4"/>
  <c r="AB577" i="4"/>
  <c r="AC577" i="4"/>
  <c r="AD577" i="4"/>
  <c r="AE577" i="4"/>
  <c r="AF577" i="4"/>
  <c r="AG577" i="4"/>
  <c r="AH577" i="4"/>
  <c r="Q578" i="4"/>
  <c r="AE578" i="4" s="1"/>
  <c r="R578" i="4"/>
  <c r="S578" i="4"/>
  <c r="T578" i="4"/>
  <c r="U578" i="4"/>
  <c r="V578" i="4"/>
  <c r="W578" i="4"/>
  <c r="X578" i="4"/>
  <c r="Y578" i="4"/>
  <c r="Z578" i="4"/>
  <c r="AA578" i="4"/>
  <c r="AB578" i="4"/>
  <c r="AC578" i="4"/>
  <c r="AD578" i="4"/>
  <c r="AF578" i="4"/>
  <c r="AG578" i="4"/>
  <c r="AH578" i="4"/>
  <c r="Q579" i="4"/>
  <c r="R579" i="4"/>
  <c r="T579" i="4"/>
  <c r="U579" i="4"/>
  <c r="V579" i="4"/>
  <c r="W579" i="4"/>
  <c r="Y579" i="4"/>
  <c r="Z579" i="4"/>
  <c r="AA579" i="4"/>
  <c r="AB579" i="4"/>
  <c r="AC579" i="4"/>
  <c r="AD579" i="4"/>
  <c r="AE579" i="4"/>
  <c r="AF579" i="4"/>
  <c r="AG579" i="4"/>
  <c r="AH579" i="4"/>
  <c r="Q580" i="4"/>
  <c r="AE580" i="4" s="1"/>
  <c r="R580" i="4"/>
  <c r="S580" i="4"/>
  <c r="T580" i="4"/>
  <c r="U580" i="4"/>
  <c r="V580" i="4"/>
  <c r="W580" i="4"/>
  <c r="X580" i="4"/>
  <c r="Y580" i="4"/>
  <c r="Z580" i="4"/>
  <c r="AA580" i="4"/>
  <c r="AB580" i="4"/>
  <c r="AC580" i="4"/>
  <c r="AD580" i="4"/>
  <c r="AF580" i="4"/>
  <c r="AG580" i="4"/>
  <c r="AH580" i="4"/>
  <c r="Q581" i="4"/>
  <c r="R581" i="4"/>
  <c r="T581" i="4"/>
  <c r="U581" i="4"/>
  <c r="V581" i="4"/>
  <c r="W581" i="4"/>
  <c r="Y581" i="4"/>
  <c r="Z581" i="4"/>
  <c r="AA581" i="4"/>
  <c r="AB581" i="4"/>
  <c r="AC581" i="4"/>
  <c r="AD581" i="4"/>
  <c r="AE581" i="4"/>
  <c r="AF581" i="4"/>
  <c r="AG581" i="4"/>
  <c r="AH581" i="4"/>
  <c r="Q582" i="4"/>
  <c r="AE582" i="4" s="1"/>
  <c r="R582" i="4"/>
  <c r="S582" i="4"/>
  <c r="T582" i="4"/>
  <c r="U582" i="4"/>
  <c r="V582" i="4"/>
  <c r="W582" i="4"/>
  <c r="X582" i="4"/>
  <c r="Y582" i="4"/>
  <c r="Z582" i="4"/>
  <c r="AA582" i="4"/>
  <c r="AB582" i="4"/>
  <c r="AC582" i="4"/>
  <c r="AD582" i="4"/>
  <c r="AF582" i="4"/>
  <c r="AG582" i="4"/>
  <c r="AH582" i="4"/>
  <c r="Q583" i="4"/>
  <c r="R583" i="4"/>
  <c r="T583" i="4"/>
  <c r="U583" i="4"/>
  <c r="V583" i="4"/>
  <c r="W583" i="4"/>
  <c r="Y583" i="4"/>
  <c r="Z583" i="4"/>
  <c r="AA583" i="4"/>
  <c r="AB583" i="4"/>
  <c r="AC583" i="4"/>
  <c r="AD583" i="4"/>
  <c r="AE583" i="4"/>
  <c r="AF583" i="4"/>
  <c r="AG583" i="4"/>
  <c r="AH583" i="4"/>
  <c r="Q584" i="4"/>
  <c r="AE584" i="4" s="1"/>
  <c r="R584" i="4"/>
  <c r="S584" i="4"/>
  <c r="T584" i="4"/>
  <c r="U584" i="4"/>
  <c r="V584" i="4"/>
  <c r="W584" i="4"/>
  <c r="X584" i="4"/>
  <c r="Y584" i="4"/>
  <c r="Z584" i="4"/>
  <c r="AA584" i="4"/>
  <c r="AB584" i="4"/>
  <c r="AC584" i="4"/>
  <c r="AD584" i="4"/>
  <c r="AF584" i="4"/>
  <c r="AG584" i="4"/>
  <c r="AH584" i="4"/>
  <c r="Q585" i="4"/>
  <c r="R585" i="4"/>
  <c r="T585" i="4"/>
  <c r="U585" i="4"/>
  <c r="V585" i="4"/>
  <c r="W585" i="4"/>
  <c r="Y585" i="4"/>
  <c r="Z585" i="4"/>
  <c r="AA585" i="4"/>
  <c r="AB585" i="4"/>
  <c r="AC585" i="4"/>
  <c r="AD585" i="4"/>
  <c r="AE585" i="4"/>
  <c r="AF585" i="4"/>
  <c r="AG585" i="4"/>
  <c r="AH585" i="4"/>
  <c r="Q586" i="4"/>
  <c r="AE586" i="4" s="1"/>
  <c r="R586" i="4"/>
  <c r="S586" i="4"/>
  <c r="T586" i="4"/>
  <c r="U586" i="4"/>
  <c r="V586" i="4"/>
  <c r="W586" i="4"/>
  <c r="X586" i="4"/>
  <c r="Y586" i="4"/>
  <c r="Z586" i="4"/>
  <c r="AA586" i="4"/>
  <c r="AB586" i="4"/>
  <c r="AC586" i="4"/>
  <c r="AD586" i="4"/>
  <c r="AF586" i="4"/>
  <c r="AG586" i="4"/>
  <c r="AH586" i="4"/>
  <c r="Q587" i="4"/>
  <c r="R587" i="4"/>
  <c r="T587" i="4"/>
  <c r="U587" i="4"/>
  <c r="V587" i="4"/>
  <c r="W587" i="4"/>
  <c r="Y587" i="4"/>
  <c r="Z587" i="4"/>
  <c r="AA587" i="4"/>
  <c r="AB587" i="4"/>
  <c r="AC587" i="4"/>
  <c r="AD587" i="4"/>
  <c r="AE587" i="4"/>
  <c r="AF587" i="4"/>
  <c r="AG587" i="4"/>
  <c r="AH587" i="4"/>
  <c r="Q588" i="4"/>
  <c r="AE588" i="4" s="1"/>
  <c r="R588" i="4"/>
  <c r="S588" i="4"/>
  <c r="T588" i="4"/>
  <c r="U588" i="4"/>
  <c r="V588" i="4"/>
  <c r="W588" i="4"/>
  <c r="X588" i="4"/>
  <c r="Y588" i="4"/>
  <c r="Z588" i="4"/>
  <c r="AA588" i="4"/>
  <c r="AB588" i="4"/>
  <c r="AC588" i="4"/>
  <c r="AD588" i="4"/>
  <c r="AF588" i="4"/>
  <c r="AG588" i="4"/>
  <c r="AH588" i="4"/>
  <c r="Q589" i="4"/>
  <c r="R589" i="4"/>
  <c r="T589" i="4"/>
  <c r="U589" i="4"/>
  <c r="V589" i="4"/>
  <c r="W589" i="4"/>
  <c r="Y589" i="4"/>
  <c r="Z589" i="4"/>
  <c r="AA589" i="4"/>
  <c r="AB589" i="4"/>
  <c r="AC589" i="4"/>
  <c r="AD589" i="4"/>
  <c r="AE589" i="4"/>
  <c r="AF589" i="4"/>
  <c r="AG589" i="4"/>
  <c r="AH589" i="4"/>
  <c r="Q590" i="4"/>
  <c r="AE590" i="4" s="1"/>
  <c r="R590" i="4"/>
  <c r="S590" i="4"/>
  <c r="T590" i="4"/>
  <c r="U590" i="4"/>
  <c r="V590" i="4"/>
  <c r="W590" i="4"/>
  <c r="X590" i="4"/>
  <c r="Y590" i="4"/>
  <c r="Z590" i="4"/>
  <c r="AA590" i="4"/>
  <c r="AB590" i="4"/>
  <c r="AC590" i="4"/>
  <c r="AD590" i="4"/>
  <c r="AF590" i="4"/>
  <c r="AG590" i="4"/>
  <c r="AH590" i="4"/>
  <c r="Q591" i="4"/>
  <c r="R591" i="4"/>
  <c r="T591" i="4"/>
  <c r="U591" i="4"/>
  <c r="V591" i="4"/>
  <c r="W591" i="4"/>
  <c r="Y591" i="4"/>
  <c r="Z591" i="4"/>
  <c r="AA591" i="4"/>
  <c r="AB591" i="4"/>
  <c r="AC591" i="4"/>
  <c r="AD591" i="4"/>
  <c r="AE591" i="4"/>
  <c r="AF591" i="4"/>
  <c r="AG591" i="4"/>
  <c r="AH591" i="4"/>
  <c r="Q592" i="4"/>
  <c r="AE592" i="4" s="1"/>
  <c r="R592" i="4"/>
  <c r="S592" i="4"/>
  <c r="T592" i="4"/>
  <c r="U592" i="4"/>
  <c r="V592" i="4"/>
  <c r="W592" i="4"/>
  <c r="X592" i="4"/>
  <c r="Y592" i="4"/>
  <c r="Z592" i="4"/>
  <c r="AA592" i="4"/>
  <c r="AB592" i="4"/>
  <c r="AC592" i="4"/>
  <c r="AD592" i="4"/>
  <c r="AF592" i="4"/>
  <c r="AG592" i="4"/>
  <c r="AH592" i="4"/>
  <c r="Q593" i="4"/>
  <c r="R593" i="4"/>
  <c r="T593" i="4"/>
  <c r="U593" i="4"/>
  <c r="V593" i="4"/>
  <c r="W593" i="4"/>
  <c r="Y593" i="4"/>
  <c r="Z593" i="4"/>
  <c r="AA593" i="4"/>
  <c r="AB593" i="4"/>
  <c r="AC593" i="4"/>
  <c r="AD593" i="4"/>
  <c r="AE593" i="4"/>
  <c r="AF593" i="4"/>
  <c r="AG593" i="4"/>
  <c r="AH593" i="4"/>
  <c r="Q594" i="4"/>
  <c r="AE594" i="4" s="1"/>
  <c r="R594" i="4"/>
  <c r="S594" i="4"/>
  <c r="T594" i="4"/>
  <c r="U594" i="4"/>
  <c r="V594" i="4"/>
  <c r="W594" i="4"/>
  <c r="X594" i="4"/>
  <c r="Y594" i="4"/>
  <c r="Z594" i="4"/>
  <c r="AA594" i="4"/>
  <c r="AB594" i="4"/>
  <c r="AC594" i="4"/>
  <c r="AD594" i="4"/>
  <c r="AF594" i="4"/>
  <c r="AG594" i="4"/>
  <c r="AH594" i="4"/>
  <c r="Q595" i="4"/>
  <c r="R595" i="4"/>
  <c r="T595" i="4"/>
  <c r="U595" i="4"/>
  <c r="V595" i="4"/>
  <c r="W595" i="4"/>
  <c r="Y595" i="4"/>
  <c r="Z595" i="4"/>
  <c r="AA595" i="4"/>
  <c r="AB595" i="4"/>
  <c r="AC595" i="4"/>
  <c r="AD595" i="4"/>
  <c r="AE595" i="4"/>
  <c r="AF595" i="4"/>
  <c r="AG595" i="4"/>
  <c r="AH595" i="4"/>
  <c r="Q596" i="4"/>
  <c r="AE596" i="4" s="1"/>
  <c r="R596" i="4"/>
  <c r="S596" i="4"/>
  <c r="T596" i="4"/>
  <c r="U596" i="4"/>
  <c r="V596" i="4"/>
  <c r="W596" i="4"/>
  <c r="X596" i="4"/>
  <c r="Y596" i="4"/>
  <c r="Z596" i="4"/>
  <c r="AA596" i="4"/>
  <c r="AB596" i="4"/>
  <c r="AC596" i="4"/>
  <c r="AD596" i="4"/>
  <c r="AF596" i="4"/>
  <c r="AG596" i="4"/>
  <c r="AH596" i="4"/>
  <c r="Q597" i="4"/>
  <c r="R597" i="4"/>
  <c r="T597" i="4"/>
  <c r="U597" i="4"/>
  <c r="V597" i="4"/>
  <c r="W597" i="4"/>
  <c r="Y597" i="4"/>
  <c r="Z597" i="4"/>
  <c r="AA597" i="4"/>
  <c r="AB597" i="4"/>
  <c r="AC597" i="4"/>
  <c r="AD597" i="4"/>
  <c r="AE597" i="4"/>
  <c r="AF597" i="4"/>
  <c r="AG597" i="4"/>
  <c r="AH597" i="4"/>
  <c r="Q598" i="4"/>
  <c r="AE598" i="4" s="1"/>
  <c r="R598" i="4"/>
  <c r="S598" i="4"/>
  <c r="T598" i="4"/>
  <c r="U598" i="4"/>
  <c r="V598" i="4"/>
  <c r="W598" i="4"/>
  <c r="X598" i="4"/>
  <c r="Y598" i="4"/>
  <c r="Z598" i="4"/>
  <c r="AA598" i="4"/>
  <c r="AB598" i="4"/>
  <c r="AC598" i="4"/>
  <c r="AD598" i="4"/>
  <c r="AF598" i="4"/>
  <c r="AG598" i="4"/>
  <c r="AH598" i="4"/>
  <c r="Q599" i="4"/>
  <c r="R599" i="4"/>
  <c r="T599" i="4"/>
  <c r="U599" i="4"/>
  <c r="V599" i="4"/>
  <c r="W599" i="4"/>
  <c r="Y599" i="4"/>
  <c r="Z599" i="4"/>
  <c r="AA599" i="4"/>
  <c r="AB599" i="4"/>
  <c r="AC599" i="4"/>
  <c r="AD599" i="4"/>
  <c r="AE599" i="4"/>
  <c r="AF599" i="4"/>
  <c r="AG599" i="4"/>
  <c r="AH599" i="4"/>
  <c r="Q600" i="4"/>
  <c r="AE600" i="4" s="1"/>
  <c r="R600" i="4"/>
  <c r="S600" i="4"/>
  <c r="T600" i="4"/>
  <c r="U600" i="4"/>
  <c r="V600" i="4"/>
  <c r="W600" i="4"/>
  <c r="X600" i="4"/>
  <c r="Y600" i="4"/>
  <c r="Z600" i="4"/>
  <c r="AA600" i="4"/>
  <c r="AB600" i="4"/>
  <c r="AC600" i="4"/>
  <c r="AD600" i="4"/>
  <c r="AF600" i="4"/>
  <c r="AG600" i="4"/>
  <c r="AH600" i="4"/>
  <c r="Q601" i="4"/>
  <c r="R601" i="4"/>
  <c r="T601" i="4"/>
  <c r="U601" i="4"/>
  <c r="V601" i="4"/>
  <c r="W601" i="4"/>
  <c r="Y601" i="4"/>
  <c r="Z601" i="4"/>
  <c r="AA601" i="4"/>
  <c r="AB601" i="4"/>
  <c r="AC601" i="4"/>
  <c r="AD601" i="4"/>
  <c r="AE601" i="4"/>
  <c r="AF601" i="4"/>
  <c r="AG601" i="4"/>
  <c r="AH601" i="4"/>
  <c r="Q602" i="4"/>
  <c r="AE602" i="4" s="1"/>
  <c r="R602" i="4"/>
  <c r="S602" i="4"/>
  <c r="T602" i="4"/>
  <c r="U602" i="4"/>
  <c r="V602" i="4"/>
  <c r="W602" i="4"/>
  <c r="X602" i="4"/>
  <c r="Y602" i="4"/>
  <c r="Z602" i="4"/>
  <c r="AA602" i="4"/>
  <c r="AB602" i="4"/>
  <c r="AC602" i="4"/>
  <c r="AD602" i="4"/>
  <c r="AF602" i="4"/>
  <c r="AG602" i="4"/>
  <c r="AH602" i="4"/>
  <c r="Q603" i="4"/>
  <c r="R603" i="4"/>
  <c r="T603" i="4"/>
  <c r="U603" i="4"/>
  <c r="V603" i="4"/>
  <c r="W603" i="4"/>
  <c r="Y603" i="4"/>
  <c r="Z603" i="4"/>
  <c r="AA603" i="4"/>
  <c r="AB603" i="4"/>
  <c r="AC603" i="4"/>
  <c r="AD603" i="4"/>
  <c r="AE603" i="4"/>
  <c r="AF603" i="4"/>
  <c r="AG603" i="4"/>
  <c r="AH603" i="4"/>
  <c r="Q604" i="4"/>
  <c r="AE604" i="4" s="1"/>
  <c r="R604" i="4"/>
  <c r="S604" i="4"/>
  <c r="T604" i="4"/>
  <c r="U604" i="4"/>
  <c r="V604" i="4"/>
  <c r="W604" i="4"/>
  <c r="X604" i="4"/>
  <c r="Y604" i="4"/>
  <c r="Z604" i="4"/>
  <c r="AA604" i="4"/>
  <c r="AB604" i="4"/>
  <c r="AC604" i="4"/>
  <c r="AD604" i="4"/>
  <c r="AF604" i="4"/>
  <c r="AG604" i="4"/>
  <c r="AH604" i="4"/>
  <c r="Q605" i="4"/>
  <c r="R605" i="4"/>
  <c r="X605" i="4" s="1"/>
  <c r="T605" i="4"/>
  <c r="U605" i="4"/>
  <c r="V605" i="4"/>
  <c r="W605" i="4"/>
  <c r="Y605" i="4"/>
  <c r="Z605" i="4"/>
  <c r="AA605" i="4"/>
  <c r="AB605" i="4"/>
  <c r="AC605" i="4"/>
  <c r="AD605" i="4"/>
  <c r="AE605" i="4"/>
  <c r="AF605" i="4"/>
  <c r="AG605" i="4"/>
  <c r="AH605" i="4"/>
  <c r="Q606" i="4"/>
  <c r="AE606" i="4" s="1"/>
  <c r="R606" i="4"/>
  <c r="S606" i="4"/>
  <c r="T606" i="4"/>
  <c r="U606" i="4"/>
  <c r="V606" i="4"/>
  <c r="W606" i="4"/>
  <c r="X606" i="4"/>
  <c r="Y606" i="4"/>
  <c r="Z606" i="4"/>
  <c r="AA606" i="4"/>
  <c r="AB606" i="4"/>
  <c r="AC606" i="4"/>
  <c r="AD606" i="4"/>
  <c r="AF606" i="4"/>
  <c r="AG606" i="4"/>
  <c r="AH606" i="4"/>
  <c r="Q607" i="4"/>
  <c r="R607" i="4"/>
  <c r="X607" i="4" s="1"/>
  <c r="T607" i="4"/>
  <c r="U607" i="4"/>
  <c r="V607" i="4"/>
  <c r="W607" i="4"/>
  <c r="Y607" i="4"/>
  <c r="Z607" i="4"/>
  <c r="AA607" i="4"/>
  <c r="AB607" i="4"/>
  <c r="AC607" i="4"/>
  <c r="AD607" i="4"/>
  <c r="AE607" i="4"/>
  <c r="AF607" i="4"/>
  <c r="AG607" i="4"/>
  <c r="AH607" i="4"/>
  <c r="Q608" i="4"/>
  <c r="AE608" i="4" s="1"/>
  <c r="R608" i="4"/>
  <c r="S608" i="4"/>
  <c r="T608" i="4"/>
  <c r="U608" i="4"/>
  <c r="V608" i="4"/>
  <c r="W608" i="4"/>
  <c r="X608" i="4"/>
  <c r="Y608" i="4"/>
  <c r="Z608" i="4"/>
  <c r="AA608" i="4"/>
  <c r="AB608" i="4"/>
  <c r="AC608" i="4"/>
  <c r="AD608" i="4"/>
  <c r="AF608" i="4"/>
  <c r="AG608" i="4"/>
  <c r="AH608" i="4"/>
  <c r="Q609" i="4"/>
  <c r="R609" i="4"/>
  <c r="X609" i="4" s="1"/>
  <c r="T609" i="4"/>
  <c r="U609" i="4"/>
  <c r="V609" i="4"/>
  <c r="W609" i="4"/>
  <c r="Y609" i="4"/>
  <c r="Z609" i="4"/>
  <c r="AA609" i="4"/>
  <c r="AB609" i="4"/>
  <c r="AC609" i="4"/>
  <c r="AD609" i="4"/>
  <c r="AE609" i="4"/>
  <c r="AF609" i="4"/>
  <c r="AG609" i="4"/>
  <c r="AH609" i="4"/>
  <c r="Q610" i="4"/>
  <c r="AE610" i="4" s="1"/>
  <c r="R610" i="4"/>
  <c r="S610" i="4"/>
  <c r="T610" i="4"/>
  <c r="U610" i="4"/>
  <c r="V610" i="4"/>
  <c r="W610" i="4"/>
  <c r="X610" i="4"/>
  <c r="Y610" i="4"/>
  <c r="Z610" i="4"/>
  <c r="AA610" i="4"/>
  <c r="AB610" i="4"/>
  <c r="AC610" i="4"/>
  <c r="AD610" i="4"/>
  <c r="AF610" i="4"/>
  <c r="AG610" i="4"/>
  <c r="AH610" i="4"/>
  <c r="Q611" i="4"/>
  <c r="R611" i="4"/>
  <c r="X611" i="4" s="1"/>
  <c r="T611" i="4"/>
  <c r="U611" i="4"/>
  <c r="V611" i="4"/>
  <c r="W611" i="4"/>
  <c r="Y611" i="4"/>
  <c r="Z611" i="4"/>
  <c r="AA611" i="4"/>
  <c r="AB611" i="4"/>
  <c r="AC611" i="4"/>
  <c r="AD611" i="4"/>
  <c r="AE611" i="4"/>
  <c r="AF611" i="4"/>
  <c r="AG611" i="4"/>
  <c r="AH611" i="4"/>
  <c r="Q612" i="4"/>
  <c r="AE612" i="4" s="1"/>
  <c r="R612" i="4"/>
  <c r="S612" i="4"/>
  <c r="T612" i="4"/>
  <c r="U612" i="4"/>
  <c r="V612" i="4"/>
  <c r="W612" i="4"/>
  <c r="X612" i="4"/>
  <c r="Y612" i="4"/>
  <c r="Z612" i="4"/>
  <c r="AA612" i="4"/>
  <c r="AB612" i="4"/>
  <c r="AC612" i="4"/>
  <c r="AD612" i="4"/>
  <c r="AF612" i="4"/>
  <c r="AG612" i="4"/>
  <c r="AH612" i="4"/>
  <c r="Q613" i="4"/>
  <c r="R613" i="4"/>
  <c r="X613" i="4" s="1"/>
  <c r="T613" i="4"/>
  <c r="U613" i="4"/>
  <c r="V613" i="4"/>
  <c r="W613" i="4"/>
  <c r="Y613" i="4"/>
  <c r="Z613" i="4"/>
  <c r="AA613" i="4"/>
  <c r="AB613" i="4"/>
  <c r="AC613" i="4"/>
  <c r="AD613" i="4"/>
  <c r="AE613" i="4"/>
  <c r="AF613" i="4"/>
  <c r="AG613" i="4"/>
  <c r="AH613" i="4"/>
  <c r="Q614" i="4"/>
  <c r="AE614" i="4" s="1"/>
  <c r="R614" i="4"/>
  <c r="S614" i="4"/>
  <c r="T614" i="4"/>
  <c r="U614" i="4"/>
  <c r="V614" i="4"/>
  <c r="W614" i="4"/>
  <c r="X614" i="4"/>
  <c r="Y614" i="4"/>
  <c r="Z614" i="4"/>
  <c r="AA614" i="4"/>
  <c r="AB614" i="4"/>
  <c r="AC614" i="4"/>
  <c r="AD614" i="4"/>
  <c r="AF614" i="4"/>
  <c r="AG614" i="4"/>
  <c r="AH614" i="4"/>
  <c r="Q615" i="4"/>
  <c r="R615" i="4"/>
  <c r="X615" i="4" s="1"/>
  <c r="T615" i="4"/>
  <c r="U615" i="4"/>
  <c r="V615" i="4"/>
  <c r="W615" i="4"/>
  <c r="Y615" i="4"/>
  <c r="Z615" i="4"/>
  <c r="AA615" i="4"/>
  <c r="AB615" i="4"/>
  <c r="AC615" i="4"/>
  <c r="AD615" i="4"/>
  <c r="AE615" i="4"/>
  <c r="AF615" i="4"/>
  <c r="AG615" i="4"/>
  <c r="AH615" i="4"/>
  <c r="Q616" i="4"/>
  <c r="AE616" i="4" s="1"/>
  <c r="R616" i="4"/>
  <c r="S616" i="4"/>
  <c r="T616" i="4"/>
  <c r="U616" i="4"/>
  <c r="V616" i="4"/>
  <c r="W616" i="4"/>
  <c r="X616" i="4"/>
  <c r="Y616" i="4"/>
  <c r="Z616" i="4"/>
  <c r="AA616" i="4"/>
  <c r="AB616" i="4"/>
  <c r="AC616" i="4"/>
  <c r="AD616" i="4"/>
  <c r="AF616" i="4"/>
  <c r="AG616" i="4"/>
  <c r="AH616" i="4"/>
  <c r="Q617" i="4"/>
  <c r="R617" i="4"/>
  <c r="X617" i="4" s="1"/>
  <c r="T617" i="4"/>
  <c r="U617" i="4"/>
  <c r="V617" i="4"/>
  <c r="W617" i="4"/>
  <c r="Y617" i="4"/>
  <c r="Z617" i="4"/>
  <c r="AA617" i="4"/>
  <c r="AB617" i="4"/>
  <c r="AC617" i="4"/>
  <c r="AD617" i="4"/>
  <c r="AE617" i="4"/>
  <c r="AF617" i="4"/>
  <c r="AG617" i="4"/>
  <c r="AH617" i="4"/>
  <c r="Q618" i="4"/>
  <c r="AE618" i="4" s="1"/>
  <c r="R618" i="4"/>
  <c r="S618" i="4"/>
  <c r="T618" i="4"/>
  <c r="U618" i="4"/>
  <c r="V618" i="4"/>
  <c r="W618" i="4"/>
  <c r="X618" i="4"/>
  <c r="Y618" i="4"/>
  <c r="Z618" i="4"/>
  <c r="AA618" i="4"/>
  <c r="AB618" i="4"/>
  <c r="AC618" i="4"/>
  <c r="AD618" i="4"/>
  <c r="AF618" i="4"/>
  <c r="AG618" i="4"/>
  <c r="AH618" i="4"/>
  <c r="Q619" i="4"/>
  <c r="R619" i="4"/>
  <c r="X619" i="4" s="1"/>
  <c r="T619" i="4"/>
  <c r="U619" i="4"/>
  <c r="V619" i="4"/>
  <c r="W619" i="4"/>
  <c r="Y619" i="4"/>
  <c r="Z619" i="4"/>
  <c r="AA619" i="4"/>
  <c r="AB619" i="4"/>
  <c r="AC619" i="4"/>
  <c r="AD619" i="4"/>
  <c r="AE619" i="4"/>
  <c r="AF619" i="4"/>
  <c r="AG619" i="4"/>
  <c r="AH619" i="4"/>
  <c r="Q620" i="4"/>
  <c r="AE620" i="4" s="1"/>
  <c r="R620" i="4"/>
  <c r="S620" i="4"/>
  <c r="T620" i="4"/>
  <c r="U620" i="4"/>
  <c r="V620" i="4"/>
  <c r="W620" i="4"/>
  <c r="X620" i="4"/>
  <c r="Y620" i="4"/>
  <c r="Z620" i="4"/>
  <c r="AA620" i="4"/>
  <c r="AB620" i="4"/>
  <c r="AC620" i="4"/>
  <c r="AD620" i="4"/>
  <c r="AF620" i="4"/>
  <c r="AG620" i="4"/>
  <c r="AH620" i="4"/>
  <c r="Q621" i="4"/>
  <c r="R621" i="4"/>
  <c r="X621" i="4" s="1"/>
  <c r="T621" i="4"/>
  <c r="U621" i="4"/>
  <c r="V621" i="4"/>
  <c r="W621" i="4"/>
  <c r="Y621" i="4"/>
  <c r="Z621" i="4"/>
  <c r="AA621" i="4"/>
  <c r="AB621" i="4"/>
  <c r="AC621" i="4"/>
  <c r="AD621" i="4"/>
  <c r="AE621" i="4"/>
  <c r="AF621" i="4"/>
  <c r="AG621" i="4"/>
  <c r="AH621" i="4"/>
  <c r="Q622" i="4"/>
  <c r="AE622" i="4" s="1"/>
  <c r="R622" i="4"/>
  <c r="S622" i="4"/>
  <c r="T622" i="4"/>
  <c r="U622" i="4"/>
  <c r="V622" i="4"/>
  <c r="W622" i="4"/>
  <c r="X622" i="4"/>
  <c r="Y622" i="4"/>
  <c r="Z622" i="4"/>
  <c r="AA622" i="4"/>
  <c r="AB622" i="4"/>
  <c r="AC622" i="4"/>
  <c r="AD622" i="4"/>
  <c r="AF622" i="4"/>
  <c r="AG622" i="4"/>
  <c r="AH622" i="4"/>
  <c r="Q623" i="4"/>
  <c r="R623" i="4"/>
  <c r="X623" i="4" s="1"/>
  <c r="T623" i="4"/>
  <c r="U623" i="4"/>
  <c r="V623" i="4"/>
  <c r="W623" i="4"/>
  <c r="Y623" i="4"/>
  <c r="Z623" i="4"/>
  <c r="AA623" i="4"/>
  <c r="AB623" i="4"/>
  <c r="AC623" i="4"/>
  <c r="AD623" i="4"/>
  <c r="AE623" i="4"/>
  <c r="AF623" i="4"/>
  <c r="AG623" i="4"/>
  <c r="AH623" i="4"/>
  <c r="Q624" i="4"/>
  <c r="AE624" i="4" s="1"/>
  <c r="R624" i="4"/>
  <c r="S624" i="4"/>
  <c r="T624" i="4"/>
  <c r="U624" i="4"/>
  <c r="V624" i="4"/>
  <c r="W624" i="4"/>
  <c r="X624" i="4"/>
  <c r="Y624" i="4"/>
  <c r="Z624" i="4"/>
  <c r="AA624" i="4"/>
  <c r="AB624" i="4"/>
  <c r="AC624" i="4"/>
  <c r="AD624" i="4"/>
  <c r="AF624" i="4"/>
  <c r="AG624" i="4"/>
  <c r="AH624" i="4"/>
  <c r="Q625" i="4"/>
  <c r="R625" i="4"/>
  <c r="X625" i="4" s="1"/>
  <c r="T625" i="4"/>
  <c r="U625" i="4"/>
  <c r="V625" i="4"/>
  <c r="W625" i="4"/>
  <c r="Y625" i="4"/>
  <c r="Z625" i="4"/>
  <c r="AA625" i="4"/>
  <c r="AB625" i="4"/>
  <c r="AC625" i="4"/>
  <c r="AD625" i="4"/>
  <c r="AE625" i="4"/>
  <c r="AF625" i="4"/>
  <c r="AG625" i="4"/>
  <c r="AH625" i="4"/>
  <c r="Q626" i="4"/>
  <c r="AE626" i="4" s="1"/>
  <c r="R626" i="4"/>
  <c r="S626" i="4"/>
  <c r="T626" i="4"/>
  <c r="U626" i="4"/>
  <c r="V626" i="4"/>
  <c r="W626" i="4"/>
  <c r="X626" i="4"/>
  <c r="Y626" i="4"/>
  <c r="Z626" i="4"/>
  <c r="AA626" i="4"/>
  <c r="AB626" i="4"/>
  <c r="AC626" i="4"/>
  <c r="AD626" i="4"/>
  <c r="AF626" i="4"/>
  <c r="AG626" i="4"/>
  <c r="AH626" i="4"/>
  <c r="Q627" i="4"/>
  <c r="R627" i="4"/>
  <c r="X627" i="4" s="1"/>
  <c r="T627" i="4"/>
  <c r="U627" i="4"/>
  <c r="V627" i="4"/>
  <c r="W627" i="4"/>
  <c r="Y627" i="4"/>
  <c r="Z627" i="4"/>
  <c r="AA627" i="4"/>
  <c r="AB627" i="4"/>
  <c r="AC627" i="4"/>
  <c r="AD627" i="4"/>
  <c r="AE627" i="4"/>
  <c r="AF627" i="4"/>
  <c r="AG627" i="4"/>
  <c r="AH627" i="4"/>
  <c r="Q628" i="4"/>
  <c r="AE628" i="4" s="1"/>
  <c r="R628" i="4"/>
  <c r="S628" i="4"/>
  <c r="T628" i="4"/>
  <c r="U628" i="4"/>
  <c r="V628" i="4"/>
  <c r="W628" i="4"/>
  <c r="X628" i="4"/>
  <c r="Y628" i="4"/>
  <c r="Z628" i="4"/>
  <c r="AA628" i="4"/>
  <c r="AB628" i="4"/>
  <c r="AC628" i="4"/>
  <c r="AD628" i="4"/>
  <c r="AF628" i="4"/>
  <c r="AG628" i="4"/>
  <c r="AH628" i="4"/>
  <c r="Q629" i="4"/>
  <c r="R629" i="4"/>
  <c r="X629" i="4" s="1"/>
  <c r="T629" i="4"/>
  <c r="U629" i="4"/>
  <c r="V629" i="4"/>
  <c r="W629" i="4"/>
  <c r="Y629" i="4"/>
  <c r="Z629" i="4"/>
  <c r="AA629" i="4"/>
  <c r="AB629" i="4"/>
  <c r="AC629" i="4"/>
  <c r="AD629" i="4"/>
  <c r="AE629" i="4"/>
  <c r="AF629" i="4"/>
  <c r="AG629" i="4"/>
  <c r="AH629" i="4"/>
  <c r="Q630" i="4"/>
  <c r="AE630" i="4" s="1"/>
  <c r="R630" i="4"/>
  <c r="S630" i="4"/>
  <c r="T630" i="4"/>
  <c r="U630" i="4"/>
  <c r="V630" i="4"/>
  <c r="W630" i="4"/>
  <c r="X630" i="4"/>
  <c r="Y630" i="4"/>
  <c r="Z630" i="4"/>
  <c r="AA630" i="4"/>
  <c r="AB630" i="4"/>
  <c r="AC630" i="4"/>
  <c r="AD630" i="4"/>
  <c r="AF630" i="4"/>
  <c r="AG630" i="4"/>
  <c r="AH630" i="4"/>
  <c r="Q631" i="4"/>
  <c r="R631" i="4"/>
  <c r="X631" i="4" s="1"/>
  <c r="T631" i="4"/>
  <c r="U631" i="4"/>
  <c r="V631" i="4"/>
  <c r="W631" i="4"/>
  <c r="Y631" i="4"/>
  <c r="Z631" i="4"/>
  <c r="AA631" i="4"/>
  <c r="AB631" i="4"/>
  <c r="AC631" i="4"/>
  <c r="AD631" i="4"/>
  <c r="AE631" i="4"/>
  <c r="AF631" i="4"/>
  <c r="AG631" i="4"/>
  <c r="AH631" i="4"/>
  <c r="Q632" i="4"/>
  <c r="AE632" i="4" s="1"/>
  <c r="R632" i="4"/>
  <c r="S632" i="4"/>
  <c r="T632" i="4"/>
  <c r="U632" i="4"/>
  <c r="V632" i="4"/>
  <c r="W632" i="4"/>
  <c r="X632" i="4"/>
  <c r="Y632" i="4"/>
  <c r="Z632" i="4"/>
  <c r="AA632" i="4"/>
  <c r="AB632" i="4"/>
  <c r="AC632" i="4"/>
  <c r="AD632" i="4"/>
  <c r="AF632" i="4"/>
  <c r="AG632" i="4"/>
  <c r="AH632" i="4"/>
  <c r="Q633" i="4"/>
  <c r="R633" i="4"/>
  <c r="X633" i="4" s="1"/>
  <c r="T633" i="4"/>
  <c r="U633" i="4"/>
  <c r="V633" i="4"/>
  <c r="W633" i="4"/>
  <c r="Y633" i="4"/>
  <c r="Z633" i="4"/>
  <c r="AA633" i="4"/>
  <c r="AB633" i="4"/>
  <c r="AC633" i="4"/>
  <c r="AD633" i="4"/>
  <c r="AE633" i="4"/>
  <c r="AF633" i="4"/>
  <c r="AG633" i="4"/>
  <c r="AH633" i="4"/>
  <c r="Q634" i="4"/>
  <c r="AE634" i="4" s="1"/>
  <c r="R634" i="4"/>
  <c r="S634" i="4"/>
  <c r="T634" i="4"/>
  <c r="U634" i="4"/>
  <c r="V634" i="4"/>
  <c r="W634" i="4"/>
  <c r="X634" i="4"/>
  <c r="Y634" i="4"/>
  <c r="Z634" i="4"/>
  <c r="AA634" i="4"/>
  <c r="AB634" i="4"/>
  <c r="AC634" i="4"/>
  <c r="AD634" i="4"/>
  <c r="AF634" i="4"/>
  <c r="AG634" i="4"/>
  <c r="AH634" i="4"/>
  <c r="Q635" i="4"/>
  <c r="R635" i="4"/>
  <c r="X635" i="4" s="1"/>
  <c r="T635" i="4"/>
  <c r="U635" i="4"/>
  <c r="V635" i="4"/>
  <c r="W635" i="4"/>
  <c r="Y635" i="4"/>
  <c r="Z635" i="4"/>
  <c r="AA635" i="4"/>
  <c r="AB635" i="4"/>
  <c r="AC635" i="4"/>
  <c r="AD635" i="4"/>
  <c r="AE635" i="4"/>
  <c r="AF635" i="4"/>
  <c r="AG635" i="4"/>
  <c r="AH635" i="4"/>
  <c r="Q636" i="4"/>
  <c r="AE636" i="4" s="1"/>
  <c r="R636" i="4"/>
  <c r="S636" i="4"/>
  <c r="T636" i="4"/>
  <c r="U636" i="4"/>
  <c r="V636" i="4"/>
  <c r="W636" i="4"/>
  <c r="X636" i="4"/>
  <c r="Y636" i="4"/>
  <c r="Z636" i="4"/>
  <c r="AA636" i="4"/>
  <c r="AB636" i="4"/>
  <c r="AC636" i="4"/>
  <c r="AD636" i="4"/>
  <c r="AF636" i="4"/>
  <c r="AG636" i="4"/>
  <c r="AH636" i="4"/>
  <c r="Q637" i="4"/>
  <c r="R637" i="4"/>
  <c r="X637" i="4" s="1"/>
  <c r="T637" i="4"/>
  <c r="U637" i="4"/>
  <c r="V637" i="4"/>
  <c r="W637" i="4"/>
  <c r="Y637" i="4"/>
  <c r="Z637" i="4"/>
  <c r="AA637" i="4"/>
  <c r="AB637" i="4"/>
  <c r="AC637" i="4"/>
  <c r="AD637" i="4"/>
  <c r="AE637" i="4"/>
  <c r="AF637" i="4"/>
  <c r="AG637" i="4"/>
  <c r="AH637" i="4"/>
  <c r="Q638" i="4"/>
  <c r="AE638" i="4" s="1"/>
  <c r="R638" i="4"/>
  <c r="S638" i="4"/>
  <c r="T638" i="4"/>
  <c r="U638" i="4"/>
  <c r="V638" i="4"/>
  <c r="W638" i="4"/>
  <c r="X638" i="4"/>
  <c r="Y638" i="4"/>
  <c r="Z638" i="4"/>
  <c r="AA638" i="4"/>
  <c r="AB638" i="4"/>
  <c r="AC638" i="4"/>
  <c r="AD638" i="4"/>
  <c r="AF638" i="4"/>
  <c r="AG638" i="4"/>
  <c r="AH638" i="4"/>
  <c r="Q639" i="4"/>
  <c r="R639" i="4"/>
  <c r="X639" i="4" s="1"/>
  <c r="T639" i="4"/>
  <c r="U639" i="4"/>
  <c r="V639" i="4"/>
  <c r="W639" i="4"/>
  <c r="Y639" i="4"/>
  <c r="Z639" i="4"/>
  <c r="AA639" i="4"/>
  <c r="AB639" i="4"/>
  <c r="AC639" i="4"/>
  <c r="AD639" i="4"/>
  <c r="AE639" i="4"/>
  <c r="AF639" i="4"/>
  <c r="AG639" i="4"/>
  <c r="AH639" i="4"/>
  <c r="Q640" i="4"/>
  <c r="AE640" i="4" s="1"/>
  <c r="R640" i="4"/>
  <c r="S640" i="4"/>
  <c r="T640" i="4"/>
  <c r="U640" i="4"/>
  <c r="V640" i="4"/>
  <c r="W640" i="4"/>
  <c r="X640" i="4"/>
  <c r="Y640" i="4"/>
  <c r="Z640" i="4"/>
  <c r="AA640" i="4"/>
  <c r="AB640" i="4"/>
  <c r="AC640" i="4"/>
  <c r="AD640" i="4"/>
  <c r="AF640" i="4"/>
  <c r="AG640" i="4"/>
  <c r="AH640" i="4"/>
  <c r="Q641" i="4"/>
  <c r="R641" i="4"/>
  <c r="X641" i="4" s="1"/>
  <c r="T641" i="4"/>
  <c r="U641" i="4"/>
  <c r="V641" i="4"/>
  <c r="W641" i="4"/>
  <c r="Y641" i="4"/>
  <c r="Z641" i="4"/>
  <c r="AA641" i="4"/>
  <c r="AB641" i="4"/>
  <c r="AC641" i="4"/>
  <c r="AD641" i="4"/>
  <c r="AE641" i="4"/>
  <c r="AF641" i="4"/>
  <c r="AG641" i="4"/>
  <c r="AH641" i="4"/>
  <c r="Q642" i="4"/>
  <c r="AE642" i="4" s="1"/>
  <c r="R642" i="4"/>
  <c r="S642" i="4"/>
  <c r="T642" i="4"/>
  <c r="U642" i="4"/>
  <c r="V642" i="4"/>
  <c r="W642" i="4"/>
  <c r="X642" i="4"/>
  <c r="Y642" i="4"/>
  <c r="Z642" i="4"/>
  <c r="AA642" i="4"/>
  <c r="AB642" i="4"/>
  <c r="AC642" i="4"/>
  <c r="AD642" i="4"/>
  <c r="AF642" i="4"/>
  <c r="AG642" i="4"/>
  <c r="AH642" i="4"/>
  <c r="Q643" i="4"/>
  <c r="R643" i="4"/>
  <c r="X643" i="4" s="1"/>
  <c r="T643" i="4"/>
  <c r="U643" i="4"/>
  <c r="V643" i="4"/>
  <c r="W643" i="4"/>
  <c r="Y643" i="4"/>
  <c r="Z643" i="4"/>
  <c r="AA643" i="4"/>
  <c r="AB643" i="4"/>
  <c r="AC643" i="4"/>
  <c r="AD643" i="4"/>
  <c r="AE643" i="4"/>
  <c r="AF643" i="4"/>
  <c r="AG643" i="4"/>
  <c r="AH643" i="4"/>
  <c r="Q644" i="4"/>
  <c r="AE644" i="4" s="1"/>
  <c r="R644" i="4"/>
  <c r="S644" i="4"/>
  <c r="T644" i="4"/>
  <c r="U644" i="4"/>
  <c r="V644" i="4"/>
  <c r="W644" i="4"/>
  <c r="X644" i="4"/>
  <c r="Y644" i="4"/>
  <c r="Z644" i="4"/>
  <c r="AA644" i="4"/>
  <c r="AB644" i="4"/>
  <c r="AC644" i="4"/>
  <c r="AD644" i="4"/>
  <c r="AF644" i="4"/>
  <c r="AG644" i="4"/>
  <c r="AH644" i="4"/>
  <c r="Q645" i="4"/>
  <c r="R645" i="4"/>
  <c r="X645" i="4" s="1"/>
  <c r="T645" i="4"/>
  <c r="U645" i="4"/>
  <c r="V645" i="4"/>
  <c r="W645" i="4"/>
  <c r="Y645" i="4"/>
  <c r="Z645" i="4"/>
  <c r="AA645" i="4"/>
  <c r="AB645" i="4"/>
  <c r="AC645" i="4"/>
  <c r="AD645" i="4"/>
  <c r="AE645" i="4"/>
  <c r="AF645" i="4"/>
  <c r="AG645" i="4"/>
  <c r="AH645" i="4"/>
  <c r="Q646" i="4"/>
  <c r="AE646" i="4" s="1"/>
  <c r="R646" i="4"/>
  <c r="S646" i="4"/>
  <c r="T646" i="4"/>
  <c r="U646" i="4"/>
  <c r="V646" i="4"/>
  <c r="W646" i="4"/>
  <c r="X646" i="4"/>
  <c r="Y646" i="4"/>
  <c r="Z646" i="4"/>
  <c r="AA646" i="4"/>
  <c r="AB646" i="4"/>
  <c r="AC646" i="4"/>
  <c r="AD646" i="4"/>
  <c r="AF646" i="4"/>
  <c r="AG646" i="4"/>
  <c r="AH646" i="4"/>
  <c r="Q647" i="4"/>
  <c r="R647" i="4"/>
  <c r="X647" i="4" s="1"/>
  <c r="T647" i="4"/>
  <c r="U647" i="4"/>
  <c r="V647" i="4"/>
  <c r="W647" i="4"/>
  <c r="Y647" i="4"/>
  <c r="Z647" i="4"/>
  <c r="AA647" i="4"/>
  <c r="AB647" i="4"/>
  <c r="AC647" i="4"/>
  <c r="AD647" i="4"/>
  <c r="AE647" i="4"/>
  <c r="AF647" i="4"/>
  <c r="AG647" i="4"/>
  <c r="AH647" i="4"/>
  <c r="Q648" i="4"/>
  <c r="AE648" i="4" s="1"/>
  <c r="R648" i="4"/>
  <c r="S648" i="4"/>
  <c r="T648" i="4"/>
  <c r="U648" i="4"/>
  <c r="V648" i="4"/>
  <c r="W648" i="4"/>
  <c r="X648" i="4"/>
  <c r="Y648" i="4"/>
  <c r="Z648" i="4"/>
  <c r="AA648" i="4"/>
  <c r="AB648" i="4"/>
  <c r="AC648" i="4"/>
  <c r="AD648" i="4"/>
  <c r="AF648" i="4"/>
  <c r="AG648" i="4"/>
  <c r="AH648" i="4"/>
  <c r="Q649" i="4"/>
  <c r="R649" i="4"/>
  <c r="X649" i="4" s="1"/>
  <c r="T649" i="4"/>
  <c r="U649" i="4"/>
  <c r="V649" i="4"/>
  <c r="W649" i="4"/>
  <c r="Y649" i="4"/>
  <c r="Z649" i="4"/>
  <c r="AA649" i="4"/>
  <c r="AB649" i="4"/>
  <c r="AC649" i="4"/>
  <c r="AD649" i="4"/>
  <c r="AE649" i="4"/>
  <c r="AF649" i="4"/>
  <c r="AG649" i="4"/>
  <c r="AH649" i="4"/>
  <c r="Q650" i="4"/>
  <c r="AE650" i="4" s="1"/>
  <c r="R650" i="4"/>
  <c r="S650" i="4"/>
  <c r="T650" i="4"/>
  <c r="U650" i="4"/>
  <c r="V650" i="4"/>
  <c r="W650" i="4"/>
  <c r="X650" i="4"/>
  <c r="Y650" i="4"/>
  <c r="Z650" i="4"/>
  <c r="AA650" i="4"/>
  <c r="AB650" i="4"/>
  <c r="AC650" i="4"/>
  <c r="AD650" i="4"/>
  <c r="AF650" i="4"/>
  <c r="AG650" i="4"/>
  <c r="AH650" i="4"/>
  <c r="Q651" i="4"/>
  <c r="R651" i="4"/>
  <c r="X651" i="4" s="1"/>
  <c r="T651" i="4"/>
  <c r="U651" i="4"/>
  <c r="V651" i="4"/>
  <c r="W651" i="4"/>
  <c r="Y651" i="4"/>
  <c r="Z651" i="4"/>
  <c r="AA651" i="4"/>
  <c r="AB651" i="4"/>
  <c r="AC651" i="4"/>
  <c r="AD651" i="4"/>
  <c r="AE651" i="4"/>
  <c r="AF651" i="4"/>
  <c r="AG651" i="4"/>
  <c r="AH651" i="4"/>
  <c r="Q652" i="4"/>
  <c r="AE652" i="4" s="1"/>
  <c r="R652" i="4"/>
  <c r="S652" i="4"/>
  <c r="T652" i="4"/>
  <c r="U652" i="4"/>
  <c r="V652" i="4"/>
  <c r="W652" i="4"/>
  <c r="X652" i="4"/>
  <c r="Y652" i="4"/>
  <c r="Z652" i="4"/>
  <c r="AA652" i="4"/>
  <c r="AB652" i="4"/>
  <c r="AC652" i="4"/>
  <c r="AD652" i="4"/>
  <c r="AF652" i="4"/>
  <c r="AG652" i="4"/>
  <c r="AH652" i="4"/>
  <c r="Q653" i="4"/>
  <c r="R653" i="4"/>
  <c r="X653" i="4" s="1"/>
  <c r="T653" i="4"/>
  <c r="U653" i="4"/>
  <c r="V653" i="4"/>
  <c r="W653" i="4"/>
  <c r="Y653" i="4"/>
  <c r="Z653" i="4"/>
  <c r="AA653" i="4"/>
  <c r="AB653" i="4"/>
  <c r="AC653" i="4"/>
  <c r="AD653" i="4"/>
  <c r="AE653" i="4"/>
  <c r="AF653" i="4"/>
  <c r="AG653" i="4"/>
  <c r="AH653" i="4"/>
  <c r="Q654" i="4"/>
  <c r="AE654" i="4" s="1"/>
  <c r="R654" i="4"/>
  <c r="S654" i="4"/>
  <c r="T654" i="4"/>
  <c r="U654" i="4"/>
  <c r="V654" i="4"/>
  <c r="W654" i="4"/>
  <c r="X654" i="4"/>
  <c r="Y654" i="4"/>
  <c r="Z654" i="4"/>
  <c r="AA654" i="4"/>
  <c r="AB654" i="4"/>
  <c r="AC654" i="4"/>
  <c r="AD654" i="4"/>
  <c r="AF654" i="4"/>
  <c r="AG654" i="4"/>
  <c r="AH654" i="4"/>
  <c r="Q655" i="4"/>
  <c r="R655" i="4"/>
  <c r="X655" i="4" s="1"/>
  <c r="T655" i="4"/>
  <c r="U655" i="4"/>
  <c r="V655" i="4"/>
  <c r="W655" i="4"/>
  <c r="Y655" i="4"/>
  <c r="Z655" i="4"/>
  <c r="AA655" i="4"/>
  <c r="AB655" i="4"/>
  <c r="AC655" i="4"/>
  <c r="AD655" i="4"/>
  <c r="AE655" i="4"/>
  <c r="AF655" i="4"/>
  <c r="AG655" i="4"/>
  <c r="AH655" i="4"/>
  <c r="Q656" i="4"/>
  <c r="AE656" i="4" s="1"/>
  <c r="R656" i="4"/>
  <c r="S656" i="4"/>
  <c r="T656" i="4"/>
  <c r="U656" i="4"/>
  <c r="V656" i="4"/>
  <c r="W656" i="4"/>
  <c r="X656" i="4"/>
  <c r="Y656" i="4"/>
  <c r="Z656" i="4"/>
  <c r="AA656" i="4"/>
  <c r="AB656" i="4"/>
  <c r="AC656" i="4"/>
  <c r="AD656" i="4"/>
  <c r="AF656" i="4"/>
  <c r="AG656" i="4"/>
  <c r="AH656" i="4"/>
  <c r="Q657" i="4"/>
  <c r="R657" i="4"/>
  <c r="X657" i="4" s="1"/>
  <c r="T657" i="4"/>
  <c r="U657" i="4"/>
  <c r="V657" i="4"/>
  <c r="W657" i="4"/>
  <c r="Y657" i="4"/>
  <c r="Z657" i="4"/>
  <c r="AA657" i="4"/>
  <c r="AB657" i="4"/>
  <c r="AC657" i="4"/>
  <c r="AD657" i="4"/>
  <c r="AE657" i="4"/>
  <c r="AF657" i="4"/>
  <c r="AG657" i="4"/>
  <c r="AH657" i="4"/>
  <c r="Q658" i="4"/>
  <c r="AE658" i="4" s="1"/>
  <c r="R658" i="4"/>
  <c r="S658" i="4"/>
  <c r="T658" i="4"/>
  <c r="U658" i="4"/>
  <c r="V658" i="4"/>
  <c r="W658" i="4"/>
  <c r="X658" i="4"/>
  <c r="Y658" i="4"/>
  <c r="Z658" i="4"/>
  <c r="AA658" i="4"/>
  <c r="AB658" i="4"/>
  <c r="AC658" i="4"/>
  <c r="AD658" i="4"/>
  <c r="AF658" i="4"/>
  <c r="AG658" i="4"/>
  <c r="AH658" i="4"/>
  <c r="Q659" i="4"/>
  <c r="R659" i="4"/>
  <c r="X659" i="4" s="1"/>
  <c r="T659" i="4"/>
  <c r="U659" i="4"/>
  <c r="V659" i="4"/>
  <c r="W659" i="4"/>
  <c r="Y659" i="4"/>
  <c r="Z659" i="4"/>
  <c r="AA659" i="4"/>
  <c r="AB659" i="4"/>
  <c r="AC659" i="4"/>
  <c r="AD659" i="4"/>
  <c r="AE659" i="4"/>
  <c r="AF659" i="4"/>
  <c r="AG659" i="4"/>
  <c r="AH659" i="4"/>
  <c r="Q660" i="4"/>
  <c r="AE660" i="4" s="1"/>
  <c r="R660" i="4"/>
  <c r="S660" i="4"/>
  <c r="T660" i="4"/>
  <c r="U660" i="4"/>
  <c r="V660" i="4"/>
  <c r="W660" i="4"/>
  <c r="X660" i="4"/>
  <c r="Y660" i="4"/>
  <c r="Z660" i="4"/>
  <c r="AA660" i="4"/>
  <c r="AB660" i="4"/>
  <c r="AC660" i="4"/>
  <c r="AD660" i="4"/>
  <c r="AF660" i="4"/>
  <c r="AG660" i="4"/>
  <c r="AH660" i="4"/>
  <c r="Q661" i="4"/>
  <c r="R661" i="4"/>
  <c r="X661" i="4" s="1"/>
  <c r="T661" i="4"/>
  <c r="U661" i="4"/>
  <c r="V661" i="4"/>
  <c r="W661" i="4"/>
  <c r="Y661" i="4"/>
  <c r="Z661" i="4"/>
  <c r="AA661" i="4"/>
  <c r="AB661" i="4"/>
  <c r="AC661" i="4"/>
  <c r="AD661" i="4"/>
  <c r="AE661" i="4"/>
  <c r="AF661" i="4"/>
  <c r="AG661" i="4"/>
  <c r="AH661" i="4"/>
  <c r="Q662" i="4"/>
  <c r="AE662" i="4" s="1"/>
  <c r="R662" i="4"/>
  <c r="S662" i="4"/>
  <c r="T662" i="4"/>
  <c r="U662" i="4"/>
  <c r="V662" i="4"/>
  <c r="W662" i="4"/>
  <c r="X662" i="4"/>
  <c r="Y662" i="4"/>
  <c r="Z662" i="4"/>
  <c r="AA662" i="4"/>
  <c r="AB662" i="4"/>
  <c r="AC662" i="4"/>
  <c r="AD662" i="4"/>
  <c r="AF662" i="4"/>
  <c r="AG662" i="4"/>
  <c r="AH662" i="4"/>
  <c r="Q663" i="4"/>
  <c r="R663" i="4"/>
  <c r="X663" i="4" s="1"/>
  <c r="T663" i="4"/>
  <c r="U663" i="4"/>
  <c r="V663" i="4"/>
  <c r="W663" i="4"/>
  <c r="Y663" i="4"/>
  <c r="Z663" i="4"/>
  <c r="AA663" i="4"/>
  <c r="AB663" i="4"/>
  <c r="AC663" i="4"/>
  <c r="AD663" i="4"/>
  <c r="AE663" i="4"/>
  <c r="AF663" i="4"/>
  <c r="AG663" i="4"/>
  <c r="AH663" i="4"/>
  <c r="Q664" i="4"/>
  <c r="AE664" i="4" s="1"/>
  <c r="R664" i="4"/>
  <c r="S664" i="4"/>
  <c r="T664" i="4"/>
  <c r="U664" i="4"/>
  <c r="V664" i="4"/>
  <c r="W664" i="4"/>
  <c r="X664" i="4"/>
  <c r="Y664" i="4"/>
  <c r="Z664" i="4"/>
  <c r="AA664" i="4"/>
  <c r="AB664" i="4"/>
  <c r="AC664" i="4"/>
  <c r="AD664" i="4"/>
  <c r="AF664" i="4"/>
  <c r="AG664" i="4"/>
  <c r="AH664" i="4"/>
  <c r="Q665" i="4"/>
  <c r="R665" i="4"/>
  <c r="X665" i="4" s="1"/>
  <c r="T665" i="4"/>
  <c r="U665" i="4"/>
  <c r="V665" i="4"/>
  <c r="W665" i="4"/>
  <c r="Y665" i="4"/>
  <c r="Z665" i="4"/>
  <c r="AA665" i="4"/>
  <c r="AB665" i="4"/>
  <c r="AC665" i="4"/>
  <c r="AD665" i="4"/>
  <c r="AE665" i="4"/>
  <c r="AF665" i="4"/>
  <c r="AG665" i="4"/>
  <c r="AH665" i="4"/>
  <c r="Q666" i="4"/>
  <c r="AE666" i="4" s="1"/>
  <c r="R666" i="4"/>
  <c r="S666" i="4"/>
  <c r="T666" i="4"/>
  <c r="U666" i="4"/>
  <c r="V666" i="4"/>
  <c r="W666" i="4"/>
  <c r="X666" i="4"/>
  <c r="Y666" i="4"/>
  <c r="Z666" i="4"/>
  <c r="AA666" i="4"/>
  <c r="AB666" i="4"/>
  <c r="AC666" i="4"/>
  <c r="AD666" i="4"/>
  <c r="AF666" i="4"/>
  <c r="AG666" i="4"/>
  <c r="AH666" i="4"/>
  <c r="Q667" i="4"/>
  <c r="R667" i="4"/>
  <c r="X667" i="4" s="1"/>
  <c r="T667" i="4"/>
  <c r="U667" i="4"/>
  <c r="V667" i="4"/>
  <c r="W667" i="4"/>
  <c r="Y667" i="4"/>
  <c r="Z667" i="4"/>
  <c r="AA667" i="4"/>
  <c r="AB667" i="4"/>
  <c r="AC667" i="4"/>
  <c r="AD667" i="4"/>
  <c r="AE667" i="4"/>
  <c r="AF667" i="4"/>
  <c r="AG667" i="4"/>
  <c r="AH667" i="4"/>
  <c r="Q668" i="4"/>
  <c r="AE668" i="4" s="1"/>
  <c r="R668" i="4"/>
  <c r="S668" i="4"/>
  <c r="T668" i="4"/>
  <c r="U668" i="4"/>
  <c r="V668" i="4"/>
  <c r="W668" i="4"/>
  <c r="X668" i="4"/>
  <c r="Y668" i="4"/>
  <c r="Z668" i="4"/>
  <c r="AA668" i="4"/>
  <c r="AB668" i="4"/>
  <c r="AC668" i="4"/>
  <c r="AD668" i="4"/>
  <c r="AF668" i="4"/>
  <c r="AG668" i="4"/>
  <c r="AH668" i="4"/>
  <c r="Q669" i="4"/>
  <c r="R669" i="4"/>
  <c r="X669" i="4" s="1"/>
  <c r="T669" i="4"/>
  <c r="U669" i="4"/>
  <c r="V669" i="4"/>
  <c r="W669" i="4"/>
  <c r="Y669" i="4"/>
  <c r="Z669" i="4"/>
  <c r="AA669" i="4"/>
  <c r="AB669" i="4"/>
  <c r="AC669" i="4"/>
  <c r="AD669" i="4"/>
  <c r="AE669" i="4"/>
  <c r="AF669" i="4"/>
  <c r="AG669" i="4"/>
  <c r="AH669" i="4"/>
  <c r="Q670" i="4"/>
  <c r="AE670" i="4" s="1"/>
  <c r="R670" i="4"/>
  <c r="S670" i="4"/>
  <c r="T670" i="4"/>
  <c r="U670" i="4"/>
  <c r="V670" i="4"/>
  <c r="W670" i="4"/>
  <c r="X670" i="4"/>
  <c r="Y670" i="4"/>
  <c r="Z670" i="4"/>
  <c r="AA670" i="4"/>
  <c r="AB670" i="4"/>
  <c r="AC670" i="4"/>
  <c r="AD670" i="4"/>
  <c r="AF670" i="4"/>
  <c r="AG670" i="4"/>
  <c r="AH670" i="4"/>
  <c r="Q671" i="4"/>
  <c r="R671" i="4"/>
  <c r="X671" i="4" s="1"/>
  <c r="T671" i="4"/>
  <c r="U671" i="4"/>
  <c r="V671" i="4"/>
  <c r="W671" i="4"/>
  <c r="Y671" i="4"/>
  <c r="Z671" i="4"/>
  <c r="AA671" i="4"/>
  <c r="AB671" i="4"/>
  <c r="AC671" i="4"/>
  <c r="AD671" i="4"/>
  <c r="AE671" i="4"/>
  <c r="AF671" i="4"/>
  <c r="AG671" i="4"/>
  <c r="AH671" i="4"/>
  <c r="Q672" i="4"/>
  <c r="AE672" i="4" s="1"/>
  <c r="R672" i="4"/>
  <c r="S672" i="4"/>
  <c r="T672" i="4"/>
  <c r="U672" i="4"/>
  <c r="V672" i="4"/>
  <c r="W672" i="4"/>
  <c r="X672" i="4"/>
  <c r="Y672" i="4"/>
  <c r="Z672" i="4"/>
  <c r="AA672" i="4"/>
  <c r="AB672" i="4"/>
  <c r="AC672" i="4"/>
  <c r="AD672" i="4"/>
  <c r="AF672" i="4"/>
  <c r="AG672" i="4"/>
  <c r="AH672" i="4"/>
  <c r="Q673" i="4"/>
  <c r="R673" i="4"/>
  <c r="X673" i="4" s="1"/>
  <c r="T673" i="4"/>
  <c r="U673" i="4"/>
  <c r="V673" i="4"/>
  <c r="W673" i="4"/>
  <c r="Y673" i="4"/>
  <c r="Z673" i="4"/>
  <c r="AA673" i="4"/>
  <c r="AB673" i="4"/>
  <c r="AC673" i="4"/>
  <c r="AD673" i="4"/>
  <c r="AE673" i="4"/>
  <c r="AF673" i="4"/>
  <c r="AG673" i="4"/>
  <c r="AH673" i="4"/>
  <c r="Q674" i="4"/>
  <c r="AE674" i="4" s="1"/>
  <c r="R674" i="4"/>
  <c r="S674" i="4"/>
  <c r="T674" i="4"/>
  <c r="U674" i="4"/>
  <c r="V674" i="4"/>
  <c r="W674" i="4"/>
  <c r="X674" i="4"/>
  <c r="Y674" i="4"/>
  <c r="Z674" i="4"/>
  <c r="AA674" i="4"/>
  <c r="AB674" i="4"/>
  <c r="AC674" i="4"/>
  <c r="AD674" i="4"/>
  <c r="AF674" i="4"/>
  <c r="AG674" i="4"/>
  <c r="AH674" i="4"/>
  <c r="Q675" i="4"/>
  <c r="R675" i="4"/>
  <c r="X675" i="4" s="1"/>
  <c r="T675" i="4"/>
  <c r="U675" i="4"/>
  <c r="V675" i="4"/>
  <c r="W675" i="4"/>
  <c r="Y675" i="4"/>
  <c r="Z675" i="4"/>
  <c r="AA675" i="4"/>
  <c r="AB675" i="4"/>
  <c r="AC675" i="4"/>
  <c r="AD675" i="4"/>
  <c r="AE675" i="4"/>
  <c r="AF675" i="4"/>
  <c r="AG675" i="4"/>
  <c r="AH675" i="4"/>
  <c r="Q676" i="4"/>
  <c r="AE676" i="4" s="1"/>
  <c r="R676" i="4"/>
  <c r="S676" i="4"/>
  <c r="T676" i="4"/>
  <c r="U676" i="4"/>
  <c r="V676" i="4"/>
  <c r="W676" i="4"/>
  <c r="X676" i="4"/>
  <c r="Y676" i="4"/>
  <c r="Z676" i="4"/>
  <c r="AA676" i="4"/>
  <c r="AB676" i="4"/>
  <c r="AC676" i="4"/>
  <c r="AD676" i="4"/>
  <c r="AF676" i="4"/>
  <c r="AG676" i="4"/>
  <c r="AH676" i="4"/>
  <c r="Q677" i="4"/>
  <c r="R677" i="4"/>
  <c r="X677" i="4" s="1"/>
  <c r="T677" i="4"/>
  <c r="U677" i="4"/>
  <c r="V677" i="4"/>
  <c r="W677" i="4"/>
  <c r="Y677" i="4"/>
  <c r="Z677" i="4"/>
  <c r="AA677" i="4"/>
  <c r="AB677" i="4"/>
  <c r="AC677" i="4"/>
  <c r="AD677" i="4"/>
  <c r="AE677" i="4"/>
  <c r="AF677" i="4"/>
  <c r="AG677" i="4"/>
  <c r="AH677" i="4"/>
  <c r="Q678" i="4"/>
  <c r="AE678" i="4" s="1"/>
  <c r="R678" i="4"/>
  <c r="S678" i="4"/>
  <c r="T678" i="4"/>
  <c r="U678" i="4"/>
  <c r="V678" i="4"/>
  <c r="W678" i="4"/>
  <c r="X678" i="4"/>
  <c r="Y678" i="4"/>
  <c r="Z678" i="4"/>
  <c r="AA678" i="4"/>
  <c r="AB678" i="4"/>
  <c r="AC678" i="4"/>
  <c r="AD678" i="4"/>
  <c r="AF678" i="4"/>
  <c r="AG678" i="4"/>
  <c r="AH678" i="4"/>
  <c r="Q679" i="4"/>
  <c r="R679" i="4"/>
  <c r="X679" i="4" s="1"/>
  <c r="T679" i="4"/>
  <c r="U679" i="4"/>
  <c r="V679" i="4"/>
  <c r="W679" i="4"/>
  <c r="Y679" i="4"/>
  <c r="Z679" i="4"/>
  <c r="AA679" i="4"/>
  <c r="AB679" i="4"/>
  <c r="AC679" i="4"/>
  <c r="AD679" i="4"/>
  <c r="AE679" i="4"/>
  <c r="AF679" i="4"/>
  <c r="AG679" i="4"/>
  <c r="AH679" i="4"/>
  <c r="Q680" i="4"/>
  <c r="AE680" i="4" s="1"/>
  <c r="R680" i="4"/>
  <c r="S680" i="4"/>
  <c r="T680" i="4"/>
  <c r="U680" i="4"/>
  <c r="V680" i="4"/>
  <c r="W680" i="4"/>
  <c r="X680" i="4"/>
  <c r="Y680" i="4"/>
  <c r="Z680" i="4"/>
  <c r="AA680" i="4"/>
  <c r="AB680" i="4"/>
  <c r="AC680" i="4"/>
  <c r="AD680" i="4"/>
  <c r="AF680" i="4"/>
  <c r="AG680" i="4"/>
  <c r="AH680" i="4"/>
  <c r="Q681" i="4"/>
  <c r="R681" i="4"/>
  <c r="X681" i="4" s="1"/>
  <c r="T681" i="4"/>
  <c r="U681" i="4"/>
  <c r="V681" i="4"/>
  <c r="W681" i="4"/>
  <c r="Y681" i="4"/>
  <c r="Z681" i="4"/>
  <c r="AA681" i="4"/>
  <c r="AB681" i="4"/>
  <c r="AC681" i="4"/>
  <c r="AD681" i="4"/>
  <c r="AE681" i="4"/>
  <c r="AF681" i="4"/>
  <c r="AG681" i="4"/>
  <c r="AH681" i="4"/>
  <c r="Q682" i="4"/>
  <c r="AE682" i="4" s="1"/>
  <c r="R682" i="4"/>
  <c r="S682" i="4"/>
  <c r="T682" i="4"/>
  <c r="U682" i="4"/>
  <c r="V682" i="4"/>
  <c r="W682" i="4"/>
  <c r="X682" i="4"/>
  <c r="Y682" i="4"/>
  <c r="Z682" i="4"/>
  <c r="AA682" i="4"/>
  <c r="AB682" i="4"/>
  <c r="AC682" i="4"/>
  <c r="AD682" i="4"/>
  <c r="AF682" i="4"/>
  <c r="AG682" i="4"/>
  <c r="AH682" i="4"/>
  <c r="Q683" i="4"/>
  <c r="R683" i="4"/>
  <c r="X683" i="4" s="1"/>
  <c r="T683" i="4"/>
  <c r="U683" i="4"/>
  <c r="V683" i="4"/>
  <c r="W683" i="4"/>
  <c r="Y683" i="4"/>
  <c r="Z683" i="4"/>
  <c r="AA683" i="4"/>
  <c r="AB683" i="4"/>
  <c r="AC683" i="4"/>
  <c r="AD683" i="4"/>
  <c r="AE683" i="4"/>
  <c r="AF683" i="4"/>
  <c r="AG683" i="4"/>
  <c r="AH683" i="4"/>
  <c r="Q684" i="4"/>
  <c r="AE684" i="4" s="1"/>
  <c r="R684" i="4"/>
  <c r="S684" i="4"/>
  <c r="T684" i="4"/>
  <c r="U684" i="4"/>
  <c r="V684" i="4"/>
  <c r="W684" i="4"/>
  <c r="X684" i="4"/>
  <c r="Y684" i="4"/>
  <c r="Z684" i="4"/>
  <c r="AA684" i="4"/>
  <c r="AB684" i="4"/>
  <c r="AC684" i="4"/>
  <c r="AD684" i="4"/>
  <c r="AF684" i="4"/>
  <c r="AG684" i="4"/>
  <c r="AH684" i="4"/>
  <c r="Q685" i="4"/>
  <c r="R685" i="4"/>
  <c r="X685" i="4" s="1"/>
  <c r="T685" i="4"/>
  <c r="U685" i="4"/>
  <c r="V685" i="4"/>
  <c r="W685" i="4"/>
  <c r="Y685" i="4"/>
  <c r="Z685" i="4"/>
  <c r="AA685" i="4"/>
  <c r="AB685" i="4"/>
  <c r="AC685" i="4"/>
  <c r="AD685" i="4"/>
  <c r="AE685" i="4"/>
  <c r="AF685" i="4"/>
  <c r="AG685" i="4"/>
  <c r="AH685" i="4"/>
  <c r="Q686" i="4"/>
  <c r="AE686" i="4" s="1"/>
  <c r="R686" i="4"/>
  <c r="S686" i="4"/>
  <c r="T686" i="4"/>
  <c r="U686" i="4"/>
  <c r="V686" i="4"/>
  <c r="W686" i="4"/>
  <c r="X686" i="4"/>
  <c r="Y686" i="4"/>
  <c r="Z686" i="4"/>
  <c r="AA686" i="4"/>
  <c r="AB686" i="4"/>
  <c r="AC686" i="4"/>
  <c r="AD686" i="4"/>
  <c r="AF686" i="4"/>
  <c r="AG686" i="4"/>
  <c r="AH686" i="4"/>
  <c r="Q687" i="4"/>
  <c r="R687" i="4"/>
  <c r="X687" i="4" s="1"/>
  <c r="T687" i="4"/>
  <c r="U687" i="4"/>
  <c r="V687" i="4"/>
  <c r="W687" i="4"/>
  <c r="Y687" i="4"/>
  <c r="Z687" i="4"/>
  <c r="AA687" i="4"/>
  <c r="AB687" i="4"/>
  <c r="AC687" i="4"/>
  <c r="AD687" i="4"/>
  <c r="AE687" i="4"/>
  <c r="AF687" i="4"/>
  <c r="AG687" i="4"/>
  <c r="AH687" i="4"/>
  <c r="Q688" i="4"/>
  <c r="AE688" i="4" s="1"/>
  <c r="R688" i="4"/>
  <c r="S688" i="4"/>
  <c r="T688" i="4"/>
  <c r="U688" i="4"/>
  <c r="V688" i="4"/>
  <c r="W688" i="4"/>
  <c r="X688" i="4"/>
  <c r="Y688" i="4"/>
  <c r="Z688" i="4"/>
  <c r="AA688" i="4"/>
  <c r="AB688" i="4"/>
  <c r="AC688" i="4"/>
  <c r="AD688" i="4"/>
  <c r="AF688" i="4"/>
  <c r="AG688" i="4"/>
  <c r="AH688" i="4"/>
  <c r="Q689" i="4"/>
  <c r="R689" i="4"/>
  <c r="X689" i="4" s="1"/>
  <c r="T689" i="4"/>
  <c r="U689" i="4"/>
  <c r="V689" i="4"/>
  <c r="W689" i="4"/>
  <c r="Y689" i="4"/>
  <c r="Z689" i="4"/>
  <c r="AA689" i="4"/>
  <c r="AB689" i="4"/>
  <c r="AC689" i="4"/>
  <c r="AD689" i="4"/>
  <c r="AE689" i="4"/>
  <c r="AF689" i="4"/>
  <c r="AG689" i="4"/>
  <c r="AH689" i="4"/>
  <c r="Q690" i="4"/>
  <c r="AE690" i="4" s="1"/>
  <c r="R690" i="4"/>
  <c r="S690" i="4"/>
  <c r="T690" i="4"/>
  <c r="U690" i="4"/>
  <c r="V690" i="4"/>
  <c r="W690" i="4"/>
  <c r="X690" i="4"/>
  <c r="Y690" i="4"/>
  <c r="Z690" i="4"/>
  <c r="AA690" i="4"/>
  <c r="AB690" i="4"/>
  <c r="AC690" i="4"/>
  <c r="AD690" i="4"/>
  <c r="AF690" i="4"/>
  <c r="AG690" i="4"/>
  <c r="AH690" i="4"/>
  <c r="Q691" i="4"/>
  <c r="R691" i="4"/>
  <c r="X691" i="4" s="1"/>
  <c r="T691" i="4"/>
  <c r="U691" i="4"/>
  <c r="V691" i="4"/>
  <c r="W691" i="4"/>
  <c r="Y691" i="4"/>
  <c r="Z691" i="4"/>
  <c r="AA691" i="4"/>
  <c r="AB691" i="4"/>
  <c r="AC691" i="4"/>
  <c r="AD691" i="4"/>
  <c r="AE691" i="4"/>
  <c r="AF691" i="4"/>
  <c r="AG691" i="4"/>
  <c r="AH691" i="4"/>
  <c r="Q692" i="4"/>
  <c r="AE692" i="4" s="1"/>
  <c r="R692" i="4"/>
  <c r="S692" i="4"/>
  <c r="T692" i="4"/>
  <c r="U692" i="4"/>
  <c r="V692" i="4"/>
  <c r="W692" i="4"/>
  <c r="X692" i="4"/>
  <c r="Y692" i="4"/>
  <c r="Z692" i="4"/>
  <c r="AA692" i="4"/>
  <c r="AB692" i="4"/>
  <c r="AC692" i="4"/>
  <c r="AD692" i="4"/>
  <c r="AF692" i="4"/>
  <c r="AG692" i="4"/>
  <c r="AH692" i="4"/>
  <c r="Q693" i="4"/>
  <c r="R693" i="4"/>
  <c r="X693" i="4" s="1"/>
  <c r="T693" i="4"/>
  <c r="U693" i="4"/>
  <c r="V693" i="4"/>
  <c r="W693" i="4"/>
  <c r="Y693" i="4"/>
  <c r="Z693" i="4"/>
  <c r="AA693" i="4"/>
  <c r="AB693" i="4"/>
  <c r="AC693" i="4"/>
  <c r="AD693" i="4"/>
  <c r="AE693" i="4"/>
  <c r="AF693" i="4"/>
  <c r="AG693" i="4"/>
  <c r="AH693" i="4"/>
  <c r="Q694" i="4"/>
  <c r="AE694" i="4" s="1"/>
  <c r="R694" i="4"/>
  <c r="S694" i="4"/>
  <c r="T694" i="4"/>
  <c r="U694" i="4"/>
  <c r="V694" i="4"/>
  <c r="W694" i="4"/>
  <c r="X694" i="4"/>
  <c r="Y694" i="4"/>
  <c r="Z694" i="4"/>
  <c r="AA694" i="4"/>
  <c r="AB694" i="4"/>
  <c r="AC694" i="4"/>
  <c r="AD694" i="4"/>
  <c r="AF694" i="4"/>
  <c r="AG694" i="4"/>
  <c r="AH694" i="4"/>
  <c r="Q695" i="4"/>
  <c r="R695" i="4"/>
  <c r="X695" i="4" s="1"/>
  <c r="T695" i="4"/>
  <c r="U695" i="4"/>
  <c r="V695" i="4"/>
  <c r="W695" i="4"/>
  <c r="Y695" i="4"/>
  <c r="Z695" i="4"/>
  <c r="AA695" i="4"/>
  <c r="AB695" i="4"/>
  <c r="AC695" i="4"/>
  <c r="AD695" i="4"/>
  <c r="AE695" i="4"/>
  <c r="AF695" i="4"/>
  <c r="AG695" i="4"/>
  <c r="AH695" i="4"/>
  <c r="Q696" i="4"/>
  <c r="AE696" i="4" s="1"/>
  <c r="R696" i="4"/>
  <c r="S696" i="4"/>
  <c r="T696" i="4"/>
  <c r="U696" i="4"/>
  <c r="V696" i="4"/>
  <c r="W696" i="4"/>
  <c r="X696" i="4"/>
  <c r="Y696" i="4"/>
  <c r="Z696" i="4"/>
  <c r="AA696" i="4"/>
  <c r="AB696" i="4"/>
  <c r="AC696" i="4"/>
  <c r="AD696" i="4"/>
  <c r="AF696" i="4"/>
  <c r="AG696" i="4"/>
  <c r="AH696" i="4"/>
  <c r="Q697" i="4"/>
  <c r="R697" i="4"/>
  <c r="X697" i="4" s="1"/>
  <c r="T697" i="4"/>
  <c r="U697" i="4"/>
  <c r="V697" i="4"/>
  <c r="W697" i="4"/>
  <c r="Y697" i="4"/>
  <c r="Z697" i="4"/>
  <c r="AA697" i="4"/>
  <c r="AB697" i="4"/>
  <c r="AC697" i="4"/>
  <c r="AD697" i="4"/>
  <c r="AE697" i="4"/>
  <c r="AF697" i="4"/>
  <c r="AG697" i="4"/>
  <c r="AH697" i="4"/>
  <c r="Q698" i="4"/>
  <c r="R698" i="4"/>
  <c r="S698" i="4"/>
  <c r="T698" i="4"/>
  <c r="U698" i="4"/>
  <c r="V698" i="4"/>
  <c r="W698" i="4"/>
  <c r="X698" i="4"/>
  <c r="Y698" i="4"/>
  <c r="Z698" i="4"/>
  <c r="AA698" i="4"/>
  <c r="AB698" i="4"/>
  <c r="AC698" i="4"/>
  <c r="AD698" i="4"/>
  <c r="AE698" i="4"/>
  <c r="AF698" i="4"/>
  <c r="AG698" i="4"/>
  <c r="AH698" i="4"/>
  <c r="Q699" i="4"/>
  <c r="AE699" i="4" s="1"/>
  <c r="R699" i="4"/>
  <c r="X699" i="4" s="1"/>
  <c r="S699" i="4"/>
  <c r="T699" i="4"/>
  <c r="U699" i="4"/>
  <c r="V699" i="4"/>
  <c r="W699" i="4"/>
  <c r="Y699" i="4"/>
  <c r="Z699" i="4"/>
  <c r="AA699" i="4"/>
  <c r="AB699" i="4"/>
  <c r="AC699" i="4"/>
  <c r="AD699" i="4"/>
  <c r="AF699" i="4"/>
  <c r="AG699" i="4"/>
  <c r="AH699" i="4"/>
  <c r="Q700" i="4"/>
  <c r="AE700" i="4" s="1"/>
  <c r="R700" i="4"/>
  <c r="S700" i="4"/>
  <c r="T700" i="4"/>
  <c r="U700" i="4"/>
  <c r="V700" i="4"/>
  <c r="W700" i="4"/>
  <c r="X700" i="4"/>
  <c r="Y700" i="4"/>
  <c r="Z700" i="4"/>
  <c r="AA700" i="4"/>
  <c r="AB700" i="4"/>
  <c r="AC700" i="4"/>
  <c r="AD700" i="4"/>
  <c r="AF700" i="4"/>
  <c r="AG700" i="4"/>
  <c r="AH700" i="4"/>
  <c r="Q701" i="4"/>
  <c r="R701" i="4"/>
  <c r="X701" i="4" s="1"/>
  <c r="T701" i="4"/>
  <c r="U701" i="4"/>
  <c r="V701" i="4"/>
  <c r="W701" i="4"/>
  <c r="Y701" i="4"/>
  <c r="Z701" i="4"/>
  <c r="AA701" i="4"/>
  <c r="AB701" i="4"/>
  <c r="AC701" i="4"/>
  <c r="AD701" i="4"/>
  <c r="AE701" i="4"/>
  <c r="AF701" i="4"/>
  <c r="AG701" i="4"/>
  <c r="AH701" i="4"/>
  <c r="Q702" i="4"/>
  <c r="AE702" i="4" s="1"/>
  <c r="R702" i="4"/>
  <c r="S702" i="4"/>
  <c r="T702" i="4"/>
  <c r="U702" i="4"/>
  <c r="V702" i="4"/>
  <c r="W702" i="4"/>
  <c r="X702" i="4"/>
  <c r="Y702" i="4"/>
  <c r="Z702" i="4"/>
  <c r="AA702" i="4"/>
  <c r="AB702" i="4"/>
  <c r="AC702" i="4"/>
  <c r="AD702" i="4"/>
  <c r="AF702" i="4"/>
  <c r="AG702" i="4"/>
  <c r="AH702" i="4"/>
  <c r="Q703" i="4"/>
  <c r="AE703" i="4" s="1"/>
  <c r="R703" i="4"/>
  <c r="X703" i="4" s="1"/>
  <c r="S703" i="4"/>
  <c r="T703" i="4"/>
  <c r="U703" i="4"/>
  <c r="V703" i="4"/>
  <c r="W703" i="4"/>
  <c r="Y703" i="4"/>
  <c r="Z703" i="4"/>
  <c r="AA703" i="4"/>
  <c r="AB703" i="4"/>
  <c r="AC703" i="4"/>
  <c r="AD703" i="4"/>
  <c r="AF703" i="4"/>
  <c r="AG703" i="4"/>
  <c r="AH703" i="4"/>
  <c r="Q704" i="4"/>
  <c r="R704" i="4"/>
  <c r="S704" i="4"/>
  <c r="T704" i="4"/>
  <c r="U704" i="4"/>
  <c r="V704" i="4"/>
  <c r="W704" i="4"/>
  <c r="X704" i="4"/>
  <c r="Y704" i="4"/>
  <c r="Z704" i="4"/>
  <c r="AA704" i="4"/>
  <c r="AB704" i="4"/>
  <c r="AC704" i="4"/>
  <c r="AD704" i="4"/>
  <c r="AE704" i="4"/>
  <c r="AF704" i="4"/>
  <c r="AG704" i="4"/>
  <c r="AH704" i="4"/>
  <c r="Q705" i="4"/>
  <c r="R705" i="4"/>
  <c r="X705" i="4" s="1"/>
  <c r="T705" i="4"/>
  <c r="U705" i="4"/>
  <c r="V705" i="4"/>
  <c r="W705" i="4"/>
  <c r="Y705" i="4"/>
  <c r="Z705" i="4"/>
  <c r="AA705" i="4"/>
  <c r="AB705" i="4"/>
  <c r="AC705" i="4"/>
  <c r="AD705" i="4"/>
  <c r="AE705" i="4"/>
  <c r="AF705" i="4"/>
  <c r="AG705" i="4"/>
  <c r="AH705" i="4"/>
  <c r="Q706" i="4"/>
  <c r="R706" i="4"/>
  <c r="S706" i="4"/>
  <c r="T706" i="4"/>
  <c r="U706" i="4"/>
  <c r="V706" i="4"/>
  <c r="W706" i="4"/>
  <c r="X706" i="4"/>
  <c r="Y706" i="4"/>
  <c r="Z706" i="4"/>
  <c r="AA706" i="4"/>
  <c r="AB706" i="4"/>
  <c r="AC706" i="4"/>
  <c r="AD706" i="4"/>
  <c r="AE706" i="4"/>
  <c r="AF706" i="4"/>
  <c r="AG706" i="4"/>
  <c r="AH706" i="4"/>
  <c r="Q707" i="4"/>
  <c r="AE707" i="4" s="1"/>
  <c r="R707" i="4"/>
  <c r="X707" i="4" s="1"/>
  <c r="S707" i="4"/>
  <c r="T707" i="4"/>
  <c r="U707" i="4"/>
  <c r="V707" i="4"/>
  <c r="W707" i="4"/>
  <c r="Y707" i="4"/>
  <c r="Z707" i="4"/>
  <c r="AA707" i="4"/>
  <c r="AB707" i="4"/>
  <c r="AC707" i="4"/>
  <c r="AD707" i="4"/>
  <c r="AF707" i="4"/>
  <c r="AG707" i="4"/>
  <c r="AH707" i="4"/>
  <c r="Q708" i="4"/>
  <c r="AE708" i="4" s="1"/>
  <c r="R708" i="4"/>
  <c r="S708" i="4"/>
  <c r="T708" i="4"/>
  <c r="U708" i="4"/>
  <c r="V708" i="4"/>
  <c r="W708" i="4"/>
  <c r="X708" i="4"/>
  <c r="Y708" i="4"/>
  <c r="Z708" i="4"/>
  <c r="AA708" i="4"/>
  <c r="AB708" i="4"/>
  <c r="AC708" i="4"/>
  <c r="AD708" i="4"/>
  <c r="AF708" i="4"/>
  <c r="AG708" i="4"/>
  <c r="AH708" i="4"/>
  <c r="Q709" i="4"/>
  <c r="R709" i="4"/>
  <c r="X709" i="4" s="1"/>
  <c r="T709" i="4"/>
  <c r="U709" i="4"/>
  <c r="V709" i="4"/>
  <c r="W709" i="4"/>
  <c r="Y709" i="4"/>
  <c r="Z709" i="4"/>
  <c r="AA709" i="4"/>
  <c r="AB709" i="4"/>
  <c r="AC709" i="4"/>
  <c r="AD709" i="4"/>
  <c r="AE709" i="4"/>
  <c r="AF709" i="4"/>
  <c r="AG709" i="4"/>
  <c r="AH709" i="4"/>
  <c r="Q710" i="4"/>
  <c r="AE710" i="4" s="1"/>
  <c r="R710" i="4"/>
  <c r="S710" i="4"/>
  <c r="T710" i="4"/>
  <c r="U710" i="4"/>
  <c r="V710" i="4"/>
  <c r="W710" i="4"/>
  <c r="X710" i="4"/>
  <c r="Y710" i="4"/>
  <c r="Z710" i="4"/>
  <c r="AA710" i="4"/>
  <c r="AB710" i="4"/>
  <c r="AC710" i="4"/>
  <c r="AD710" i="4"/>
  <c r="AF710" i="4"/>
  <c r="AG710" i="4"/>
  <c r="AH710" i="4"/>
  <c r="Q711" i="4"/>
  <c r="AE711" i="4" s="1"/>
  <c r="R711" i="4"/>
  <c r="X711" i="4" s="1"/>
  <c r="S711" i="4"/>
  <c r="T711" i="4"/>
  <c r="U711" i="4"/>
  <c r="V711" i="4"/>
  <c r="W711" i="4"/>
  <c r="Y711" i="4"/>
  <c r="Z711" i="4"/>
  <c r="AA711" i="4"/>
  <c r="AB711" i="4"/>
  <c r="AC711" i="4"/>
  <c r="AD711" i="4"/>
  <c r="AF711" i="4"/>
  <c r="AG711" i="4"/>
  <c r="AH711" i="4"/>
  <c r="Q712" i="4"/>
  <c r="AE712" i="4" s="1"/>
  <c r="R712" i="4"/>
  <c r="S712" i="4"/>
  <c r="T712" i="4"/>
  <c r="U712" i="4"/>
  <c r="V712" i="4"/>
  <c r="W712" i="4"/>
  <c r="X712" i="4"/>
  <c r="Y712" i="4"/>
  <c r="Z712" i="4"/>
  <c r="AA712" i="4"/>
  <c r="AB712" i="4"/>
  <c r="AC712" i="4"/>
  <c r="AD712" i="4"/>
  <c r="AF712" i="4"/>
  <c r="AG712" i="4"/>
  <c r="AH712" i="4"/>
  <c r="Q713" i="4"/>
  <c r="R713" i="4"/>
  <c r="X713" i="4" s="1"/>
  <c r="T713" i="4"/>
  <c r="U713" i="4"/>
  <c r="V713" i="4"/>
  <c r="W713" i="4"/>
  <c r="Y713" i="4"/>
  <c r="Z713" i="4"/>
  <c r="AA713" i="4"/>
  <c r="AB713" i="4"/>
  <c r="AC713" i="4"/>
  <c r="AD713" i="4"/>
  <c r="AE713" i="4"/>
  <c r="AF713" i="4"/>
  <c r="AG713" i="4"/>
  <c r="AH713" i="4"/>
  <c r="Q714" i="4"/>
  <c r="R714" i="4"/>
  <c r="S714" i="4"/>
  <c r="T714" i="4"/>
  <c r="U714" i="4"/>
  <c r="V714" i="4"/>
  <c r="W714" i="4"/>
  <c r="X714" i="4"/>
  <c r="Y714" i="4"/>
  <c r="Z714" i="4"/>
  <c r="AA714" i="4"/>
  <c r="AB714" i="4"/>
  <c r="AC714" i="4"/>
  <c r="AD714" i="4"/>
  <c r="AE714" i="4"/>
  <c r="AF714" i="4"/>
  <c r="AG714" i="4"/>
  <c r="AH714" i="4"/>
  <c r="Q715" i="4"/>
  <c r="AE715" i="4" s="1"/>
  <c r="R715" i="4"/>
  <c r="X715" i="4" s="1"/>
  <c r="S715" i="4"/>
  <c r="T715" i="4"/>
  <c r="U715" i="4"/>
  <c r="V715" i="4"/>
  <c r="W715" i="4"/>
  <c r="Y715" i="4"/>
  <c r="Z715" i="4"/>
  <c r="AA715" i="4"/>
  <c r="AB715" i="4"/>
  <c r="AC715" i="4"/>
  <c r="AD715" i="4"/>
  <c r="AF715" i="4"/>
  <c r="AG715" i="4"/>
  <c r="AH715" i="4"/>
  <c r="Q716" i="4"/>
  <c r="R716" i="4"/>
  <c r="S716" i="4"/>
  <c r="T716" i="4"/>
  <c r="U716" i="4"/>
  <c r="V716" i="4"/>
  <c r="W716" i="4"/>
  <c r="X716" i="4"/>
  <c r="Y716" i="4"/>
  <c r="Z716" i="4"/>
  <c r="AA716" i="4"/>
  <c r="AB716" i="4"/>
  <c r="AC716" i="4"/>
  <c r="AD716" i="4"/>
  <c r="AE716" i="4"/>
  <c r="AF716" i="4"/>
  <c r="AG716" i="4"/>
  <c r="AH716" i="4"/>
  <c r="Q717" i="4"/>
  <c r="R717" i="4"/>
  <c r="X717" i="4" s="1"/>
  <c r="T717" i="4"/>
  <c r="U717" i="4"/>
  <c r="V717" i="4"/>
  <c r="W717" i="4"/>
  <c r="Y717" i="4"/>
  <c r="Z717" i="4"/>
  <c r="AA717" i="4"/>
  <c r="AB717" i="4"/>
  <c r="AC717" i="4"/>
  <c r="AD717" i="4"/>
  <c r="AE717" i="4"/>
  <c r="AF717" i="4"/>
  <c r="AG717" i="4"/>
  <c r="AH717" i="4"/>
  <c r="Q718" i="4"/>
  <c r="AE718" i="4" s="1"/>
  <c r="R718" i="4"/>
  <c r="S718" i="4"/>
  <c r="T718" i="4"/>
  <c r="U718" i="4"/>
  <c r="V718" i="4"/>
  <c r="W718" i="4"/>
  <c r="X718" i="4"/>
  <c r="Y718" i="4"/>
  <c r="Z718" i="4"/>
  <c r="AA718" i="4"/>
  <c r="AB718" i="4"/>
  <c r="AC718" i="4"/>
  <c r="AD718" i="4"/>
  <c r="AF718" i="4"/>
  <c r="AG718" i="4"/>
  <c r="AH718" i="4"/>
  <c r="Q719" i="4"/>
  <c r="R719" i="4"/>
  <c r="X719" i="4" s="1"/>
  <c r="S719" i="4"/>
  <c r="T719" i="4"/>
  <c r="U719" i="4"/>
  <c r="V719" i="4"/>
  <c r="W719" i="4"/>
  <c r="Y719" i="4"/>
  <c r="Z719" i="4"/>
  <c r="AA719" i="4"/>
  <c r="AB719" i="4"/>
  <c r="AC719" i="4"/>
  <c r="AD719" i="4"/>
  <c r="AE719" i="4"/>
  <c r="AF719" i="4"/>
  <c r="AG719" i="4"/>
  <c r="AH719" i="4"/>
  <c r="Q720" i="4"/>
  <c r="AE720" i="4" s="1"/>
  <c r="R720" i="4"/>
  <c r="S720" i="4"/>
  <c r="T720" i="4"/>
  <c r="U720" i="4"/>
  <c r="V720" i="4"/>
  <c r="W720" i="4"/>
  <c r="X720" i="4"/>
  <c r="Y720" i="4"/>
  <c r="Z720" i="4"/>
  <c r="AA720" i="4"/>
  <c r="AB720" i="4"/>
  <c r="AC720" i="4"/>
  <c r="AD720" i="4"/>
  <c r="AF720" i="4"/>
  <c r="AG720" i="4"/>
  <c r="AH720" i="4"/>
  <c r="Q721" i="4"/>
  <c r="R721" i="4"/>
  <c r="X721" i="4" s="1"/>
  <c r="S721" i="4"/>
  <c r="T721" i="4"/>
  <c r="U721" i="4"/>
  <c r="V721" i="4"/>
  <c r="W721" i="4"/>
  <c r="Y721" i="4"/>
  <c r="Z721" i="4"/>
  <c r="AA721" i="4"/>
  <c r="AB721" i="4"/>
  <c r="AC721" i="4"/>
  <c r="AD721" i="4"/>
  <c r="AE721" i="4"/>
  <c r="AF721" i="4"/>
  <c r="AG721" i="4"/>
  <c r="AH721" i="4"/>
  <c r="Q722" i="4"/>
  <c r="R722" i="4"/>
  <c r="S722" i="4"/>
  <c r="T722" i="4"/>
  <c r="U722" i="4"/>
  <c r="V722" i="4"/>
  <c r="W722" i="4"/>
  <c r="X722" i="4"/>
  <c r="Y722" i="4"/>
  <c r="Z722" i="4"/>
  <c r="AA722" i="4"/>
  <c r="AB722" i="4"/>
  <c r="AC722" i="4"/>
  <c r="AD722" i="4"/>
  <c r="AE722" i="4"/>
  <c r="AF722" i="4"/>
  <c r="AG722" i="4"/>
  <c r="AH722" i="4"/>
  <c r="Q723" i="4"/>
  <c r="AE723" i="4" s="1"/>
  <c r="R723" i="4"/>
  <c r="X723" i="4" s="1"/>
  <c r="T723" i="4"/>
  <c r="U723" i="4"/>
  <c r="V723" i="4"/>
  <c r="W723" i="4"/>
  <c r="Y723" i="4"/>
  <c r="Z723" i="4"/>
  <c r="AA723" i="4"/>
  <c r="AB723" i="4"/>
  <c r="AC723" i="4"/>
  <c r="AD723" i="4"/>
  <c r="AF723" i="4"/>
  <c r="AG723" i="4"/>
  <c r="AH723" i="4"/>
  <c r="Q724" i="4"/>
  <c r="R724" i="4"/>
  <c r="S724" i="4"/>
  <c r="T724" i="4"/>
  <c r="U724" i="4"/>
  <c r="V724" i="4"/>
  <c r="W724" i="4"/>
  <c r="X724" i="4"/>
  <c r="Y724" i="4"/>
  <c r="Z724" i="4"/>
  <c r="AA724" i="4"/>
  <c r="AB724" i="4"/>
  <c r="AC724" i="4"/>
  <c r="AD724" i="4"/>
  <c r="AE724" i="4"/>
  <c r="AF724" i="4"/>
  <c r="AG724" i="4"/>
  <c r="AH724" i="4"/>
  <c r="Q725" i="4"/>
  <c r="R725" i="4"/>
  <c r="X725" i="4" s="1"/>
  <c r="T725" i="4"/>
  <c r="U725" i="4"/>
  <c r="V725" i="4"/>
  <c r="W725" i="4"/>
  <c r="Y725" i="4"/>
  <c r="Z725" i="4"/>
  <c r="AA725" i="4"/>
  <c r="AB725" i="4"/>
  <c r="AC725" i="4"/>
  <c r="AD725" i="4"/>
  <c r="AE725" i="4"/>
  <c r="AF725" i="4"/>
  <c r="AG725" i="4"/>
  <c r="AH725" i="4"/>
  <c r="Q726" i="4"/>
  <c r="AE726" i="4" s="1"/>
  <c r="R726" i="4"/>
  <c r="S726" i="4"/>
  <c r="T726" i="4"/>
  <c r="U726" i="4"/>
  <c r="V726" i="4"/>
  <c r="W726" i="4"/>
  <c r="X726" i="4"/>
  <c r="Y726" i="4"/>
  <c r="Z726" i="4"/>
  <c r="AA726" i="4"/>
  <c r="AB726" i="4"/>
  <c r="AC726" i="4"/>
  <c r="AD726" i="4"/>
  <c r="AF726" i="4"/>
  <c r="AG726" i="4"/>
  <c r="AH726" i="4"/>
  <c r="Q727" i="4"/>
  <c r="R727" i="4"/>
  <c r="X727" i="4" s="1"/>
  <c r="S727" i="4"/>
  <c r="T727" i="4"/>
  <c r="U727" i="4"/>
  <c r="V727" i="4"/>
  <c r="W727" i="4"/>
  <c r="Y727" i="4"/>
  <c r="Z727" i="4"/>
  <c r="AA727" i="4"/>
  <c r="AB727" i="4"/>
  <c r="AC727" i="4"/>
  <c r="AD727" i="4"/>
  <c r="AE727" i="4"/>
  <c r="AF727" i="4"/>
  <c r="AG727" i="4"/>
  <c r="AH727" i="4"/>
  <c r="Q728" i="4"/>
  <c r="AE728" i="4" s="1"/>
  <c r="R728" i="4"/>
  <c r="S728" i="4"/>
  <c r="T728" i="4"/>
  <c r="U728" i="4"/>
  <c r="V728" i="4"/>
  <c r="W728" i="4"/>
  <c r="X728" i="4"/>
  <c r="Y728" i="4"/>
  <c r="Z728" i="4"/>
  <c r="AA728" i="4"/>
  <c r="AB728" i="4"/>
  <c r="AC728" i="4"/>
  <c r="AD728" i="4"/>
  <c r="AF728" i="4"/>
  <c r="AG728" i="4"/>
  <c r="AH728" i="4"/>
  <c r="Q729" i="4"/>
  <c r="AE729" i="4" s="1"/>
  <c r="R729" i="4"/>
  <c r="X729" i="4" s="1"/>
  <c r="S729" i="4"/>
  <c r="T729" i="4"/>
  <c r="U729" i="4"/>
  <c r="V729" i="4"/>
  <c r="W729" i="4"/>
  <c r="Y729" i="4"/>
  <c r="Z729" i="4"/>
  <c r="AA729" i="4"/>
  <c r="AB729" i="4"/>
  <c r="AC729" i="4"/>
  <c r="AD729" i="4"/>
  <c r="AF729" i="4"/>
  <c r="AG729" i="4"/>
  <c r="AH729" i="4"/>
  <c r="Q730" i="4"/>
  <c r="R730" i="4"/>
  <c r="S730" i="4"/>
  <c r="T730" i="4"/>
  <c r="U730" i="4"/>
  <c r="V730" i="4"/>
  <c r="W730" i="4"/>
  <c r="X730" i="4"/>
  <c r="Y730" i="4"/>
  <c r="Z730" i="4"/>
  <c r="AA730" i="4"/>
  <c r="AB730" i="4"/>
  <c r="AC730" i="4"/>
  <c r="AD730" i="4"/>
  <c r="AE730" i="4"/>
  <c r="AF730" i="4"/>
  <c r="AG730" i="4"/>
  <c r="AH730" i="4"/>
  <c r="Q731" i="4"/>
  <c r="AE731" i="4" s="1"/>
  <c r="R731" i="4"/>
  <c r="X731" i="4" s="1"/>
  <c r="T731" i="4"/>
  <c r="U731" i="4"/>
  <c r="V731" i="4"/>
  <c r="W731" i="4"/>
  <c r="Y731" i="4"/>
  <c r="Z731" i="4"/>
  <c r="AA731" i="4"/>
  <c r="AB731" i="4"/>
  <c r="AC731" i="4"/>
  <c r="AD731" i="4"/>
  <c r="AF731" i="4"/>
  <c r="AG731" i="4"/>
  <c r="AH731" i="4"/>
  <c r="Q732" i="4"/>
  <c r="R732" i="4"/>
  <c r="S732" i="4"/>
  <c r="T732" i="4"/>
  <c r="U732" i="4"/>
  <c r="V732" i="4"/>
  <c r="W732" i="4"/>
  <c r="X732" i="4"/>
  <c r="Y732" i="4"/>
  <c r="Z732" i="4"/>
  <c r="AA732" i="4"/>
  <c r="AB732" i="4"/>
  <c r="AC732" i="4"/>
  <c r="AD732" i="4"/>
  <c r="AE732" i="4"/>
  <c r="AF732" i="4"/>
  <c r="AG732" i="4"/>
  <c r="AH732" i="4"/>
  <c r="Q733" i="4"/>
  <c r="R733" i="4"/>
  <c r="X733" i="4" s="1"/>
  <c r="T733" i="4"/>
  <c r="U733" i="4"/>
  <c r="V733" i="4"/>
  <c r="W733" i="4"/>
  <c r="Y733" i="4"/>
  <c r="Z733" i="4"/>
  <c r="AA733" i="4"/>
  <c r="AB733" i="4"/>
  <c r="AC733" i="4"/>
  <c r="AD733" i="4"/>
  <c r="AE733" i="4"/>
  <c r="AF733" i="4"/>
  <c r="AG733" i="4"/>
  <c r="AH733" i="4"/>
  <c r="Q734" i="4"/>
  <c r="AE734" i="4" s="1"/>
  <c r="R734" i="4"/>
  <c r="S734" i="4"/>
  <c r="T734" i="4"/>
  <c r="U734" i="4"/>
  <c r="V734" i="4"/>
  <c r="W734" i="4"/>
  <c r="X734" i="4"/>
  <c r="Y734" i="4"/>
  <c r="Z734" i="4"/>
  <c r="AA734" i="4"/>
  <c r="AB734" i="4"/>
  <c r="AC734" i="4"/>
  <c r="AD734" i="4"/>
  <c r="AF734" i="4"/>
  <c r="AG734" i="4"/>
  <c r="AH734" i="4"/>
  <c r="Q735" i="4"/>
  <c r="R735" i="4"/>
  <c r="X735" i="4" s="1"/>
  <c r="S735" i="4"/>
  <c r="T735" i="4"/>
  <c r="U735" i="4"/>
  <c r="V735" i="4"/>
  <c r="W735" i="4"/>
  <c r="Y735" i="4"/>
  <c r="Z735" i="4"/>
  <c r="AA735" i="4"/>
  <c r="AB735" i="4"/>
  <c r="AC735" i="4"/>
  <c r="AD735" i="4"/>
  <c r="AE735" i="4"/>
  <c r="AF735" i="4"/>
  <c r="AG735" i="4"/>
  <c r="AH735" i="4"/>
  <c r="Q736" i="4"/>
  <c r="AE736" i="4" s="1"/>
  <c r="R736" i="4"/>
  <c r="S736" i="4"/>
  <c r="T736" i="4"/>
  <c r="U736" i="4"/>
  <c r="V736" i="4"/>
  <c r="W736" i="4"/>
  <c r="X736" i="4"/>
  <c r="Y736" i="4"/>
  <c r="Z736" i="4"/>
  <c r="AA736" i="4"/>
  <c r="AB736" i="4"/>
  <c r="AC736" i="4"/>
  <c r="AD736" i="4"/>
  <c r="AF736" i="4"/>
  <c r="AG736" i="4"/>
  <c r="AH736" i="4"/>
  <c r="Q737" i="4"/>
  <c r="AE737" i="4" s="1"/>
  <c r="R737" i="4"/>
  <c r="X737" i="4" s="1"/>
  <c r="S737" i="4"/>
  <c r="T737" i="4"/>
  <c r="U737" i="4"/>
  <c r="V737" i="4"/>
  <c r="W737" i="4"/>
  <c r="Y737" i="4"/>
  <c r="Z737" i="4"/>
  <c r="AA737" i="4"/>
  <c r="AB737" i="4"/>
  <c r="AC737" i="4"/>
  <c r="AD737" i="4"/>
  <c r="AF737" i="4"/>
  <c r="AG737" i="4"/>
  <c r="AH737" i="4"/>
  <c r="Q738" i="4"/>
  <c r="R738" i="4"/>
  <c r="S738" i="4"/>
  <c r="T738" i="4"/>
  <c r="U738" i="4"/>
  <c r="V738" i="4"/>
  <c r="W738" i="4"/>
  <c r="X738" i="4"/>
  <c r="Y738" i="4"/>
  <c r="Z738" i="4"/>
  <c r="AA738" i="4"/>
  <c r="AB738" i="4"/>
  <c r="AC738" i="4"/>
  <c r="AD738" i="4"/>
  <c r="AE738" i="4"/>
  <c r="AF738" i="4"/>
  <c r="AG738" i="4"/>
  <c r="AH738" i="4"/>
  <c r="Q739" i="4"/>
  <c r="AE739" i="4" s="1"/>
  <c r="R739" i="4"/>
  <c r="X739" i="4" s="1"/>
  <c r="T739" i="4"/>
  <c r="U739" i="4"/>
  <c r="V739" i="4"/>
  <c r="W739" i="4"/>
  <c r="Y739" i="4"/>
  <c r="Z739" i="4"/>
  <c r="AA739" i="4"/>
  <c r="AB739" i="4"/>
  <c r="AC739" i="4"/>
  <c r="AD739" i="4"/>
  <c r="AF739" i="4"/>
  <c r="AG739" i="4"/>
  <c r="AH739" i="4"/>
  <c r="Q740" i="4"/>
  <c r="R740" i="4"/>
  <c r="S740" i="4"/>
  <c r="T740" i="4"/>
  <c r="U740" i="4"/>
  <c r="V740" i="4"/>
  <c r="W740" i="4"/>
  <c r="X740" i="4"/>
  <c r="Y740" i="4"/>
  <c r="Z740" i="4"/>
  <c r="AA740" i="4"/>
  <c r="AB740" i="4"/>
  <c r="AC740" i="4"/>
  <c r="AD740" i="4"/>
  <c r="AE740" i="4"/>
  <c r="AF740" i="4"/>
  <c r="AG740" i="4"/>
  <c r="AH740" i="4"/>
  <c r="Q741" i="4"/>
  <c r="R741" i="4"/>
  <c r="X741" i="4" s="1"/>
  <c r="T741" i="4"/>
  <c r="U741" i="4"/>
  <c r="V741" i="4"/>
  <c r="W741" i="4"/>
  <c r="Y741" i="4"/>
  <c r="Z741" i="4"/>
  <c r="AA741" i="4"/>
  <c r="AB741" i="4"/>
  <c r="AC741" i="4"/>
  <c r="AD741" i="4"/>
  <c r="AE741" i="4"/>
  <c r="AF741" i="4"/>
  <c r="AG741" i="4"/>
  <c r="AH741" i="4"/>
  <c r="Q742" i="4"/>
  <c r="AE742" i="4" s="1"/>
  <c r="R742" i="4"/>
  <c r="S742" i="4"/>
  <c r="T742" i="4"/>
  <c r="U742" i="4"/>
  <c r="V742" i="4"/>
  <c r="W742" i="4"/>
  <c r="X742" i="4"/>
  <c r="Y742" i="4"/>
  <c r="Z742" i="4"/>
  <c r="AA742" i="4"/>
  <c r="AB742" i="4"/>
  <c r="AC742" i="4"/>
  <c r="AD742" i="4"/>
  <c r="AF742" i="4"/>
  <c r="AG742" i="4"/>
  <c r="AH742" i="4"/>
  <c r="Q743" i="4"/>
  <c r="R743" i="4"/>
  <c r="X743" i="4" s="1"/>
  <c r="S743" i="4"/>
  <c r="T743" i="4"/>
  <c r="U743" i="4"/>
  <c r="V743" i="4"/>
  <c r="W743" i="4"/>
  <c r="Y743" i="4"/>
  <c r="Z743" i="4"/>
  <c r="AA743" i="4"/>
  <c r="AB743" i="4"/>
  <c r="AC743" i="4"/>
  <c r="AD743" i="4"/>
  <c r="AE743" i="4"/>
  <c r="AF743" i="4"/>
  <c r="AG743" i="4"/>
  <c r="AH743" i="4"/>
  <c r="Q744" i="4"/>
  <c r="AE744" i="4" s="1"/>
  <c r="R744" i="4"/>
  <c r="S744" i="4"/>
  <c r="T744" i="4"/>
  <c r="U744" i="4"/>
  <c r="V744" i="4"/>
  <c r="W744" i="4"/>
  <c r="X744" i="4"/>
  <c r="Y744" i="4"/>
  <c r="Z744" i="4"/>
  <c r="AA744" i="4"/>
  <c r="AB744" i="4"/>
  <c r="AC744" i="4"/>
  <c r="AD744" i="4"/>
  <c r="AF744" i="4"/>
  <c r="AG744" i="4"/>
  <c r="AH744" i="4"/>
  <c r="Q745" i="4"/>
  <c r="AE745" i="4" s="1"/>
  <c r="R745" i="4"/>
  <c r="X745" i="4" s="1"/>
  <c r="S745" i="4"/>
  <c r="T745" i="4"/>
  <c r="U745" i="4"/>
  <c r="V745" i="4"/>
  <c r="W745" i="4"/>
  <c r="Y745" i="4"/>
  <c r="Z745" i="4"/>
  <c r="AA745" i="4"/>
  <c r="AB745" i="4"/>
  <c r="AC745" i="4"/>
  <c r="AD745" i="4"/>
  <c r="AF745" i="4"/>
  <c r="AG745" i="4"/>
  <c r="AH745" i="4"/>
  <c r="Q746" i="4"/>
  <c r="R746" i="4"/>
  <c r="S746" i="4"/>
  <c r="T746" i="4"/>
  <c r="U746" i="4"/>
  <c r="V746" i="4"/>
  <c r="W746" i="4"/>
  <c r="X746" i="4"/>
  <c r="Y746" i="4"/>
  <c r="Z746" i="4"/>
  <c r="AA746" i="4"/>
  <c r="AB746" i="4"/>
  <c r="AC746" i="4"/>
  <c r="AD746" i="4"/>
  <c r="AE746" i="4"/>
  <c r="AF746" i="4"/>
  <c r="AG746" i="4"/>
  <c r="AH746" i="4"/>
  <c r="Q747" i="4"/>
  <c r="AE747" i="4" s="1"/>
  <c r="R747" i="4"/>
  <c r="X747" i="4" s="1"/>
  <c r="T747" i="4"/>
  <c r="U747" i="4"/>
  <c r="V747" i="4"/>
  <c r="W747" i="4"/>
  <c r="Y747" i="4"/>
  <c r="Z747" i="4"/>
  <c r="AA747" i="4"/>
  <c r="AB747" i="4"/>
  <c r="AC747" i="4"/>
  <c r="AD747" i="4"/>
  <c r="AF747" i="4"/>
  <c r="AG747" i="4"/>
  <c r="AH747" i="4"/>
  <c r="Q748" i="4"/>
  <c r="R748" i="4"/>
  <c r="S748" i="4"/>
  <c r="T748" i="4"/>
  <c r="U748" i="4"/>
  <c r="V748" i="4"/>
  <c r="W748" i="4"/>
  <c r="X748" i="4"/>
  <c r="Y748" i="4"/>
  <c r="Z748" i="4"/>
  <c r="AA748" i="4"/>
  <c r="AB748" i="4"/>
  <c r="AC748" i="4"/>
  <c r="AD748" i="4"/>
  <c r="AE748" i="4"/>
  <c r="AF748" i="4"/>
  <c r="AG748" i="4"/>
  <c r="AH748" i="4"/>
  <c r="Q749" i="4"/>
  <c r="R749" i="4"/>
  <c r="X749" i="4" s="1"/>
  <c r="T749" i="4"/>
  <c r="U749" i="4"/>
  <c r="V749" i="4"/>
  <c r="W749" i="4"/>
  <c r="Y749" i="4"/>
  <c r="Z749" i="4"/>
  <c r="AA749" i="4"/>
  <c r="AB749" i="4"/>
  <c r="AC749" i="4"/>
  <c r="AD749" i="4"/>
  <c r="AE749" i="4"/>
  <c r="AF749" i="4"/>
  <c r="AG749" i="4"/>
  <c r="AH749" i="4"/>
  <c r="Q750" i="4"/>
  <c r="AE750" i="4" s="1"/>
  <c r="R750" i="4"/>
  <c r="S750" i="4"/>
  <c r="T750" i="4"/>
  <c r="U750" i="4"/>
  <c r="V750" i="4"/>
  <c r="W750" i="4"/>
  <c r="X750" i="4"/>
  <c r="Y750" i="4"/>
  <c r="Z750" i="4"/>
  <c r="AA750" i="4"/>
  <c r="AB750" i="4"/>
  <c r="AC750" i="4"/>
  <c r="AD750" i="4"/>
  <c r="AF750" i="4"/>
  <c r="AG750" i="4"/>
  <c r="AH750" i="4"/>
  <c r="Q751" i="4"/>
  <c r="R751" i="4"/>
  <c r="X751" i="4" s="1"/>
  <c r="S751" i="4"/>
  <c r="T751" i="4"/>
  <c r="U751" i="4"/>
  <c r="V751" i="4"/>
  <c r="W751" i="4"/>
  <c r="Y751" i="4"/>
  <c r="Z751" i="4"/>
  <c r="AA751" i="4"/>
  <c r="AB751" i="4"/>
  <c r="AC751" i="4"/>
  <c r="AD751" i="4"/>
  <c r="AE751" i="4"/>
  <c r="AF751" i="4"/>
  <c r="AG751" i="4"/>
  <c r="AH751" i="4"/>
  <c r="Q752" i="4"/>
  <c r="AE752" i="4" s="1"/>
  <c r="R752" i="4"/>
  <c r="S752" i="4"/>
  <c r="T752" i="4"/>
  <c r="U752" i="4"/>
  <c r="V752" i="4"/>
  <c r="W752" i="4"/>
  <c r="X752" i="4"/>
  <c r="Y752" i="4"/>
  <c r="Z752" i="4"/>
  <c r="AA752" i="4"/>
  <c r="AB752" i="4"/>
  <c r="AC752" i="4"/>
  <c r="AD752" i="4"/>
  <c r="AF752" i="4"/>
  <c r="AG752" i="4"/>
  <c r="AH752" i="4"/>
  <c r="Q753" i="4"/>
  <c r="AE753" i="4" s="1"/>
  <c r="R753" i="4"/>
  <c r="X753" i="4" s="1"/>
  <c r="S753" i="4"/>
  <c r="T753" i="4"/>
  <c r="U753" i="4"/>
  <c r="V753" i="4"/>
  <c r="W753" i="4"/>
  <c r="Y753" i="4"/>
  <c r="Z753" i="4"/>
  <c r="AA753" i="4"/>
  <c r="AB753" i="4"/>
  <c r="AC753" i="4"/>
  <c r="AD753" i="4"/>
  <c r="AF753" i="4"/>
  <c r="AG753" i="4"/>
  <c r="AH753" i="4"/>
  <c r="Q754" i="4"/>
  <c r="R754" i="4"/>
  <c r="S754" i="4"/>
  <c r="T754" i="4"/>
  <c r="U754" i="4"/>
  <c r="V754" i="4"/>
  <c r="W754" i="4"/>
  <c r="X754" i="4"/>
  <c r="Y754" i="4"/>
  <c r="Z754" i="4"/>
  <c r="AA754" i="4"/>
  <c r="AB754" i="4"/>
  <c r="AC754" i="4"/>
  <c r="AD754" i="4"/>
  <c r="AE754" i="4"/>
  <c r="AF754" i="4"/>
  <c r="AG754" i="4"/>
  <c r="AH754" i="4"/>
  <c r="Q755" i="4"/>
  <c r="AE755" i="4" s="1"/>
  <c r="R755" i="4"/>
  <c r="X755" i="4" s="1"/>
  <c r="T755" i="4"/>
  <c r="U755" i="4"/>
  <c r="V755" i="4"/>
  <c r="W755" i="4"/>
  <c r="Y755" i="4"/>
  <c r="Z755" i="4"/>
  <c r="AA755" i="4"/>
  <c r="AB755" i="4"/>
  <c r="AC755" i="4"/>
  <c r="AD755" i="4"/>
  <c r="AF755" i="4"/>
  <c r="AG755" i="4"/>
  <c r="AH755" i="4"/>
  <c r="Q756" i="4"/>
  <c r="R756" i="4"/>
  <c r="S756" i="4"/>
  <c r="T756" i="4"/>
  <c r="U756" i="4"/>
  <c r="V756" i="4"/>
  <c r="W756" i="4"/>
  <c r="X756" i="4"/>
  <c r="Y756" i="4"/>
  <c r="Z756" i="4"/>
  <c r="AA756" i="4"/>
  <c r="AB756" i="4"/>
  <c r="AC756" i="4"/>
  <c r="AD756" i="4"/>
  <c r="AE756" i="4"/>
  <c r="AF756" i="4"/>
  <c r="AG756" i="4"/>
  <c r="AH756" i="4"/>
  <c r="Q757" i="4"/>
  <c r="R757" i="4"/>
  <c r="X757" i="4" s="1"/>
  <c r="T757" i="4"/>
  <c r="U757" i="4"/>
  <c r="V757" i="4"/>
  <c r="W757" i="4"/>
  <c r="Y757" i="4"/>
  <c r="Z757" i="4"/>
  <c r="AA757" i="4"/>
  <c r="AB757" i="4"/>
  <c r="AC757" i="4"/>
  <c r="AD757" i="4"/>
  <c r="AE757" i="4"/>
  <c r="AF757" i="4"/>
  <c r="AG757" i="4"/>
  <c r="AH757" i="4"/>
  <c r="Q758" i="4"/>
  <c r="AE758" i="4" s="1"/>
  <c r="R758" i="4"/>
  <c r="S758" i="4"/>
  <c r="T758" i="4"/>
  <c r="U758" i="4"/>
  <c r="V758" i="4"/>
  <c r="W758" i="4"/>
  <c r="X758" i="4"/>
  <c r="Y758" i="4"/>
  <c r="Z758" i="4"/>
  <c r="AA758" i="4"/>
  <c r="AB758" i="4"/>
  <c r="AC758" i="4"/>
  <c r="AD758" i="4"/>
  <c r="AF758" i="4"/>
  <c r="AG758" i="4"/>
  <c r="AH758" i="4"/>
  <c r="Q759" i="4"/>
  <c r="R759" i="4"/>
  <c r="X759" i="4" s="1"/>
  <c r="S759" i="4"/>
  <c r="T759" i="4"/>
  <c r="U759" i="4"/>
  <c r="V759" i="4"/>
  <c r="W759" i="4"/>
  <c r="Y759" i="4"/>
  <c r="Z759" i="4"/>
  <c r="AA759" i="4"/>
  <c r="AB759" i="4"/>
  <c r="AC759" i="4"/>
  <c r="AD759" i="4"/>
  <c r="AE759" i="4"/>
  <c r="AF759" i="4"/>
  <c r="AG759" i="4"/>
  <c r="AH759" i="4"/>
  <c r="Q760" i="4"/>
  <c r="AE760" i="4" s="1"/>
  <c r="R760" i="4"/>
  <c r="S760" i="4"/>
  <c r="T760" i="4"/>
  <c r="U760" i="4"/>
  <c r="V760" i="4"/>
  <c r="W760" i="4"/>
  <c r="X760" i="4"/>
  <c r="Y760" i="4"/>
  <c r="Z760" i="4"/>
  <c r="AA760" i="4"/>
  <c r="AB760" i="4"/>
  <c r="AC760" i="4"/>
  <c r="AD760" i="4"/>
  <c r="AF760" i="4"/>
  <c r="AG760" i="4"/>
  <c r="AH760" i="4"/>
  <c r="Q761" i="4"/>
  <c r="AE761" i="4" s="1"/>
  <c r="R761" i="4"/>
  <c r="X761" i="4" s="1"/>
  <c r="S761" i="4"/>
  <c r="T761" i="4"/>
  <c r="U761" i="4"/>
  <c r="V761" i="4"/>
  <c r="W761" i="4"/>
  <c r="Y761" i="4"/>
  <c r="Z761" i="4"/>
  <c r="AA761" i="4"/>
  <c r="AB761" i="4"/>
  <c r="AC761" i="4"/>
  <c r="AD761" i="4"/>
  <c r="AF761" i="4"/>
  <c r="AG761" i="4"/>
  <c r="AH761" i="4"/>
  <c r="Q762" i="4"/>
  <c r="R762" i="4"/>
  <c r="S762" i="4"/>
  <c r="T762" i="4"/>
  <c r="U762" i="4"/>
  <c r="V762" i="4"/>
  <c r="W762" i="4"/>
  <c r="X762" i="4"/>
  <c r="Y762" i="4"/>
  <c r="Z762" i="4"/>
  <c r="AA762" i="4"/>
  <c r="AB762" i="4"/>
  <c r="AC762" i="4"/>
  <c r="AD762" i="4"/>
  <c r="AE762" i="4"/>
  <c r="AF762" i="4"/>
  <c r="AG762" i="4"/>
  <c r="AH762" i="4"/>
  <c r="Q763" i="4"/>
  <c r="AE763" i="4" s="1"/>
  <c r="R763" i="4"/>
  <c r="X763" i="4" s="1"/>
  <c r="T763" i="4"/>
  <c r="U763" i="4"/>
  <c r="V763" i="4"/>
  <c r="W763" i="4"/>
  <c r="Y763" i="4"/>
  <c r="Z763" i="4"/>
  <c r="AA763" i="4"/>
  <c r="AB763" i="4"/>
  <c r="AC763" i="4"/>
  <c r="AD763" i="4"/>
  <c r="AF763" i="4"/>
  <c r="AG763" i="4"/>
  <c r="AH763" i="4"/>
  <c r="Q764" i="4"/>
  <c r="R764" i="4"/>
  <c r="S764" i="4"/>
  <c r="T764" i="4"/>
  <c r="U764" i="4"/>
  <c r="V764" i="4"/>
  <c r="W764" i="4"/>
  <c r="X764" i="4"/>
  <c r="Y764" i="4"/>
  <c r="Z764" i="4"/>
  <c r="AA764" i="4"/>
  <c r="AB764" i="4"/>
  <c r="AC764" i="4"/>
  <c r="AD764" i="4"/>
  <c r="AE764" i="4"/>
  <c r="AF764" i="4"/>
  <c r="AG764" i="4"/>
  <c r="AH764" i="4"/>
  <c r="Q765" i="4"/>
  <c r="R765" i="4"/>
  <c r="X765" i="4" s="1"/>
  <c r="T765" i="4"/>
  <c r="U765" i="4"/>
  <c r="V765" i="4"/>
  <c r="W765" i="4"/>
  <c r="Y765" i="4"/>
  <c r="Z765" i="4"/>
  <c r="AA765" i="4"/>
  <c r="AB765" i="4"/>
  <c r="AC765" i="4"/>
  <c r="AD765" i="4"/>
  <c r="AE765" i="4"/>
  <c r="AF765" i="4"/>
  <c r="AG765" i="4"/>
  <c r="AH765" i="4"/>
  <c r="Q766" i="4"/>
  <c r="AE766" i="4" s="1"/>
  <c r="R766" i="4"/>
  <c r="S766" i="4"/>
  <c r="T766" i="4"/>
  <c r="U766" i="4"/>
  <c r="V766" i="4"/>
  <c r="W766" i="4"/>
  <c r="X766" i="4"/>
  <c r="Y766" i="4"/>
  <c r="Z766" i="4"/>
  <c r="AA766" i="4"/>
  <c r="AB766" i="4"/>
  <c r="AC766" i="4"/>
  <c r="AD766" i="4"/>
  <c r="AF766" i="4"/>
  <c r="AG766" i="4"/>
  <c r="AH766" i="4"/>
  <c r="Q767" i="4"/>
  <c r="R767" i="4"/>
  <c r="X767" i="4" s="1"/>
  <c r="S767" i="4"/>
  <c r="T767" i="4"/>
  <c r="U767" i="4"/>
  <c r="V767" i="4"/>
  <c r="W767" i="4"/>
  <c r="Y767" i="4"/>
  <c r="Z767" i="4"/>
  <c r="AA767" i="4"/>
  <c r="AB767" i="4"/>
  <c r="AC767" i="4"/>
  <c r="AD767" i="4"/>
  <c r="AE767" i="4"/>
  <c r="AF767" i="4"/>
  <c r="AG767" i="4"/>
  <c r="AH767" i="4"/>
  <c r="Q768" i="4"/>
  <c r="AE768" i="4" s="1"/>
  <c r="R768" i="4"/>
  <c r="S768" i="4"/>
  <c r="T768" i="4"/>
  <c r="U768" i="4"/>
  <c r="V768" i="4"/>
  <c r="W768" i="4"/>
  <c r="X768" i="4"/>
  <c r="Y768" i="4"/>
  <c r="Z768" i="4"/>
  <c r="AA768" i="4"/>
  <c r="AB768" i="4"/>
  <c r="AC768" i="4"/>
  <c r="AD768" i="4"/>
  <c r="AF768" i="4"/>
  <c r="AG768" i="4"/>
  <c r="AH768" i="4"/>
  <c r="Q769" i="4"/>
  <c r="AE769" i="4" s="1"/>
  <c r="R769" i="4"/>
  <c r="X769" i="4" s="1"/>
  <c r="S769" i="4"/>
  <c r="T769" i="4"/>
  <c r="U769" i="4"/>
  <c r="V769" i="4"/>
  <c r="W769" i="4"/>
  <c r="Y769" i="4"/>
  <c r="Z769" i="4"/>
  <c r="AA769" i="4"/>
  <c r="AB769" i="4"/>
  <c r="AC769" i="4"/>
  <c r="AD769" i="4"/>
  <c r="AF769" i="4"/>
  <c r="AG769" i="4"/>
  <c r="AH769" i="4"/>
  <c r="Q770" i="4"/>
  <c r="R770" i="4"/>
  <c r="S770" i="4"/>
  <c r="T770" i="4"/>
  <c r="U770" i="4"/>
  <c r="V770" i="4"/>
  <c r="W770" i="4"/>
  <c r="X770" i="4"/>
  <c r="Y770" i="4"/>
  <c r="Z770" i="4"/>
  <c r="AA770" i="4"/>
  <c r="AB770" i="4"/>
  <c r="AC770" i="4"/>
  <c r="AD770" i="4"/>
  <c r="AE770" i="4"/>
  <c r="AF770" i="4"/>
  <c r="AG770" i="4"/>
  <c r="AH770" i="4"/>
  <c r="Q771" i="4"/>
  <c r="AE771" i="4" s="1"/>
  <c r="R771" i="4"/>
  <c r="X771" i="4" s="1"/>
  <c r="T771" i="4"/>
  <c r="U771" i="4"/>
  <c r="V771" i="4"/>
  <c r="W771" i="4"/>
  <c r="Y771" i="4"/>
  <c r="Z771" i="4"/>
  <c r="AA771" i="4"/>
  <c r="AB771" i="4"/>
  <c r="AC771" i="4"/>
  <c r="AD771" i="4"/>
  <c r="AF771" i="4"/>
  <c r="AG771" i="4"/>
  <c r="AH771" i="4"/>
  <c r="Q772" i="4"/>
  <c r="R772" i="4"/>
  <c r="S772" i="4"/>
  <c r="T772" i="4"/>
  <c r="U772" i="4"/>
  <c r="V772" i="4"/>
  <c r="W772" i="4"/>
  <c r="X772" i="4"/>
  <c r="Y772" i="4"/>
  <c r="Z772" i="4"/>
  <c r="AA772" i="4"/>
  <c r="AB772" i="4"/>
  <c r="AC772" i="4"/>
  <c r="AD772" i="4"/>
  <c r="AE772" i="4"/>
  <c r="AF772" i="4"/>
  <c r="AG772" i="4"/>
  <c r="AH772" i="4"/>
  <c r="Q773" i="4"/>
  <c r="R773" i="4"/>
  <c r="X773" i="4" s="1"/>
  <c r="T773" i="4"/>
  <c r="U773" i="4"/>
  <c r="V773" i="4"/>
  <c r="W773" i="4"/>
  <c r="Y773" i="4"/>
  <c r="Z773" i="4"/>
  <c r="AA773" i="4"/>
  <c r="AB773" i="4"/>
  <c r="AC773" i="4"/>
  <c r="AD773" i="4"/>
  <c r="AE773" i="4"/>
  <c r="AF773" i="4"/>
  <c r="AG773" i="4"/>
  <c r="AH773" i="4"/>
  <c r="Q774" i="4"/>
  <c r="AE774" i="4" s="1"/>
  <c r="R774" i="4"/>
  <c r="S774" i="4" s="1"/>
  <c r="T774" i="4"/>
  <c r="U774" i="4"/>
  <c r="V774" i="4"/>
  <c r="W774" i="4"/>
  <c r="X774" i="4"/>
  <c r="Y774" i="4"/>
  <c r="Z774" i="4"/>
  <c r="AA774" i="4"/>
  <c r="AB774" i="4"/>
  <c r="AC774" i="4"/>
  <c r="AD774" i="4"/>
  <c r="AF774" i="4"/>
  <c r="AG774" i="4"/>
  <c r="AH774" i="4"/>
  <c r="Q775" i="4"/>
  <c r="R775" i="4"/>
  <c r="X775" i="4" s="1"/>
  <c r="S775" i="4"/>
  <c r="T775" i="4"/>
  <c r="U775" i="4"/>
  <c r="V775" i="4"/>
  <c r="W775" i="4"/>
  <c r="Y775" i="4"/>
  <c r="Z775" i="4"/>
  <c r="AA775" i="4"/>
  <c r="AB775" i="4"/>
  <c r="AC775" i="4"/>
  <c r="AD775" i="4"/>
  <c r="AE775" i="4"/>
  <c r="AF775" i="4"/>
  <c r="AG775" i="4"/>
  <c r="AH775" i="4"/>
  <c r="Q776" i="4"/>
  <c r="AE776" i="4" s="1"/>
  <c r="R776" i="4"/>
  <c r="S776" i="4" s="1"/>
  <c r="T776" i="4"/>
  <c r="U776" i="4"/>
  <c r="V776" i="4"/>
  <c r="W776" i="4"/>
  <c r="X776" i="4"/>
  <c r="Y776" i="4"/>
  <c r="Z776" i="4"/>
  <c r="AA776" i="4"/>
  <c r="AB776" i="4"/>
  <c r="AC776" i="4"/>
  <c r="AD776" i="4"/>
  <c r="AF776" i="4"/>
  <c r="AG776" i="4"/>
  <c r="AH776" i="4"/>
  <c r="Q777" i="4"/>
  <c r="R777" i="4"/>
  <c r="X777" i="4" s="1"/>
  <c r="S777" i="4"/>
  <c r="T777" i="4"/>
  <c r="U777" i="4"/>
  <c r="V777" i="4"/>
  <c r="W777" i="4"/>
  <c r="Y777" i="4"/>
  <c r="Z777" i="4"/>
  <c r="AA777" i="4"/>
  <c r="AB777" i="4"/>
  <c r="AC777" i="4"/>
  <c r="AD777" i="4"/>
  <c r="AE777" i="4"/>
  <c r="AF777" i="4"/>
  <c r="AG777" i="4"/>
  <c r="AH777" i="4"/>
  <c r="Q778" i="4"/>
  <c r="AE778" i="4" s="1"/>
  <c r="R778" i="4"/>
  <c r="S778" i="4" s="1"/>
  <c r="T778" i="4"/>
  <c r="U778" i="4"/>
  <c r="V778" i="4"/>
  <c r="W778" i="4"/>
  <c r="X778" i="4"/>
  <c r="Y778" i="4"/>
  <c r="Z778" i="4"/>
  <c r="AA778" i="4"/>
  <c r="AB778" i="4"/>
  <c r="AC778" i="4"/>
  <c r="AD778" i="4"/>
  <c r="AF778" i="4"/>
  <c r="AG778" i="4"/>
  <c r="AH778" i="4"/>
  <c r="Q779" i="4"/>
  <c r="R779" i="4"/>
  <c r="X779" i="4" s="1"/>
  <c r="S779" i="4"/>
  <c r="T779" i="4"/>
  <c r="U779" i="4"/>
  <c r="V779" i="4"/>
  <c r="W779" i="4"/>
  <c r="Y779" i="4"/>
  <c r="Z779" i="4"/>
  <c r="AA779" i="4"/>
  <c r="AB779" i="4"/>
  <c r="AC779" i="4"/>
  <c r="AD779" i="4"/>
  <c r="AE779" i="4"/>
  <c r="AF779" i="4"/>
  <c r="AG779" i="4"/>
  <c r="AH779" i="4"/>
  <c r="Q780" i="4"/>
  <c r="AE780" i="4" s="1"/>
  <c r="R780" i="4"/>
  <c r="S780" i="4" s="1"/>
  <c r="T780" i="4"/>
  <c r="U780" i="4"/>
  <c r="V780" i="4"/>
  <c r="W780" i="4"/>
  <c r="X780" i="4"/>
  <c r="Y780" i="4"/>
  <c r="Z780" i="4"/>
  <c r="AA780" i="4"/>
  <c r="AB780" i="4"/>
  <c r="AC780" i="4"/>
  <c r="AD780" i="4"/>
  <c r="AF780" i="4"/>
  <c r="AG780" i="4"/>
  <c r="AH780" i="4"/>
  <c r="Q781" i="4"/>
  <c r="R781" i="4"/>
  <c r="X781" i="4" s="1"/>
  <c r="S781" i="4"/>
  <c r="T781" i="4"/>
  <c r="U781" i="4"/>
  <c r="V781" i="4"/>
  <c r="W781" i="4"/>
  <c r="Y781" i="4"/>
  <c r="Z781" i="4"/>
  <c r="AA781" i="4"/>
  <c r="AB781" i="4"/>
  <c r="AC781" i="4"/>
  <c r="AD781" i="4"/>
  <c r="AE781" i="4"/>
  <c r="AF781" i="4"/>
  <c r="AG781" i="4"/>
  <c r="AH781" i="4"/>
  <c r="Q782" i="4"/>
  <c r="AE782" i="4" s="1"/>
  <c r="R782" i="4"/>
  <c r="S782" i="4" s="1"/>
  <c r="T782" i="4"/>
  <c r="U782" i="4"/>
  <c r="V782" i="4"/>
  <c r="W782" i="4"/>
  <c r="X782" i="4"/>
  <c r="Y782" i="4"/>
  <c r="Z782" i="4"/>
  <c r="AA782" i="4"/>
  <c r="AB782" i="4"/>
  <c r="AC782" i="4"/>
  <c r="AD782" i="4"/>
  <c r="AF782" i="4"/>
  <c r="AG782" i="4"/>
  <c r="AH782" i="4"/>
  <c r="Q783" i="4"/>
  <c r="R783" i="4"/>
  <c r="X783" i="4" s="1"/>
  <c r="S783" i="4"/>
  <c r="T783" i="4"/>
  <c r="U783" i="4"/>
  <c r="V783" i="4"/>
  <c r="W783" i="4"/>
  <c r="Y783" i="4"/>
  <c r="Z783" i="4"/>
  <c r="AA783" i="4"/>
  <c r="AB783" i="4"/>
  <c r="AC783" i="4"/>
  <c r="AD783" i="4"/>
  <c r="AE783" i="4"/>
  <c r="AF783" i="4"/>
  <c r="AG783" i="4"/>
  <c r="AH783" i="4"/>
  <c r="Q784" i="4"/>
  <c r="AE784" i="4" s="1"/>
  <c r="R784" i="4"/>
  <c r="S784" i="4" s="1"/>
  <c r="T784" i="4"/>
  <c r="U784" i="4"/>
  <c r="V784" i="4"/>
  <c r="W784" i="4"/>
  <c r="X784" i="4"/>
  <c r="Y784" i="4"/>
  <c r="Z784" i="4"/>
  <c r="AA784" i="4"/>
  <c r="AB784" i="4"/>
  <c r="AC784" i="4"/>
  <c r="AD784" i="4"/>
  <c r="AF784" i="4"/>
  <c r="AG784" i="4"/>
  <c r="AH784" i="4"/>
  <c r="Q785" i="4"/>
  <c r="R785" i="4"/>
  <c r="X785" i="4" s="1"/>
  <c r="S785" i="4"/>
  <c r="T785" i="4"/>
  <c r="U785" i="4"/>
  <c r="V785" i="4"/>
  <c r="W785" i="4"/>
  <c r="Y785" i="4"/>
  <c r="Z785" i="4"/>
  <c r="AA785" i="4"/>
  <c r="AB785" i="4"/>
  <c r="AC785" i="4"/>
  <c r="AD785" i="4"/>
  <c r="AE785" i="4"/>
  <c r="AF785" i="4"/>
  <c r="AG785" i="4"/>
  <c r="AH785" i="4"/>
  <c r="Q786" i="4"/>
  <c r="AE786" i="4" s="1"/>
  <c r="R786" i="4"/>
  <c r="S786" i="4" s="1"/>
  <c r="T786" i="4"/>
  <c r="U786" i="4"/>
  <c r="V786" i="4"/>
  <c r="W786" i="4"/>
  <c r="X786" i="4"/>
  <c r="Y786" i="4"/>
  <c r="Z786" i="4"/>
  <c r="AA786" i="4"/>
  <c r="AB786" i="4"/>
  <c r="AC786" i="4"/>
  <c r="AD786" i="4"/>
  <c r="AF786" i="4"/>
  <c r="AG786" i="4"/>
  <c r="AH786" i="4"/>
  <c r="Q787" i="4"/>
  <c r="R787" i="4"/>
  <c r="X787" i="4" s="1"/>
  <c r="S787" i="4"/>
  <c r="T787" i="4"/>
  <c r="U787" i="4"/>
  <c r="V787" i="4"/>
  <c r="W787" i="4"/>
  <c r="Y787" i="4"/>
  <c r="Z787" i="4"/>
  <c r="AA787" i="4"/>
  <c r="AB787" i="4"/>
  <c r="AC787" i="4"/>
  <c r="AD787" i="4"/>
  <c r="AE787" i="4"/>
  <c r="AF787" i="4"/>
  <c r="AG787" i="4"/>
  <c r="AH787" i="4"/>
  <c r="Q788" i="4"/>
  <c r="AE788" i="4" s="1"/>
  <c r="R788" i="4"/>
  <c r="S788" i="4" s="1"/>
  <c r="T788" i="4"/>
  <c r="U788" i="4"/>
  <c r="V788" i="4"/>
  <c r="W788" i="4"/>
  <c r="X788" i="4"/>
  <c r="Y788" i="4"/>
  <c r="Z788" i="4"/>
  <c r="AA788" i="4"/>
  <c r="AB788" i="4"/>
  <c r="AC788" i="4"/>
  <c r="AD788" i="4"/>
  <c r="AF788" i="4"/>
  <c r="AG788" i="4"/>
  <c r="AH788" i="4"/>
  <c r="Q789" i="4"/>
  <c r="R789" i="4"/>
  <c r="X789" i="4" s="1"/>
  <c r="S789" i="4"/>
  <c r="T789" i="4"/>
  <c r="U789" i="4"/>
  <c r="V789" i="4"/>
  <c r="W789" i="4"/>
  <c r="Y789" i="4"/>
  <c r="Z789" i="4"/>
  <c r="AA789" i="4"/>
  <c r="AB789" i="4"/>
  <c r="AC789" i="4"/>
  <c r="AD789" i="4"/>
  <c r="AE789" i="4"/>
  <c r="AF789" i="4"/>
  <c r="AG789" i="4"/>
  <c r="AH789" i="4"/>
  <c r="Q790" i="4"/>
  <c r="AE790" i="4" s="1"/>
  <c r="R790" i="4"/>
  <c r="S790" i="4" s="1"/>
  <c r="T790" i="4"/>
  <c r="U790" i="4"/>
  <c r="V790" i="4"/>
  <c r="W790" i="4"/>
  <c r="X790" i="4"/>
  <c r="Y790" i="4"/>
  <c r="Z790" i="4"/>
  <c r="AA790" i="4"/>
  <c r="AB790" i="4"/>
  <c r="AC790" i="4"/>
  <c r="AD790" i="4"/>
  <c r="AF790" i="4"/>
  <c r="AG790" i="4"/>
  <c r="AH790" i="4"/>
  <c r="Q791" i="4"/>
  <c r="R791" i="4"/>
  <c r="X791" i="4" s="1"/>
  <c r="S791" i="4"/>
  <c r="T791" i="4"/>
  <c r="U791" i="4"/>
  <c r="V791" i="4"/>
  <c r="W791" i="4"/>
  <c r="Y791" i="4"/>
  <c r="Z791" i="4"/>
  <c r="AA791" i="4"/>
  <c r="AB791" i="4"/>
  <c r="AC791" i="4"/>
  <c r="AD791" i="4"/>
  <c r="AE791" i="4"/>
  <c r="AF791" i="4"/>
  <c r="AG791" i="4"/>
  <c r="AH791" i="4"/>
  <c r="Q792" i="4"/>
  <c r="AE792" i="4" s="1"/>
  <c r="R792" i="4"/>
  <c r="S792" i="4" s="1"/>
  <c r="T792" i="4"/>
  <c r="U792" i="4"/>
  <c r="V792" i="4"/>
  <c r="W792" i="4"/>
  <c r="X792" i="4"/>
  <c r="Y792" i="4"/>
  <c r="Z792" i="4"/>
  <c r="AA792" i="4"/>
  <c r="AB792" i="4"/>
  <c r="AC792" i="4"/>
  <c r="AD792" i="4"/>
  <c r="AF792" i="4"/>
  <c r="AG792" i="4"/>
  <c r="AH792" i="4"/>
  <c r="Q793" i="4"/>
  <c r="R793" i="4"/>
  <c r="X793" i="4" s="1"/>
  <c r="S793" i="4"/>
  <c r="T793" i="4"/>
  <c r="U793" i="4"/>
  <c r="V793" i="4"/>
  <c r="W793" i="4"/>
  <c r="Y793" i="4"/>
  <c r="Z793" i="4"/>
  <c r="AA793" i="4"/>
  <c r="AB793" i="4"/>
  <c r="AC793" i="4"/>
  <c r="AD793" i="4"/>
  <c r="AE793" i="4"/>
  <c r="AF793" i="4"/>
  <c r="AG793" i="4"/>
  <c r="AH793" i="4"/>
  <c r="Q794" i="4"/>
  <c r="AE794" i="4" s="1"/>
  <c r="R794" i="4"/>
  <c r="S794" i="4" s="1"/>
  <c r="T794" i="4"/>
  <c r="U794" i="4"/>
  <c r="V794" i="4"/>
  <c r="W794" i="4"/>
  <c r="X794" i="4"/>
  <c r="Y794" i="4"/>
  <c r="Z794" i="4"/>
  <c r="AA794" i="4"/>
  <c r="AB794" i="4"/>
  <c r="AC794" i="4"/>
  <c r="AD794" i="4"/>
  <c r="AF794" i="4"/>
  <c r="AG794" i="4"/>
  <c r="AH794" i="4"/>
  <c r="Q795" i="4"/>
  <c r="R795" i="4"/>
  <c r="X795" i="4" s="1"/>
  <c r="S795" i="4"/>
  <c r="T795" i="4"/>
  <c r="U795" i="4"/>
  <c r="V795" i="4"/>
  <c r="W795" i="4"/>
  <c r="Y795" i="4"/>
  <c r="Z795" i="4"/>
  <c r="AA795" i="4"/>
  <c r="AB795" i="4"/>
  <c r="AC795" i="4"/>
  <c r="AD795" i="4"/>
  <c r="AE795" i="4"/>
  <c r="AF795" i="4"/>
  <c r="AG795" i="4"/>
  <c r="AH795" i="4"/>
  <c r="Q796" i="4"/>
  <c r="AE796" i="4" s="1"/>
  <c r="R796" i="4"/>
  <c r="S796" i="4" s="1"/>
  <c r="T796" i="4"/>
  <c r="U796" i="4"/>
  <c r="V796" i="4"/>
  <c r="W796" i="4"/>
  <c r="X796" i="4"/>
  <c r="Y796" i="4"/>
  <c r="Z796" i="4"/>
  <c r="AA796" i="4"/>
  <c r="AB796" i="4"/>
  <c r="AC796" i="4"/>
  <c r="AD796" i="4"/>
  <c r="AF796" i="4"/>
  <c r="AG796" i="4"/>
  <c r="AH796" i="4"/>
  <c r="Q797" i="4"/>
  <c r="R797" i="4"/>
  <c r="X797" i="4" s="1"/>
  <c r="S797" i="4"/>
  <c r="T797" i="4"/>
  <c r="U797" i="4"/>
  <c r="V797" i="4"/>
  <c r="W797" i="4"/>
  <c r="Y797" i="4"/>
  <c r="Z797" i="4"/>
  <c r="AA797" i="4"/>
  <c r="AB797" i="4"/>
  <c r="AC797" i="4"/>
  <c r="AD797" i="4"/>
  <c r="AE797" i="4"/>
  <c r="AF797" i="4"/>
  <c r="AG797" i="4"/>
  <c r="AH797" i="4"/>
  <c r="Q798" i="4"/>
  <c r="AE798" i="4" s="1"/>
  <c r="R798" i="4"/>
  <c r="S798" i="4" s="1"/>
  <c r="T798" i="4"/>
  <c r="U798" i="4"/>
  <c r="V798" i="4"/>
  <c r="W798" i="4"/>
  <c r="X798" i="4"/>
  <c r="Y798" i="4"/>
  <c r="Z798" i="4"/>
  <c r="AA798" i="4"/>
  <c r="AB798" i="4"/>
  <c r="AC798" i="4"/>
  <c r="AD798" i="4"/>
  <c r="AF798" i="4"/>
  <c r="AG798" i="4"/>
  <c r="AH798" i="4"/>
  <c r="Q799" i="4"/>
  <c r="R799" i="4"/>
  <c r="X799" i="4" s="1"/>
  <c r="S799" i="4"/>
  <c r="T799" i="4"/>
  <c r="U799" i="4"/>
  <c r="V799" i="4"/>
  <c r="W799" i="4"/>
  <c r="Y799" i="4"/>
  <c r="Z799" i="4"/>
  <c r="AA799" i="4"/>
  <c r="AB799" i="4"/>
  <c r="AC799" i="4"/>
  <c r="AD799" i="4"/>
  <c r="AE799" i="4"/>
  <c r="AF799" i="4"/>
  <c r="AG799" i="4"/>
  <c r="AH799" i="4"/>
  <c r="Q800" i="4"/>
  <c r="AE800" i="4" s="1"/>
  <c r="R800" i="4"/>
  <c r="S800" i="4" s="1"/>
  <c r="T800" i="4"/>
  <c r="U800" i="4"/>
  <c r="V800" i="4"/>
  <c r="W800" i="4"/>
  <c r="X800" i="4"/>
  <c r="Y800" i="4"/>
  <c r="Z800" i="4"/>
  <c r="AA800" i="4"/>
  <c r="AB800" i="4"/>
  <c r="AC800" i="4"/>
  <c r="AD800" i="4"/>
  <c r="AF800" i="4"/>
  <c r="AG800" i="4"/>
  <c r="AH800" i="4"/>
  <c r="Q801" i="4"/>
  <c r="R801" i="4"/>
  <c r="X801" i="4" s="1"/>
  <c r="S801" i="4"/>
  <c r="T801" i="4"/>
  <c r="U801" i="4"/>
  <c r="V801" i="4"/>
  <c r="W801" i="4"/>
  <c r="Y801" i="4"/>
  <c r="Z801" i="4"/>
  <c r="AA801" i="4"/>
  <c r="AB801" i="4"/>
  <c r="AC801" i="4"/>
  <c r="AD801" i="4"/>
  <c r="AE801" i="4"/>
  <c r="AF801" i="4"/>
  <c r="AG801" i="4"/>
  <c r="AH801" i="4"/>
  <c r="Q802" i="4"/>
  <c r="AE802" i="4" s="1"/>
  <c r="R802" i="4"/>
  <c r="S802" i="4" s="1"/>
  <c r="T802" i="4"/>
  <c r="U802" i="4"/>
  <c r="V802" i="4"/>
  <c r="W802" i="4"/>
  <c r="X802" i="4"/>
  <c r="Y802" i="4"/>
  <c r="Z802" i="4"/>
  <c r="AA802" i="4"/>
  <c r="AB802" i="4"/>
  <c r="AC802" i="4"/>
  <c r="AD802" i="4"/>
  <c r="AF802" i="4"/>
  <c r="AG802" i="4"/>
  <c r="AH802" i="4"/>
  <c r="Q803" i="4"/>
  <c r="R803" i="4"/>
  <c r="X803" i="4" s="1"/>
  <c r="S803" i="4"/>
  <c r="T803" i="4"/>
  <c r="U803" i="4"/>
  <c r="V803" i="4"/>
  <c r="W803" i="4"/>
  <c r="Y803" i="4"/>
  <c r="Z803" i="4"/>
  <c r="AA803" i="4"/>
  <c r="AB803" i="4"/>
  <c r="AC803" i="4"/>
  <c r="AD803" i="4"/>
  <c r="AE803" i="4"/>
  <c r="AF803" i="4"/>
  <c r="AG803" i="4"/>
  <c r="AH803" i="4"/>
  <c r="Q804" i="4"/>
  <c r="AE804" i="4" s="1"/>
  <c r="R804" i="4"/>
  <c r="S804" i="4" s="1"/>
  <c r="T804" i="4"/>
  <c r="U804" i="4"/>
  <c r="V804" i="4"/>
  <c r="W804" i="4"/>
  <c r="X804" i="4"/>
  <c r="Y804" i="4"/>
  <c r="Z804" i="4"/>
  <c r="AA804" i="4"/>
  <c r="AB804" i="4"/>
  <c r="AC804" i="4"/>
  <c r="AD804" i="4"/>
  <c r="AF804" i="4"/>
  <c r="AG804" i="4"/>
  <c r="AH804" i="4"/>
  <c r="Q805" i="4"/>
  <c r="R805" i="4"/>
  <c r="X805" i="4" s="1"/>
  <c r="S805" i="4"/>
  <c r="T805" i="4"/>
  <c r="U805" i="4"/>
  <c r="V805" i="4"/>
  <c r="W805" i="4"/>
  <c r="Y805" i="4"/>
  <c r="Z805" i="4"/>
  <c r="AA805" i="4"/>
  <c r="AB805" i="4"/>
  <c r="AC805" i="4"/>
  <c r="AD805" i="4"/>
  <c r="AE805" i="4"/>
  <c r="AF805" i="4"/>
  <c r="AG805" i="4"/>
  <c r="AH805" i="4"/>
  <c r="Q806" i="4"/>
  <c r="AE806" i="4" s="1"/>
  <c r="R806" i="4"/>
  <c r="S806" i="4" s="1"/>
  <c r="T806" i="4"/>
  <c r="U806" i="4"/>
  <c r="V806" i="4"/>
  <c r="W806" i="4"/>
  <c r="X806" i="4"/>
  <c r="Y806" i="4"/>
  <c r="Z806" i="4"/>
  <c r="AA806" i="4"/>
  <c r="AB806" i="4"/>
  <c r="AC806" i="4"/>
  <c r="AD806" i="4"/>
  <c r="AF806" i="4"/>
  <c r="AG806" i="4"/>
  <c r="AH806" i="4"/>
  <c r="Q807" i="4"/>
  <c r="R807" i="4"/>
  <c r="X807" i="4" s="1"/>
  <c r="S807" i="4"/>
  <c r="T807" i="4"/>
  <c r="U807" i="4"/>
  <c r="V807" i="4"/>
  <c r="W807" i="4"/>
  <c r="Y807" i="4"/>
  <c r="Z807" i="4"/>
  <c r="AA807" i="4"/>
  <c r="AB807" i="4"/>
  <c r="AC807" i="4"/>
  <c r="AD807" i="4"/>
  <c r="AE807" i="4"/>
  <c r="AF807" i="4"/>
  <c r="AG807" i="4"/>
  <c r="AH807" i="4"/>
  <c r="Q808" i="4"/>
  <c r="AE808" i="4" s="1"/>
  <c r="R808" i="4"/>
  <c r="S808" i="4" s="1"/>
  <c r="T808" i="4"/>
  <c r="U808" i="4"/>
  <c r="V808" i="4"/>
  <c r="W808" i="4"/>
  <c r="X808" i="4"/>
  <c r="Y808" i="4"/>
  <c r="Z808" i="4"/>
  <c r="AA808" i="4"/>
  <c r="AB808" i="4"/>
  <c r="AC808" i="4"/>
  <c r="AD808" i="4"/>
  <c r="AF808" i="4"/>
  <c r="AG808" i="4"/>
  <c r="AH808" i="4"/>
  <c r="Q809" i="4"/>
  <c r="R809" i="4"/>
  <c r="X809" i="4" s="1"/>
  <c r="S809" i="4"/>
  <c r="T809" i="4"/>
  <c r="U809" i="4"/>
  <c r="V809" i="4"/>
  <c r="W809" i="4"/>
  <c r="Y809" i="4"/>
  <c r="Z809" i="4"/>
  <c r="AA809" i="4"/>
  <c r="AB809" i="4"/>
  <c r="AC809" i="4"/>
  <c r="AD809" i="4"/>
  <c r="AE809" i="4"/>
  <c r="AF809" i="4"/>
  <c r="AG809" i="4"/>
  <c r="AH809" i="4"/>
  <c r="Q810" i="4"/>
  <c r="AE810" i="4" s="1"/>
  <c r="R810" i="4"/>
  <c r="S810" i="4" s="1"/>
  <c r="T810" i="4"/>
  <c r="U810" i="4"/>
  <c r="V810" i="4"/>
  <c r="W810" i="4"/>
  <c r="X810" i="4"/>
  <c r="Y810" i="4"/>
  <c r="Z810" i="4"/>
  <c r="AA810" i="4"/>
  <c r="AB810" i="4"/>
  <c r="AC810" i="4"/>
  <c r="AD810" i="4"/>
  <c r="AF810" i="4"/>
  <c r="AG810" i="4"/>
  <c r="AH810" i="4"/>
  <c r="Q811" i="4"/>
  <c r="R811" i="4"/>
  <c r="X811" i="4" s="1"/>
  <c r="S811" i="4"/>
  <c r="T811" i="4"/>
  <c r="U811" i="4"/>
  <c r="V811" i="4"/>
  <c r="W811" i="4"/>
  <c r="Y811" i="4"/>
  <c r="Z811" i="4"/>
  <c r="AA811" i="4"/>
  <c r="AB811" i="4"/>
  <c r="AC811" i="4"/>
  <c r="AD811" i="4"/>
  <c r="AE811" i="4"/>
  <c r="AF811" i="4"/>
  <c r="AG811" i="4"/>
  <c r="AH811" i="4"/>
  <c r="Q812" i="4"/>
  <c r="AE812" i="4" s="1"/>
  <c r="R812" i="4"/>
  <c r="S812" i="4" s="1"/>
  <c r="T812" i="4"/>
  <c r="U812" i="4"/>
  <c r="V812" i="4"/>
  <c r="W812" i="4"/>
  <c r="X812" i="4"/>
  <c r="Y812" i="4"/>
  <c r="Z812" i="4"/>
  <c r="AA812" i="4"/>
  <c r="AB812" i="4"/>
  <c r="AC812" i="4"/>
  <c r="AD812" i="4"/>
  <c r="AF812" i="4"/>
  <c r="AG812" i="4"/>
  <c r="AH812" i="4"/>
  <c r="Q813" i="4"/>
  <c r="R813" i="4"/>
  <c r="X813" i="4" s="1"/>
  <c r="S813" i="4"/>
  <c r="T813" i="4"/>
  <c r="U813" i="4"/>
  <c r="V813" i="4"/>
  <c r="W813" i="4"/>
  <c r="Y813" i="4"/>
  <c r="Z813" i="4"/>
  <c r="AA813" i="4"/>
  <c r="AB813" i="4"/>
  <c r="AC813" i="4"/>
  <c r="AD813" i="4"/>
  <c r="AE813" i="4"/>
  <c r="AF813" i="4"/>
  <c r="AG813" i="4"/>
  <c r="AH813" i="4"/>
  <c r="Q814" i="4"/>
  <c r="AE814" i="4" s="1"/>
  <c r="R814" i="4"/>
  <c r="S814" i="4" s="1"/>
  <c r="T814" i="4"/>
  <c r="U814" i="4"/>
  <c r="V814" i="4"/>
  <c r="W814" i="4"/>
  <c r="X814" i="4"/>
  <c r="Y814" i="4"/>
  <c r="Z814" i="4"/>
  <c r="AA814" i="4"/>
  <c r="AB814" i="4"/>
  <c r="AC814" i="4"/>
  <c r="AD814" i="4"/>
  <c r="AF814" i="4"/>
  <c r="AG814" i="4"/>
  <c r="AH814" i="4"/>
  <c r="Q815" i="4"/>
  <c r="R815" i="4"/>
  <c r="X815" i="4" s="1"/>
  <c r="S815" i="4"/>
  <c r="T815" i="4"/>
  <c r="U815" i="4"/>
  <c r="V815" i="4"/>
  <c r="W815" i="4"/>
  <c r="Y815" i="4"/>
  <c r="Z815" i="4"/>
  <c r="AA815" i="4"/>
  <c r="AB815" i="4"/>
  <c r="AC815" i="4"/>
  <c r="AD815" i="4"/>
  <c r="AE815" i="4"/>
  <c r="AF815" i="4"/>
  <c r="AG815" i="4"/>
  <c r="AH815" i="4"/>
  <c r="Q816" i="4"/>
  <c r="AE816" i="4" s="1"/>
  <c r="R816" i="4"/>
  <c r="S816" i="4" s="1"/>
  <c r="T816" i="4"/>
  <c r="U816" i="4"/>
  <c r="V816" i="4"/>
  <c r="W816" i="4"/>
  <c r="X816" i="4"/>
  <c r="Y816" i="4"/>
  <c r="Z816" i="4"/>
  <c r="AA816" i="4"/>
  <c r="AB816" i="4"/>
  <c r="AC816" i="4"/>
  <c r="AD816" i="4"/>
  <c r="AF816" i="4"/>
  <c r="AG816" i="4"/>
  <c r="AH816" i="4"/>
  <c r="Q817" i="4"/>
  <c r="R817" i="4"/>
  <c r="X817" i="4" s="1"/>
  <c r="S817" i="4"/>
  <c r="T817" i="4"/>
  <c r="U817" i="4"/>
  <c r="V817" i="4"/>
  <c r="W817" i="4"/>
  <c r="Y817" i="4"/>
  <c r="Z817" i="4"/>
  <c r="AA817" i="4"/>
  <c r="AB817" i="4"/>
  <c r="AC817" i="4"/>
  <c r="AD817" i="4"/>
  <c r="AE817" i="4"/>
  <c r="AF817" i="4"/>
  <c r="AG817" i="4"/>
  <c r="AH817" i="4"/>
  <c r="Q818" i="4"/>
  <c r="AE818" i="4" s="1"/>
  <c r="R818" i="4"/>
  <c r="S818" i="4" s="1"/>
  <c r="T818" i="4"/>
  <c r="U818" i="4"/>
  <c r="V818" i="4"/>
  <c r="W818" i="4"/>
  <c r="X818" i="4"/>
  <c r="Y818" i="4"/>
  <c r="Z818" i="4"/>
  <c r="AA818" i="4"/>
  <c r="AB818" i="4"/>
  <c r="AC818" i="4"/>
  <c r="AD818" i="4"/>
  <c r="AF818" i="4"/>
  <c r="AG818" i="4"/>
  <c r="AH818" i="4"/>
  <c r="Q819" i="4"/>
  <c r="R819" i="4"/>
  <c r="X819" i="4" s="1"/>
  <c r="S819" i="4"/>
  <c r="T819" i="4"/>
  <c r="U819" i="4"/>
  <c r="V819" i="4"/>
  <c r="W819" i="4"/>
  <c r="Y819" i="4"/>
  <c r="Z819" i="4"/>
  <c r="AA819" i="4"/>
  <c r="AB819" i="4"/>
  <c r="AC819" i="4"/>
  <c r="AD819" i="4"/>
  <c r="AE819" i="4"/>
  <c r="AF819" i="4"/>
  <c r="AG819" i="4"/>
  <c r="AH819" i="4"/>
  <c r="Q820" i="4"/>
  <c r="AE820" i="4" s="1"/>
  <c r="R820" i="4"/>
  <c r="S820" i="4" s="1"/>
  <c r="T820" i="4"/>
  <c r="U820" i="4"/>
  <c r="V820" i="4"/>
  <c r="W820" i="4"/>
  <c r="X820" i="4"/>
  <c r="Y820" i="4"/>
  <c r="Z820" i="4"/>
  <c r="AA820" i="4"/>
  <c r="AB820" i="4"/>
  <c r="AC820" i="4"/>
  <c r="AD820" i="4"/>
  <c r="AF820" i="4"/>
  <c r="AG820" i="4"/>
  <c r="AH820" i="4"/>
  <c r="Q821" i="4"/>
  <c r="R821" i="4"/>
  <c r="X821" i="4" s="1"/>
  <c r="S821" i="4"/>
  <c r="T821" i="4"/>
  <c r="U821" i="4"/>
  <c r="V821" i="4"/>
  <c r="W821" i="4"/>
  <c r="Y821" i="4"/>
  <c r="Z821" i="4"/>
  <c r="AA821" i="4"/>
  <c r="AB821" i="4"/>
  <c r="AC821" i="4"/>
  <c r="AD821" i="4"/>
  <c r="AE821" i="4"/>
  <c r="AF821" i="4"/>
  <c r="AG821" i="4"/>
  <c r="AH821" i="4"/>
  <c r="Q822" i="4"/>
  <c r="AE822" i="4" s="1"/>
  <c r="R822" i="4"/>
  <c r="S822" i="4" s="1"/>
  <c r="T822" i="4"/>
  <c r="U822" i="4"/>
  <c r="V822" i="4"/>
  <c r="W822" i="4"/>
  <c r="X822" i="4"/>
  <c r="Y822" i="4"/>
  <c r="Z822" i="4"/>
  <c r="AA822" i="4"/>
  <c r="AB822" i="4"/>
  <c r="AC822" i="4"/>
  <c r="AD822" i="4"/>
  <c r="AF822" i="4"/>
  <c r="AG822" i="4"/>
  <c r="AH822" i="4"/>
  <c r="Q823" i="4"/>
  <c r="R823" i="4"/>
  <c r="X823" i="4" s="1"/>
  <c r="S823" i="4"/>
  <c r="T823" i="4"/>
  <c r="U823" i="4"/>
  <c r="V823" i="4"/>
  <c r="W823" i="4"/>
  <c r="Y823" i="4"/>
  <c r="Z823" i="4"/>
  <c r="AA823" i="4"/>
  <c r="AB823" i="4"/>
  <c r="AC823" i="4"/>
  <c r="AD823" i="4"/>
  <c r="AE823" i="4"/>
  <c r="AF823" i="4"/>
  <c r="AG823" i="4"/>
  <c r="AH823" i="4"/>
  <c r="Q824" i="4"/>
  <c r="AE824" i="4" s="1"/>
  <c r="R824" i="4"/>
  <c r="S824" i="4" s="1"/>
  <c r="T824" i="4"/>
  <c r="U824" i="4"/>
  <c r="V824" i="4"/>
  <c r="W824" i="4"/>
  <c r="X824" i="4"/>
  <c r="Y824" i="4"/>
  <c r="Z824" i="4"/>
  <c r="AA824" i="4"/>
  <c r="AB824" i="4"/>
  <c r="AC824" i="4"/>
  <c r="AD824" i="4"/>
  <c r="AF824" i="4"/>
  <c r="AG824" i="4"/>
  <c r="AH824" i="4"/>
  <c r="Q825" i="4"/>
  <c r="R825" i="4"/>
  <c r="X825" i="4" s="1"/>
  <c r="S825" i="4"/>
  <c r="T825" i="4"/>
  <c r="U825" i="4"/>
  <c r="V825" i="4"/>
  <c r="W825" i="4"/>
  <c r="Y825" i="4"/>
  <c r="Z825" i="4"/>
  <c r="AA825" i="4"/>
  <c r="AB825" i="4"/>
  <c r="AC825" i="4"/>
  <c r="AD825" i="4"/>
  <c r="AE825" i="4"/>
  <c r="AF825" i="4"/>
  <c r="AG825" i="4"/>
  <c r="AH825" i="4"/>
  <c r="Q826" i="4"/>
  <c r="AE826" i="4" s="1"/>
  <c r="R826" i="4"/>
  <c r="S826" i="4" s="1"/>
  <c r="T826" i="4"/>
  <c r="U826" i="4"/>
  <c r="V826" i="4"/>
  <c r="W826" i="4"/>
  <c r="X826" i="4"/>
  <c r="Y826" i="4"/>
  <c r="Z826" i="4"/>
  <c r="AA826" i="4"/>
  <c r="AB826" i="4"/>
  <c r="AC826" i="4"/>
  <c r="AD826" i="4"/>
  <c r="AF826" i="4"/>
  <c r="AG826" i="4"/>
  <c r="AH826" i="4"/>
  <c r="Q827" i="4"/>
  <c r="R827" i="4"/>
  <c r="X827" i="4" s="1"/>
  <c r="S827" i="4"/>
  <c r="T827" i="4"/>
  <c r="U827" i="4"/>
  <c r="V827" i="4"/>
  <c r="W827" i="4"/>
  <c r="Y827" i="4"/>
  <c r="Z827" i="4"/>
  <c r="AA827" i="4"/>
  <c r="AB827" i="4"/>
  <c r="AC827" i="4"/>
  <c r="AD827" i="4"/>
  <c r="AE827" i="4"/>
  <c r="AF827" i="4"/>
  <c r="AG827" i="4"/>
  <c r="AH827" i="4"/>
  <c r="Q828" i="4"/>
  <c r="AE828" i="4" s="1"/>
  <c r="R828" i="4"/>
  <c r="S828" i="4" s="1"/>
  <c r="T828" i="4"/>
  <c r="U828" i="4"/>
  <c r="V828" i="4"/>
  <c r="W828" i="4"/>
  <c r="X828" i="4"/>
  <c r="Y828" i="4"/>
  <c r="Z828" i="4"/>
  <c r="AA828" i="4"/>
  <c r="AB828" i="4"/>
  <c r="AC828" i="4"/>
  <c r="AD828" i="4"/>
  <c r="AF828" i="4"/>
  <c r="AG828" i="4"/>
  <c r="AH828" i="4"/>
  <c r="Q829" i="4"/>
  <c r="R829" i="4"/>
  <c r="X829" i="4" s="1"/>
  <c r="S829" i="4"/>
  <c r="T829" i="4"/>
  <c r="U829" i="4"/>
  <c r="V829" i="4"/>
  <c r="W829" i="4"/>
  <c r="Y829" i="4"/>
  <c r="Z829" i="4"/>
  <c r="AA829" i="4"/>
  <c r="AB829" i="4"/>
  <c r="AC829" i="4"/>
  <c r="AD829" i="4"/>
  <c r="AE829" i="4"/>
  <c r="AF829" i="4"/>
  <c r="AG829" i="4"/>
  <c r="AH829" i="4"/>
  <c r="Q830" i="4"/>
  <c r="AE830" i="4" s="1"/>
  <c r="R830" i="4"/>
  <c r="S830" i="4" s="1"/>
  <c r="T830" i="4"/>
  <c r="U830" i="4"/>
  <c r="V830" i="4"/>
  <c r="W830" i="4"/>
  <c r="X830" i="4"/>
  <c r="Y830" i="4"/>
  <c r="Z830" i="4"/>
  <c r="AA830" i="4"/>
  <c r="AB830" i="4"/>
  <c r="AC830" i="4"/>
  <c r="AD830" i="4"/>
  <c r="AF830" i="4"/>
  <c r="AG830" i="4"/>
  <c r="AH830" i="4"/>
  <c r="Q831" i="4"/>
  <c r="R831" i="4"/>
  <c r="X831" i="4" s="1"/>
  <c r="S831" i="4"/>
  <c r="T831" i="4"/>
  <c r="U831" i="4"/>
  <c r="V831" i="4"/>
  <c r="W831" i="4"/>
  <c r="Y831" i="4"/>
  <c r="Z831" i="4"/>
  <c r="AA831" i="4"/>
  <c r="AB831" i="4"/>
  <c r="AC831" i="4"/>
  <c r="AD831" i="4"/>
  <c r="AE831" i="4"/>
  <c r="AF831" i="4"/>
  <c r="AG831" i="4"/>
  <c r="AH831" i="4"/>
  <c r="Q832" i="4"/>
  <c r="AE832" i="4" s="1"/>
  <c r="R832" i="4"/>
  <c r="S832" i="4" s="1"/>
  <c r="T832" i="4"/>
  <c r="U832" i="4"/>
  <c r="V832" i="4"/>
  <c r="W832" i="4"/>
  <c r="X832" i="4"/>
  <c r="Y832" i="4"/>
  <c r="Z832" i="4"/>
  <c r="AA832" i="4"/>
  <c r="AB832" i="4"/>
  <c r="AC832" i="4"/>
  <c r="AD832" i="4"/>
  <c r="AF832" i="4"/>
  <c r="AG832" i="4"/>
  <c r="AH832" i="4"/>
  <c r="Q833" i="4"/>
  <c r="R833" i="4"/>
  <c r="X833" i="4" s="1"/>
  <c r="S833" i="4"/>
  <c r="T833" i="4"/>
  <c r="U833" i="4"/>
  <c r="V833" i="4"/>
  <c r="W833" i="4"/>
  <c r="Y833" i="4"/>
  <c r="Z833" i="4"/>
  <c r="AA833" i="4"/>
  <c r="AB833" i="4"/>
  <c r="AC833" i="4"/>
  <c r="AD833" i="4"/>
  <c r="AE833" i="4"/>
  <c r="AF833" i="4"/>
  <c r="AG833" i="4"/>
  <c r="AH833" i="4"/>
  <c r="Q834" i="4"/>
  <c r="AE834" i="4" s="1"/>
  <c r="R834" i="4"/>
  <c r="S834" i="4" s="1"/>
  <c r="T834" i="4"/>
  <c r="U834" i="4"/>
  <c r="V834" i="4"/>
  <c r="W834" i="4"/>
  <c r="X834" i="4"/>
  <c r="Y834" i="4"/>
  <c r="Z834" i="4"/>
  <c r="AA834" i="4"/>
  <c r="AB834" i="4"/>
  <c r="AC834" i="4"/>
  <c r="AD834" i="4"/>
  <c r="AF834" i="4"/>
  <c r="AG834" i="4"/>
  <c r="AH834" i="4"/>
  <c r="Q835" i="4"/>
  <c r="R835" i="4"/>
  <c r="X835" i="4" s="1"/>
  <c r="S835" i="4"/>
  <c r="T835" i="4"/>
  <c r="U835" i="4"/>
  <c r="V835" i="4"/>
  <c r="W835" i="4"/>
  <c r="Y835" i="4"/>
  <c r="Z835" i="4"/>
  <c r="AA835" i="4"/>
  <c r="AB835" i="4"/>
  <c r="AC835" i="4"/>
  <c r="AD835" i="4"/>
  <c r="AE835" i="4"/>
  <c r="AF835" i="4"/>
  <c r="AG835" i="4"/>
  <c r="AH835" i="4"/>
  <c r="Q836" i="4"/>
  <c r="AE836" i="4" s="1"/>
  <c r="R836" i="4"/>
  <c r="S836" i="4" s="1"/>
  <c r="T836" i="4"/>
  <c r="U836" i="4"/>
  <c r="V836" i="4"/>
  <c r="W836" i="4"/>
  <c r="X836" i="4"/>
  <c r="Y836" i="4"/>
  <c r="Z836" i="4"/>
  <c r="AA836" i="4"/>
  <c r="AB836" i="4"/>
  <c r="AC836" i="4"/>
  <c r="AD836" i="4"/>
  <c r="AF836" i="4"/>
  <c r="AG836" i="4"/>
  <c r="AH836" i="4"/>
  <c r="Q837" i="4"/>
  <c r="R837" i="4"/>
  <c r="X837" i="4" s="1"/>
  <c r="S837" i="4"/>
  <c r="T837" i="4"/>
  <c r="U837" i="4"/>
  <c r="V837" i="4"/>
  <c r="W837" i="4"/>
  <c r="Y837" i="4"/>
  <c r="Z837" i="4"/>
  <c r="AA837" i="4"/>
  <c r="AB837" i="4"/>
  <c r="AC837" i="4"/>
  <c r="AD837" i="4"/>
  <c r="AE837" i="4"/>
  <c r="AF837" i="4"/>
  <c r="AG837" i="4"/>
  <c r="AH837" i="4"/>
  <c r="Q838" i="4"/>
  <c r="AE838" i="4" s="1"/>
  <c r="R838" i="4"/>
  <c r="S838" i="4" s="1"/>
  <c r="T838" i="4"/>
  <c r="U838" i="4"/>
  <c r="V838" i="4"/>
  <c r="W838" i="4"/>
  <c r="X838" i="4"/>
  <c r="Y838" i="4"/>
  <c r="Z838" i="4"/>
  <c r="AA838" i="4"/>
  <c r="AB838" i="4"/>
  <c r="AC838" i="4"/>
  <c r="AD838" i="4"/>
  <c r="AF838" i="4"/>
  <c r="AG838" i="4"/>
  <c r="AH838" i="4"/>
  <c r="Q839" i="4"/>
  <c r="R839" i="4"/>
  <c r="X839" i="4" s="1"/>
  <c r="S839" i="4"/>
  <c r="T839" i="4"/>
  <c r="U839" i="4"/>
  <c r="V839" i="4"/>
  <c r="W839" i="4"/>
  <c r="Y839" i="4"/>
  <c r="Z839" i="4"/>
  <c r="AA839" i="4"/>
  <c r="AB839" i="4"/>
  <c r="AC839" i="4"/>
  <c r="AD839" i="4"/>
  <c r="AE839" i="4"/>
  <c r="AF839" i="4"/>
  <c r="AG839" i="4"/>
  <c r="AH839" i="4"/>
  <c r="Q840" i="4"/>
  <c r="AE840" i="4" s="1"/>
  <c r="R840" i="4"/>
  <c r="S840" i="4" s="1"/>
  <c r="T840" i="4"/>
  <c r="U840" i="4"/>
  <c r="V840" i="4"/>
  <c r="W840" i="4"/>
  <c r="X840" i="4"/>
  <c r="Y840" i="4"/>
  <c r="Z840" i="4"/>
  <c r="AA840" i="4"/>
  <c r="AB840" i="4"/>
  <c r="AC840" i="4"/>
  <c r="AD840" i="4"/>
  <c r="AF840" i="4"/>
  <c r="AG840" i="4"/>
  <c r="AH840" i="4"/>
  <c r="Q841" i="4"/>
  <c r="R841" i="4"/>
  <c r="X841" i="4" s="1"/>
  <c r="S841" i="4"/>
  <c r="T841" i="4"/>
  <c r="U841" i="4"/>
  <c r="V841" i="4"/>
  <c r="W841" i="4"/>
  <c r="Y841" i="4"/>
  <c r="Z841" i="4"/>
  <c r="AA841" i="4"/>
  <c r="AB841" i="4"/>
  <c r="AC841" i="4"/>
  <c r="AD841" i="4"/>
  <c r="AE841" i="4"/>
  <c r="AF841" i="4"/>
  <c r="AG841" i="4"/>
  <c r="AH841" i="4"/>
  <c r="Q842" i="4"/>
  <c r="AE842" i="4" s="1"/>
  <c r="R842" i="4"/>
  <c r="S842" i="4" s="1"/>
  <c r="T842" i="4"/>
  <c r="U842" i="4"/>
  <c r="V842" i="4"/>
  <c r="W842" i="4"/>
  <c r="X842" i="4"/>
  <c r="Y842" i="4"/>
  <c r="Z842" i="4"/>
  <c r="AA842" i="4"/>
  <c r="AB842" i="4"/>
  <c r="AC842" i="4"/>
  <c r="AD842" i="4"/>
  <c r="AF842" i="4"/>
  <c r="AG842" i="4"/>
  <c r="AH842" i="4"/>
  <c r="Q843" i="4"/>
  <c r="R843" i="4"/>
  <c r="X843" i="4" s="1"/>
  <c r="S843" i="4"/>
  <c r="T843" i="4"/>
  <c r="U843" i="4"/>
  <c r="V843" i="4"/>
  <c r="W843" i="4"/>
  <c r="Y843" i="4"/>
  <c r="Z843" i="4"/>
  <c r="AA843" i="4"/>
  <c r="AB843" i="4"/>
  <c r="AC843" i="4"/>
  <c r="AD843" i="4"/>
  <c r="AE843" i="4"/>
  <c r="AF843" i="4"/>
  <c r="AG843" i="4"/>
  <c r="AH843" i="4"/>
  <c r="Q844" i="4"/>
  <c r="AE844" i="4" s="1"/>
  <c r="R844" i="4"/>
  <c r="S844" i="4" s="1"/>
  <c r="T844" i="4"/>
  <c r="U844" i="4"/>
  <c r="V844" i="4"/>
  <c r="W844" i="4"/>
  <c r="X844" i="4"/>
  <c r="Y844" i="4"/>
  <c r="Z844" i="4"/>
  <c r="AA844" i="4"/>
  <c r="AB844" i="4"/>
  <c r="AC844" i="4"/>
  <c r="AD844" i="4"/>
  <c r="AF844" i="4"/>
  <c r="AG844" i="4"/>
  <c r="AH844" i="4"/>
  <c r="Q845" i="4"/>
  <c r="R845" i="4"/>
  <c r="X845" i="4" s="1"/>
  <c r="S845" i="4"/>
  <c r="T845" i="4"/>
  <c r="U845" i="4"/>
  <c r="V845" i="4"/>
  <c r="W845" i="4"/>
  <c r="Y845" i="4"/>
  <c r="Z845" i="4"/>
  <c r="AA845" i="4"/>
  <c r="AB845" i="4"/>
  <c r="AC845" i="4"/>
  <c r="AD845" i="4"/>
  <c r="AE845" i="4"/>
  <c r="AF845" i="4"/>
  <c r="AG845" i="4"/>
  <c r="AH845" i="4"/>
  <c r="Q846" i="4"/>
  <c r="AE846" i="4" s="1"/>
  <c r="R846" i="4"/>
  <c r="S846" i="4" s="1"/>
  <c r="T846" i="4"/>
  <c r="U846" i="4"/>
  <c r="V846" i="4"/>
  <c r="W846" i="4"/>
  <c r="X846" i="4"/>
  <c r="Y846" i="4"/>
  <c r="Z846" i="4"/>
  <c r="AA846" i="4"/>
  <c r="AB846" i="4"/>
  <c r="AC846" i="4"/>
  <c r="AD846" i="4"/>
  <c r="AF846" i="4"/>
  <c r="AG846" i="4"/>
  <c r="AH846" i="4"/>
  <c r="Q847" i="4"/>
  <c r="R847" i="4"/>
  <c r="X847" i="4" s="1"/>
  <c r="S847" i="4"/>
  <c r="T847" i="4"/>
  <c r="U847" i="4"/>
  <c r="V847" i="4"/>
  <c r="W847" i="4"/>
  <c r="Y847" i="4"/>
  <c r="Z847" i="4"/>
  <c r="AA847" i="4"/>
  <c r="AB847" i="4"/>
  <c r="AC847" i="4"/>
  <c r="AD847" i="4"/>
  <c r="AE847" i="4"/>
  <c r="AF847" i="4"/>
  <c r="AG847" i="4"/>
  <c r="AH847" i="4"/>
  <c r="Q848" i="4"/>
  <c r="AE848" i="4" s="1"/>
  <c r="R848" i="4"/>
  <c r="S848" i="4" s="1"/>
  <c r="T848" i="4"/>
  <c r="U848" i="4"/>
  <c r="V848" i="4"/>
  <c r="W848" i="4"/>
  <c r="X848" i="4"/>
  <c r="Y848" i="4"/>
  <c r="Z848" i="4"/>
  <c r="AA848" i="4"/>
  <c r="AB848" i="4"/>
  <c r="AC848" i="4"/>
  <c r="AD848" i="4"/>
  <c r="AF848" i="4"/>
  <c r="AG848" i="4"/>
  <c r="AH848" i="4"/>
  <c r="Q849" i="4"/>
  <c r="R849" i="4"/>
  <c r="X849" i="4" s="1"/>
  <c r="S849" i="4"/>
  <c r="T849" i="4"/>
  <c r="U849" i="4"/>
  <c r="V849" i="4"/>
  <c r="W849" i="4"/>
  <c r="Y849" i="4"/>
  <c r="Z849" i="4"/>
  <c r="AA849" i="4"/>
  <c r="AB849" i="4"/>
  <c r="AC849" i="4"/>
  <c r="AD849" i="4"/>
  <c r="AE849" i="4"/>
  <c r="AF849" i="4"/>
  <c r="AG849" i="4"/>
  <c r="AH849" i="4"/>
  <c r="Q850" i="4"/>
  <c r="AE850" i="4" s="1"/>
  <c r="R850" i="4"/>
  <c r="S850" i="4" s="1"/>
  <c r="T850" i="4"/>
  <c r="U850" i="4"/>
  <c r="V850" i="4"/>
  <c r="W850" i="4"/>
  <c r="X850" i="4"/>
  <c r="Y850" i="4"/>
  <c r="Z850" i="4"/>
  <c r="AA850" i="4"/>
  <c r="AB850" i="4"/>
  <c r="AC850" i="4"/>
  <c r="AD850" i="4"/>
  <c r="AF850" i="4"/>
  <c r="AG850" i="4"/>
  <c r="AH850" i="4"/>
  <c r="Q851" i="4"/>
  <c r="R851" i="4"/>
  <c r="X851" i="4" s="1"/>
  <c r="S851" i="4"/>
  <c r="T851" i="4"/>
  <c r="U851" i="4"/>
  <c r="V851" i="4"/>
  <c r="W851" i="4"/>
  <c r="Y851" i="4"/>
  <c r="Z851" i="4"/>
  <c r="AA851" i="4"/>
  <c r="AB851" i="4"/>
  <c r="AC851" i="4"/>
  <c r="AD851" i="4"/>
  <c r="AE851" i="4"/>
  <c r="AF851" i="4"/>
  <c r="AG851" i="4"/>
  <c r="AH851" i="4"/>
  <c r="Q852" i="4"/>
  <c r="AE852" i="4" s="1"/>
  <c r="R852" i="4"/>
  <c r="S852" i="4" s="1"/>
  <c r="T852" i="4"/>
  <c r="U852" i="4"/>
  <c r="V852" i="4"/>
  <c r="W852" i="4"/>
  <c r="X852" i="4"/>
  <c r="Y852" i="4"/>
  <c r="Z852" i="4"/>
  <c r="AA852" i="4"/>
  <c r="AB852" i="4"/>
  <c r="AC852" i="4"/>
  <c r="AD852" i="4"/>
  <c r="AF852" i="4"/>
  <c r="AG852" i="4"/>
  <c r="AH852" i="4"/>
  <c r="Q853" i="4"/>
  <c r="R853" i="4"/>
  <c r="X853" i="4" s="1"/>
  <c r="S853" i="4"/>
  <c r="T853" i="4"/>
  <c r="U853" i="4"/>
  <c r="V853" i="4"/>
  <c r="W853" i="4"/>
  <c r="Y853" i="4"/>
  <c r="Z853" i="4"/>
  <c r="AA853" i="4"/>
  <c r="AB853" i="4"/>
  <c r="AC853" i="4"/>
  <c r="AD853" i="4"/>
  <c r="AE853" i="4"/>
  <c r="AF853" i="4"/>
  <c r="AG853" i="4"/>
  <c r="AH853" i="4"/>
  <c r="Q854" i="4"/>
  <c r="AE854" i="4" s="1"/>
  <c r="R854" i="4"/>
  <c r="S854" i="4" s="1"/>
  <c r="T854" i="4"/>
  <c r="U854" i="4"/>
  <c r="V854" i="4"/>
  <c r="W854" i="4"/>
  <c r="X854" i="4"/>
  <c r="Y854" i="4"/>
  <c r="Z854" i="4"/>
  <c r="AA854" i="4"/>
  <c r="AB854" i="4"/>
  <c r="AC854" i="4"/>
  <c r="AD854" i="4"/>
  <c r="AF854" i="4"/>
  <c r="AG854" i="4"/>
  <c r="AH854" i="4"/>
  <c r="Q855" i="4"/>
  <c r="R855" i="4"/>
  <c r="X855" i="4" s="1"/>
  <c r="S855" i="4"/>
  <c r="T855" i="4"/>
  <c r="U855" i="4"/>
  <c r="V855" i="4"/>
  <c r="W855" i="4"/>
  <c r="Y855" i="4"/>
  <c r="Z855" i="4"/>
  <c r="AA855" i="4"/>
  <c r="AB855" i="4"/>
  <c r="AC855" i="4"/>
  <c r="AD855" i="4"/>
  <c r="AE855" i="4"/>
  <c r="AF855" i="4"/>
  <c r="AG855" i="4"/>
  <c r="AH855" i="4"/>
  <c r="Q856" i="4"/>
  <c r="AE856" i="4" s="1"/>
  <c r="R856" i="4"/>
  <c r="S856" i="4" s="1"/>
  <c r="T856" i="4"/>
  <c r="U856" i="4"/>
  <c r="V856" i="4"/>
  <c r="W856" i="4"/>
  <c r="X856" i="4"/>
  <c r="Y856" i="4"/>
  <c r="Z856" i="4"/>
  <c r="AA856" i="4"/>
  <c r="AB856" i="4"/>
  <c r="AC856" i="4"/>
  <c r="AD856" i="4"/>
  <c r="AF856" i="4"/>
  <c r="AG856" i="4"/>
  <c r="AH856" i="4"/>
  <c r="Q857" i="4"/>
  <c r="R857" i="4"/>
  <c r="X857" i="4" s="1"/>
  <c r="S857" i="4"/>
  <c r="T857" i="4"/>
  <c r="U857" i="4"/>
  <c r="V857" i="4"/>
  <c r="W857" i="4"/>
  <c r="Y857" i="4"/>
  <c r="Z857" i="4"/>
  <c r="AA857" i="4"/>
  <c r="AB857" i="4"/>
  <c r="AC857" i="4"/>
  <c r="AD857" i="4"/>
  <c r="AE857" i="4"/>
  <c r="AF857" i="4"/>
  <c r="AG857" i="4"/>
  <c r="AH857" i="4"/>
  <c r="Q858" i="4"/>
  <c r="AE858" i="4" s="1"/>
  <c r="R858" i="4"/>
  <c r="S858" i="4" s="1"/>
  <c r="T858" i="4"/>
  <c r="U858" i="4"/>
  <c r="V858" i="4"/>
  <c r="W858" i="4"/>
  <c r="X858" i="4"/>
  <c r="Y858" i="4"/>
  <c r="Z858" i="4"/>
  <c r="AA858" i="4"/>
  <c r="AB858" i="4"/>
  <c r="AC858" i="4"/>
  <c r="AD858" i="4"/>
  <c r="AF858" i="4"/>
  <c r="AG858" i="4"/>
  <c r="AH858" i="4"/>
  <c r="Q859" i="4"/>
  <c r="R859" i="4"/>
  <c r="X859" i="4" s="1"/>
  <c r="S859" i="4"/>
  <c r="T859" i="4"/>
  <c r="U859" i="4"/>
  <c r="V859" i="4"/>
  <c r="W859" i="4"/>
  <c r="Y859" i="4"/>
  <c r="Z859" i="4"/>
  <c r="AA859" i="4"/>
  <c r="AB859" i="4"/>
  <c r="AC859" i="4"/>
  <c r="AD859" i="4"/>
  <c r="AE859" i="4"/>
  <c r="AF859" i="4"/>
  <c r="AG859" i="4"/>
  <c r="AH859" i="4"/>
  <c r="Q860" i="4"/>
  <c r="AE860" i="4" s="1"/>
  <c r="R860" i="4"/>
  <c r="S860" i="4" s="1"/>
  <c r="T860" i="4"/>
  <c r="U860" i="4"/>
  <c r="V860" i="4"/>
  <c r="W860" i="4"/>
  <c r="X860" i="4"/>
  <c r="Y860" i="4"/>
  <c r="Z860" i="4"/>
  <c r="AA860" i="4"/>
  <c r="AB860" i="4"/>
  <c r="AC860" i="4"/>
  <c r="AD860" i="4"/>
  <c r="AF860" i="4"/>
  <c r="AG860" i="4"/>
  <c r="AH860" i="4"/>
  <c r="Q861" i="4"/>
  <c r="R861" i="4"/>
  <c r="X861" i="4" s="1"/>
  <c r="S861" i="4"/>
  <c r="T861" i="4"/>
  <c r="U861" i="4"/>
  <c r="V861" i="4"/>
  <c r="W861" i="4"/>
  <c r="Y861" i="4"/>
  <c r="Z861" i="4"/>
  <c r="AA861" i="4"/>
  <c r="AB861" i="4"/>
  <c r="AC861" i="4"/>
  <c r="AD861" i="4"/>
  <c r="AE861" i="4"/>
  <c r="AF861" i="4"/>
  <c r="AG861" i="4"/>
  <c r="AH861" i="4"/>
  <c r="Q862" i="4"/>
  <c r="AE862" i="4" s="1"/>
  <c r="R862" i="4"/>
  <c r="S862" i="4" s="1"/>
  <c r="T862" i="4"/>
  <c r="U862" i="4"/>
  <c r="V862" i="4"/>
  <c r="W862" i="4"/>
  <c r="X862" i="4"/>
  <c r="Y862" i="4"/>
  <c r="Z862" i="4"/>
  <c r="AA862" i="4"/>
  <c r="AB862" i="4"/>
  <c r="AC862" i="4"/>
  <c r="AD862" i="4"/>
  <c r="AF862" i="4"/>
  <c r="AG862" i="4"/>
  <c r="AH862" i="4"/>
  <c r="Q863" i="4"/>
  <c r="R863" i="4"/>
  <c r="X863" i="4" s="1"/>
  <c r="S863" i="4"/>
  <c r="T863" i="4"/>
  <c r="U863" i="4"/>
  <c r="V863" i="4"/>
  <c r="W863" i="4"/>
  <c r="Y863" i="4"/>
  <c r="Z863" i="4"/>
  <c r="AA863" i="4"/>
  <c r="AB863" i="4"/>
  <c r="AC863" i="4"/>
  <c r="AD863" i="4"/>
  <c r="AE863" i="4"/>
  <c r="AF863" i="4"/>
  <c r="AG863" i="4"/>
  <c r="AH863" i="4"/>
  <c r="Q864" i="4"/>
  <c r="AE864" i="4" s="1"/>
  <c r="R864" i="4"/>
  <c r="S864" i="4" s="1"/>
  <c r="T864" i="4"/>
  <c r="U864" i="4"/>
  <c r="V864" i="4"/>
  <c r="W864" i="4"/>
  <c r="X864" i="4"/>
  <c r="Y864" i="4"/>
  <c r="Z864" i="4"/>
  <c r="AA864" i="4"/>
  <c r="AB864" i="4"/>
  <c r="AC864" i="4"/>
  <c r="AD864" i="4"/>
  <c r="AF864" i="4"/>
  <c r="AG864" i="4"/>
  <c r="AH864" i="4"/>
  <c r="Q865" i="4"/>
  <c r="R865" i="4"/>
  <c r="X865" i="4" s="1"/>
  <c r="S865" i="4"/>
  <c r="T865" i="4"/>
  <c r="U865" i="4"/>
  <c r="V865" i="4"/>
  <c r="W865" i="4"/>
  <c r="Y865" i="4"/>
  <c r="Z865" i="4"/>
  <c r="AA865" i="4"/>
  <c r="AB865" i="4"/>
  <c r="AC865" i="4"/>
  <c r="AD865" i="4"/>
  <c r="AE865" i="4"/>
  <c r="AF865" i="4"/>
  <c r="AG865" i="4"/>
  <c r="AH865" i="4"/>
  <c r="Q866" i="4"/>
  <c r="AE866" i="4" s="1"/>
  <c r="R866" i="4"/>
  <c r="S866" i="4" s="1"/>
  <c r="T866" i="4"/>
  <c r="U866" i="4"/>
  <c r="V866" i="4"/>
  <c r="W866" i="4"/>
  <c r="X866" i="4"/>
  <c r="Y866" i="4"/>
  <c r="Z866" i="4"/>
  <c r="AA866" i="4"/>
  <c r="AB866" i="4"/>
  <c r="AC866" i="4"/>
  <c r="AD866" i="4"/>
  <c r="AF866" i="4"/>
  <c r="AG866" i="4"/>
  <c r="AH866" i="4"/>
  <c r="Q867" i="4"/>
  <c r="R867" i="4"/>
  <c r="X867" i="4" s="1"/>
  <c r="S867" i="4"/>
  <c r="T867" i="4"/>
  <c r="U867" i="4"/>
  <c r="V867" i="4"/>
  <c r="W867" i="4"/>
  <c r="Y867" i="4"/>
  <c r="Z867" i="4"/>
  <c r="AA867" i="4"/>
  <c r="AB867" i="4"/>
  <c r="AC867" i="4"/>
  <c r="AD867" i="4"/>
  <c r="AE867" i="4"/>
  <c r="AF867" i="4"/>
  <c r="AG867" i="4"/>
  <c r="AH867" i="4"/>
  <c r="Q868" i="4"/>
  <c r="AE868" i="4" s="1"/>
  <c r="R868" i="4"/>
  <c r="S868" i="4" s="1"/>
  <c r="T868" i="4"/>
  <c r="U868" i="4"/>
  <c r="V868" i="4"/>
  <c r="W868" i="4"/>
  <c r="X868" i="4"/>
  <c r="Y868" i="4"/>
  <c r="Z868" i="4"/>
  <c r="AA868" i="4"/>
  <c r="AB868" i="4"/>
  <c r="AC868" i="4"/>
  <c r="AD868" i="4"/>
  <c r="AF868" i="4"/>
  <c r="AG868" i="4"/>
  <c r="AH868" i="4"/>
  <c r="Q869" i="4"/>
  <c r="R869" i="4"/>
  <c r="X869" i="4" s="1"/>
  <c r="S869" i="4"/>
  <c r="T869" i="4"/>
  <c r="U869" i="4"/>
  <c r="V869" i="4"/>
  <c r="W869" i="4"/>
  <c r="Y869" i="4"/>
  <c r="Z869" i="4"/>
  <c r="AA869" i="4"/>
  <c r="AB869" i="4"/>
  <c r="AC869" i="4"/>
  <c r="AD869" i="4"/>
  <c r="AE869" i="4"/>
  <c r="AF869" i="4"/>
  <c r="AG869" i="4"/>
  <c r="AH869" i="4"/>
  <c r="Q870" i="4"/>
  <c r="AE870" i="4" s="1"/>
  <c r="R870" i="4"/>
  <c r="S870" i="4" s="1"/>
  <c r="T870" i="4"/>
  <c r="U870" i="4"/>
  <c r="V870" i="4"/>
  <c r="W870" i="4"/>
  <c r="X870" i="4"/>
  <c r="Y870" i="4"/>
  <c r="Z870" i="4"/>
  <c r="AA870" i="4"/>
  <c r="AB870" i="4"/>
  <c r="AC870" i="4"/>
  <c r="AD870" i="4"/>
  <c r="AF870" i="4"/>
  <c r="AG870" i="4"/>
  <c r="AH870" i="4"/>
  <c r="Q871" i="4"/>
  <c r="R871" i="4"/>
  <c r="X871" i="4" s="1"/>
  <c r="S871" i="4"/>
  <c r="T871" i="4"/>
  <c r="U871" i="4"/>
  <c r="V871" i="4"/>
  <c r="W871" i="4"/>
  <c r="Y871" i="4"/>
  <c r="Z871" i="4"/>
  <c r="AA871" i="4"/>
  <c r="AB871" i="4"/>
  <c r="AC871" i="4"/>
  <c r="AD871" i="4"/>
  <c r="AE871" i="4"/>
  <c r="AF871" i="4"/>
  <c r="AG871" i="4"/>
  <c r="AH871" i="4"/>
  <c r="Q872" i="4"/>
  <c r="AE872" i="4" s="1"/>
  <c r="R872" i="4"/>
  <c r="S872" i="4" s="1"/>
  <c r="T872" i="4"/>
  <c r="U872" i="4"/>
  <c r="V872" i="4"/>
  <c r="W872" i="4"/>
  <c r="X872" i="4"/>
  <c r="Y872" i="4"/>
  <c r="Z872" i="4"/>
  <c r="AA872" i="4"/>
  <c r="AB872" i="4"/>
  <c r="AC872" i="4"/>
  <c r="AD872" i="4"/>
  <c r="AF872" i="4"/>
  <c r="AG872" i="4"/>
  <c r="AH872" i="4"/>
  <c r="Q873" i="4"/>
  <c r="R873" i="4"/>
  <c r="X873" i="4" s="1"/>
  <c r="S873" i="4"/>
  <c r="T873" i="4"/>
  <c r="U873" i="4"/>
  <c r="V873" i="4"/>
  <c r="W873" i="4"/>
  <c r="Y873" i="4"/>
  <c r="Z873" i="4"/>
  <c r="AA873" i="4"/>
  <c r="AB873" i="4"/>
  <c r="AC873" i="4"/>
  <c r="AD873" i="4"/>
  <c r="AE873" i="4"/>
  <c r="AF873" i="4"/>
  <c r="AG873" i="4"/>
  <c r="AH873" i="4"/>
  <c r="Q874" i="4"/>
  <c r="AE874" i="4" s="1"/>
  <c r="R874" i="4"/>
  <c r="S874" i="4" s="1"/>
  <c r="T874" i="4"/>
  <c r="U874" i="4"/>
  <c r="V874" i="4"/>
  <c r="W874" i="4"/>
  <c r="X874" i="4"/>
  <c r="Y874" i="4"/>
  <c r="Z874" i="4"/>
  <c r="AA874" i="4"/>
  <c r="AB874" i="4"/>
  <c r="AC874" i="4"/>
  <c r="AD874" i="4"/>
  <c r="AF874" i="4"/>
  <c r="AG874" i="4"/>
  <c r="AH874" i="4"/>
  <c r="Q875" i="4"/>
  <c r="R875" i="4"/>
  <c r="X875" i="4" s="1"/>
  <c r="S875" i="4"/>
  <c r="T875" i="4"/>
  <c r="U875" i="4"/>
  <c r="V875" i="4"/>
  <c r="W875" i="4"/>
  <c r="Y875" i="4"/>
  <c r="Z875" i="4"/>
  <c r="AA875" i="4"/>
  <c r="AB875" i="4"/>
  <c r="AC875" i="4"/>
  <c r="AD875" i="4"/>
  <c r="AE875" i="4"/>
  <c r="AF875" i="4"/>
  <c r="AG875" i="4"/>
  <c r="AH875" i="4"/>
  <c r="Q876" i="4"/>
  <c r="AE876" i="4" s="1"/>
  <c r="R876" i="4"/>
  <c r="S876" i="4" s="1"/>
  <c r="T876" i="4"/>
  <c r="U876" i="4"/>
  <c r="V876" i="4"/>
  <c r="W876" i="4"/>
  <c r="X876" i="4"/>
  <c r="Y876" i="4"/>
  <c r="Z876" i="4"/>
  <c r="AA876" i="4"/>
  <c r="AB876" i="4"/>
  <c r="AC876" i="4"/>
  <c r="AD876" i="4"/>
  <c r="AF876" i="4"/>
  <c r="AG876" i="4"/>
  <c r="AH876" i="4"/>
  <c r="Q877" i="4"/>
  <c r="R877" i="4"/>
  <c r="X877" i="4" s="1"/>
  <c r="S877" i="4"/>
  <c r="T877" i="4"/>
  <c r="U877" i="4"/>
  <c r="V877" i="4"/>
  <c r="W877" i="4"/>
  <c r="Y877" i="4"/>
  <c r="Z877" i="4"/>
  <c r="AA877" i="4"/>
  <c r="AB877" i="4"/>
  <c r="AC877" i="4"/>
  <c r="AD877" i="4"/>
  <c r="AE877" i="4"/>
  <c r="AF877" i="4"/>
  <c r="AG877" i="4"/>
  <c r="AH877" i="4"/>
  <c r="Q878" i="4"/>
  <c r="AE878" i="4" s="1"/>
  <c r="R878" i="4"/>
  <c r="S878" i="4" s="1"/>
  <c r="T878" i="4"/>
  <c r="U878" i="4"/>
  <c r="V878" i="4"/>
  <c r="W878" i="4"/>
  <c r="X878" i="4"/>
  <c r="Y878" i="4"/>
  <c r="Z878" i="4"/>
  <c r="AA878" i="4"/>
  <c r="AB878" i="4"/>
  <c r="AC878" i="4"/>
  <c r="AD878" i="4"/>
  <c r="AF878" i="4"/>
  <c r="AG878" i="4"/>
  <c r="AH878" i="4"/>
  <c r="Q879" i="4"/>
  <c r="R879" i="4"/>
  <c r="X879" i="4" s="1"/>
  <c r="S879" i="4"/>
  <c r="T879" i="4"/>
  <c r="U879" i="4"/>
  <c r="V879" i="4"/>
  <c r="W879" i="4"/>
  <c r="Y879" i="4"/>
  <c r="Z879" i="4"/>
  <c r="AA879" i="4"/>
  <c r="AB879" i="4"/>
  <c r="AC879" i="4"/>
  <c r="AD879" i="4"/>
  <c r="AE879" i="4"/>
  <c r="AF879" i="4"/>
  <c r="AG879" i="4"/>
  <c r="AH879" i="4"/>
  <c r="Q880" i="4"/>
  <c r="AE880" i="4" s="1"/>
  <c r="R880" i="4"/>
  <c r="S880" i="4" s="1"/>
  <c r="T880" i="4"/>
  <c r="U880" i="4"/>
  <c r="V880" i="4"/>
  <c r="W880" i="4"/>
  <c r="X880" i="4"/>
  <c r="Y880" i="4"/>
  <c r="Z880" i="4"/>
  <c r="AA880" i="4"/>
  <c r="AB880" i="4"/>
  <c r="AC880" i="4"/>
  <c r="AD880" i="4"/>
  <c r="AF880" i="4"/>
  <c r="AG880" i="4"/>
  <c r="AH880" i="4"/>
  <c r="Q881" i="4"/>
  <c r="R881" i="4"/>
  <c r="X881" i="4" s="1"/>
  <c r="S881" i="4"/>
  <c r="T881" i="4"/>
  <c r="U881" i="4"/>
  <c r="V881" i="4"/>
  <c r="W881" i="4"/>
  <c r="Y881" i="4"/>
  <c r="Z881" i="4"/>
  <c r="AA881" i="4"/>
  <c r="AB881" i="4"/>
  <c r="AC881" i="4"/>
  <c r="AD881" i="4"/>
  <c r="AE881" i="4"/>
  <c r="AF881" i="4"/>
  <c r="AG881" i="4"/>
  <c r="AH881" i="4"/>
  <c r="Q882" i="4"/>
  <c r="AE882" i="4" s="1"/>
  <c r="R882" i="4"/>
  <c r="S882" i="4" s="1"/>
  <c r="T882" i="4"/>
  <c r="U882" i="4"/>
  <c r="V882" i="4"/>
  <c r="W882" i="4"/>
  <c r="X882" i="4"/>
  <c r="Y882" i="4"/>
  <c r="Z882" i="4"/>
  <c r="AA882" i="4"/>
  <c r="AB882" i="4"/>
  <c r="AC882" i="4"/>
  <c r="AD882" i="4"/>
  <c r="AF882" i="4"/>
  <c r="AG882" i="4"/>
  <c r="AH882" i="4"/>
  <c r="Q883" i="4"/>
  <c r="R883" i="4"/>
  <c r="X883" i="4" s="1"/>
  <c r="S883" i="4"/>
  <c r="T883" i="4"/>
  <c r="U883" i="4"/>
  <c r="V883" i="4"/>
  <c r="W883" i="4"/>
  <c r="Y883" i="4"/>
  <c r="Z883" i="4"/>
  <c r="AA883" i="4"/>
  <c r="AB883" i="4"/>
  <c r="AC883" i="4"/>
  <c r="AD883" i="4"/>
  <c r="AE883" i="4"/>
  <c r="AF883" i="4"/>
  <c r="AG883" i="4"/>
  <c r="AH883" i="4"/>
  <c r="Q884" i="4"/>
  <c r="AE884" i="4" s="1"/>
  <c r="R884" i="4"/>
  <c r="S884" i="4" s="1"/>
  <c r="T884" i="4"/>
  <c r="U884" i="4"/>
  <c r="V884" i="4"/>
  <c r="W884" i="4"/>
  <c r="X884" i="4"/>
  <c r="Y884" i="4"/>
  <c r="Z884" i="4"/>
  <c r="AA884" i="4"/>
  <c r="AB884" i="4"/>
  <c r="AC884" i="4"/>
  <c r="AD884" i="4"/>
  <c r="AF884" i="4"/>
  <c r="AG884" i="4"/>
  <c r="AH884" i="4"/>
  <c r="Q885" i="4"/>
  <c r="R885" i="4"/>
  <c r="X885" i="4" s="1"/>
  <c r="S885" i="4"/>
  <c r="T885" i="4"/>
  <c r="U885" i="4"/>
  <c r="V885" i="4"/>
  <c r="W885" i="4"/>
  <c r="Y885" i="4"/>
  <c r="Z885" i="4"/>
  <c r="AA885" i="4"/>
  <c r="AB885" i="4"/>
  <c r="AC885" i="4"/>
  <c r="AD885" i="4"/>
  <c r="AE885" i="4"/>
  <c r="AF885" i="4"/>
  <c r="AG885" i="4"/>
  <c r="AH885" i="4"/>
  <c r="Q886" i="4"/>
  <c r="AE886" i="4" s="1"/>
  <c r="R886" i="4"/>
  <c r="S886" i="4" s="1"/>
  <c r="T886" i="4"/>
  <c r="U886" i="4"/>
  <c r="V886" i="4"/>
  <c r="W886" i="4"/>
  <c r="X886" i="4"/>
  <c r="Y886" i="4"/>
  <c r="Z886" i="4"/>
  <c r="AA886" i="4"/>
  <c r="AB886" i="4"/>
  <c r="AC886" i="4"/>
  <c r="AD886" i="4"/>
  <c r="AF886" i="4"/>
  <c r="AG886" i="4"/>
  <c r="AH886" i="4"/>
  <c r="Q887" i="4"/>
  <c r="R887" i="4"/>
  <c r="X887" i="4" s="1"/>
  <c r="S887" i="4"/>
  <c r="T887" i="4"/>
  <c r="U887" i="4"/>
  <c r="V887" i="4"/>
  <c r="W887" i="4"/>
  <c r="Y887" i="4"/>
  <c r="Z887" i="4"/>
  <c r="AA887" i="4"/>
  <c r="AB887" i="4"/>
  <c r="AC887" i="4"/>
  <c r="AD887" i="4"/>
  <c r="AE887" i="4"/>
  <c r="AF887" i="4"/>
  <c r="AG887" i="4"/>
  <c r="AH887" i="4"/>
  <c r="Q888" i="4"/>
  <c r="AE888" i="4" s="1"/>
  <c r="R888" i="4"/>
  <c r="S888" i="4" s="1"/>
  <c r="T888" i="4"/>
  <c r="U888" i="4"/>
  <c r="V888" i="4"/>
  <c r="W888" i="4"/>
  <c r="X888" i="4"/>
  <c r="Y888" i="4"/>
  <c r="Z888" i="4"/>
  <c r="AA888" i="4"/>
  <c r="AB888" i="4"/>
  <c r="AC888" i="4"/>
  <c r="AD888" i="4"/>
  <c r="AF888" i="4"/>
  <c r="AG888" i="4"/>
  <c r="AH888" i="4"/>
  <c r="Q889" i="4"/>
  <c r="R889" i="4"/>
  <c r="X889" i="4" s="1"/>
  <c r="S889" i="4"/>
  <c r="T889" i="4"/>
  <c r="U889" i="4"/>
  <c r="V889" i="4"/>
  <c r="W889" i="4"/>
  <c r="Y889" i="4"/>
  <c r="Z889" i="4"/>
  <c r="AA889" i="4"/>
  <c r="AB889" i="4"/>
  <c r="AC889" i="4"/>
  <c r="AD889" i="4"/>
  <c r="AE889" i="4"/>
  <c r="AF889" i="4"/>
  <c r="AG889" i="4"/>
  <c r="AH889" i="4"/>
  <c r="Q890" i="4"/>
  <c r="AE890" i="4" s="1"/>
  <c r="R890" i="4"/>
  <c r="S890" i="4" s="1"/>
  <c r="T890" i="4"/>
  <c r="U890" i="4"/>
  <c r="V890" i="4"/>
  <c r="W890" i="4"/>
  <c r="X890" i="4"/>
  <c r="Y890" i="4"/>
  <c r="Z890" i="4"/>
  <c r="AA890" i="4"/>
  <c r="AB890" i="4"/>
  <c r="AC890" i="4"/>
  <c r="AD890" i="4"/>
  <c r="AF890" i="4"/>
  <c r="AG890" i="4"/>
  <c r="AH890" i="4"/>
  <c r="Q891" i="4"/>
  <c r="R891" i="4"/>
  <c r="X891" i="4" s="1"/>
  <c r="S891" i="4"/>
  <c r="T891" i="4"/>
  <c r="U891" i="4"/>
  <c r="V891" i="4"/>
  <c r="W891" i="4"/>
  <c r="Y891" i="4"/>
  <c r="Z891" i="4"/>
  <c r="AA891" i="4"/>
  <c r="AB891" i="4"/>
  <c r="AC891" i="4"/>
  <c r="AD891" i="4"/>
  <c r="AE891" i="4"/>
  <c r="AF891" i="4"/>
  <c r="AG891" i="4"/>
  <c r="AH891" i="4"/>
  <c r="Q892" i="4"/>
  <c r="AE892" i="4" s="1"/>
  <c r="R892" i="4"/>
  <c r="S892" i="4" s="1"/>
  <c r="T892" i="4"/>
  <c r="U892" i="4"/>
  <c r="V892" i="4"/>
  <c r="W892" i="4"/>
  <c r="X892" i="4"/>
  <c r="Y892" i="4"/>
  <c r="Z892" i="4"/>
  <c r="AA892" i="4"/>
  <c r="AB892" i="4"/>
  <c r="AC892" i="4"/>
  <c r="AD892" i="4"/>
  <c r="AF892" i="4"/>
  <c r="AG892" i="4"/>
  <c r="AH892" i="4"/>
  <c r="Q893" i="4"/>
  <c r="R893" i="4"/>
  <c r="X893" i="4" s="1"/>
  <c r="S893" i="4"/>
  <c r="T893" i="4"/>
  <c r="U893" i="4"/>
  <c r="V893" i="4"/>
  <c r="W893" i="4"/>
  <c r="Y893" i="4"/>
  <c r="Z893" i="4"/>
  <c r="AA893" i="4"/>
  <c r="AB893" i="4"/>
  <c r="AC893" i="4"/>
  <c r="AD893" i="4"/>
  <c r="AE893" i="4"/>
  <c r="AF893" i="4"/>
  <c r="AG893" i="4"/>
  <c r="AH893" i="4"/>
  <c r="Q894" i="4"/>
  <c r="AE894" i="4" s="1"/>
  <c r="R894" i="4"/>
  <c r="S894" i="4" s="1"/>
  <c r="T894" i="4"/>
  <c r="U894" i="4"/>
  <c r="V894" i="4"/>
  <c r="W894" i="4"/>
  <c r="X894" i="4"/>
  <c r="Y894" i="4"/>
  <c r="Z894" i="4"/>
  <c r="AA894" i="4"/>
  <c r="AB894" i="4"/>
  <c r="AC894" i="4"/>
  <c r="AD894" i="4"/>
  <c r="AF894" i="4"/>
  <c r="AG894" i="4"/>
  <c r="AH894" i="4"/>
  <c r="Q895" i="4"/>
  <c r="R895" i="4"/>
  <c r="X895" i="4" s="1"/>
  <c r="S895" i="4"/>
  <c r="T895" i="4"/>
  <c r="U895" i="4"/>
  <c r="V895" i="4"/>
  <c r="W895" i="4"/>
  <c r="Y895" i="4"/>
  <c r="Z895" i="4"/>
  <c r="AA895" i="4"/>
  <c r="AB895" i="4"/>
  <c r="AC895" i="4"/>
  <c r="AD895" i="4"/>
  <c r="AE895" i="4"/>
  <c r="AF895" i="4"/>
  <c r="AG895" i="4"/>
  <c r="AH895" i="4"/>
  <c r="Q896" i="4"/>
  <c r="AE896" i="4" s="1"/>
  <c r="R896" i="4"/>
  <c r="S896" i="4" s="1"/>
  <c r="T896" i="4"/>
  <c r="U896" i="4"/>
  <c r="V896" i="4"/>
  <c r="W896" i="4"/>
  <c r="X896" i="4"/>
  <c r="Y896" i="4"/>
  <c r="Z896" i="4"/>
  <c r="AA896" i="4"/>
  <c r="AB896" i="4"/>
  <c r="AC896" i="4"/>
  <c r="AD896" i="4"/>
  <c r="AF896" i="4"/>
  <c r="AG896" i="4"/>
  <c r="AH896" i="4"/>
  <c r="Q897" i="4"/>
  <c r="R897" i="4"/>
  <c r="X897" i="4" s="1"/>
  <c r="S897" i="4"/>
  <c r="T897" i="4"/>
  <c r="U897" i="4"/>
  <c r="V897" i="4"/>
  <c r="W897" i="4"/>
  <c r="Y897" i="4"/>
  <c r="Z897" i="4"/>
  <c r="AA897" i="4"/>
  <c r="AB897" i="4"/>
  <c r="AC897" i="4"/>
  <c r="AD897" i="4"/>
  <c r="AE897" i="4"/>
  <c r="AF897" i="4"/>
  <c r="AG897" i="4"/>
  <c r="AH897" i="4"/>
  <c r="Q898" i="4"/>
  <c r="AE898" i="4" s="1"/>
  <c r="R898" i="4"/>
  <c r="S898" i="4" s="1"/>
  <c r="T898" i="4"/>
  <c r="U898" i="4"/>
  <c r="V898" i="4"/>
  <c r="W898" i="4"/>
  <c r="X898" i="4"/>
  <c r="Y898" i="4"/>
  <c r="Z898" i="4"/>
  <c r="AA898" i="4"/>
  <c r="AB898" i="4"/>
  <c r="AC898" i="4"/>
  <c r="AD898" i="4"/>
  <c r="AF898" i="4"/>
  <c r="AG898" i="4"/>
  <c r="AH898" i="4"/>
  <c r="Q899" i="4"/>
  <c r="R899" i="4"/>
  <c r="X899" i="4" s="1"/>
  <c r="S899" i="4"/>
  <c r="T899" i="4"/>
  <c r="U899" i="4"/>
  <c r="V899" i="4"/>
  <c r="W899" i="4"/>
  <c r="Y899" i="4"/>
  <c r="Z899" i="4"/>
  <c r="AA899" i="4"/>
  <c r="AB899" i="4"/>
  <c r="AC899" i="4"/>
  <c r="AD899" i="4"/>
  <c r="AE899" i="4"/>
  <c r="AF899" i="4"/>
  <c r="AG899" i="4"/>
  <c r="AH899" i="4"/>
  <c r="Q900" i="4"/>
  <c r="AE900" i="4" s="1"/>
  <c r="R900" i="4"/>
  <c r="S900" i="4" s="1"/>
  <c r="T900" i="4"/>
  <c r="U900" i="4"/>
  <c r="V900" i="4"/>
  <c r="W900" i="4"/>
  <c r="X900" i="4"/>
  <c r="Y900" i="4"/>
  <c r="Z900" i="4"/>
  <c r="AA900" i="4"/>
  <c r="AB900" i="4"/>
  <c r="AC900" i="4"/>
  <c r="AD900" i="4"/>
  <c r="AF900" i="4"/>
  <c r="AG900" i="4"/>
  <c r="AH900" i="4"/>
  <c r="Q901" i="4"/>
  <c r="R901" i="4"/>
  <c r="X901" i="4" s="1"/>
  <c r="S901" i="4"/>
  <c r="T901" i="4"/>
  <c r="U901" i="4"/>
  <c r="V901" i="4"/>
  <c r="W901" i="4"/>
  <c r="Y901" i="4"/>
  <c r="Z901" i="4"/>
  <c r="AA901" i="4"/>
  <c r="AB901" i="4"/>
  <c r="AC901" i="4"/>
  <c r="AD901" i="4"/>
  <c r="AE901" i="4"/>
  <c r="AF901" i="4"/>
  <c r="AG901" i="4"/>
  <c r="AH901" i="4"/>
  <c r="Q902" i="4"/>
  <c r="AE902" i="4" s="1"/>
  <c r="R902" i="4"/>
  <c r="S902" i="4" s="1"/>
  <c r="T902" i="4"/>
  <c r="U902" i="4"/>
  <c r="V902" i="4"/>
  <c r="W902" i="4"/>
  <c r="X902" i="4"/>
  <c r="Y902" i="4"/>
  <c r="Z902" i="4"/>
  <c r="AA902" i="4"/>
  <c r="AB902" i="4"/>
  <c r="AC902" i="4"/>
  <c r="AD902" i="4"/>
  <c r="AF902" i="4"/>
  <c r="AG902" i="4"/>
  <c r="AH902" i="4"/>
  <c r="Q903" i="4"/>
  <c r="R903" i="4"/>
  <c r="X903" i="4" s="1"/>
  <c r="S903" i="4"/>
  <c r="T903" i="4"/>
  <c r="U903" i="4"/>
  <c r="V903" i="4"/>
  <c r="W903" i="4"/>
  <c r="Y903" i="4"/>
  <c r="Z903" i="4"/>
  <c r="AA903" i="4"/>
  <c r="AB903" i="4"/>
  <c r="AC903" i="4"/>
  <c r="AD903" i="4"/>
  <c r="AE903" i="4"/>
  <c r="AF903" i="4"/>
  <c r="AG903" i="4"/>
  <c r="AH903" i="4"/>
  <c r="Q904" i="4"/>
  <c r="AE904" i="4" s="1"/>
  <c r="R904" i="4"/>
  <c r="S904" i="4" s="1"/>
  <c r="T904" i="4"/>
  <c r="U904" i="4"/>
  <c r="V904" i="4"/>
  <c r="W904" i="4"/>
  <c r="X904" i="4"/>
  <c r="Y904" i="4"/>
  <c r="Z904" i="4"/>
  <c r="AA904" i="4"/>
  <c r="AB904" i="4"/>
  <c r="AC904" i="4"/>
  <c r="AD904" i="4"/>
  <c r="AF904" i="4"/>
  <c r="AG904" i="4"/>
  <c r="AH904" i="4"/>
  <c r="Q905" i="4"/>
  <c r="R905" i="4"/>
  <c r="X905" i="4" s="1"/>
  <c r="S905" i="4"/>
  <c r="T905" i="4"/>
  <c r="U905" i="4"/>
  <c r="V905" i="4"/>
  <c r="W905" i="4"/>
  <c r="Y905" i="4"/>
  <c r="Z905" i="4"/>
  <c r="AA905" i="4"/>
  <c r="AB905" i="4"/>
  <c r="AC905" i="4"/>
  <c r="AD905" i="4"/>
  <c r="AE905" i="4"/>
  <c r="AF905" i="4"/>
  <c r="AG905" i="4"/>
  <c r="AH905" i="4"/>
  <c r="Q906" i="4"/>
  <c r="AE906" i="4" s="1"/>
  <c r="R906" i="4"/>
  <c r="S906" i="4" s="1"/>
  <c r="T906" i="4"/>
  <c r="U906" i="4"/>
  <c r="V906" i="4"/>
  <c r="W906" i="4"/>
  <c r="X906" i="4"/>
  <c r="Y906" i="4"/>
  <c r="Z906" i="4"/>
  <c r="AA906" i="4"/>
  <c r="AB906" i="4"/>
  <c r="AC906" i="4"/>
  <c r="AD906" i="4"/>
  <c r="AF906" i="4"/>
  <c r="AG906" i="4"/>
  <c r="AH906" i="4"/>
  <c r="Q907" i="4"/>
  <c r="R907" i="4"/>
  <c r="X907" i="4" s="1"/>
  <c r="S907" i="4"/>
  <c r="T907" i="4"/>
  <c r="U907" i="4"/>
  <c r="V907" i="4"/>
  <c r="W907" i="4"/>
  <c r="Y907" i="4"/>
  <c r="Z907" i="4"/>
  <c r="AA907" i="4"/>
  <c r="AB907" i="4"/>
  <c r="AC907" i="4"/>
  <c r="AD907" i="4"/>
  <c r="AE907" i="4"/>
  <c r="AF907" i="4"/>
  <c r="AG907" i="4"/>
  <c r="AH907" i="4"/>
  <c r="Q908" i="4"/>
  <c r="AE908" i="4" s="1"/>
  <c r="R908" i="4"/>
  <c r="S908" i="4" s="1"/>
  <c r="T908" i="4"/>
  <c r="U908" i="4"/>
  <c r="V908" i="4"/>
  <c r="W908" i="4"/>
  <c r="X908" i="4"/>
  <c r="Y908" i="4"/>
  <c r="Z908" i="4"/>
  <c r="AA908" i="4"/>
  <c r="AB908" i="4"/>
  <c r="AC908" i="4"/>
  <c r="AD908" i="4"/>
  <c r="AF908" i="4"/>
  <c r="AG908" i="4"/>
  <c r="AH908" i="4"/>
  <c r="Q909" i="4"/>
  <c r="R909" i="4"/>
  <c r="X909" i="4" s="1"/>
  <c r="S909" i="4"/>
  <c r="T909" i="4"/>
  <c r="U909" i="4"/>
  <c r="V909" i="4"/>
  <c r="W909" i="4"/>
  <c r="Y909" i="4"/>
  <c r="Z909" i="4"/>
  <c r="AA909" i="4"/>
  <c r="AB909" i="4"/>
  <c r="AC909" i="4"/>
  <c r="AD909" i="4"/>
  <c r="AE909" i="4"/>
  <c r="AF909" i="4"/>
  <c r="AG909" i="4"/>
  <c r="AH909" i="4"/>
  <c r="Q910" i="4"/>
  <c r="AE910" i="4" s="1"/>
  <c r="R910" i="4"/>
  <c r="S910" i="4" s="1"/>
  <c r="T910" i="4"/>
  <c r="U910" i="4"/>
  <c r="V910" i="4"/>
  <c r="W910" i="4"/>
  <c r="X910" i="4"/>
  <c r="Y910" i="4"/>
  <c r="Z910" i="4"/>
  <c r="AA910" i="4"/>
  <c r="AB910" i="4"/>
  <c r="AC910" i="4"/>
  <c r="AD910" i="4"/>
  <c r="AF910" i="4"/>
  <c r="AG910" i="4"/>
  <c r="AH910" i="4"/>
  <c r="Q911" i="4"/>
  <c r="R911" i="4"/>
  <c r="X911" i="4" s="1"/>
  <c r="S911" i="4"/>
  <c r="T911" i="4"/>
  <c r="U911" i="4"/>
  <c r="V911" i="4"/>
  <c r="W911" i="4"/>
  <c r="Y911" i="4"/>
  <c r="Z911" i="4"/>
  <c r="AA911" i="4"/>
  <c r="AB911" i="4"/>
  <c r="AC911" i="4"/>
  <c r="AD911" i="4"/>
  <c r="AE911" i="4"/>
  <c r="AF911" i="4"/>
  <c r="AG911" i="4"/>
  <c r="AH911" i="4"/>
  <c r="Q912" i="4"/>
  <c r="AE912" i="4" s="1"/>
  <c r="R912" i="4"/>
  <c r="S912" i="4" s="1"/>
  <c r="T912" i="4"/>
  <c r="U912" i="4"/>
  <c r="V912" i="4"/>
  <c r="W912" i="4"/>
  <c r="X912" i="4"/>
  <c r="Y912" i="4"/>
  <c r="Z912" i="4"/>
  <c r="AA912" i="4"/>
  <c r="AB912" i="4"/>
  <c r="AC912" i="4"/>
  <c r="AD912" i="4"/>
  <c r="AF912" i="4"/>
  <c r="AG912" i="4"/>
  <c r="AH912" i="4"/>
  <c r="Q913" i="4"/>
  <c r="R913" i="4"/>
  <c r="X913" i="4" s="1"/>
  <c r="S913" i="4"/>
  <c r="T913" i="4"/>
  <c r="U913" i="4"/>
  <c r="V913" i="4"/>
  <c r="W913" i="4"/>
  <c r="Y913" i="4"/>
  <c r="Z913" i="4"/>
  <c r="AA913" i="4"/>
  <c r="AB913" i="4"/>
  <c r="AC913" i="4"/>
  <c r="AD913" i="4"/>
  <c r="AE913" i="4"/>
  <c r="AF913" i="4"/>
  <c r="AG913" i="4"/>
  <c r="AH913" i="4"/>
  <c r="Q914" i="4"/>
  <c r="AE914" i="4" s="1"/>
  <c r="R914" i="4"/>
  <c r="S914" i="4" s="1"/>
  <c r="T914" i="4"/>
  <c r="U914" i="4"/>
  <c r="V914" i="4"/>
  <c r="W914" i="4"/>
  <c r="X914" i="4"/>
  <c r="Y914" i="4"/>
  <c r="Z914" i="4"/>
  <c r="AA914" i="4"/>
  <c r="AB914" i="4"/>
  <c r="AC914" i="4"/>
  <c r="AD914" i="4"/>
  <c r="AF914" i="4"/>
  <c r="AG914" i="4"/>
  <c r="AH914" i="4"/>
  <c r="Q915" i="4"/>
  <c r="R915" i="4"/>
  <c r="X915" i="4" s="1"/>
  <c r="S915" i="4"/>
  <c r="T915" i="4"/>
  <c r="U915" i="4"/>
  <c r="V915" i="4"/>
  <c r="W915" i="4"/>
  <c r="Y915" i="4"/>
  <c r="Z915" i="4"/>
  <c r="AA915" i="4"/>
  <c r="AB915" i="4"/>
  <c r="AC915" i="4"/>
  <c r="AD915" i="4"/>
  <c r="AE915" i="4"/>
  <c r="AF915" i="4"/>
  <c r="AG915" i="4"/>
  <c r="AH915" i="4"/>
  <c r="Q916" i="4"/>
  <c r="AE916" i="4" s="1"/>
  <c r="R916" i="4"/>
  <c r="S916" i="4" s="1"/>
  <c r="T916" i="4"/>
  <c r="U916" i="4"/>
  <c r="V916" i="4"/>
  <c r="W916" i="4"/>
  <c r="X916" i="4"/>
  <c r="Y916" i="4"/>
  <c r="Z916" i="4"/>
  <c r="AA916" i="4"/>
  <c r="AB916" i="4"/>
  <c r="AC916" i="4"/>
  <c r="AD916" i="4"/>
  <c r="AF916" i="4"/>
  <c r="AG916" i="4"/>
  <c r="AH916" i="4"/>
  <c r="Q917" i="4"/>
  <c r="R917" i="4"/>
  <c r="X917" i="4" s="1"/>
  <c r="S917" i="4"/>
  <c r="T917" i="4"/>
  <c r="U917" i="4"/>
  <c r="V917" i="4"/>
  <c r="W917" i="4"/>
  <c r="Y917" i="4"/>
  <c r="Z917" i="4"/>
  <c r="AA917" i="4"/>
  <c r="AB917" i="4"/>
  <c r="AC917" i="4"/>
  <c r="AD917" i="4"/>
  <c r="AE917" i="4"/>
  <c r="AF917" i="4"/>
  <c r="AG917" i="4"/>
  <c r="AH917" i="4"/>
  <c r="Q918" i="4"/>
  <c r="AE918" i="4" s="1"/>
  <c r="R918" i="4"/>
  <c r="S918" i="4" s="1"/>
  <c r="T918" i="4"/>
  <c r="U918" i="4"/>
  <c r="V918" i="4"/>
  <c r="W918" i="4"/>
  <c r="X918" i="4"/>
  <c r="Y918" i="4"/>
  <c r="Z918" i="4"/>
  <c r="AA918" i="4"/>
  <c r="AB918" i="4"/>
  <c r="AC918" i="4"/>
  <c r="AD918" i="4"/>
  <c r="AF918" i="4"/>
  <c r="AG918" i="4"/>
  <c r="AH918" i="4"/>
  <c r="Q919" i="4"/>
  <c r="R919" i="4"/>
  <c r="X919" i="4" s="1"/>
  <c r="S919" i="4"/>
  <c r="T919" i="4"/>
  <c r="U919" i="4"/>
  <c r="V919" i="4"/>
  <c r="W919" i="4"/>
  <c r="Y919" i="4"/>
  <c r="Z919" i="4"/>
  <c r="AA919" i="4"/>
  <c r="AB919" i="4"/>
  <c r="AC919" i="4"/>
  <c r="AD919" i="4"/>
  <c r="AE919" i="4"/>
  <c r="AF919" i="4"/>
  <c r="AG919" i="4"/>
  <c r="AH919" i="4"/>
  <c r="Q920" i="4"/>
  <c r="AE920" i="4" s="1"/>
  <c r="R920" i="4"/>
  <c r="S920" i="4" s="1"/>
  <c r="T920" i="4"/>
  <c r="U920" i="4"/>
  <c r="V920" i="4"/>
  <c r="W920" i="4"/>
  <c r="X920" i="4"/>
  <c r="Y920" i="4"/>
  <c r="Z920" i="4"/>
  <c r="AA920" i="4"/>
  <c r="AB920" i="4"/>
  <c r="AC920" i="4"/>
  <c r="AD920" i="4"/>
  <c r="AF920" i="4"/>
  <c r="AG920" i="4"/>
  <c r="AH920" i="4"/>
  <c r="Q921" i="4"/>
  <c r="R921" i="4"/>
  <c r="X921" i="4" s="1"/>
  <c r="S921" i="4"/>
  <c r="T921" i="4"/>
  <c r="U921" i="4"/>
  <c r="V921" i="4"/>
  <c r="W921" i="4"/>
  <c r="Y921" i="4"/>
  <c r="Z921" i="4"/>
  <c r="AA921" i="4"/>
  <c r="AB921" i="4"/>
  <c r="AC921" i="4"/>
  <c r="AD921" i="4"/>
  <c r="AE921" i="4"/>
  <c r="AF921" i="4"/>
  <c r="AG921" i="4"/>
  <c r="AH921" i="4"/>
  <c r="Q922" i="4"/>
  <c r="AE922" i="4" s="1"/>
  <c r="R922" i="4"/>
  <c r="S922" i="4" s="1"/>
  <c r="T922" i="4"/>
  <c r="U922" i="4"/>
  <c r="V922" i="4"/>
  <c r="W922" i="4"/>
  <c r="X922" i="4"/>
  <c r="Y922" i="4"/>
  <c r="Z922" i="4"/>
  <c r="AA922" i="4"/>
  <c r="AB922" i="4"/>
  <c r="AC922" i="4"/>
  <c r="AD922" i="4"/>
  <c r="AF922" i="4"/>
  <c r="AG922" i="4"/>
  <c r="AH922" i="4"/>
  <c r="Q923" i="4"/>
  <c r="R923" i="4"/>
  <c r="X923" i="4" s="1"/>
  <c r="S923" i="4"/>
  <c r="T923" i="4"/>
  <c r="U923" i="4"/>
  <c r="V923" i="4"/>
  <c r="W923" i="4"/>
  <c r="Y923" i="4"/>
  <c r="Z923" i="4"/>
  <c r="AA923" i="4"/>
  <c r="AB923" i="4"/>
  <c r="AC923" i="4"/>
  <c r="AD923" i="4"/>
  <c r="AE923" i="4"/>
  <c r="AF923" i="4"/>
  <c r="AG923" i="4"/>
  <c r="AH923" i="4"/>
  <c r="Q924" i="4"/>
  <c r="AE924" i="4" s="1"/>
  <c r="R924" i="4"/>
  <c r="S924" i="4" s="1"/>
  <c r="T924" i="4"/>
  <c r="U924" i="4"/>
  <c r="V924" i="4"/>
  <c r="W924" i="4"/>
  <c r="X924" i="4"/>
  <c r="Y924" i="4"/>
  <c r="Z924" i="4"/>
  <c r="AA924" i="4"/>
  <c r="AB924" i="4"/>
  <c r="AC924" i="4"/>
  <c r="AD924" i="4"/>
  <c r="AF924" i="4"/>
  <c r="AG924" i="4"/>
  <c r="AH924" i="4"/>
  <c r="Q925" i="4"/>
  <c r="R925" i="4"/>
  <c r="X925" i="4" s="1"/>
  <c r="S925" i="4"/>
  <c r="T925" i="4"/>
  <c r="U925" i="4"/>
  <c r="V925" i="4"/>
  <c r="W925" i="4"/>
  <c r="Y925" i="4"/>
  <c r="Z925" i="4"/>
  <c r="AA925" i="4"/>
  <c r="AB925" i="4"/>
  <c r="AC925" i="4"/>
  <c r="AD925" i="4"/>
  <c r="AE925" i="4"/>
  <c r="AF925" i="4"/>
  <c r="AG925" i="4"/>
  <c r="AH925" i="4"/>
  <c r="Q926" i="4"/>
  <c r="AE926" i="4" s="1"/>
  <c r="R926" i="4"/>
  <c r="S926" i="4" s="1"/>
  <c r="T926" i="4"/>
  <c r="U926" i="4"/>
  <c r="V926" i="4"/>
  <c r="W926" i="4"/>
  <c r="X926" i="4"/>
  <c r="Y926" i="4"/>
  <c r="Z926" i="4"/>
  <c r="AA926" i="4"/>
  <c r="AB926" i="4"/>
  <c r="AC926" i="4"/>
  <c r="AD926" i="4"/>
  <c r="AF926" i="4"/>
  <c r="AG926" i="4"/>
  <c r="AH926" i="4"/>
  <c r="Q927" i="4"/>
  <c r="R927" i="4"/>
  <c r="X927" i="4" s="1"/>
  <c r="S927" i="4"/>
  <c r="T927" i="4"/>
  <c r="U927" i="4"/>
  <c r="V927" i="4"/>
  <c r="W927" i="4"/>
  <c r="Y927" i="4"/>
  <c r="Z927" i="4"/>
  <c r="AA927" i="4"/>
  <c r="AB927" i="4"/>
  <c r="AC927" i="4"/>
  <c r="AD927" i="4"/>
  <c r="AE927" i="4"/>
  <c r="AF927" i="4"/>
  <c r="AG927" i="4"/>
  <c r="AH927" i="4"/>
  <c r="Q928" i="4"/>
  <c r="AE928" i="4" s="1"/>
  <c r="R928" i="4"/>
  <c r="S928" i="4" s="1"/>
  <c r="T928" i="4"/>
  <c r="U928" i="4"/>
  <c r="V928" i="4"/>
  <c r="W928" i="4"/>
  <c r="X928" i="4"/>
  <c r="Y928" i="4"/>
  <c r="Z928" i="4"/>
  <c r="AA928" i="4"/>
  <c r="AB928" i="4"/>
  <c r="AC928" i="4"/>
  <c r="AD928" i="4"/>
  <c r="AF928" i="4"/>
  <c r="AG928" i="4"/>
  <c r="AH928" i="4"/>
  <c r="Q929" i="4"/>
  <c r="R929" i="4"/>
  <c r="X929" i="4" s="1"/>
  <c r="S929" i="4"/>
  <c r="T929" i="4"/>
  <c r="U929" i="4"/>
  <c r="V929" i="4"/>
  <c r="W929" i="4"/>
  <c r="Y929" i="4"/>
  <c r="Z929" i="4"/>
  <c r="AA929" i="4"/>
  <c r="AB929" i="4"/>
  <c r="AC929" i="4"/>
  <c r="AD929" i="4"/>
  <c r="AE929" i="4"/>
  <c r="AF929" i="4"/>
  <c r="AG929" i="4"/>
  <c r="AH929" i="4"/>
  <c r="Q930" i="4"/>
  <c r="AE930" i="4" s="1"/>
  <c r="R930" i="4"/>
  <c r="S930" i="4" s="1"/>
  <c r="T930" i="4"/>
  <c r="U930" i="4"/>
  <c r="V930" i="4"/>
  <c r="W930" i="4"/>
  <c r="X930" i="4"/>
  <c r="Y930" i="4"/>
  <c r="Z930" i="4"/>
  <c r="AA930" i="4"/>
  <c r="AB930" i="4"/>
  <c r="AC930" i="4"/>
  <c r="AD930" i="4"/>
  <c r="AF930" i="4"/>
  <c r="AG930" i="4"/>
  <c r="AH930" i="4"/>
  <c r="Q931" i="4"/>
  <c r="R931" i="4"/>
  <c r="X931" i="4" s="1"/>
  <c r="S931" i="4"/>
  <c r="T931" i="4"/>
  <c r="U931" i="4"/>
  <c r="V931" i="4"/>
  <c r="W931" i="4"/>
  <c r="Y931" i="4"/>
  <c r="Z931" i="4"/>
  <c r="AA931" i="4"/>
  <c r="AB931" i="4"/>
  <c r="AC931" i="4"/>
  <c r="AD931" i="4"/>
  <c r="AE931" i="4"/>
  <c r="AF931" i="4"/>
  <c r="AG931" i="4"/>
  <c r="AH931" i="4"/>
  <c r="Q932" i="4"/>
  <c r="AE932" i="4" s="1"/>
  <c r="R932" i="4"/>
  <c r="S932" i="4" s="1"/>
  <c r="T932" i="4"/>
  <c r="U932" i="4"/>
  <c r="V932" i="4"/>
  <c r="W932" i="4"/>
  <c r="X932" i="4"/>
  <c r="Y932" i="4"/>
  <c r="Z932" i="4"/>
  <c r="AA932" i="4"/>
  <c r="AB932" i="4"/>
  <c r="AC932" i="4"/>
  <c r="AD932" i="4"/>
  <c r="AF932" i="4"/>
  <c r="AG932" i="4"/>
  <c r="AH932" i="4"/>
  <c r="Q933" i="4"/>
  <c r="R933" i="4"/>
  <c r="X933" i="4" s="1"/>
  <c r="S933" i="4"/>
  <c r="T933" i="4"/>
  <c r="U933" i="4"/>
  <c r="V933" i="4"/>
  <c r="W933" i="4"/>
  <c r="Y933" i="4"/>
  <c r="Z933" i="4"/>
  <c r="AA933" i="4"/>
  <c r="AB933" i="4"/>
  <c r="AC933" i="4"/>
  <c r="AD933" i="4"/>
  <c r="AE933" i="4"/>
  <c r="AF933" i="4"/>
  <c r="AG933" i="4"/>
  <c r="AH933" i="4"/>
  <c r="Q934" i="4"/>
  <c r="AE934" i="4" s="1"/>
  <c r="R934" i="4"/>
  <c r="S934" i="4" s="1"/>
  <c r="T934" i="4"/>
  <c r="U934" i="4"/>
  <c r="V934" i="4"/>
  <c r="W934" i="4"/>
  <c r="X934" i="4"/>
  <c r="Y934" i="4"/>
  <c r="Z934" i="4"/>
  <c r="AA934" i="4"/>
  <c r="AB934" i="4"/>
  <c r="AC934" i="4"/>
  <c r="AD934" i="4"/>
  <c r="AF934" i="4"/>
  <c r="AG934" i="4"/>
  <c r="AH934" i="4"/>
  <c r="Q935" i="4"/>
  <c r="R935" i="4"/>
  <c r="X935" i="4" s="1"/>
  <c r="S935" i="4"/>
  <c r="T935" i="4"/>
  <c r="U935" i="4"/>
  <c r="V935" i="4"/>
  <c r="W935" i="4"/>
  <c r="Y935" i="4"/>
  <c r="Z935" i="4"/>
  <c r="AA935" i="4"/>
  <c r="AB935" i="4"/>
  <c r="AC935" i="4"/>
  <c r="AD935" i="4"/>
  <c r="AE935" i="4"/>
  <c r="AF935" i="4"/>
  <c r="AG935" i="4"/>
  <c r="AH935" i="4"/>
  <c r="Q936" i="4"/>
  <c r="AE936" i="4" s="1"/>
  <c r="R936" i="4"/>
  <c r="S936" i="4" s="1"/>
  <c r="T936" i="4"/>
  <c r="U936" i="4"/>
  <c r="V936" i="4"/>
  <c r="W936" i="4"/>
  <c r="X936" i="4"/>
  <c r="Y936" i="4"/>
  <c r="Z936" i="4"/>
  <c r="AA936" i="4"/>
  <c r="AB936" i="4"/>
  <c r="AC936" i="4"/>
  <c r="AD936" i="4"/>
  <c r="AF936" i="4"/>
  <c r="AG936" i="4"/>
  <c r="AH936" i="4"/>
  <c r="Q937" i="4"/>
  <c r="R937" i="4"/>
  <c r="X937" i="4" s="1"/>
  <c r="S937" i="4"/>
  <c r="T937" i="4"/>
  <c r="U937" i="4"/>
  <c r="V937" i="4"/>
  <c r="W937" i="4"/>
  <c r="Y937" i="4"/>
  <c r="Z937" i="4"/>
  <c r="AA937" i="4"/>
  <c r="AB937" i="4"/>
  <c r="AC937" i="4"/>
  <c r="AD937" i="4"/>
  <c r="AE937" i="4"/>
  <c r="AF937" i="4"/>
  <c r="AG937" i="4"/>
  <c r="AH937" i="4"/>
  <c r="Q938" i="4"/>
  <c r="AE938" i="4" s="1"/>
  <c r="R938" i="4"/>
  <c r="S938" i="4" s="1"/>
  <c r="T938" i="4"/>
  <c r="U938" i="4"/>
  <c r="V938" i="4"/>
  <c r="W938" i="4"/>
  <c r="X938" i="4"/>
  <c r="Y938" i="4"/>
  <c r="Z938" i="4"/>
  <c r="AA938" i="4"/>
  <c r="AB938" i="4"/>
  <c r="AC938" i="4"/>
  <c r="AD938" i="4"/>
  <c r="AF938" i="4"/>
  <c r="AG938" i="4"/>
  <c r="AH938" i="4"/>
  <c r="Q939" i="4"/>
  <c r="R939" i="4"/>
  <c r="X939" i="4" s="1"/>
  <c r="S939" i="4"/>
  <c r="T939" i="4"/>
  <c r="U939" i="4"/>
  <c r="V939" i="4"/>
  <c r="W939" i="4"/>
  <c r="Y939" i="4"/>
  <c r="Z939" i="4"/>
  <c r="AA939" i="4"/>
  <c r="AB939" i="4"/>
  <c r="AC939" i="4"/>
  <c r="AD939" i="4"/>
  <c r="AE939" i="4"/>
  <c r="AF939" i="4"/>
  <c r="AG939" i="4"/>
  <c r="AH939" i="4"/>
  <c r="Q940" i="4"/>
  <c r="AE940" i="4" s="1"/>
  <c r="R940" i="4"/>
  <c r="S940" i="4" s="1"/>
  <c r="T940" i="4"/>
  <c r="U940" i="4"/>
  <c r="V940" i="4"/>
  <c r="W940" i="4"/>
  <c r="X940" i="4"/>
  <c r="Y940" i="4"/>
  <c r="Z940" i="4"/>
  <c r="AA940" i="4"/>
  <c r="AB940" i="4"/>
  <c r="AC940" i="4"/>
  <c r="AD940" i="4"/>
  <c r="AF940" i="4"/>
  <c r="AG940" i="4"/>
  <c r="AH940" i="4"/>
  <c r="Q941" i="4"/>
  <c r="R941" i="4"/>
  <c r="X941" i="4" s="1"/>
  <c r="S941" i="4"/>
  <c r="T941" i="4"/>
  <c r="U941" i="4"/>
  <c r="V941" i="4"/>
  <c r="W941" i="4"/>
  <c r="Y941" i="4"/>
  <c r="Z941" i="4"/>
  <c r="AA941" i="4"/>
  <c r="AB941" i="4"/>
  <c r="AC941" i="4"/>
  <c r="AD941" i="4"/>
  <c r="AE941" i="4"/>
  <c r="AF941" i="4"/>
  <c r="AG941" i="4"/>
  <c r="AH941" i="4"/>
  <c r="Q942" i="4"/>
  <c r="AE942" i="4" s="1"/>
  <c r="R942" i="4"/>
  <c r="S942" i="4" s="1"/>
  <c r="T942" i="4"/>
  <c r="U942" i="4"/>
  <c r="V942" i="4"/>
  <c r="W942" i="4"/>
  <c r="X942" i="4"/>
  <c r="Y942" i="4"/>
  <c r="Z942" i="4"/>
  <c r="AA942" i="4"/>
  <c r="AB942" i="4"/>
  <c r="AC942" i="4"/>
  <c r="AD942" i="4"/>
  <c r="AF942" i="4"/>
  <c r="AG942" i="4"/>
  <c r="AH942" i="4"/>
  <c r="Q943" i="4"/>
  <c r="R943" i="4"/>
  <c r="X943" i="4" s="1"/>
  <c r="S943" i="4"/>
  <c r="T943" i="4"/>
  <c r="U943" i="4"/>
  <c r="V943" i="4"/>
  <c r="W943" i="4"/>
  <c r="Y943" i="4"/>
  <c r="Z943" i="4"/>
  <c r="AA943" i="4"/>
  <c r="AB943" i="4"/>
  <c r="AC943" i="4"/>
  <c r="AD943" i="4"/>
  <c r="AE943" i="4"/>
  <c r="AF943" i="4"/>
  <c r="AG943" i="4"/>
  <c r="AH943" i="4"/>
  <c r="Q944" i="4"/>
  <c r="AE944" i="4" s="1"/>
  <c r="R944" i="4"/>
  <c r="S944" i="4" s="1"/>
  <c r="T944" i="4"/>
  <c r="U944" i="4"/>
  <c r="V944" i="4"/>
  <c r="W944" i="4"/>
  <c r="X944" i="4"/>
  <c r="Y944" i="4"/>
  <c r="Z944" i="4"/>
  <c r="AA944" i="4"/>
  <c r="AB944" i="4"/>
  <c r="AC944" i="4"/>
  <c r="AD944" i="4"/>
  <c r="AF944" i="4"/>
  <c r="AG944" i="4"/>
  <c r="AH944" i="4"/>
  <c r="Q945" i="4"/>
  <c r="R945" i="4"/>
  <c r="X945" i="4" s="1"/>
  <c r="S945" i="4"/>
  <c r="T945" i="4"/>
  <c r="U945" i="4"/>
  <c r="V945" i="4"/>
  <c r="W945" i="4"/>
  <c r="Y945" i="4"/>
  <c r="Z945" i="4"/>
  <c r="AA945" i="4"/>
  <c r="AB945" i="4"/>
  <c r="AC945" i="4"/>
  <c r="AD945" i="4"/>
  <c r="AE945" i="4"/>
  <c r="AF945" i="4"/>
  <c r="AG945" i="4"/>
  <c r="AH945" i="4"/>
  <c r="Q946" i="4"/>
  <c r="AE946" i="4" s="1"/>
  <c r="R946" i="4"/>
  <c r="S946" i="4" s="1"/>
  <c r="T946" i="4"/>
  <c r="U946" i="4"/>
  <c r="V946" i="4"/>
  <c r="W946" i="4"/>
  <c r="X946" i="4"/>
  <c r="Y946" i="4"/>
  <c r="Z946" i="4"/>
  <c r="AA946" i="4"/>
  <c r="AB946" i="4"/>
  <c r="AC946" i="4"/>
  <c r="AD946" i="4"/>
  <c r="AF946" i="4"/>
  <c r="AG946" i="4"/>
  <c r="AH946" i="4"/>
  <c r="Q947" i="4"/>
  <c r="R947" i="4"/>
  <c r="X947" i="4" s="1"/>
  <c r="S947" i="4"/>
  <c r="T947" i="4"/>
  <c r="U947" i="4"/>
  <c r="V947" i="4"/>
  <c r="W947" i="4"/>
  <c r="Y947" i="4"/>
  <c r="Z947" i="4"/>
  <c r="AA947" i="4"/>
  <c r="AB947" i="4"/>
  <c r="AC947" i="4"/>
  <c r="AD947" i="4"/>
  <c r="AE947" i="4"/>
  <c r="AF947" i="4"/>
  <c r="AG947" i="4"/>
  <c r="AH947" i="4"/>
  <c r="Q948" i="4"/>
  <c r="AE948" i="4" s="1"/>
  <c r="R948" i="4"/>
  <c r="S948" i="4" s="1"/>
  <c r="T948" i="4"/>
  <c r="U948" i="4"/>
  <c r="V948" i="4"/>
  <c r="W948" i="4"/>
  <c r="X948" i="4"/>
  <c r="Y948" i="4"/>
  <c r="Z948" i="4"/>
  <c r="AA948" i="4"/>
  <c r="AB948" i="4"/>
  <c r="AC948" i="4"/>
  <c r="AD948" i="4"/>
  <c r="AF948" i="4"/>
  <c r="AG948" i="4"/>
  <c r="AH948" i="4"/>
  <c r="Q949" i="4"/>
  <c r="R949" i="4"/>
  <c r="X949" i="4" s="1"/>
  <c r="S949" i="4"/>
  <c r="T949" i="4"/>
  <c r="U949" i="4"/>
  <c r="V949" i="4"/>
  <c r="W949" i="4"/>
  <c r="Y949" i="4"/>
  <c r="Z949" i="4"/>
  <c r="AA949" i="4"/>
  <c r="AB949" i="4"/>
  <c r="AC949" i="4"/>
  <c r="AD949" i="4"/>
  <c r="AE949" i="4"/>
  <c r="AF949" i="4"/>
  <c r="AG949" i="4"/>
  <c r="AH949" i="4"/>
  <c r="Q950" i="4"/>
  <c r="AE950" i="4" s="1"/>
  <c r="R950" i="4"/>
  <c r="S950" i="4" s="1"/>
  <c r="T950" i="4"/>
  <c r="U950" i="4"/>
  <c r="V950" i="4"/>
  <c r="W950" i="4"/>
  <c r="X950" i="4"/>
  <c r="Y950" i="4"/>
  <c r="Z950" i="4"/>
  <c r="AA950" i="4"/>
  <c r="AB950" i="4"/>
  <c r="AC950" i="4"/>
  <c r="AD950" i="4"/>
  <c r="AF950" i="4"/>
  <c r="AG950" i="4"/>
  <c r="AH950" i="4"/>
  <c r="Q951" i="4"/>
  <c r="R951" i="4"/>
  <c r="X951" i="4" s="1"/>
  <c r="S951" i="4"/>
  <c r="T951" i="4"/>
  <c r="U951" i="4"/>
  <c r="V951" i="4"/>
  <c r="W951" i="4"/>
  <c r="Y951" i="4"/>
  <c r="Z951" i="4"/>
  <c r="AA951" i="4"/>
  <c r="AB951" i="4"/>
  <c r="AC951" i="4"/>
  <c r="AD951" i="4"/>
  <c r="AE951" i="4"/>
  <c r="AF951" i="4"/>
  <c r="AG951" i="4"/>
  <c r="AH951" i="4"/>
  <c r="Q952" i="4"/>
  <c r="AE952" i="4" s="1"/>
  <c r="R952" i="4"/>
  <c r="S952" i="4" s="1"/>
  <c r="T952" i="4"/>
  <c r="U952" i="4"/>
  <c r="V952" i="4"/>
  <c r="W952" i="4"/>
  <c r="X952" i="4"/>
  <c r="Y952" i="4"/>
  <c r="Z952" i="4"/>
  <c r="AA952" i="4"/>
  <c r="AB952" i="4"/>
  <c r="AC952" i="4"/>
  <c r="AD952" i="4"/>
  <c r="AF952" i="4"/>
  <c r="AG952" i="4"/>
  <c r="AH952" i="4"/>
  <c r="Q953" i="4"/>
  <c r="R953" i="4"/>
  <c r="X953" i="4" s="1"/>
  <c r="S953" i="4"/>
  <c r="T953" i="4"/>
  <c r="U953" i="4"/>
  <c r="V953" i="4"/>
  <c r="W953" i="4"/>
  <c r="Y953" i="4"/>
  <c r="Z953" i="4"/>
  <c r="AA953" i="4"/>
  <c r="AB953" i="4"/>
  <c r="AC953" i="4"/>
  <c r="AD953" i="4"/>
  <c r="AE953" i="4"/>
  <c r="AF953" i="4"/>
  <c r="AG953" i="4"/>
  <c r="AH953" i="4"/>
  <c r="Q954" i="4"/>
  <c r="AE954" i="4" s="1"/>
  <c r="R954" i="4"/>
  <c r="S954" i="4" s="1"/>
  <c r="T954" i="4"/>
  <c r="U954" i="4"/>
  <c r="V954" i="4"/>
  <c r="W954" i="4"/>
  <c r="X954" i="4"/>
  <c r="Y954" i="4"/>
  <c r="Z954" i="4"/>
  <c r="AA954" i="4"/>
  <c r="AB954" i="4"/>
  <c r="AC954" i="4"/>
  <c r="AD954" i="4"/>
  <c r="AF954" i="4"/>
  <c r="AG954" i="4"/>
  <c r="AH954" i="4"/>
  <c r="Q955" i="4"/>
  <c r="R955" i="4"/>
  <c r="X955" i="4" s="1"/>
  <c r="S955" i="4"/>
  <c r="T955" i="4"/>
  <c r="U955" i="4"/>
  <c r="V955" i="4"/>
  <c r="W955" i="4"/>
  <c r="Y955" i="4"/>
  <c r="Z955" i="4"/>
  <c r="AA955" i="4"/>
  <c r="AB955" i="4"/>
  <c r="AC955" i="4"/>
  <c r="AD955" i="4"/>
  <c r="AE955" i="4"/>
  <c r="AF955" i="4"/>
  <c r="AG955" i="4"/>
  <c r="AH955" i="4"/>
  <c r="Q956" i="4"/>
  <c r="AE956" i="4" s="1"/>
  <c r="R956" i="4"/>
  <c r="S956" i="4" s="1"/>
  <c r="T956" i="4"/>
  <c r="U956" i="4"/>
  <c r="V956" i="4"/>
  <c r="W956" i="4"/>
  <c r="X956" i="4"/>
  <c r="Y956" i="4"/>
  <c r="Z956" i="4"/>
  <c r="AA956" i="4"/>
  <c r="AB956" i="4"/>
  <c r="AC956" i="4"/>
  <c r="AD956" i="4"/>
  <c r="AF956" i="4"/>
  <c r="AG956" i="4"/>
  <c r="AH956" i="4"/>
  <c r="Q957" i="4"/>
  <c r="R957" i="4"/>
  <c r="X957" i="4" s="1"/>
  <c r="S957" i="4"/>
  <c r="T957" i="4"/>
  <c r="U957" i="4"/>
  <c r="V957" i="4"/>
  <c r="W957" i="4"/>
  <c r="Y957" i="4"/>
  <c r="Z957" i="4"/>
  <c r="AA957" i="4"/>
  <c r="AB957" i="4"/>
  <c r="AC957" i="4"/>
  <c r="AD957" i="4"/>
  <c r="AE957" i="4"/>
  <c r="AF957" i="4"/>
  <c r="AG957" i="4"/>
  <c r="AH957" i="4"/>
  <c r="Q958" i="4"/>
  <c r="AE958" i="4" s="1"/>
  <c r="R958" i="4"/>
  <c r="S958" i="4" s="1"/>
  <c r="T958" i="4"/>
  <c r="U958" i="4"/>
  <c r="V958" i="4"/>
  <c r="W958" i="4"/>
  <c r="X958" i="4"/>
  <c r="Y958" i="4"/>
  <c r="Z958" i="4"/>
  <c r="AA958" i="4"/>
  <c r="AB958" i="4"/>
  <c r="AC958" i="4"/>
  <c r="AD958" i="4"/>
  <c r="AF958" i="4"/>
  <c r="AG958" i="4"/>
  <c r="AH958" i="4"/>
  <c r="Q959" i="4"/>
  <c r="R959" i="4"/>
  <c r="X959" i="4" s="1"/>
  <c r="S959" i="4"/>
  <c r="T959" i="4"/>
  <c r="U959" i="4"/>
  <c r="V959" i="4"/>
  <c r="W959" i="4"/>
  <c r="Y959" i="4"/>
  <c r="Z959" i="4"/>
  <c r="AA959" i="4"/>
  <c r="AB959" i="4"/>
  <c r="AC959" i="4"/>
  <c r="AD959" i="4"/>
  <c r="AE959" i="4"/>
  <c r="AF959" i="4"/>
  <c r="AG959" i="4"/>
  <c r="AH959" i="4"/>
  <c r="Q960" i="4"/>
  <c r="AE960" i="4" s="1"/>
  <c r="R960" i="4"/>
  <c r="S960" i="4" s="1"/>
  <c r="T960" i="4"/>
  <c r="U960" i="4"/>
  <c r="V960" i="4"/>
  <c r="W960" i="4"/>
  <c r="X960" i="4"/>
  <c r="Y960" i="4"/>
  <c r="Z960" i="4"/>
  <c r="AA960" i="4"/>
  <c r="AB960" i="4"/>
  <c r="AC960" i="4"/>
  <c r="AD960" i="4"/>
  <c r="AF960" i="4"/>
  <c r="AG960" i="4"/>
  <c r="AH960" i="4"/>
  <c r="Q961" i="4"/>
  <c r="R961" i="4"/>
  <c r="X961" i="4" s="1"/>
  <c r="S961" i="4"/>
  <c r="T961" i="4"/>
  <c r="U961" i="4"/>
  <c r="V961" i="4"/>
  <c r="W961" i="4"/>
  <c r="Y961" i="4"/>
  <c r="Z961" i="4"/>
  <c r="AA961" i="4"/>
  <c r="AB961" i="4"/>
  <c r="AC961" i="4"/>
  <c r="AD961" i="4"/>
  <c r="AE961" i="4"/>
  <c r="AF961" i="4"/>
  <c r="AG961" i="4"/>
  <c r="AH961" i="4"/>
  <c r="Q962" i="4"/>
  <c r="AE962" i="4" s="1"/>
  <c r="R962" i="4"/>
  <c r="S962" i="4" s="1"/>
  <c r="T962" i="4"/>
  <c r="U962" i="4"/>
  <c r="V962" i="4"/>
  <c r="W962" i="4"/>
  <c r="X962" i="4"/>
  <c r="Y962" i="4"/>
  <c r="Z962" i="4"/>
  <c r="AA962" i="4"/>
  <c r="AB962" i="4"/>
  <c r="AC962" i="4"/>
  <c r="AD962" i="4"/>
  <c r="AF962" i="4"/>
  <c r="AG962" i="4"/>
  <c r="AH962" i="4"/>
  <c r="Q963" i="4"/>
  <c r="R963" i="4"/>
  <c r="X963" i="4" s="1"/>
  <c r="S963" i="4"/>
  <c r="T963" i="4"/>
  <c r="U963" i="4"/>
  <c r="V963" i="4"/>
  <c r="W963" i="4"/>
  <c r="Y963" i="4"/>
  <c r="Z963" i="4"/>
  <c r="AA963" i="4"/>
  <c r="AB963" i="4"/>
  <c r="AC963" i="4"/>
  <c r="AD963" i="4"/>
  <c r="AE963" i="4"/>
  <c r="AF963" i="4"/>
  <c r="AG963" i="4"/>
  <c r="AH963" i="4"/>
  <c r="Q964" i="4"/>
  <c r="AE964" i="4" s="1"/>
  <c r="R964" i="4"/>
  <c r="S964" i="4" s="1"/>
  <c r="T964" i="4"/>
  <c r="U964" i="4"/>
  <c r="V964" i="4"/>
  <c r="W964" i="4"/>
  <c r="X964" i="4"/>
  <c r="Y964" i="4"/>
  <c r="Z964" i="4"/>
  <c r="AA964" i="4"/>
  <c r="AB964" i="4"/>
  <c r="AC964" i="4"/>
  <c r="AD964" i="4"/>
  <c r="AF964" i="4"/>
  <c r="AG964" i="4"/>
  <c r="AH964" i="4"/>
  <c r="Q965" i="4"/>
  <c r="R965" i="4"/>
  <c r="X965" i="4" s="1"/>
  <c r="S965" i="4"/>
  <c r="T965" i="4"/>
  <c r="U965" i="4"/>
  <c r="V965" i="4"/>
  <c r="W965" i="4"/>
  <c r="Y965" i="4"/>
  <c r="Z965" i="4"/>
  <c r="AA965" i="4"/>
  <c r="AB965" i="4"/>
  <c r="AC965" i="4"/>
  <c r="AD965" i="4"/>
  <c r="AE965" i="4"/>
  <c r="AF965" i="4"/>
  <c r="AG965" i="4"/>
  <c r="AH965" i="4"/>
  <c r="Q966" i="4"/>
  <c r="AE966" i="4" s="1"/>
  <c r="R966" i="4"/>
  <c r="S966" i="4" s="1"/>
  <c r="T966" i="4"/>
  <c r="U966" i="4"/>
  <c r="V966" i="4"/>
  <c r="W966" i="4"/>
  <c r="X966" i="4"/>
  <c r="Y966" i="4"/>
  <c r="Z966" i="4"/>
  <c r="AA966" i="4"/>
  <c r="AB966" i="4"/>
  <c r="AC966" i="4"/>
  <c r="AD966" i="4"/>
  <c r="AF966" i="4"/>
  <c r="AG966" i="4"/>
  <c r="AH966" i="4"/>
  <c r="Q967" i="4"/>
  <c r="R967" i="4"/>
  <c r="X967" i="4" s="1"/>
  <c r="S967" i="4"/>
  <c r="T967" i="4"/>
  <c r="U967" i="4"/>
  <c r="V967" i="4"/>
  <c r="W967" i="4"/>
  <c r="Y967" i="4"/>
  <c r="Z967" i="4"/>
  <c r="AA967" i="4"/>
  <c r="AB967" i="4"/>
  <c r="AC967" i="4"/>
  <c r="AD967" i="4"/>
  <c r="AE967" i="4"/>
  <c r="AF967" i="4"/>
  <c r="AG967" i="4"/>
  <c r="AH967" i="4"/>
  <c r="Q968" i="4"/>
  <c r="AE968" i="4" s="1"/>
  <c r="R968" i="4"/>
  <c r="S968" i="4" s="1"/>
  <c r="T968" i="4"/>
  <c r="U968" i="4"/>
  <c r="V968" i="4"/>
  <c r="W968" i="4"/>
  <c r="X968" i="4"/>
  <c r="Y968" i="4"/>
  <c r="Z968" i="4"/>
  <c r="AA968" i="4"/>
  <c r="AB968" i="4"/>
  <c r="AC968" i="4"/>
  <c r="AD968" i="4"/>
  <c r="AF968" i="4"/>
  <c r="AG968" i="4"/>
  <c r="AH968" i="4"/>
  <c r="Q969" i="4"/>
  <c r="R969" i="4"/>
  <c r="X969" i="4" s="1"/>
  <c r="S969" i="4"/>
  <c r="T969" i="4"/>
  <c r="U969" i="4"/>
  <c r="V969" i="4"/>
  <c r="W969" i="4"/>
  <c r="Y969" i="4"/>
  <c r="Z969" i="4"/>
  <c r="AA969" i="4"/>
  <c r="AB969" i="4"/>
  <c r="AC969" i="4"/>
  <c r="AD969" i="4"/>
  <c r="AE969" i="4"/>
  <c r="AF969" i="4"/>
  <c r="AG969" i="4"/>
  <c r="AH969" i="4"/>
  <c r="Q970" i="4"/>
  <c r="AE970" i="4" s="1"/>
  <c r="R970" i="4"/>
  <c r="S970" i="4" s="1"/>
  <c r="T970" i="4"/>
  <c r="U970" i="4"/>
  <c r="V970" i="4"/>
  <c r="W970" i="4"/>
  <c r="X970" i="4"/>
  <c r="Y970" i="4"/>
  <c r="Z970" i="4"/>
  <c r="AA970" i="4"/>
  <c r="AB970" i="4"/>
  <c r="AC970" i="4"/>
  <c r="AD970" i="4"/>
  <c r="AF970" i="4"/>
  <c r="AG970" i="4"/>
  <c r="AH970" i="4"/>
  <c r="Q971" i="4"/>
  <c r="R971" i="4"/>
  <c r="X971" i="4" s="1"/>
  <c r="S971" i="4"/>
  <c r="T971" i="4"/>
  <c r="U971" i="4"/>
  <c r="V971" i="4"/>
  <c r="W971" i="4"/>
  <c r="Y971" i="4"/>
  <c r="Z971" i="4"/>
  <c r="AA971" i="4"/>
  <c r="AB971" i="4"/>
  <c r="AC971" i="4"/>
  <c r="AD971" i="4"/>
  <c r="AE971" i="4"/>
  <c r="AF971" i="4"/>
  <c r="AG971" i="4"/>
  <c r="AH971" i="4"/>
  <c r="Q972" i="4"/>
  <c r="AE972" i="4" s="1"/>
  <c r="R972" i="4"/>
  <c r="S972" i="4" s="1"/>
  <c r="T972" i="4"/>
  <c r="U972" i="4"/>
  <c r="V972" i="4"/>
  <c r="W972" i="4"/>
  <c r="X972" i="4"/>
  <c r="Y972" i="4"/>
  <c r="Z972" i="4"/>
  <c r="AA972" i="4"/>
  <c r="AB972" i="4"/>
  <c r="AC972" i="4"/>
  <c r="AD972" i="4"/>
  <c r="AF972" i="4"/>
  <c r="AG972" i="4"/>
  <c r="AH972" i="4"/>
  <c r="Q973" i="4"/>
  <c r="R973" i="4"/>
  <c r="X973" i="4" s="1"/>
  <c r="S973" i="4"/>
  <c r="T973" i="4"/>
  <c r="U973" i="4"/>
  <c r="V973" i="4"/>
  <c r="W973" i="4"/>
  <c r="Y973" i="4"/>
  <c r="Z973" i="4"/>
  <c r="AA973" i="4"/>
  <c r="AB973" i="4"/>
  <c r="AC973" i="4"/>
  <c r="AD973" i="4"/>
  <c r="AE973" i="4"/>
  <c r="AF973" i="4"/>
  <c r="AG973" i="4"/>
  <c r="AH973" i="4"/>
  <c r="Q974" i="4"/>
  <c r="AE974" i="4" s="1"/>
  <c r="R974" i="4"/>
  <c r="S974" i="4" s="1"/>
  <c r="T974" i="4"/>
  <c r="U974" i="4"/>
  <c r="V974" i="4"/>
  <c r="W974" i="4"/>
  <c r="X974" i="4"/>
  <c r="Y974" i="4"/>
  <c r="Z974" i="4"/>
  <c r="AA974" i="4"/>
  <c r="AB974" i="4"/>
  <c r="AC974" i="4"/>
  <c r="AD974" i="4"/>
  <c r="AF974" i="4"/>
  <c r="AG974" i="4"/>
  <c r="AH974" i="4"/>
  <c r="Q975" i="4"/>
  <c r="R975" i="4"/>
  <c r="X975" i="4" s="1"/>
  <c r="S975" i="4"/>
  <c r="T975" i="4"/>
  <c r="U975" i="4"/>
  <c r="V975" i="4"/>
  <c r="W975" i="4"/>
  <c r="Y975" i="4"/>
  <c r="Z975" i="4"/>
  <c r="AA975" i="4"/>
  <c r="AB975" i="4"/>
  <c r="AC975" i="4"/>
  <c r="AD975" i="4"/>
  <c r="AE975" i="4"/>
  <c r="AF975" i="4"/>
  <c r="AG975" i="4"/>
  <c r="AH975" i="4"/>
  <c r="Q976" i="4"/>
  <c r="AE976" i="4" s="1"/>
  <c r="R976" i="4"/>
  <c r="S976" i="4" s="1"/>
  <c r="T976" i="4"/>
  <c r="U976" i="4"/>
  <c r="V976" i="4"/>
  <c r="W976" i="4"/>
  <c r="X976" i="4"/>
  <c r="Y976" i="4"/>
  <c r="Z976" i="4"/>
  <c r="AA976" i="4"/>
  <c r="AB976" i="4"/>
  <c r="AC976" i="4"/>
  <c r="AD976" i="4"/>
  <c r="AF976" i="4"/>
  <c r="AG976" i="4"/>
  <c r="AH976" i="4"/>
  <c r="Q977" i="4"/>
  <c r="R977" i="4"/>
  <c r="X977" i="4" s="1"/>
  <c r="S977" i="4"/>
  <c r="T977" i="4"/>
  <c r="U977" i="4"/>
  <c r="V977" i="4"/>
  <c r="W977" i="4"/>
  <c r="Y977" i="4"/>
  <c r="Z977" i="4"/>
  <c r="AA977" i="4"/>
  <c r="AB977" i="4"/>
  <c r="AC977" i="4"/>
  <c r="AD977" i="4"/>
  <c r="AE977" i="4"/>
  <c r="AF977" i="4"/>
  <c r="AG977" i="4"/>
  <c r="AH977" i="4"/>
  <c r="Q978" i="4"/>
  <c r="AE978" i="4" s="1"/>
  <c r="R978" i="4"/>
  <c r="S978" i="4" s="1"/>
  <c r="T978" i="4"/>
  <c r="U978" i="4"/>
  <c r="V978" i="4"/>
  <c r="W978" i="4"/>
  <c r="X978" i="4"/>
  <c r="Y978" i="4"/>
  <c r="Z978" i="4"/>
  <c r="AA978" i="4"/>
  <c r="AB978" i="4"/>
  <c r="AC978" i="4"/>
  <c r="AD978" i="4"/>
  <c r="AF978" i="4"/>
  <c r="AG978" i="4"/>
  <c r="AH978" i="4"/>
  <c r="Q979" i="4"/>
  <c r="R979" i="4"/>
  <c r="X979" i="4" s="1"/>
  <c r="S979" i="4"/>
  <c r="T979" i="4"/>
  <c r="U979" i="4"/>
  <c r="V979" i="4"/>
  <c r="W979" i="4"/>
  <c r="Y979" i="4"/>
  <c r="Z979" i="4"/>
  <c r="AA979" i="4"/>
  <c r="AB979" i="4"/>
  <c r="AC979" i="4"/>
  <c r="AD979" i="4"/>
  <c r="AE979" i="4"/>
  <c r="AF979" i="4"/>
  <c r="AG979" i="4"/>
  <c r="AH979" i="4"/>
  <c r="Q980" i="4"/>
  <c r="AE980" i="4" s="1"/>
  <c r="R980" i="4"/>
  <c r="S980" i="4" s="1"/>
  <c r="T980" i="4"/>
  <c r="U980" i="4"/>
  <c r="V980" i="4"/>
  <c r="W980" i="4"/>
  <c r="X980" i="4"/>
  <c r="Y980" i="4"/>
  <c r="Z980" i="4"/>
  <c r="AA980" i="4"/>
  <c r="AB980" i="4"/>
  <c r="AC980" i="4"/>
  <c r="AD980" i="4"/>
  <c r="AF980" i="4"/>
  <c r="AG980" i="4"/>
  <c r="AH980" i="4"/>
  <c r="Q981" i="4"/>
  <c r="R981" i="4"/>
  <c r="X981" i="4" s="1"/>
  <c r="S981" i="4"/>
  <c r="T981" i="4"/>
  <c r="U981" i="4"/>
  <c r="V981" i="4"/>
  <c r="W981" i="4"/>
  <c r="Y981" i="4"/>
  <c r="Z981" i="4"/>
  <c r="AA981" i="4"/>
  <c r="AB981" i="4"/>
  <c r="AC981" i="4"/>
  <c r="AD981" i="4"/>
  <c r="AE981" i="4"/>
  <c r="AF981" i="4"/>
  <c r="AG981" i="4"/>
  <c r="AH981" i="4"/>
  <c r="Q982" i="4"/>
  <c r="AE982" i="4" s="1"/>
  <c r="R982" i="4"/>
  <c r="S982" i="4" s="1"/>
  <c r="T982" i="4"/>
  <c r="U982" i="4"/>
  <c r="V982" i="4"/>
  <c r="W982" i="4"/>
  <c r="X982" i="4"/>
  <c r="Y982" i="4"/>
  <c r="Z982" i="4"/>
  <c r="AA982" i="4"/>
  <c r="AB982" i="4"/>
  <c r="AC982" i="4"/>
  <c r="AD982" i="4"/>
  <c r="AF982" i="4"/>
  <c r="AG982" i="4"/>
  <c r="AH982" i="4"/>
  <c r="Q983" i="4"/>
  <c r="R983" i="4"/>
  <c r="X983" i="4" s="1"/>
  <c r="S983" i="4"/>
  <c r="T983" i="4"/>
  <c r="U983" i="4"/>
  <c r="V983" i="4"/>
  <c r="W983" i="4"/>
  <c r="Y983" i="4"/>
  <c r="Z983" i="4"/>
  <c r="AA983" i="4"/>
  <c r="AB983" i="4"/>
  <c r="AC983" i="4"/>
  <c r="AD983" i="4"/>
  <c r="AE983" i="4"/>
  <c r="AF983" i="4"/>
  <c r="AG983" i="4"/>
  <c r="AH983" i="4"/>
  <c r="Q984" i="4"/>
  <c r="AE984" i="4" s="1"/>
  <c r="R984" i="4"/>
  <c r="S984" i="4" s="1"/>
  <c r="T984" i="4"/>
  <c r="U984" i="4"/>
  <c r="V984" i="4"/>
  <c r="W984" i="4"/>
  <c r="X984" i="4"/>
  <c r="Y984" i="4"/>
  <c r="Z984" i="4"/>
  <c r="AA984" i="4"/>
  <c r="AB984" i="4"/>
  <c r="AC984" i="4"/>
  <c r="AD984" i="4"/>
  <c r="AF984" i="4"/>
  <c r="AG984" i="4"/>
  <c r="AH984" i="4"/>
  <c r="Q985" i="4"/>
  <c r="R985" i="4"/>
  <c r="X985" i="4" s="1"/>
  <c r="S985" i="4"/>
  <c r="T985" i="4"/>
  <c r="U985" i="4"/>
  <c r="V985" i="4"/>
  <c r="W985" i="4"/>
  <c r="Y985" i="4"/>
  <c r="Z985" i="4"/>
  <c r="AA985" i="4"/>
  <c r="AB985" i="4"/>
  <c r="AC985" i="4"/>
  <c r="AD985" i="4"/>
  <c r="AE985" i="4"/>
  <c r="AF985" i="4"/>
  <c r="AG985" i="4"/>
  <c r="AH985" i="4"/>
  <c r="Q986" i="4"/>
  <c r="AE986" i="4" s="1"/>
  <c r="R986" i="4"/>
  <c r="S986" i="4" s="1"/>
  <c r="T986" i="4"/>
  <c r="U986" i="4"/>
  <c r="V986" i="4"/>
  <c r="W986" i="4"/>
  <c r="X986" i="4"/>
  <c r="Y986" i="4"/>
  <c r="Z986" i="4"/>
  <c r="AA986" i="4"/>
  <c r="AB986" i="4"/>
  <c r="AC986" i="4"/>
  <c r="AD986" i="4"/>
  <c r="AF986" i="4"/>
  <c r="AG986" i="4"/>
  <c r="AH986" i="4"/>
  <c r="Q987" i="4"/>
  <c r="R987" i="4"/>
  <c r="X987" i="4" s="1"/>
  <c r="S987" i="4"/>
  <c r="T987" i="4"/>
  <c r="U987" i="4"/>
  <c r="V987" i="4"/>
  <c r="W987" i="4"/>
  <c r="Y987" i="4"/>
  <c r="Z987" i="4"/>
  <c r="AA987" i="4"/>
  <c r="AB987" i="4"/>
  <c r="AC987" i="4"/>
  <c r="AD987" i="4"/>
  <c r="AE987" i="4"/>
  <c r="AF987" i="4"/>
  <c r="AG987" i="4"/>
  <c r="AH987" i="4"/>
  <c r="Q988" i="4"/>
  <c r="AE988" i="4" s="1"/>
  <c r="R988" i="4"/>
  <c r="S988" i="4" s="1"/>
  <c r="T988" i="4"/>
  <c r="U988" i="4"/>
  <c r="V988" i="4"/>
  <c r="W988" i="4"/>
  <c r="X988" i="4"/>
  <c r="Y988" i="4"/>
  <c r="Z988" i="4"/>
  <c r="AA988" i="4"/>
  <c r="AB988" i="4"/>
  <c r="AC988" i="4"/>
  <c r="AD988" i="4"/>
  <c r="AF988" i="4"/>
  <c r="AG988" i="4"/>
  <c r="AH988" i="4"/>
  <c r="Q989" i="4"/>
  <c r="R989" i="4"/>
  <c r="X989" i="4" s="1"/>
  <c r="S989" i="4"/>
  <c r="T989" i="4"/>
  <c r="U989" i="4"/>
  <c r="V989" i="4"/>
  <c r="W989" i="4"/>
  <c r="Y989" i="4"/>
  <c r="Z989" i="4"/>
  <c r="AA989" i="4"/>
  <c r="AB989" i="4"/>
  <c r="AC989" i="4"/>
  <c r="AD989" i="4"/>
  <c r="AE989" i="4"/>
  <c r="AF989" i="4"/>
  <c r="AG989" i="4"/>
  <c r="AH989" i="4"/>
  <c r="Q990" i="4"/>
  <c r="AE990" i="4" s="1"/>
  <c r="R990" i="4"/>
  <c r="S990" i="4" s="1"/>
  <c r="T990" i="4"/>
  <c r="U990" i="4"/>
  <c r="V990" i="4"/>
  <c r="W990" i="4"/>
  <c r="X990" i="4"/>
  <c r="Y990" i="4"/>
  <c r="Z990" i="4"/>
  <c r="AA990" i="4"/>
  <c r="AB990" i="4"/>
  <c r="AC990" i="4"/>
  <c r="AD990" i="4"/>
  <c r="AF990" i="4"/>
  <c r="AG990" i="4"/>
  <c r="AH990" i="4"/>
  <c r="Q991" i="4"/>
  <c r="R991" i="4"/>
  <c r="X991" i="4" s="1"/>
  <c r="S991" i="4"/>
  <c r="T991" i="4"/>
  <c r="U991" i="4"/>
  <c r="V991" i="4"/>
  <c r="W991" i="4"/>
  <c r="Y991" i="4"/>
  <c r="Z991" i="4"/>
  <c r="AA991" i="4"/>
  <c r="AB991" i="4"/>
  <c r="AC991" i="4"/>
  <c r="AD991" i="4"/>
  <c r="AE991" i="4"/>
  <c r="AF991" i="4"/>
  <c r="AG991" i="4"/>
  <c r="AH991" i="4"/>
  <c r="Q992" i="4"/>
  <c r="AE992" i="4" s="1"/>
  <c r="R992" i="4"/>
  <c r="S992" i="4" s="1"/>
  <c r="T992" i="4"/>
  <c r="U992" i="4"/>
  <c r="V992" i="4"/>
  <c r="W992" i="4"/>
  <c r="X992" i="4"/>
  <c r="Y992" i="4"/>
  <c r="Z992" i="4"/>
  <c r="AA992" i="4"/>
  <c r="AB992" i="4"/>
  <c r="AC992" i="4"/>
  <c r="AD992" i="4"/>
  <c r="AF992" i="4"/>
  <c r="AG992" i="4"/>
  <c r="AH992" i="4"/>
  <c r="Q993" i="4"/>
  <c r="R993" i="4"/>
  <c r="X993" i="4" s="1"/>
  <c r="S993" i="4"/>
  <c r="T993" i="4"/>
  <c r="U993" i="4"/>
  <c r="V993" i="4"/>
  <c r="W993" i="4"/>
  <c r="Y993" i="4"/>
  <c r="Z993" i="4"/>
  <c r="AA993" i="4"/>
  <c r="AB993" i="4"/>
  <c r="AC993" i="4"/>
  <c r="AD993" i="4"/>
  <c r="AE993" i="4"/>
  <c r="AF993" i="4"/>
  <c r="AG993" i="4"/>
  <c r="AH993" i="4"/>
  <c r="Q994" i="4"/>
  <c r="AE994" i="4" s="1"/>
  <c r="R994" i="4"/>
  <c r="S994" i="4" s="1"/>
  <c r="T994" i="4"/>
  <c r="U994" i="4"/>
  <c r="V994" i="4"/>
  <c r="W994" i="4"/>
  <c r="X994" i="4"/>
  <c r="Y994" i="4"/>
  <c r="Z994" i="4"/>
  <c r="AA994" i="4"/>
  <c r="AB994" i="4"/>
  <c r="AC994" i="4"/>
  <c r="AD994" i="4"/>
  <c r="AF994" i="4"/>
  <c r="AG994" i="4"/>
  <c r="AH994" i="4"/>
  <c r="Q995" i="4"/>
  <c r="R995" i="4"/>
  <c r="X995" i="4" s="1"/>
  <c r="S995" i="4"/>
  <c r="T995" i="4"/>
  <c r="U995" i="4"/>
  <c r="V995" i="4"/>
  <c r="W995" i="4"/>
  <c r="Y995" i="4"/>
  <c r="Z995" i="4"/>
  <c r="AA995" i="4"/>
  <c r="AB995" i="4"/>
  <c r="AC995" i="4"/>
  <c r="AD995" i="4"/>
  <c r="AE995" i="4"/>
  <c r="AF995" i="4"/>
  <c r="AG995" i="4"/>
  <c r="AH995" i="4"/>
  <c r="Q996" i="4"/>
  <c r="AE996" i="4" s="1"/>
  <c r="R996" i="4"/>
  <c r="S996" i="4" s="1"/>
  <c r="T996" i="4"/>
  <c r="U996" i="4"/>
  <c r="V996" i="4"/>
  <c r="W996" i="4"/>
  <c r="X996" i="4"/>
  <c r="Y996" i="4"/>
  <c r="Z996" i="4"/>
  <c r="AA996" i="4"/>
  <c r="AB996" i="4"/>
  <c r="AC996" i="4"/>
  <c r="AD996" i="4"/>
  <c r="AF996" i="4"/>
  <c r="AG996" i="4"/>
  <c r="AH996" i="4"/>
  <c r="Q997" i="4"/>
  <c r="R997" i="4"/>
  <c r="X997" i="4" s="1"/>
  <c r="S997" i="4"/>
  <c r="T997" i="4"/>
  <c r="U997" i="4"/>
  <c r="V997" i="4"/>
  <c r="W997" i="4"/>
  <c r="Y997" i="4"/>
  <c r="Z997" i="4"/>
  <c r="AA997" i="4"/>
  <c r="AB997" i="4"/>
  <c r="AC997" i="4"/>
  <c r="AD997" i="4"/>
  <c r="AE997" i="4"/>
  <c r="AF997" i="4"/>
  <c r="AG997" i="4"/>
  <c r="AH997" i="4"/>
  <c r="Q998" i="4"/>
  <c r="AE998" i="4" s="1"/>
  <c r="R998" i="4"/>
  <c r="S998" i="4" s="1"/>
  <c r="T998" i="4"/>
  <c r="U998" i="4"/>
  <c r="V998" i="4"/>
  <c r="W998" i="4"/>
  <c r="X998" i="4"/>
  <c r="Y998" i="4"/>
  <c r="Z998" i="4"/>
  <c r="AA998" i="4"/>
  <c r="AB998" i="4"/>
  <c r="AC998" i="4"/>
  <c r="AD998" i="4"/>
  <c r="AF998" i="4"/>
  <c r="AG998" i="4"/>
  <c r="AH998" i="4"/>
  <c r="Q999" i="4"/>
  <c r="R999" i="4"/>
  <c r="S999" i="4"/>
  <c r="T999" i="4"/>
  <c r="U999" i="4"/>
  <c r="V999" i="4"/>
  <c r="W999" i="4"/>
  <c r="X999" i="4"/>
  <c r="Y999" i="4"/>
  <c r="Z999" i="4"/>
  <c r="AA999" i="4"/>
  <c r="AB999" i="4"/>
  <c r="AC999" i="4"/>
  <c r="AD999" i="4"/>
  <c r="AE999" i="4"/>
  <c r="AF999" i="4"/>
  <c r="AG999" i="4"/>
  <c r="AH999" i="4"/>
  <c r="Q1000" i="4"/>
  <c r="AE1000" i="4" s="1"/>
  <c r="R1000" i="4"/>
  <c r="S1000" i="4" s="1"/>
  <c r="T1000" i="4"/>
  <c r="U1000" i="4"/>
  <c r="V1000" i="4"/>
  <c r="W1000" i="4"/>
  <c r="Y1000" i="4"/>
  <c r="Z1000" i="4"/>
  <c r="AA1000" i="4"/>
  <c r="AB1000" i="4"/>
  <c r="AC1000" i="4"/>
  <c r="AD1000" i="4"/>
  <c r="AF1000" i="4"/>
  <c r="AG1000" i="4"/>
  <c r="AH1000" i="4"/>
  <c r="Q1001" i="4"/>
  <c r="R1001" i="4"/>
  <c r="S1001" i="4"/>
  <c r="T1001" i="4"/>
  <c r="U1001" i="4"/>
  <c r="V1001" i="4"/>
  <c r="W1001" i="4"/>
  <c r="X1001" i="4"/>
  <c r="Y1001" i="4"/>
  <c r="Z1001" i="4"/>
  <c r="AA1001" i="4"/>
  <c r="AB1001" i="4"/>
  <c r="AC1001" i="4"/>
  <c r="AD1001" i="4"/>
  <c r="AE1001" i="4"/>
  <c r="AF1001" i="4"/>
  <c r="AG1001" i="4"/>
  <c r="AH1001" i="4"/>
  <c r="AH2" i="4"/>
  <c r="AG2" i="4"/>
  <c r="AF2" i="4"/>
  <c r="AD2" i="4"/>
  <c r="AC2" i="4"/>
  <c r="AB2" i="4"/>
  <c r="AA2" i="4"/>
  <c r="Z2" i="4"/>
  <c r="Y2" i="4"/>
  <c r="AK17" i="4"/>
  <c r="AK15" i="4"/>
  <c r="AK13" i="4"/>
  <c r="AK11" i="4"/>
  <c r="W2" i="4"/>
  <c r="V2" i="4"/>
  <c r="U2" i="4"/>
  <c r="T2" i="4"/>
  <c r="R2" i="4"/>
  <c r="S2" i="4" s="1"/>
  <c r="Q2" i="4"/>
  <c r="AE2" i="4" s="1"/>
  <c r="S577" i="4" l="1"/>
  <c r="X577" i="4"/>
  <c r="S553" i="4"/>
  <c r="X553" i="4"/>
  <c r="S537" i="4"/>
  <c r="X537" i="4"/>
  <c r="S351" i="4"/>
  <c r="X351" i="4"/>
  <c r="S335" i="4"/>
  <c r="X335" i="4"/>
  <c r="S327" i="4"/>
  <c r="X327" i="4"/>
  <c r="S319" i="4"/>
  <c r="X319" i="4"/>
  <c r="S311" i="4"/>
  <c r="X311" i="4"/>
  <c r="S303" i="4"/>
  <c r="X303" i="4"/>
  <c r="X1000" i="4"/>
  <c r="S713" i="4"/>
  <c r="S705" i="4"/>
  <c r="S697" i="4"/>
  <c r="S693" i="4"/>
  <c r="S689" i="4"/>
  <c r="S685" i="4"/>
  <c r="S681" i="4"/>
  <c r="S677" i="4"/>
  <c r="S673" i="4"/>
  <c r="S669" i="4"/>
  <c r="S665" i="4"/>
  <c r="S661" i="4"/>
  <c r="S657" i="4"/>
  <c r="S653" i="4"/>
  <c r="S649" i="4"/>
  <c r="S645" i="4"/>
  <c r="S641" i="4"/>
  <c r="S637" i="4"/>
  <c r="S633" i="4"/>
  <c r="S629" i="4"/>
  <c r="S625" i="4"/>
  <c r="S621" i="4"/>
  <c r="S617" i="4"/>
  <c r="S613" i="4"/>
  <c r="S609" i="4"/>
  <c r="S605" i="4"/>
  <c r="S599" i="4"/>
  <c r="X599" i="4"/>
  <c r="S591" i="4"/>
  <c r="X591" i="4"/>
  <c r="S583" i="4"/>
  <c r="X583" i="4"/>
  <c r="S575" i="4"/>
  <c r="X575" i="4"/>
  <c r="S567" i="4"/>
  <c r="X567" i="4"/>
  <c r="S559" i="4"/>
  <c r="X559" i="4"/>
  <c r="S551" i="4"/>
  <c r="X551" i="4"/>
  <c r="S543" i="4"/>
  <c r="X543" i="4"/>
  <c r="S535" i="4"/>
  <c r="X535" i="4"/>
  <c r="S527" i="4"/>
  <c r="X527" i="4"/>
  <c r="S545" i="4"/>
  <c r="X545" i="4"/>
  <c r="S529" i="4"/>
  <c r="X529" i="4"/>
  <c r="S771" i="4"/>
  <c r="S763" i="4"/>
  <c r="S755" i="4"/>
  <c r="S747" i="4"/>
  <c r="S739" i="4"/>
  <c r="S731" i="4"/>
  <c r="S723" i="4"/>
  <c r="S597" i="4"/>
  <c r="X597" i="4"/>
  <c r="S589" i="4"/>
  <c r="X589" i="4"/>
  <c r="S581" i="4"/>
  <c r="X581" i="4"/>
  <c r="S573" i="4"/>
  <c r="X573" i="4"/>
  <c r="S565" i="4"/>
  <c r="X565" i="4"/>
  <c r="S557" i="4"/>
  <c r="X557" i="4"/>
  <c r="S549" i="4"/>
  <c r="X549" i="4"/>
  <c r="S541" i="4"/>
  <c r="X541" i="4"/>
  <c r="S533" i="4"/>
  <c r="X533" i="4"/>
  <c r="S601" i="4"/>
  <c r="X601" i="4"/>
  <c r="S593" i="4"/>
  <c r="X593" i="4"/>
  <c r="S585" i="4"/>
  <c r="X585" i="4"/>
  <c r="S569" i="4"/>
  <c r="X569" i="4"/>
  <c r="S561" i="4"/>
  <c r="X561" i="4"/>
  <c r="S343" i="4"/>
  <c r="X343" i="4"/>
  <c r="S773" i="4"/>
  <c r="S765" i="4"/>
  <c r="S757" i="4"/>
  <c r="S749" i="4"/>
  <c r="S741" i="4"/>
  <c r="S733" i="4"/>
  <c r="S725" i="4"/>
  <c r="S717" i="4"/>
  <c r="S709" i="4"/>
  <c r="S701" i="4"/>
  <c r="S695" i="4"/>
  <c r="S691" i="4"/>
  <c r="S687" i="4"/>
  <c r="S683" i="4"/>
  <c r="S679" i="4"/>
  <c r="S675" i="4"/>
  <c r="S671" i="4"/>
  <c r="S667" i="4"/>
  <c r="S663" i="4"/>
  <c r="S659" i="4"/>
  <c r="S655" i="4"/>
  <c r="S651" i="4"/>
  <c r="S647" i="4"/>
  <c r="S643" i="4"/>
  <c r="S639" i="4"/>
  <c r="S635" i="4"/>
  <c r="S631" i="4"/>
  <c r="S627" i="4"/>
  <c r="S623" i="4"/>
  <c r="S619" i="4"/>
  <c r="S615" i="4"/>
  <c r="S611" i="4"/>
  <c r="S607" i="4"/>
  <c r="S603" i="4"/>
  <c r="X603" i="4"/>
  <c r="S595" i="4"/>
  <c r="X595" i="4"/>
  <c r="S587" i="4"/>
  <c r="X587" i="4"/>
  <c r="S579" i="4"/>
  <c r="X579" i="4"/>
  <c r="S571" i="4"/>
  <c r="X571" i="4"/>
  <c r="S563" i="4"/>
  <c r="X563" i="4"/>
  <c r="S555" i="4"/>
  <c r="X555" i="4"/>
  <c r="S547" i="4"/>
  <c r="X547" i="4"/>
  <c r="S539" i="4"/>
  <c r="X539" i="4"/>
  <c r="S531" i="4"/>
  <c r="X531" i="4"/>
  <c r="S524" i="4"/>
  <c r="X524" i="4"/>
  <c r="X361" i="4"/>
  <c r="S361" i="4"/>
  <c r="S295" i="4"/>
  <c r="X295" i="4"/>
  <c r="S287" i="4"/>
  <c r="X287" i="4"/>
  <c r="S279" i="4"/>
  <c r="X279" i="4"/>
  <c r="S271" i="4"/>
  <c r="X271" i="4"/>
  <c r="S263" i="4"/>
  <c r="X263" i="4"/>
  <c r="S255" i="4"/>
  <c r="X255" i="4"/>
  <c r="S247" i="4"/>
  <c r="X247" i="4"/>
  <c r="S239" i="4"/>
  <c r="X239" i="4"/>
  <c r="S231" i="4"/>
  <c r="X231" i="4"/>
  <c r="S223" i="4"/>
  <c r="X223" i="4"/>
  <c r="S215" i="4"/>
  <c r="X215" i="4"/>
  <c r="S208" i="4"/>
  <c r="X208" i="4"/>
  <c r="X200" i="4"/>
  <c r="S200" i="4"/>
  <c r="X184" i="4"/>
  <c r="S184" i="4"/>
  <c r="X168" i="4"/>
  <c r="S168" i="4"/>
  <c r="X152" i="4"/>
  <c r="S152" i="4"/>
  <c r="X136" i="4"/>
  <c r="S136" i="4"/>
  <c r="S84" i="4"/>
  <c r="X84" i="4"/>
  <c r="S73" i="4"/>
  <c r="X73" i="4"/>
  <c r="S68" i="4"/>
  <c r="X68" i="4"/>
  <c r="S57" i="4"/>
  <c r="X57" i="4"/>
  <c r="S52" i="4"/>
  <c r="X52" i="4"/>
  <c r="S41" i="4"/>
  <c r="X41" i="4"/>
  <c r="S36" i="4"/>
  <c r="X36" i="4"/>
  <c r="S25" i="4"/>
  <c r="X25" i="4"/>
  <c r="S20" i="4"/>
  <c r="X20" i="4"/>
  <c r="S9" i="4"/>
  <c r="X9" i="4"/>
  <c r="S4" i="4"/>
  <c r="X4" i="4"/>
  <c r="S357" i="4"/>
  <c r="X357" i="4"/>
  <c r="S349" i="4"/>
  <c r="X349" i="4"/>
  <c r="S341" i="4"/>
  <c r="X341" i="4"/>
  <c r="S333" i="4"/>
  <c r="X333" i="4"/>
  <c r="S325" i="4"/>
  <c r="X325" i="4"/>
  <c r="S317" i="4"/>
  <c r="X317" i="4"/>
  <c r="S309" i="4"/>
  <c r="X309" i="4"/>
  <c r="S301" i="4"/>
  <c r="X301" i="4"/>
  <c r="S293" i="4"/>
  <c r="X293" i="4"/>
  <c r="S285" i="4"/>
  <c r="X285" i="4"/>
  <c r="S277" i="4"/>
  <c r="X277" i="4"/>
  <c r="S269" i="4"/>
  <c r="X269" i="4"/>
  <c r="S261" i="4"/>
  <c r="X261" i="4"/>
  <c r="S253" i="4"/>
  <c r="X253" i="4"/>
  <c r="S245" i="4"/>
  <c r="X245" i="4"/>
  <c r="S237" i="4"/>
  <c r="X237" i="4"/>
  <c r="S229" i="4"/>
  <c r="X229" i="4"/>
  <c r="S221" i="4"/>
  <c r="X221" i="4"/>
  <c r="S213" i="4"/>
  <c r="X213" i="4"/>
  <c r="S204" i="4"/>
  <c r="X204" i="4"/>
  <c r="X188" i="4"/>
  <c r="S188" i="4"/>
  <c r="X172" i="4"/>
  <c r="S172" i="4"/>
  <c r="X156" i="4"/>
  <c r="S156" i="4"/>
  <c r="X140" i="4"/>
  <c r="S140" i="4"/>
  <c r="S85" i="4"/>
  <c r="X85" i="4"/>
  <c r="S80" i="4"/>
  <c r="X80" i="4"/>
  <c r="S69" i="4"/>
  <c r="X69" i="4"/>
  <c r="S64" i="4"/>
  <c r="X64" i="4"/>
  <c r="S53" i="4"/>
  <c r="X53" i="4"/>
  <c r="S48" i="4"/>
  <c r="X48" i="4"/>
  <c r="S37" i="4"/>
  <c r="X37" i="4"/>
  <c r="S32" i="4"/>
  <c r="X32" i="4"/>
  <c r="S21" i="4"/>
  <c r="X21" i="4"/>
  <c r="S16" i="4"/>
  <c r="X16" i="4"/>
  <c r="S5" i="4"/>
  <c r="X5" i="4"/>
  <c r="S359" i="4"/>
  <c r="S355" i="4"/>
  <c r="X355" i="4"/>
  <c r="S347" i="4"/>
  <c r="X347" i="4"/>
  <c r="S339" i="4"/>
  <c r="X339" i="4"/>
  <c r="S331" i="4"/>
  <c r="X331" i="4"/>
  <c r="S323" i="4"/>
  <c r="X323" i="4"/>
  <c r="S315" i="4"/>
  <c r="X315" i="4"/>
  <c r="S307" i="4"/>
  <c r="X307" i="4"/>
  <c r="S299" i="4"/>
  <c r="X299" i="4"/>
  <c r="S291" i="4"/>
  <c r="X291" i="4"/>
  <c r="S283" i="4"/>
  <c r="X283" i="4"/>
  <c r="S275" i="4"/>
  <c r="X275" i="4"/>
  <c r="S267" i="4"/>
  <c r="X267" i="4"/>
  <c r="S259" i="4"/>
  <c r="X259" i="4"/>
  <c r="S251" i="4"/>
  <c r="X251" i="4"/>
  <c r="S243" i="4"/>
  <c r="X243" i="4"/>
  <c r="S235" i="4"/>
  <c r="X235" i="4"/>
  <c r="S227" i="4"/>
  <c r="X227" i="4"/>
  <c r="S219" i="4"/>
  <c r="X219" i="4"/>
  <c r="S211" i="4"/>
  <c r="X211" i="4"/>
  <c r="X192" i="4"/>
  <c r="S192" i="4"/>
  <c r="X176" i="4"/>
  <c r="S176" i="4"/>
  <c r="X160" i="4"/>
  <c r="S160" i="4"/>
  <c r="X144" i="4"/>
  <c r="S144" i="4"/>
  <c r="S353" i="4"/>
  <c r="X353" i="4"/>
  <c r="S345" i="4"/>
  <c r="X345" i="4"/>
  <c r="S337" i="4"/>
  <c r="X337" i="4"/>
  <c r="S329" i="4"/>
  <c r="X329" i="4"/>
  <c r="S321" i="4"/>
  <c r="X321" i="4"/>
  <c r="S313" i="4"/>
  <c r="X313" i="4"/>
  <c r="S305" i="4"/>
  <c r="X305" i="4"/>
  <c r="S297" i="4"/>
  <c r="X297" i="4"/>
  <c r="S289" i="4"/>
  <c r="X289" i="4"/>
  <c r="S281" i="4"/>
  <c r="X281" i="4"/>
  <c r="S273" i="4"/>
  <c r="X273" i="4"/>
  <c r="S265" i="4"/>
  <c r="X265" i="4"/>
  <c r="S257" i="4"/>
  <c r="X257" i="4"/>
  <c r="S249" i="4"/>
  <c r="X249" i="4"/>
  <c r="S241" i="4"/>
  <c r="X241" i="4"/>
  <c r="S233" i="4"/>
  <c r="X233" i="4"/>
  <c r="S225" i="4"/>
  <c r="X225" i="4"/>
  <c r="S217" i="4"/>
  <c r="X217" i="4"/>
  <c r="S207" i="4"/>
  <c r="X207" i="4"/>
  <c r="X196" i="4"/>
  <c r="S196" i="4"/>
  <c r="X180" i="4"/>
  <c r="S180" i="4"/>
  <c r="X164" i="4"/>
  <c r="S164" i="4"/>
  <c r="X148" i="4"/>
  <c r="S148" i="4"/>
  <c r="S81" i="4"/>
  <c r="X81" i="4"/>
  <c r="S76" i="4"/>
  <c r="X76" i="4"/>
  <c r="S65" i="4"/>
  <c r="X65" i="4"/>
  <c r="S60" i="4"/>
  <c r="X60" i="4"/>
  <c r="S49" i="4"/>
  <c r="X49" i="4"/>
  <c r="S44" i="4"/>
  <c r="X44" i="4"/>
  <c r="S33" i="4"/>
  <c r="X33" i="4"/>
  <c r="S28" i="4"/>
  <c r="X28" i="4"/>
  <c r="S17" i="4"/>
  <c r="X17" i="4"/>
  <c r="S12" i="4"/>
  <c r="X12" i="4"/>
  <c r="S88" i="4"/>
  <c r="X88" i="4"/>
  <c r="S77" i="4"/>
  <c r="X77" i="4"/>
  <c r="S72" i="4"/>
  <c r="X72" i="4"/>
  <c r="S61" i="4"/>
  <c r="X61" i="4"/>
  <c r="S56" i="4"/>
  <c r="X56" i="4"/>
  <c r="S45" i="4"/>
  <c r="X45" i="4"/>
  <c r="S40" i="4"/>
  <c r="X40" i="4"/>
  <c r="S29" i="4"/>
  <c r="X29" i="4"/>
  <c r="S24" i="4"/>
  <c r="X24" i="4"/>
  <c r="S13" i="4"/>
  <c r="X13" i="4"/>
  <c r="S8" i="4"/>
  <c r="X8" i="4"/>
  <c r="X2" i="4"/>
  <c r="AK9" i="4"/>
  <c r="AK7" i="4"/>
</calcChain>
</file>

<file path=xl/sharedStrings.xml><?xml version="1.0" encoding="utf-8"?>
<sst xmlns="http://schemas.openxmlformats.org/spreadsheetml/2006/main" count="22190" uniqueCount="1228">
  <si>
    <t>Order_ID</t>
  </si>
  <si>
    <t>Order_Date</t>
  </si>
  <si>
    <t>Customer_ID</t>
  </si>
  <si>
    <t>Customer_Name</t>
  </si>
  <si>
    <t>Product_ID</t>
  </si>
  <si>
    <t>Product</t>
  </si>
  <si>
    <t>Category</t>
  </si>
  <si>
    <t>Sub_Category</t>
  </si>
  <si>
    <t>Region</t>
  </si>
  <si>
    <t>State</t>
  </si>
  <si>
    <t>Sales</t>
  </si>
  <si>
    <t>Cost</t>
  </si>
  <si>
    <t>Quantity</t>
  </si>
  <si>
    <t>Discount</t>
  </si>
  <si>
    <t>Payment_Mode</t>
  </si>
  <si>
    <t>Order_Status</t>
  </si>
  <si>
    <t>ORD0001</t>
  </si>
  <si>
    <t>C021</t>
  </si>
  <si>
    <t>Akash Chauhan</t>
  </si>
  <si>
    <t>P004</t>
  </si>
  <si>
    <t>Smart Watch</t>
  </si>
  <si>
    <t>Electronics</t>
  </si>
  <si>
    <t>Wearables</t>
  </si>
  <si>
    <t>North</t>
  </si>
  <si>
    <t>Delhi</t>
  </si>
  <si>
    <t>UPI</t>
  </si>
  <si>
    <t>Cancelled</t>
  </si>
  <si>
    <t>ORD0002</t>
  </si>
  <si>
    <t>C002</t>
  </si>
  <si>
    <t>Priya Singh</t>
  </si>
  <si>
    <t>P001</t>
  </si>
  <si>
    <t>Laptop</t>
  </si>
  <si>
    <t>Computers</t>
  </si>
  <si>
    <t>Uttar Pradesh</t>
  </si>
  <si>
    <t>Cash on Delivery</t>
  </si>
  <si>
    <t>ORD0003</t>
  </si>
  <si>
    <t>C008</t>
  </si>
  <si>
    <t>Anjali Patel</t>
  </si>
  <si>
    <t>P015</t>
  </si>
  <si>
    <t>Jeans</t>
  </si>
  <si>
    <t>Fashion</t>
  </si>
  <si>
    <t>Clothing</t>
  </si>
  <si>
    <t>East</t>
  </si>
  <si>
    <t>West Bengal</t>
  </si>
  <si>
    <t>Debit Card</t>
  </si>
  <si>
    <t>Shipped</t>
  </si>
  <si>
    <t>ORD0004</t>
  </si>
  <si>
    <t>C005</t>
  </si>
  <si>
    <t>Simran Kaur</t>
  </si>
  <si>
    <t>P007</t>
  </si>
  <si>
    <t>Study Table</t>
  </si>
  <si>
    <t>Furniture</t>
  </si>
  <si>
    <t>Tables</t>
  </si>
  <si>
    <t>Central</t>
  </si>
  <si>
    <t>Madhya Pradesh</t>
  </si>
  <si>
    <t>ORD0005</t>
  </si>
  <si>
    <t>West</t>
  </si>
  <si>
    <t>Rajasthan</t>
  </si>
  <si>
    <t>Delivered</t>
  </si>
  <si>
    <t>ORD0006</t>
  </si>
  <si>
    <t>C023</t>
  </si>
  <si>
    <t>Varun Kapoor</t>
  </si>
  <si>
    <t>P003</t>
  </si>
  <si>
    <t>Headphones</t>
  </si>
  <si>
    <t>Accessories</t>
  </si>
  <si>
    <t>ORD0007</t>
  </si>
  <si>
    <t>C009</t>
  </si>
  <si>
    <t>Arjun Rao</t>
  </si>
  <si>
    <t>Odisha</t>
  </si>
  <si>
    <t>ORD0008</t>
  </si>
  <si>
    <t>C018</t>
  </si>
  <si>
    <t>Divya Shah</t>
  </si>
  <si>
    <t>P008</t>
  </si>
  <si>
    <t>Bookshelf</t>
  </si>
  <si>
    <t>Storage</t>
  </si>
  <si>
    <t>Punjab</t>
  </si>
  <si>
    <t>Credit Card</t>
  </si>
  <si>
    <t>Processing</t>
  </si>
  <si>
    <t>ORD0009</t>
  </si>
  <si>
    <t>C025</t>
  </si>
  <si>
    <t>Deepak Soni</t>
  </si>
  <si>
    <t>P002</t>
  </si>
  <si>
    <t>Mobile</t>
  </si>
  <si>
    <t>Phones</t>
  </si>
  <si>
    <t>South</t>
  </si>
  <si>
    <t>Karnataka</t>
  </si>
  <si>
    <t>ORD0010</t>
  </si>
  <si>
    <t>P016</t>
  </si>
  <si>
    <t>Mixer Grinder</t>
  </si>
  <si>
    <t>Home Appliances</t>
  </si>
  <si>
    <t>Kitchen</t>
  </si>
  <si>
    <t>Maharashtra</t>
  </si>
  <si>
    <t>ORD0011</t>
  </si>
  <si>
    <t>C024</t>
  </si>
  <si>
    <t>Nisha Agarwal</t>
  </si>
  <si>
    <t>P019</t>
  </si>
  <si>
    <t>Vacuum Cleaner</t>
  </si>
  <si>
    <t>Cleaning</t>
  </si>
  <si>
    <t>Returned</t>
  </si>
  <si>
    <t>ORD0012</t>
  </si>
  <si>
    <t>C003</t>
  </si>
  <si>
    <t>Amit Kumar</t>
  </si>
  <si>
    <t>Chhattisgarh</t>
  </si>
  <si>
    <t>ORD0013</t>
  </si>
  <si>
    <t>C013</t>
  </si>
  <si>
    <t>Aditya Jain</t>
  </si>
  <si>
    <t>P013</t>
  </si>
  <si>
    <t>Backpack</t>
  </si>
  <si>
    <t>Bags</t>
  </si>
  <si>
    <t>ORD0014</t>
  </si>
  <si>
    <t>P011</t>
  </si>
  <si>
    <t>Running Shoes</t>
  </si>
  <si>
    <t>Footwear</t>
  </si>
  <si>
    <t>ORD0015</t>
  </si>
  <si>
    <t>C017</t>
  </si>
  <si>
    <t>Nikhil Joshi</t>
  </si>
  <si>
    <t>ORD0016</t>
  </si>
  <si>
    <t>P006</t>
  </si>
  <si>
    <t>Office Chair</t>
  </si>
  <si>
    <t>Chairs</t>
  </si>
  <si>
    <t>ORD0017</t>
  </si>
  <si>
    <t>ORD0018</t>
  </si>
  <si>
    <t>ORD0019</t>
  </si>
  <si>
    <t>P010</t>
  </si>
  <si>
    <t>Bed</t>
  </si>
  <si>
    <t>Bedroom</t>
  </si>
  <si>
    <t>ORD0020</t>
  </si>
  <si>
    <t>ORD0021</t>
  </si>
  <si>
    <t>ORD0022</t>
  </si>
  <si>
    <t>ORD0023</t>
  </si>
  <si>
    <t>C022</t>
  </si>
  <si>
    <t>Ishita Bose</t>
  </si>
  <si>
    <t>P014</t>
  </si>
  <si>
    <t>T-Shirt</t>
  </si>
  <si>
    <t>Telangana</t>
  </si>
  <si>
    <t>ORD0024</t>
  </si>
  <si>
    <t>Net Banking</t>
  </si>
  <si>
    <t>ORD0025</t>
  </si>
  <si>
    <t>ORD0026</t>
  </si>
  <si>
    <t>ORD0027</t>
  </si>
  <si>
    <t>C001</t>
  </si>
  <si>
    <t>Rahul Sharma</t>
  </si>
  <si>
    <t>Tamil Nadu</t>
  </si>
  <si>
    <t>ORD0028</t>
  </si>
  <si>
    <t>C007</t>
  </si>
  <si>
    <t>Rohan Gupta</t>
  </si>
  <si>
    <t>ORD0029</t>
  </si>
  <si>
    <t>C019</t>
  </si>
  <si>
    <t>Saurabh Roy</t>
  </si>
  <si>
    <t>ORD0030</t>
  </si>
  <si>
    <t>ORD0031</t>
  </si>
  <si>
    <t>ORD0032</t>
  </si>
  <si>
    <t>P005</t>
  </si>
  <si>
    <t>Monitor</t>
  </si>
  <si>
    <t>ORD0033</t>
  </si>
  <si>
    <t>C020</t>
  </si>
  <si>
    <t>Meera Reddy</t>
  </si>
  <si>
    <t>ORD0034</t>
  </si>
  <si>
    <t>C012</t>
  </si>
  <si>
    <t>Pooja Mishra</t>
  </si>
  <si>
    <t>ORD0035</t>
  </si>
  <si>
    <t>ORD0036</t>
  </si>
  <si>
    <t>Bihar</t>
  </si>
  <si>
    <t>ORD0037</t>
  </si>
  <si>
    <t>ORD0038</t>
  </si>
  <si>
    <t>ORD0039</t>
  </si>
  <si>
    <t>ORD0040</t>
  </si>
  <si>
    <t>ORD0041</t>
  </si>
  <si>
    <t>ORD0042</t>
  </si>
  <si>
    <t>ORD0043</t>
  </si>
  <si>
    <t>C015</t>
  </si>
  <si>
    <t>Manish Tiwari</t>
  </si>
  <si>
    <t>P012</t>
  </si>
  <si>
    <t>Jacket</t>
  </si>
  <si>
    <t>ORD0044</t>
  </si>
  <si>
    <t>P009</t>
  </si>
  <si>
    <t>Sofa</t>
  </si>
  <si>
    <t>Seating</t>
  </si>
  <si>
    <t>ORD0045</t>
  </si>
  <si>
    <t>C004</t>
  </si>
  <si>
    <t>Neha Verma</t>
  </si>
  <si>
    <t>ORD0046</t>
  </si>
  <si>
    <t>P017</t>
  </si>
  <si>
    <t>Microwave</t>
  </si>
  <si>
    <t>ORD0047</t>
  </si>
  <si>
    <t>ORD0048</t>
  </si>
  <si>
    <t>ORD0049</t>
  </si>
  <si>
    <t>P018</t>
  </si>
  <si>
    <t>Air Cooler</t>
  </si>
  <si>
    <t>Cooling</t>
  </si>
  <si>
    <t>ORD0050</t>
  </si>
  <si>
    <t>Gujarat</t>
  </si>
  <si>
    <t>ORD0051</t>
  </si>
  <si>
    <t>P020</t>
  </si>
  <si>
    <t>Electric Kettle</t>
  </si>
  <si>
    <t>ORD0052</t>
  </si>
  <si>
    <t>ORD0053</t>
  </si>
  <si>
    <t>C016</t>
  </si>
  <si>
    <t>Ritika Das</t>
  </si>
  <si>
    <t>ORD0054</t>
  </si>
  <si>
    <t>C006</t>
  </si>
  <si>
    <t>Karan Mehta</t>
  </si>
  <si>
    <t>ORD0055</t>
  </si>
  <si>
    <t>ORD0056</t>
  </si>
  <si>
    <t>ORD0057</t>
  </si>
  <si>
    <t>ORD0058</t>
  </si>
  <si>
    <t>ORD0059</t>
  </si>
  <si>
    <t>C014</t>
  </si>
  <si>
    <t>Kavya Nair</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</si>
  <si>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</si>
  <si>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</si>
  <si>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</si>
  <si>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</si>
  <si>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</si>
  <si>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</si>
  <si>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</si>
  <si>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</si>
  <si>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</si>
  <si>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</si>
  <si>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</si>
  <si>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</si>
  <si>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</si>
  <si>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</si>
  <si>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</si>
  <si>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</si>
  <si>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</si>
  <si>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</si>
  <si>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</si>
  <si>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</si>
  <si>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</si>
  <si>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</si>
  <si>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C011</t>
  </si>
  <si>
    <t>Vikas Yadav</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</si>
  <si>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</si>
  <si>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</si>
  <si>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</si>
  <si>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</si>
  <si>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</si>
  <si>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</si>
  <si>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</si>
  <si>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</si>
  <si>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</si>
  <si>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</si>
  <si>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</si>
  <si>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</si>
  <si>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</si>
  <si>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</si>
  <si>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</si>
  <si>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</si>
  <si>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</si>
  <si>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</si>
  <si>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</si>
  <si>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</si>
  <si>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</si>
  <si>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</si>
  <si>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</si>
  <si>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</si>
  <si>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</si>
  <si>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</si>
  <si>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</si>
  <si>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</si>
  <si>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</si>
  <si>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</si>
  <si>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</si>
  <si>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</si>
  <si>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C010</t>
  </si>
  <si>
    <t>Sneha Iyer</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</si>
  <si>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</si>
  <si>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</si>
  <si>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</si>
  <si>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</si>
  <si>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</si>
  <si>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</si>
  <si>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</si>
  <si>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</si>
  <si>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</si>
  <si>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</si>
  <si>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</si>
  <si>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</si>
  <si>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</si>
  <si>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</si>
  <si>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</si>
  <si>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</si>
  <si>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</si>
  <si>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</si>
  <si>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</si>
  <si>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</si>
  <si>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</si>
  <si>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</si>
  <si>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</si>
  <si>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</si>
  <si>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</si>
  <si>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</si>
  <si>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</si>
  <si>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</si>
  <si>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</si>
  <si>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</si>
  <si>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</si>
  <si>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</si>
  <si>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</si>
  <si>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</si>
  <si>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</si>
  <si>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</si>
  <si>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</si>
  <si>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</si>
  <si>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</si>
  <si>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</si>
  <si>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</si>
  <si>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</si>
  <si>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</si>
  <si>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</si>
  <si>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</si>
  <si>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</si>
  <si>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</si>
  <si>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</si>
  <si>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</si>
  <si>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</si>
  <si>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</si>
  <si>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</si>
  <si>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</si>
  <si>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</si>
  <si>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</si>
  <si>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</si>
  <si>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</si>
  <si>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</si>
  <si>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</si>
  <si>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</si>
  <si>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</si>
  <si>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</si>
  <si>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</si>
  <si>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</si>
  <si>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</si>
  <si>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</si>
  <si>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</si>
  <si>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</si>
  <si>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</si>
  <si>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</si>
  <si>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</si>
  <si>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</si>
  <si>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</si>
  <si>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</si>
  <si>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</si>
  <si>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</si>
  <si>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</si>
  <si>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</si>
  <si>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</si>
  <si>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</si>
  <si>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</si>
  <si>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</si>
  <si>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</si>
  <si>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</si>
  <si>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</si>
  <si>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</si>
  <si>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</si>
  <si>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</si>
  <si>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</si>
  <si>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</si>
  <si>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</si>
  <si>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</si>
  <si>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</si>
  <si>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</si>
  <si>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</si>
  <si>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</si>
  <si>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</si>
  <si>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</si>
  <si>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</si>
  <si>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</si>
  <si>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</si>
  <si>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</si>
  <si>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</si>
  <si>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</si>
  <si>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</si>
  <si>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</si>
  <si>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</si>
  <si>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</si>
  <si>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</si>
  <si>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</si>
  <si>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</si>
  <si>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</si>
  <si>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</si>
  <si>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</si>
  <si>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</si>
  <si>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</si>
  <si>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</si>
  <si>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</si>
  <si>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</si>
  <si>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</si>
  <si>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</si>
  <si>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</si>
  <si>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</si>
  <si>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</si>
  <si>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</si>
  <si>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</si>
  <si>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</si>
  <si>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</si>
  <si>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</si>
  <si>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</si>
  <si>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</si>
  <si>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</si>
  <si>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</si>
  <si>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</si>
  <si>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</si>
  <si>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</si>
  <si>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</si>
  <si>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</si>
  <si>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</si>
  <si>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</si>
  <si>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</si>
  <si>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</si>
  <si>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</si>
  <si>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</si>
  <si>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</si>
  <si>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</si>
  <si>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</si>
  <si>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</si>
  <si>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</si>
  <si>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</si>
  <si>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</si>
  <si>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</si>
  <si>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</si>
  <si>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</si>
  <si>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</si>
  <si>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</si>
  <si>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</si>
  <si>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</si>
  <si>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</si>
  <si>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</si>
  <si>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</si>
  <si>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</si>
  <si>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</si>
  <si>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</si>
  <si>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</si>
  <si>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</si>
  <si>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</si>
  <si>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</si>
  <si>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</si>
  <si>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</si>
  <si>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</si>
  <si>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</si>
  <si>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</si>
  <si>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</si>
  <si>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</si>
  <si>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</si>
  <si>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</si>
  <si>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</si>
  <si>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</si>
  <si>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</si>
  <si>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</si>
  <si>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</si>
  <si>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</si>
  <si>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</si>
  <si>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</si>
  <si>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</si>
  <si>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</si>
  <si>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</si>
  <si>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</si>
  <si>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</si>
  <si>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</si>
  <si>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</si>
  <si>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</si>
  <si>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</si>
  <si>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</si>
  <si>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</si>
  <si>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</si>
  <si>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</si>
  <si>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</si>
  <si>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</si>
  <si>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</si>
  <si>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</si>
  <si>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</si>
  <si>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</si>
  <si>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</si>
  <si>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</si>
  <si>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</si>
  <si>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</si>
  <si>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</si>
  <si>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</si>
  <si>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</si>
  <si>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</si>
  <si>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</si>
  <si>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</si>
  <si>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</si>
  <si>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</si>
  <si>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</si>
  <si>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</si>
  <si>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</si>
  <si>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</si>
  <si>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</si>
  <si>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</si>
  <si>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</si>
  <si>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</si>
  <si>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</si>
  <si>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</si>
  <si>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</si>
  <si>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</si>
  <si>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</si>
  <si>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</si>
  <si>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</si>
  <si>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</si>
  <si>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</si>
  <si>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</si>
  <si>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</si>
  <si>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</si>
  <si>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</si>
  <si>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</si>
  <si>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</si>
  <si>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</si>
  <si>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</si>
  <si>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</si>
  <si>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</si>
  <si>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</si>
  <si>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</si>
  <si>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</si>
  <si>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</si>
  <si>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</si>
  <si>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</si>
  <si>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</si>
  <si>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</si>
  <si>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</si>
  <si>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</si>
  <si>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</si>
  <si>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</si>
  <si>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</si>
  <si>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</si>
  <si>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</si>
  <si>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</si>
  <si>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</si>
  <si>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</si>
  <si>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</si>
  <si>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</si>
  <si>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</si>
  <si>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</si>
  <si>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</si>
  <si>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</si>
  <si>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</si>
  <si>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</si>
  <si>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</si>
  <si>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</si>
  <si>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</si>
  <si>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</si>
  <si>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</si>
  <si>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</si>
  <si>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</si>
  <si>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</si>
  <si>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</si>
  <si>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</si>
  <si>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</si>
  <si>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</si>
  <si>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</si>
  <si>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</si>
  <si>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</si>
  <si>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</si>
  <si>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</si>
  <si>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</si>
  <si>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</si>
  <si>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</si>
  <si>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</si>
  <si>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</si>
  <si>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</si>
  <si>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</si>
  <si>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</si>
  <si>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</si>
  <si>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</si>
  <si>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</si>
  <si>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</si>
  <si>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</si>
  <si>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</si>
  <si>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</si>
  <si>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</si>
  <si>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</si>
  <si>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</si>
  <si>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</si>
  <si>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</si>
  <si>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</si>
  <si>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</si>
  <si>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</si>
  <si>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</si>
  <si>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</si>
  <si>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</si>
  <si>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</si>
  <si>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</si>
  <si>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</si>
  <si>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</si>
  <si>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</si>
  <si>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</si>
  <si>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</si>
  <si>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</si>
  <si>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</si>
  <si>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</si>
  <si>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</si>
  <si>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</si>
  <si>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</si>
  <si>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</si>
  <si>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</si>
  <si>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</si>
  <si>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</si>
  <si>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</si>
  <si>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</si>
  <si>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</si>
  <si>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</si>
  <si>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</si>
  <si>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</si>
  <si>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</si>
  <si>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</si>
  <si>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</si>
  <si>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</si>
  <si>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</si>
  <si>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</si>
  <si>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</si>
  <si>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</si>
  <si>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</si>
  <si>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</si>
  <si>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</si>
  <si>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</si>
  <si>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</si>
  <si>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</si>
  <si>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</si>
  <si>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</si>
  <si>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</si>
  <si>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</si>
  <si>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</si>
  <si>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</si>
  <si>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</si>
  <si>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</si>
  <si>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</si>
  <si>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</si>
  <si>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</si>
  <si>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</si>
  <si>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</si>
  <si>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</si>
  <si>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</si>
  <si>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</si>
  <si>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</si>
  <si>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</si>
  <si>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</si>
  <si>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</si>
  <si>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</si>
  <si>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</si>
  <si>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</si>
  <si>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</si>
  <si>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</si>
  <si>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</si>
  <si>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</si>
  <si>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</si>
  <si>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</si>
  <si>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</si>
  <si>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</si>
  <si>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</si>
  <si>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</si>
  <si>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</si>
  <si>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</si>
  <si>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</si>
  <si>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</si>
  <si>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</si>
  <si>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</si>
  <si>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</si>
  <si>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</si>
  <si>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</si>
  <si>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</si>
  <si>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</si>
  <si>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</si>
  <si>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</si>
  <si>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</si>
  <si>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</si>
  <si>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</si>
  <si>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</si>
  <si>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</si>
  <si>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</si>
  <si>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</si>
  <si>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</si>
  <si>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</si>
  <si>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</si>
  <si>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</si>
  <si>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</si>
  <si>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</si>
  <si>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</si>
  <si>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</si>
  <si>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</si>
  <si>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</si>
  <si>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</si>
  <si>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ORD0527</t>
  </si>
  <si>
    <t>ORD0528</t>
  </si>
  <si>
    <t>ORD0529</t>
  </si>
  <si>
    <t>ORD0530</t>
  </si>
  <si>
    <t>ORD0531</t>
  </si>
  <si>
    <t>ORD0532</t>
  </si>
  <si>
    <t>ORD0533</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</si>
  <si>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</si>
  <si>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</si>
  <si>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</si>
  <si>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</si>
  <si>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</si>
  <si>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</si>
  <si>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</si>
  <si>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</si>
  <si>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</si>
  <si>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</si>
  <si>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</si>
  <si>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</si>
  <si>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</si>
  <si>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</si>
  <si>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</si>
  <si>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</si>
  <si>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</si>
  <si>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</si>
  <si>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</si>
  <si>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</si>
  <si>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</si>
  <si>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</si>
  <si>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</si>
  <si>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</si>
  <si>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</si>
  <si>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</si>
  <si>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</si>
  <si>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</si>
  <si>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</si>
  <si>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ORD0563</t>
  </si>
  <si>
    <t>ORD0564</t>
  </si>
  <si>
    <t>ORD0565</t>
  </si>
  <si>
    <t>ORD0566</t>
  </si>
  <si>
    <t>ORD0567</t>
  </si>
  <si>
    <t>ORD0568</t>
  </si>
  <si>
    <t>ORD0569</t>
  </si>
  <si>
    <t>ORD0570</t>
  </si>
  <si>
    <t>ORD0571</t>
  </si>
  <si>
    <t>ORD0572</t>
  </si>
  <si>
    <t>ORD0573</t>
  </si>
  <si>
    <t>ORD0574</t>
  </si>
  <si>
    <t>ORD0575</t>
  </si>
  <si>
    <t>ORD0576</t>
  </si>
  <si>
    <t>ORD0577</t>
  </si>
  <si>
    <t>ORD0578</t>
  </si>
  <si>
    <t>ORD0579</t>
  </si>
  <si>
    <t>ORD0580</t>
  </si>
  <si>
    <t>ORD0581</t>
  </si>
  <si>
    <t>ORD0582</t>
  </si>
  <si>
    <t>ORD0583</t>
  </si>
  <si>
    <t>ORD0584</t>
  </si>
  <si>
    <t>ORD0585</t>
  </si>
  <si>
    <t>ORD0586</t>
  </si>
  <si>
    <t>ORD0587</t>
  </si>
  <si>
    <t>ORD0588</t>
  </si>
  <si>
    <t>ORD0589</t>
  </si>
  <si>
    <t>ORD0590</t>
  </si>
  <si>
    <t>ORD0591</t>
  </si>
  <si>
    <t>ORD0592</t>
  </si>
  <si>
    <t>ORD0593</t>
  </si>
  <si>
    <t>ORD0594</t>
  </si>
  <si>
    <t>ORD0595</t>
  </si>
  <si>
    <t>ORD0596</t>
  </si>
  <si>
    <t>ORD0597</t>
  </si>
  <si>
    <t>ORD0598</t>
  </si>
  <si>
    <t>ORD0599</t>
  </si>
  <si>
    <t>ORD0600</t>
  </si>
  <si>
    <t>ORD0601</t>
  </si>
  <si>
    <t>ORD0602</t>
  </si>
  <si>
    <t>ORD0603</t>
  </si>
  <si>
    <t>ORD0604</t>
  </si>
  <si>
    <t>ORD0605</t>
  </si>
  <si>
    <t>ORD0606</t>
  </si>
  <si>
    <t>ORD0607</t>
  </si>
  <si>
    <t>ORD0608</t>
  </si>
  <si>
    <t>ORD0609</t>
  </si>
  <si>
    <t>ORD0610</t>
  </si>
  <si>
    <t>ORD0611</t>
  </si>
  <si>
    <t>ORD0612</t>
  </si>
  <si>
    <t>ORD0613</t>
  </si>
  <si>
    <t>ORD0614</t>
  </si>
  <si>
    <t>ORD0615</t>
  </si>
  <si>
    <t>ORD0616</t>
  </si>
  <si>
    <t>ORD0617</t>
  </si>
  <si>
    <t>ORD0618</t>
  </si>
  <si>
    <t>ORD0619</t>
  </si>
  <si>
    <t>ORD0620</t>
  </si>
  <si>
    <t>ORD0621</t>
  </si>
  <si>
    <t>ORD0622</t>
  </si>
  <si>
    <t>ORD0623</t>
  </si>
  <si>
    <t>ORD0624</t>
  </si>
  <si>
    <t>ORD0625</t>
  </si>
  <si>
    <t>ORD0626</t>
  </si>
  <si>
    <t>ORD0627</t>
  </si>
  <si>
    <t>ORD0628</t>
  </si>
  <si>
    <t>ORD0629</t>
  </si>
  <si>
    <t>ORD0630</t>
  </si>
  <si>
    <t>ORD0631</t>
  </si>
  <si>
    <t>ORD0632</t>
  </si>
  <si>
    <t>ORD0633</t>
  </si>
  <si>
    <t>ORD0634</t>
  </si>
  <si>
    <t>ORD0635</t>
  </si>
  <si>
    <t>ORD0636</t>
  </si>
  <si>
    <t>ORD0637</t>
  </si>
  <si>
    <t>ORD0638</t>
  </si>
  <si>
    <t>ORD0639</t>
  </si>
  <si>
    <t>ORD0640</t>
  </si>
  <si>
    <t>ORD0641</t>
  </si>
  <si>
    <t>ORD0642</t>
  </si>
  <si>
    <t>ORD0643</t>
  </si>
  <si>
    <t>ORD0644</t>
  </si>
  <si>
    <t>ORD0645</t>
  </si>
  <si>
    <t>ORD0646</t>
  </si>
  <si>
    <t>ORD0647</t>
  </si>
  <si>
    <t>ORD0648</t>
  </si>
  <si>
    <t>ORD0649</t>
  </si>
  <si>
    <t>ORD0650</t>
  </si>
  <si>
    <t>ORD0651</t>
  </si>
  <si>
    <t>ORD0652</t>
  </si>
  <si>
    <t>ORD0653</t>
  </si>
  <si>
    <t>ORD0654</t>
  </si>
  <si>
    <t>ORD0655</t>
  </si>
  <si>
    <t>ORD0656</t>
  </si>
  <si>
    <t>ORD0657</t>
  </si>
  <si>
    <t>ORD0658</t>
  </si>
  <si>
    <t>ORD0659</t>
  </si>
  <si>
    <t>ORD0660</t>
  </si>
  <si>
    <t>ORD0661</t>
  </si>
  <si>
    <t>ORD0662</t>
  </si>
  <si>
    <t>ORD0663</t>
  </si>
  <si>
    <t>ORD0664</t>
  </si>
  <si>
    <t>ORD0665</t>
  </si>
  <si>
    <t>ORD0666</t>
  </si>
  <si>
    <t>ORD0667</t>
  </si>
  <si>
    <t>ORD0668</t>
  </si>
  <si>
    <t>ORD0669</t>
  </si>
  <si>
    <t>ORD0670</t>
  </si>
  <si>
    <t>ORD0671</t>
  </si>
  <si>
    <t>ORD0672</t>
  </si>
  <si>
    <t>ORD0673</t>
  </si>
  <si>
    <t>ORD0674</t>
  </si>
  <si>
    <t>ORD0675</t>
  </si>
  <si>
    <t>ORD0676</t>
  </si>
  <si>
    <t>ORD0677</t>
  </si>
  <si>
    <t>ORD0678</t>
  </si>
  <si>
    <t>ORD0679</t>
  </si>
  <si>
    <t>ORD0680</t>
  </si>
  <si>
    <t>ORD0681</t>
  </si>
  <si>
    <t>ORD0682</t>
  </si>
  <si>
    <t>ORD0683</t>
  </si>
  <si>
    <t>ORD0684</t>
  </si>
  <si>
    <t>ORD0685</t>
  </si>
  <si>
    <t>ORD0686</t>
  </si>
  <si>
    <t>ORD0687</t>
  </si>
  <si>
    <t>ORD0688</t>
  </si>
  <si>
    <t>ORD0689</t>
  </si>
  <si>
    <t>ORD0690</t>
  </si>
  <si>
    <t>ORD0691</t>
  </si>
  <si>
    <t>ORD0692</t>
  </si>
  <si>
    <t>ORD0693</t>
  </si>
  <si>
    <t>ORD0694</t>
  </si>
  <si>
    <t>ORD0695</t>
  </si>
  <si>
    <t>ORD0696</t>
  </si>
  <si>
    <t>ORD0697</t>
  </si>
  <si>
    <t>ORD0698</t>
  </si>
  <si>
    <t>ORD0699</t>
  </si>
  <si>
    <t>ORD0700</t>
  </si>
  <si>
    <t>ORD0701</t>
  </si>
  <si>
    <t>ORD0702</t>
  </si>
  <si>
    <t>ORD0703</t>
  </si>
  <si>
    <t>ORD0704</t>
  </si>
  <si>
    <t>ORD0705</t>
  </si>
  <si>
    <t>ORD0706</t>
  </si>
  <si>
    <t>ORD0707</t>
  </si>
  <si>
    <t>ORD0708</t>
  </si>
  <si>
    <t>ORD0709</t>
  </si>
  <si>
    <t>ORD0710</t>
  </si>
  <si>
    <t>ORD0711</t>
  </si>
  <si>
    <t>ORD0712</t>
  </si>
  <si>
    <t>ORD0713</t>
  </si>
  <si>
    <t>ORD0714</t>
  </si>
  <si>
    <t>ORD0715</t>
  </si>
  <si>
    <t>ORD0716</t>
  </si>
  <si>
    <t>ORD0717</t>
  </si>
  <si>
    <t>ORD0718</t>
  </si>
  <si>
    <t>ORD0719</t>
  </si>
  <si>
    <t>ORD0720</t>
  </si>
  <si>
    <t>ORD0721</t>
  </si>
  <si>
    <t>ORD0722</t>
  </si>
  <si>
    <t>ORD0723</t>
  </si>
  <si>
    <t>ORD0724</t>
  </si>
  <si>
    <t>ORD0725</t>
  </si>
  <si>
    <t>ORD0726</t>
  </si>
  <si>
    <t>ORD0727</t>
  </si>
  <si>
    <t>ORD0728</t>
  </si>
  <si>
    <t>ORD0729</t>
  </si>
  <si>
    <t>ORD0730</t>
  </si>
  <si>
    <t>ORD0731</t>
  </si>
  <si>
    <t>ORD0732</t>
  </si>
  <si>
    <t>ORD0733</t>
  </si>
  <si>
    <t>ORD0734</t>
  </si>
  <si>
    <t>ORD0735</t>
  </si>
  <si>
    <t>ORD0736</t>
  </si>
  <si>
    <t>ORD0737</t>
  </si>
  <si>
    <t>ORD0738</t>
  </si>
  <si>
    <t>ORD0739</t>
  </si>
  <si>
    <t>ORD0740</t>
  </si>
  <si>
    <t>ORD0741</t>
  </si>
  <si>
    <t>ORD0742</t>
  </si>
  <si>
    <t>ORD0743</t>
  </si>
  <si>
    <t>ORD0744</t>
  </si>
  <si>
    <t>ORD0745</t>
  </si>
  <si>
    <t>ORD0746</t>
  </si>
  <si>
    <t>ORD0747</t>
  </si>
  <si>
    <t>ORD0748</t>
  </si>
  <si>
    <t>ORD0749</t>
  </si>
  <si>
    <t>ORD0750</t>
  </si>
  <si>
    <t>ORD0751</t>
  </si>
  <si>
    <t>ORD0752</t>
  </si>
  <si>
    <t>ORD0753</t>
  </si>
  <si>
    <t>ORD0754</t>
  </si>
  <si>
    <t>ORD0755</t>
  </si>
  <si>
    <t>ORD0756</t>
  </si>
  <si>
    <t>ORD0757</t>
  </si>
  <si>
    <t>ORD0758</t>
  </si>
  <si>
    <t>ORD0759</t>
  </si>
  <si>
    <t>ORD0760</t>
  </si>
  <si>
    <t>ORD0761</t>
  </si>
  <si>
    <t>ORD0762</t>
  </si>
  <si>
    <t>ORD0763</t>
  </si>
  <si>
    <t>ORD0764</t>
  </si>
  <si>
    <t>ORD0765</t>
  </si>
  <si>
    <t>ORD0766</t>
  </si>
  <si>
    <t>ORD0767</t>
  </si>
  <si>
    <t>ORD0768</t>
  </si>
  <si>
    <t>ORD0769</t>
  </si>
  <si>
    <t>ORD0770</t>
  </si>
  <si>
    <t>ORD0771</t>
  </si>
  <si>
    <t>ORD0772</t>
  </si>
  <si>
    <t>ORD0773</t>
  </si>
  <si>
    <t>ORD0774</t>
  </si>
  <si>
    <t>ORD0775</t>
  </si>
  <si>
    <t>ORD0776</t>
  </si>
  <si>
    <t>ORD0777</t>
  </si>
  <si>
    <t>ORD0778</t>
  </si>
  <si>
    <t>ORD0779</t>
  </si>
  <si>
    <t>ORD0780</t>
  </si>
  <si>
    <t>ORD0781</t>
  </si>
  <si>
    <t>ORD0782</t>
  </si>
  <si>
    <t>ORD0783</t>
  </si>
  <si>
    <t>ORD0784</t>
  </si>
  <si>
    <t>ORD0785</t>
  </si>
  <si>
    <t>ORD0786</t>
  </si>
  <si>
    <t>ORD0787</t>
  </si>
  <si>
    <t>ORD0788</t>
  </si>
  <si>
    <t>ORD0789</t>
  </si>
  <si>
    <t>ORD0790</t>
  </si>
  <si>
    <t>ORD0791</t>
  </si>
  <si>
    <t>ORD0792</t>
  </si>
  <si>
    <t>ORD0793</t>
  </si>
  <si>
    <t>ORD0794</t>
  </si>
  <si>
    <t>ORD0795</t>
  </si>
  <si>
    <t>ORD0796</t>
  </si>
  <si>
    <t>ORD0797</t>
  </si>
  <si>
    <t>ORD0798</t>
  </si>
  <si>
    <t>ORD0799</t>
  </si>
  <si>
    <t>ORD0800</t>
  </si>
  <si>
    <t>ORD0801</t>
  </si>
  <si>
    <t>ORD0802</t>
  </si>
  <si>
    <t>ORD0803</t>
  </si>
  <si>
    <t>ORD0804</t>
  </si>
  <si>
    <t>ORD0805</t>
  </si>
  <si>
    <t>ORD0806</t>
  </si>
  <si>
    <t>ORD0807</t>
  </si>
  <si>
    <t>ORD0808</t>
  </si>
  <si>
    <t>ORD0809</t>
  </si>
  <si>
    <t>ORD0810</t>
  </si>
  <si>
    <t>ORD0811</t>
  </si>
  <si>
    <t>ORD0812</t>
  </si>
  <si>
    <t>ORD0813</t>
  </si>
  <si>
    <t>ORD0814</t>
  </si>
  <si>
    <t>ORD0815</t>
  </si>
  <si>
    <t>ORD0816</t>
  </si>
  <si>
    <t>ORD0817</t>
  </si>
  <si>
    <t>ORD0818</t>
  </si>
  <si>
    <t>ORD0819</t>
  </si>
  <si>
    <t>ORD0820</t>
  </si>
  <si>
    <t>ORD0821</t>
  </si>
  <si>
    <t>ORD0822</t>
  </si>
  <si>
    <t>ORD0823</t>
  </si>
  <si>
    <t>ORD0824</t>
  </si>
  <si>
    <t>ORD0825</t>
  </si>
  <si>
    <t>ORD0826</t>
  </si>
  <si>
    <t>ORD0827</t>
  </si>
  <si>
    <t>ORD0828</t>
  </si>
  <si>
    <t>ORD0829</t>
  </si>
  <si>
    <t>ORD0830</t>
  </si>
  <si>
    <t>ORD0831</t>
  </si>
  <si>
    <t>ORD0832</t>
  </si>
  <si>
    <t>ORD0833</t>
  </si>
  <si>
    <t>ORD0834</t>
  </si>
  <si>
    <t>ORD0835</t>
  </si>
  <si>
    <t>ORD0836</t>
  </si>
  <si>
    <t>ORD0837</t>
  </si>
  <si>
    <t>ORD0838</t>
  </si>
  <si>
    <t>ORD0839</t>
  </si>
  <si>
    <t>ORD0840</t>
  </si>
  <si>
    <t>ORD0841</t>
  </si>
  <si>
    <t>ORD0842</t>
  </si>
  <si>
    <t>ORD0843</t>
  </si>
  <si>
    <t>ORD0844</t>
  </si>
  <si>
    <t>ORD0845</t>
  </si>
  <si>
    <t>ORD0846</t>
  </si>
  <si>
    <t>ORD0847</t>
  </si>
  <si>
    <t>ORD0848</t>
  </si>
  <si>
    <t>ORD0849</t>
  </si>
  <si>
    <t>ORD0850</t>
  </si>
  <si>
    <t>ORD0851</t>
  </si>
  <si>
    <t>ORD0852</t>
  </si>
  <si>
    <t>ORD0853</t>
  </si>
  <si>
    <t>ORD0854</t>
  </si>
  <si>
    <t>ORD0855</t>
  </si>
  <si>
    <t>ORD0856</t>
  </si>
  <si>
    <t>ORD0857</t>
  </si>
  <si>
    <t>ORD0858</t>
  </si>
  <si>
    <t>ORD0859</t>
  </si>
  <si>
    <t>ORD0860</t>
  </si>
  <si>
    <t>ORD0861</t>
  </si>
  <si>
    <t>ORD0862</t>
  </si>
  <si>
    <t>ORD0863</t>
  </si>
  <si>
    <t>ORD0864</t>
  </si>
  <si>
    <t>ORD0865</t>
  </si>
  <si>
    <t>ORD0866</t>
  </si>
  <si>
    <t>ORD0867</t>
  </si>
  <si>
    <t>ORD0868</t>
  </si>
  <si>
    <t>ORD0869</t>
  </si>
  <si>
    <t>ORD0870</t>
  </si>
  <si>
    <t>ORD0871</t>
  </si>
  <si>
    <t>ORD0872</t>
  </si>
  <si>
    <t>ORD0873</t>
  </si>
  <si>
    <t>ORD0874</t>
  </si>
  <si>
    <t>ORD0875</t>
  </si>
  <si>
    <t>ORD0876</t>
  </si>
  <si>
    <t>ORD0877</t>
  </si>
  <si>
    <t>ORD0878</t>
  </si>
  <si>
    <t>ORD0879</t>
  </si>
  <si>
    <t>ORD0880</t>
  </si>
  <si>
    <t>ORD0881</t>
  </si>
  <si>
    <t>ORD0882</t>
  </si>
  <si>
    <t>ORD0883</t>
  </si>
  <si>
    <t>ORD0884</t>
  </si>
  <si>
    <t>ORD0885</t>
  </si>
  <si>
    <t>ORD0886</t>
  </si>
  <si>
    <t>ORD0887</t>
  </si>
  <si>
    <t>ORD0888</t>
  </si>
  <si>
    <t>ORD0889</t>
  </si>
  <si>
    <t>ORD0890</t>
  </si>
  <si>
    <t>ORD0891</t>
  </si>
  <si>
    <t>ORD0892</t>
  </si>
  <si>
    <t>ORD0893</t>
  </si>
  <si>
    <t>ORD0894</t>
  </si>
  <si>
    <t>ORD0895</t>
  </si>
  <si>
    <t>ORD0896</t>
  </si>
  <si>
    <t>ORD0897</t>
  </si>
  <si>
    <t>ORD0898</t>
  </si>
  <si>
    <t>ORD0899</t>
  </si>
  <si>
    <t>ORD0900</t>
  </si>
  <si>
    <t>ORD0901</t>
  </si>
  <si>
    <t>ORD0902</t>
  </si>
  <si>
    <t>ORD0903</t>
  </si>
  <si>
    <t>ORD0904</t>
  </si>
  <si>
    <t>ORD0905</t>
  </si>
  <si>
    <t>ORD0906</t>
  </si>
  <si>
    <t>ORD0907</t>
  </si>
  <si>
    <t>ORD0908</t>
  </si>
  <si>
    <t>ORD0909</t>
  </si>
  <si>
    <t>ORD0910</t>
  </si>
  <si>
    <t>ORD0911</t>
  </si>
  <si>
    <t>ORD0912</t>
  </si>
  <si>
    <t>ORD0913</t>
  </si>
  <si>
    <t>ORD0914</t>
  </si>
  <si>
    <t>ORD0915</t>
  </si>
  <si>
    <t>ORD0916</t>
  </si>
  <si>
    <t>ORD0917</t>
  </si>
  <si>
    <t>ORD0918</t>
  </si>
  <si>
    <t>ORD0919</t>
  </si>
  <si>
    <t>ORD0920</t>
  </si>
  <si>
    <t>ORD0921</t>
  </si>
  <si>
    <t>ORD0922</t>
  </si>
  <si>
    <t>ORD0923</t>
  </si>
  <si>
    <t>ORD0924</t>
  </si>
  <si>
    <t>ORD0925</t>
  </si>
  <si>
    <t>ORD0926</t>
  </si>
  <si>
    <t>ORD0927</t>
  </si>
  <si>
    <t>ORD0928</t>
  </si>
  <si>
    <t>ORD0929</t>
  </si>
  <si>
    <t>ORD0930</t>
  </si>
  <si>
    <t>ORD0931</t>
  </si>
  <si>
    <t>ORD0932</t>
  </si>
  <si>
    <t>ORD0933</t>
  </si>
  <si>
    <t>ORD0934</t>
  </si>
  <si>
    <t>ORD0935</t>
  </si>
  <si>
    <t>ORD0936</t>
  </si>
  <si>
    <t>ORD0937</t>
  </si>
  <si>
    <t>ORD0938</t>
  </si>
  <si>
    <t>ORD0939</t>
  </si>
  <si>
    <t>ORD0940</t>
  </si>
  <si>
    <t>ORD0941</t>
  </si>
  <si>
    <t>ORD0942</t>
  </si>
  <si>
    <t>ORD0943</t>
  </si>
  <si>
    <t>ORD0944</t>
  </si>
  <si>
    <t>ORD0945</t>
  </si>
  <si>
    <t>ORD0946</t>
  </si>
  <si>
    <t>ORD0947</t>
  </si>
  <si>
    <t>ORD0948</t>
  </si>
  <si>
    <t>ORD0949</t>
  </si>
  <si>
    <t>ORD0950</t>
  </si>
  <si>
    <t>ORD0951</t>
  </si>
  <si>
    <t>ORD0952</t>
  </si>
  <si>
    <t>ORD0953</t>
  </si>
  <si>
    <t>ORD0954</t>
  </si>
  <si>
    <t>ORD0955</t>
  </si>
  <si>
    <t>ORD0956</t>
  </si>
  <si>
    <t>ORD0957</t>
  </si>
  <si>
    <t>ORD0958</t>
  </si>
  <si>
    <t>ORD0959</t>
  </si>
  <si>
    <t>ORD0960</t>
  </si>
  <si>
    <t>ORD0961</t>
  </si>
  <si>
    <t>ORD0962</t>
  </si>
  <si>
    <t>ORD0963</t>
  </si>
  <si>
    <t>ORD0964</t>
  </si>
  <si>
    <t>ORD0965</t>
  </si>
  <si>
    <t>ORD0966</t>
  </si>
  <si>
    <t>ORD0967</t>
  </si>
  <si>
    <t>ORD0968</t>
  </si>
  <si>
    <t>ORD0969</t>
  </si>
  <si>
    <t>ORD0970</t>
  </si>
  <si>
    <t>ORD0971</t>
  </si>
  <si>
    <t>ORD0972</t>
  </si>
  <si>
    <t>ORD0973</t>
  </si>
  <si>
    <t>ORD0974</t>
  </si>
  <si>
    <t>ORD0975</t>
  </si>
  <si>
    <t>ORD0976</t>
  </si>
  <si>
    <t>ORD0977</t>
  </si>
  <si>
    <t>ORD0978</t>
  </si>
  <si>
    <t>ORD0979</t>
  </si>
  <si>
    <t>ORD0980</t>
  </si>
  <si>
    <t>ORD0981</t>
  </si>
  <si>
    <t>ORD0982</t>
  </si>
  <si>
    <t>ORD0983</t>
  </si>
  <si>
    <t>ORD0984</t>
  </si>
  <si>
    <t>ORD0985</t>
  </si>
  <si>
    <t>ORD0986</t>
  </si>
  <si>
    <t>ORD0987</t>
  </si>
  <si>
    <t>ORD0988</t>
  </si>
  <si>
    <t>ORD0989</t>
  </si>
  <si>
    <t>ORD0990</t>
  </si>
  <si>
    <t>ORD0991</t>
  </si>
  <si>
    <t>ORD0992</t>
  </si>
  <si>
    <t>ORD0993</t>
  </si>
  <si>
    <t>ORD0994</t>
  </si>
  <si>
    <t>ORD0995</t>
  </si>
  <si>
    <t>ORD0996</t>
  </si>
  <si>
    <t>ORD0997</t>
  </si>
  <si>
    <t>ORD0998</t>
  </si>
  <si>
    <t>ORD0999</t>
  </si>
  <si>
    <t>ORD1000</t>
  </si>
  <si>
    <t>Clean_Customer_Name</t>
  </si>
  <si>
    <t>Profit</t>
  </si>
  <si>
    <t>Profit_Margin</t>
  </si>
  <si>
    <t>Year</t>
  </si>
  <si>
    <t>Month</t>
  </si>
  <si>
    <t>Quarter</t>
  </si>
  <si>
    <t>Sales_Category</t>
  </si>
  <si>
    <t>Profit_Status</t>
  </si>
  <si>
    <t>Large_Order</t>
  </si>
  <si>
    <t>Upper_Name</t>
  </si>
  <si>
    <t>Lower_Name</t>
  </si>
  <si>
    <t>Name_Length</t>
  </si>
  <si>
    <t>Order_Prefix</t>
  </si>
  <si>
    <t>Order_Number</t>
  </si>
  <si>
    <t>Customer_Region</t>
  </si>
  <si>
    <t>MID</t>
  </si>
  <si>
    <t>Product_Manager</t>
  </si>
  <si>
    <t>Manager_VLOOKUP</t>
  </si>
  <si>
    <t>Manager_INDEXMATCH</t>
  </si>
  <si>
    <t>Metric</t>
  </si>
  <si>
    <t>Result</t>
  </si>
  <si>
    <t>High Sales Orders</t>
  </si>
  <si>
    <t>High Sales from Region</t>
  </si>
  <si>
    <t>Total Sales from North</t>
  </si>
  <si>
    <t>Total sales from N &amp; Elec</t>
  </si>
  <si>
    <t>Average Sales</t>
  </si>
  <si>
    <t>Average Sales by region</t>
  </si>
  <si>
    <t>Rahul</t>
  </si>
  <si>
    <t>Priya</t>
  </si>
  <si>
    <t>Amit</t>
  </si>
  <si>
    <t>Neha</t>
  </si>
  <si>
    <t>Simran</t>
  </si>
  <si>
    <t>Karan</t>
  </si>
  <si>
    <t>Rohan</t>
  </si>
  <si>
    <t>Anjali</t>
  </si>
  <si>
    <t>Arjun</t>
  </si>
  <si>
    <t>Sneha</t>
  </si>
  <si>
    <t>Vikas</t>
  </si>
  <si>
    <t>Pooja</t>
  </si>
  <si>
    <t>Aditya</t>
  </si>
  <si>
    <t>Kavya</t>
  </si>
  <si>
    <t>Manish</t>
  </si>
  <si>
    <t>E-Commerce Sales Analysis – Excel Revision Project</t>
  </si>
  <si>
    <t>Dataset</t>
  </si>
  <si>
    <t>1,000 transaction rows in Raw_Data</t>
  </si>
  <si>
    <t>Practice areas</t>
  </si>
  <si>
    <t>Data cleaning, IF/IFS, SUMIF/SUMIFS, COUNTIF/COUNTIFS, AVERAGEIF, XLOOKUP/VLOOKUP, INDEX-MATCH, date/text functions, PivotTables, charts, slicers, dashboard</t>
  </si>
  <si>
    <t>Suggested calculated columns</t>
  </si>
  <si>
    <t>Profit, Profit Margin %, Year, Month, Quarter, Sales Category</t>
  </si>
  <si>
    <t>First task</t>
  </si>
  <si>
    <t>Create a copy of Raw_Data named Cleaned_Data and begin your cleaning/analysis there.</t>
  </si>
  <si>
    <t>Sum of Sales</t>
  </si>
  <si>
    <t>Sum of Profit</t>
  </si>
  <si>
    <t>Count of Order_ID</t>
  </si>
  <si>
    <t>2024</t>
  </si>
  <si>
    <t>Jan</t>
  </si>
  <si>
    <t>Feb</t>
  </si>
  <si>
    <t>Apr</t>
  </si>
  <si>
    <t>May</t>
  </si>
  <si>
    <t>Jun</t>
  </si>
  <si>
    <t>Jul</t>
  </si>
  <si>
    <t>Aug</t>
  </si>
  <si>
    <t>Sept</t>
  </si>
  <si>
    <t>Oct</t>
  </si>
  <si>
    <t>Nov</t>
  </si>
  <si>
    <t>Dec</t>
  </si>
  <si>
    <t>2025</t>
  </si>
  <si>
    <t>Mar</t>
  </si>
  <si>
    <t>Categories</t>
  </si>
  <si>
    <t>Year wise Months</t>
  </si>
  <si>
    <t>Total Sales</t>
  </si>
  <si>
    <t>Total Profit</t>
  </si>
  <si>
    <t>Total Order</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</si>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</sst>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7">
    <font>
      <sz val="11"/>
      <name val="Carlito"/>
    </font>
    <font>
      <b/>
      <sz val="11"/>
      <color rgb="FFFFFFFF"/>
      <name val="Carlito"/>
    </font>
    <font>
      <b/>
      <sz val="14"/>
      <color rgb="FFFFFFFF"/>
      <name val="Carlito"/>
    </font>
    <font>
      <b/>
      <sz val="11"/>
      <name val="Carlito"/>
    </font>
    <font>
      <b/>
      <sz val="16"/>
      <name val="Carlito"/>
    </font>
    <font>
      <sz val="14"/>
      <name val="Carlito"/>
    </font>
    <font>
      <b/>
      <sz val="16"/>
      <name val="Arial Unicode MS"/>
    </font>
  </fonts>
  <fills count="8">
    <fill>
      <patternFill patternType="none"/>
    </fill>
    <fill>
      <patternFill patternType="gray125"/>
    </fill>
    <fill>
      <patternFill patternType="solid">
        <fgColor rgb="FF1F4E78"/>
      </patternFill>
    </fill>
    <fill>
      <patternFill patternType="solid">
        <fgColor rgb="FF1F4E78"/>
        <bgColor indexed="64"/>
      </patternFill>
    </fill>
    <fill>
      <patternFill patternType="solid">
        <fgColor rgb="FF99FF99"/>
        <bgColor indexed="64"/>
      </patternFill>
    </fill>
    <fill>
      <patternFill patternType="solid">
        <fgColor rgb="FFFFCC99"/>
        <bgColor indexed="64"/>
      </patternFill>
    </fill>
    <fill>
      <patternFill patternType="solid">
        <fgColor rgb="FFFFCCFF"/>
        <bgColor indexed="64"/>
      </patternFill>
    </fill>
    <fill>
      <patternFill patternType="solid">
        <fgColor rgb="FFCCECFF"/>
        <bgColor indexed="64"/>
      </patternFill>
    </fill>
  </fills>
  <borders count="3">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6">
    <xf numFmtId="0" fontId="0" fillId="0" borderId="0" xfId="0"/>
    <xf numFmtId="0" fontId="1" fillId="2" borderId="0" xfId="0" applyFont="1" applyFill="1" applyAlignment="1">
      <alignment horizontal="center" vertical="center"/>
    </xf>
    <xf numFmtId="164" fontId="0" fillId="0" borderId="0" xfId="0" applyNumberFormat="1"/>
    <xf numFmtId="4" fontId="0" fillId="0" borderId="0" xfId="0" applyNumberFormat="1"/>
    <xf numFmtId="9" fontId="0" fillId="0" borderId="0" xfId="0" applyNumberFormat="1"/>
    <xf numFmtId="0" fontId="3" fillId="0" borderId="0" xfId="0" applyFont="1" applyAlignment="1">
      <alignment wrapText="1"/>
    </xf>
    <xf numFmtId="0" fontId="0" fillId="0" borderId="0" xfId="0" applyAlignment="1">
      <alignment wrapText="1"/>
    </xf>
    <xf numFmtId="0" fontId="3" fillId="0" borderId="0" xfId="0" applyFont="1" applyAlignment="1">
      <alignment horizontal="center" vertical="center" wrapText="1"/>
    </xf>
    <xf numFmtId="0" fontId="0" fillId="0" borderId="0" xfId="0" applyAlignment="1">
      <alignment vertical="center" wrapText="1"/>
    </xf>
    <xf numFmtId="0" fontId="2" fillId="2" borderId="0" xfId="0" applyFont="1" applyFill="1" applyAlignment="1">
      <alignment horizontal="center" wrapText="1"/>
    </xf>
    <xf numFmtId="0" fontId="1" fillId="3" borderId="0" xfId="0" applyFont="1" applyFill="1" applyAlignment="1">
      <alignment horizontal="center"/>
    </xf>
    <xf numFmtId="14" fontId="1" fillId="3" borderId="0" xfId="0" applyNumberFormat="1" applyFont="1" applyFill="1" applyAlignment="1">
      <alignment horizontal="center"/>
    </xf>
    <xf numFmtId="0" fontId="0" fillId="0" borderId="0" xfId="0" applyAlignment="1"/>
    <xf numFmtId="0" fontId="3" fillId="0" borderId="0" xfId="0" applyFont="1" applyAlignment="1"/>
    <xf numFmtId="14" fontId="0" fillId="0" borderId="0" xfId="0" applyNumberFormat="1" applyAlignment="1"/>
    <xf numFmtId="0" fontId="3" fillId="0" borderId="0" xfId="0" applyFont="1" applyAlignment="1">
      <alignment horizontal="center" wrapText="1"/>
    </xf>
    <xf numFmtId="0" fontId="0" fillId="0" borderId="0" xfId="0" applyAlignment="1">
      <alignment vertical="center"/>
    </xf>
    <xf numFmtId="14" fontId="0" fillId="0" borderId="0" xfId="0" applyNumberFormat="1" applyAlignment="1">
      <alignment vertical="center"/>
    </xf>
    <xf numFmtId="4" fontId="0" fillId="0" borderId="0" xfId="0" applyNumberFormat="1" applyAlignment="1">
      <alignment vertical="center"/>
    </xf>
    <xf numFmtId="0" fontId="0" fillId="0" borderId="0" xfId="0" applyAlignment="1">
      <alignment horizontal="center" vertical="center"/>
    </xf>
    <xf numFmtId="9" fontId="0" fillId="0" borderId="0" xfId="0" applyNumberFormat="1" applyAlignment="1">
      <alignment horizontal="center" vertical="center"/>
    </xf>
    <xf numFmtId="4" fontId="0" fillId="0" borderId="0" xfId="0" applyNumberFormat="1" applyAlignment="1">
      <alignment horizontal="center" vertical="center"/>
    </xf>
    <xf numFmtId="10" fontId="0" fillId="0" borderId="0" xfId="0" applyNumberFormat="1" applyAlignment="1">
      <alignment horizontal="center" vertical="center"/>
    </xf>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4" fontId="5" fillId="4" borderId="2" xfId="0" applyNumberFormat="1" applyFont="1" applyFill="1" applyBorder="1" applyAlignment="1">
      <alignment horizontal="center"/>
    </xf>
    <xf numFmtId="0" fontId="4" fillId="4" borderId="1" xfId="0" applyFont="1" applyFill="1" applyBorder="1" applyAlignment="1">
      <alignment horizontal="center"/>
    </xf>
    <xf numFmtId="0" fontId="4" fillId="5" borderId="1" xfId="0" applyFont="1" applyFill="1" applyBorder="1" applyAlignment="1">
      <alignment horizontal="center"/>
    </xf>
    <xf numFmtId="4" fontId="5" fillId="5" borderId="2" xfId="0" applyNumberFormat="1" applyFont="1" applyFill="1" applyBorder="1" applyAlignment="1">
      <alignment horizontal="center"/>
    </xf>
    <xf numFmtId="0" fontId="4" fillId="6" borderId="1" xfId="0" applyFont="1" applyFill="1" applyBorder="1" applyAlignment="1">
      <alignment horizontal="center"/>
    </xf>
    <xf numFmtId="0" fontId="5" fillId="6" borderId="2" xfId="0" applyFont="1" applyFill="1" applyBorder="1" applyAlignment="1">
      <alignment horizontal="center"/>
    </xf>
    <xf numFmtId="0" fontId="6" fillId="7" borderId="1" xfId="0" applyFont="1" applyFill="1" applyBorder="1" applyAlignment="1">
      <alignment horizontal="center" vertical="center"/>
    </xf>
    <xf numFmtId="10" fontId="5" fillId="7" borderId="2" xfId="0" applyNumberFormat="1" applyFont="1" applyFill="1" applyBorder="1" applyAlignment="1">
      <alignment horizontal="center"/>
    </xf>
  </cellXfs>
  <cellStyles count="1">
    <cellStyle name="Normal" xfId="0" builtinId="0"/>
  </cellStyles>
  <dxfs count="40">
    <dxf>
      <font>
        <color rgb="FF9C0006"/>
      </font>
      <fill>
        <patternFill>
          <bgColor rgb="FFFFC7CE"/>
        </patternFill>
      </fill>
    </dxf>
    <dxf>
      <font>
        <color rgb="FF9C0006"/>
      </font>
      <fill>
        <patternFill>
          <bgColor rgb="FFFFC7CE"/>
        </patternFill>
      </fill>
    </dxf>
    <dxf>
      <numFmt numFmtId="0" formatCode="General"/>
      <alignment horizontal="center" vertical="center" textRotation="0" wrapText="0" indent="0" justifyLastLine="0" shrinkToFit="0" readingOrder="0"/>
    </dxf>
    <dxf>
      <numFmt numFmtId="0" formatCode="General"/>
      <alignment horizontal="general"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numFmt numFmtId="4" formatCode="#,##0.0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19" formatCode="dd/mm/yyyy"/>
      <alignment horizontal="general" vertical="center" textRotation="0" wrapText="0" indent="0" justifyLastLine="0" shrinkToFit="0" readingOrder="0"/>
    </dxf>
    <dxf>
      <alignment horizontal="general" vertical="center" textRotation="0" wrapText="0" indent="0" justifyLastLine="0" shrinkToFit="0" readingOrder="0"/>
    </dxf>
    <dxf>
      <alignment vertical="bottom" textRotation="0" indent="0" justifyLastLine="0" shrinkToFit="0" readingOrder="0"/>
    </dxf>
    <dxf>
      <alignment vertical="bottom" textRotation="0" indent="0" justifyLastLine="0" shrinkToFit="0" readingOrder="0"/>
    </dxf>
  </dxfs>
  <tableStyles count="0" defaultTableStyle="TableStyleMedium2" defaultPivotStyle="PivotStyleLight16"/>
  <colors>
    <mruColors>
      <color rgb="FFCCECFF"/>
      <color rgb="FFFFCCFF"/>
      <color rgb="FFFFCC99"/>
      <color rgb="FF99FF99"/>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[Ecommerce_Sales_Analysis.xlsx]Pivot_Analysis!PivotTable1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c:f>
              <c:strCache>
                <c:ptCount val="1"/>
                <c:pt idx="0">
                  <c:v>Total</c:v>
                </c:pt>
              </c:strCache>
            </c:strRef>
          </c:tx>
          <c:spPr>
            <a:solidFill>
              <a:schemeClr val="accent1"/>
            </a:solidFill>
            <a:ln>
              <a:noFill/>
            </a:ln>
            <a:effectLst/>
          </c:spPr>
          <c:invertIfNegative val="0"/>
          <c:cat>
            <c:strRef>
              <c:f>Pivot_Analysis!$A$2:$A$6</c:f>
              <c:strCache>
                <c:ptCount val="5"/>
                <c:pt idx="0">
                  <c:v>Central</c:v>
                </c:pt>
                <c:pt idx="1">
                  <c:v>East</c:v>
                </c:pt>
                <c:pt idx="2">
                  <c:v>North</c:v>
                </c:pt>
                <c:pt idx="3">
                  <c:v>South</c:v>
                </c:pt>
                <c:pt idx="4">
                  <c:v>West</c:v>
                </c:pt>
              </c:strCache>
            </c:strRef>
          </c:cat>
          <c:val>
            <c:numRef>
              <c:f>Pivot_Analysis!$B$2:$B$6</c:f>
              <c:numCache>
                <c:formatCode>#,##0.00</c:formatCode>
                <c:ptCount val="5"/>
                <c:pt idx="0">
                  <c:v>5237039.3600000022</c:v>
                </c:pt>
                <c:pt idx="1">
                  <c:v>6067721.0599999987</c:v>
                </c:pt>
                <c:pt idx="2">
                  <c:v>5874946.9600000009</c:v>
                </c:pt>
                <c:pt idx="3">
                  <c:v>6974975.5899999989</c:v>
                </c:pt>
                <c:pt idx="4">
                  <c:v>6335428.4200000018</c:v>
                </c:pt>
              </c:numCache>
            </c:numRef>
          </c:val>
          <c:extLst>
            <c:ext xmlns:c16="http://schemas.microsoft.com/office/drawing/2014/chart" uri="{C3380CC4-5D6E-409C-BE32-E72D297353CC}">
              <c16:uniqueId val="{00000000-FC40-4963-912C-0F9EA718D2FE}"/>
            </c:ext>
          </c:extLst>
        </c:ser>
        <c:dLbls>
          <c:showLegendKey val="0"/>
          <c:showVal val="0"/>
          <c:showCatName val="0"/>
          <c:showSerName val="0"/>
          <c:showPercent val="0"/>
          <c:showBubbleSize val="0"/>
        </c:dLbls>
        <c:gapWidth val="219"/>
        <c:overlap val="-27"/>
        <c:axId val="1375442512"/>
        <c:axId val="1375441552"/>
      </c:barChart>
      <c:catAx>
        <c:axId val="13754425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441552"/>
        <c:crosses val="autoZero"/>
        <c:auto val="1"/>
        <c:lblAlgn val="ctr"/>
        <c:lblOffset val="100"/>
        <c:noMultiLvlLbl val="0"/>
      </c:catAx>
      <c:valAx>
        <c:axId val="13754415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442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[Ecommerce_Sales_Analysis.xlsx]Pivot_Analysis!PivotTable2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Pivot_Analysis!$E$1</c:f>
              <c:strCache>
                <c:ptCount val="1"/>
                <c:pt idx="0">
                  <c:v>Total</c:v>
                </c:pt>
              </c:strCache>
            </c:strRef>
          </c:tx>
          <c:spPr>
            <a:solidFill>
              <a:schemeClr val="accent1"/>
            </a:solidFill>
            <a:ln>
              <a:noFill/>
            </a:ln>
            <a:effectLst/>
          </c:spPr>
          <c:invertIfNegative val="0"/>
          <c:cat>
            <c:strRef>
              <c:f>Pivot_Analysis!$D$2:$D$5</c:f>
              <c:strCache>
                <c:ptCount val="4"/>
                <c:pt idx="0">
                  <c:v>Electronics</c:v>
                </c:pt>
                <c:pt idx="1">
                  <c:v>Fashion</c:v>
                </c:pt>
                <c:pt idx="2">
                  <c:v>Furniture</c:v>
                </c:pt>
                <c:pt idx="3">
                  <c:v>Home Appliances</c:v>
                </c:pt>
              </c:strCache>
            </c:strRef>
          </c:cat>
          <c:val>
            <c:numRef>
              <c:f>Pivot_Analysis!$E$2:$E$5</c:f>
              <c:numCache>
                <c:formatCode>#,##0.00</c:formatCode>
                <c:ptCount val="4"/>
                <c:pt idx="0">
                  <c:v>14670585.22000001</c:v>
                </c:pt>
                <c:pt idx="1">
                  <c:v>1409923.8100000005</c:v>
                </c:pt>
                <c:pt idx="2">
                  <c:v>10100717.520000001</c:v>
                </c:pt>
                <c:pt idx="3">
                  <c:v>4308884.8399999989</c:v>
                </c:pt>
              </c:numCache>
            </c:numRef>
          </c:val>
          <c:extLst>
            <c:ext xmlns:c16="http://schemas.microsoft.com/office/drawing/2014/chart" uri="{C3380CC4-5D6E-409C-BE32-E72D297353CC}">
              <c16:uniqueId val="{00000000-09FA-4131-88F4-2797A5CC7C77}"/>
            </c:ext>
          </c:extLst>
        </c:ser>
        <c:dLbls>
          <c:showLegendKey val="0"/>
          <c:showVal val="0"/>
          <c:showCatName val="0"/>
          <c:showSerName val="0"/>
          <c:showPercent val="0"/>
          <c:showBubbleSize val="0"/>
        </c:dLbls>
        <c:gapWidth val="182"/>
        <c:axId val="942106096"/>
        <c:axId val="1124835456"/>
      </c:barChart>
      <c:catAx>
        <c:axId val="942106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835456"/>
        <c:crosses val="autoZero"/>
        <c:auto val="1"/>
        <c:lblAlgn val="ctr"/>
        <c:lblOffset val="100"/>
        <c:noMultiLvlLbl val="0"/>
      </c:catAx>
      <c:valAx>
        <c:axId val="112483545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2106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[Ecommerce_Sales_Analysis.xlsx]Pivot_Analysis!PivotTable6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Monthly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Pivot_Analysis!$K$1</c:f>
              <c:strCache>
                <c:ptCount val="1"/>
                <c:pt idx="0">
                  <c:v>Total</c:v>
                </c:pt>
              </c:strCache>
            </c:strRef>
          </c:tx>
          <c:spPr>
            <a:ln w="28575" cap="rnd">
              <a:solidFill>
                <a:schemeClr val="accent1"/>
              </a:solidFill>
              <a:round/>
            </a:ln>
            <a:effectLst/>
          </c:spPr>
          <c:marker>
            <c:symbol val="none"/>
          </c:marker>
          <c:cat>
            <c:multiLvlStrRef>
              <c:f>Pivot_Analysis!$J$2:$J$27</c:f>
              <c:multiLvlStrCache>
                <c:ptCount val="24"/>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lvl>
                <c:lvl>
                  <c:pt idx="0">
                    <c:v>2024</c:v>
                  </c:pt>
                  <c:pt idx="12">
                    <c:v>2025</c:v>
                  </c:pt>
                </c:lvl>
              </c:multiLvlStrCache>
            </c:multiLvlStrRef>
          </c:cat>
          <c:val>
            <c:numRef>
              <c:f>Pivot_Analysis!$K$2:$K$27</c:f>
              <c:numCache>
                <c:formatCode>#,##0.00</c:formatCode>
                <c:ptCount val="24"/>
                <c:pt idx="0">
                  <c:v>923718.02</c:v>
                </c:pt>
                <c:pt idx="1">
                  <c:v>1883708.6100000003</c:v>
                </c:pt>
                <c:pt idx="2">
                  <c:v>743073.3</c:v>
                </c:pt>
                <c:pt idx="3">
                  <c:v>1302885.6800000002</c:v>
                </c:pt>
                <c:pt idx="4">
                  <c:v>1701487.5000000002</c:v>
                </c:pt>
                <c:pt idx="5">
                  <c:v>1560945.9299999997</c:v>
                </c:pt>
                <c:pt idx="6">
                  <c:v>916590.86</c:v>
                </c:pt>
                <c:pt idx="7">
                  <c:v>920956.44999999984</c:v>
                </c:pt>
                <c:pt idx="8">
                  <c:v>1025606.6399999998</c:v>
                </c:pt>
                <c:pt idx="9">
                  <c:v>1394735.63</c:v>
                </c:pt>
                <c:pt idx="10">
                  <c:v>1689430.3799999997</c:v>
                </c:pt>
                <c:pt idx="11">
                  <c:v>1393797.58</c:v>
                </c:pt>
                <c:pt idx="12">
                  <c:v>1062299.98</c:v>
                </c:pt>
                <c:pt idx="13">
                  <c:v>1148589.19</c:v>
                </c:pt>
                <c:pt idx="14">
                  <c:v>1162416.54</c:v>
                </c:pt>
                <c:pt idx="15">
                  <c:v>1393344.2600000005</c:v>
                </c:pt>
                <c:pt idx="16">
                  <c:v>1215926.4400000002</c:v>
                </c:pt>
                <c:pt idx="17">
                  <c:v>806165.72</c:v>
                </c:pt>
                <c:pt idx="18">
                  <c:v>1101054.54</c:v>
                </c:pt>
                <c:pt idx="19">
                  <c:v>1398247.6500000008</c:v>
                </c:pt>
                <c:pt idx="20">
                  <c:v>1052692.6299999999</c:v>
                </c:pt>
                <c:pt idx="21">
                  <c:v>1733530.1900000006</c:v>
                </c:pt>
                <c:pt idx="22">
                  <c:v>1628962.8499999996</c:v>
                </c:pt>
                <c:pt idx="23">
                  <c:v>1329944.8199999996</c:v>
                </c:pt>
              </c:numCache>
            </c:numRef>
          </c:val>
          <c:smooth val="0"/>
          <c:extLst>
            <c:ext xmlns:c16="http://schemas.microsoft.com/office/drawing/2014/chart" uri="{C3380CC4-5D6E-409C-BE32-E72D297353CC}">
              <c16:uniqueId val="{00000000-7659-4EA8-96E4-53B1A1FB71CA}"/>
            </c:ext>
          </c:extLst>
        </c:ser>
        <c:dLbls>
          <c:showLegendKey val="0"/>
          <c:showVal val="0"/>
          <c:showCatName val="0"/>
          <c:showSerName val="0"/>
          <c:showPercent val="0"/>
          <c:showBubbleSize val="0"/>
        </c:dLbls>
        <c:smooth val="0"/>
        <c:axId val="1336152096"/>
        <c:axId val="1336152576"/>
      </c:lineChart>
      <c:catAx>
        <c:axId val="133615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152576"/>
        <c:crosses val="autoZero"/>
        <c:auto val="1"/>
        <c:lblAlgn val="ctr"/>
        <c:lblOffset val="100"/>
        <c:noMultiLvlLbl val="0"/>
      </c:catAx>
      <c:valAx>
        <c:axId val="13361525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15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[Ecommerce_Sales_Analysis.xlsx]Pivot_Analysis!PivotTable3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Pivot_Analysis!$B$9</c:f>
              <c:strCache>
                <c:ptCount val="1"/>
                <c:pt idx="0">
                  <c:v>Total</c:v>
                </c:pt>
              </c:strCache>
            </c:strRef>
          </c:tx>
          <c:spPr>
            <a:solidFill>
              <a:schemeClr val="accent1"/>
            </a:solidFill>
            <a:ln>
              <a:noFill/>
            </a:ln>
            <a:effectLst/>
          </c:spPr>
          <c:invertIfNegative val="0"/>
          <c:cat>
            <c:strRef>
              <c:f>Pivot_Analysis!$A$10:$A$14</c:f>
              <c:strCache>
                <c:ptCount val="5"/>
                <c:pt idx="0">
                  <c:v>Central</c:v>
                </c:pt>
                <c:pt idx="1">
                  <c:v>East</c:v>
                </c:pt>
                <c:pt idx="2">
                  <c:v>North</c:v>
                </c:pt>
                <c:pt idx="3">
                  <c:v>South</c:v>
                </c:pt>
                <c:pt idx="4">
                  <c:v>West</c:v>
                </c:pt>
              </c:strCache>
            </c:strRef>
          </c:cat>
          <c:val>
            <c:numRef>
              <c:f>Pivot_Analysis!$B$10:$B$14</c:f>
              <c:numCache>
                <c:formatCode>#,##0.00</c:formatCode>
                <c:ptCount val="5"/>
                <c:pt idx="0">
                  <c:v>1724615.5700000003</c:v>
                </c:pt>
                <c:pt idx="1">
                  <c:v>1695740.7300000009</c:v>
                </c:pt>
                <c:pt idx="2">
                  <c:v>1779101.0700000005</c:v>
                </c:pt>
                <c:pt idx="3">
                  <c:v>1983635.8299999998</c:v>
                </c:pt>
                <c:pt idx="4">
                  <c:v>1923582.8000000003</c:v>
                </c:pt>
              </c:numCache>
            </c:numRef>
          </c:val>
          <c:extLst>
            <c:ext xmlns:c16="http://schemas.microsoft.com/office/drawing/2014/chart" uri="{C3380CC4-5D6E-409C-BE32-E72D297353CC}">
              <c16:uniqueId val="{00000000-C196-40C2-9B63-227F8DC79472}"/>
            </c:ext>
          </c:extLst>
        </c:ser>
        <c:dLbls>
          <c:showLegendKey val="0"/>
          <c:showVal val="0"/>
          <c:showCatName val="0"/>
          <c:showSerName val="0"/>
          <c:showPercent val="0"/>
          <c:showBubbleSize val="0"/>
        </c:dLbls>
        <c:gapWidth val="219"/>
        <c:overlap val="-27"/>
        <c:axId val="907700096"/>
        <c:axId val="907700576"/>
      </c:barChart>
      <c:catAx>
        <c:axId val="907700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700576"/>
        <c:crosses val="autoZero"/>
        <c:auto val="1"/>
        <c:lblAlgn val="ctr"/>
        <c:lblOffset val="100"/>
        <c:noMultiLvlLbl val="0"/>
      </c:catAx>
      <c:valAx>
        <c:axId val="9077005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70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xdr:row>
      <xdr:rowOff>7620</xdr:rowOff>
    </xdr:from>
    <xdr:to>
      <xdr:col>2</xdr:col>
      <xdr:colOff>472020</xdr:colOff>
      <xdr:row>10</xdr:row>
      <xdr:rowOff>121920</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B0128E33-B615-4F0E-9526-10C881E1E8C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77333" y="1277620"/>
              <a:ext cx="2066576" cy="7916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15240</xdr:colOff>
      <xdr:row>6</xdr:row>
      <xdr:rowOff>0</xdr:rowOff>
    </xdr:from>
    <xdr:to>
      <xdr:col>5</xdr:col>
      <xdr:colOff>525780</xdr:colOff>
      <xdr:row>10</xdr:row>
      <xdr:rowOff>129541</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B055DC53-5416-4DB6-B877-8CD83276F68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964462" y="1270000"/>
              <a:ext cx="2556651" cy="806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807720</xdr:colOff>
      <xdr:row>6</xdr:row>
      <xdr:rowOff>15241</xdr:rowOff>
    </xdr:from>
    <xdr:to>
      <xdr:col>8</xdr:col>
      <xdr:colOff>22860</xdr:colOff>
      <xdr:row>10</xdr:row>
      <xdr:rowOff>137161</xdr:rowOff>
    </xdr:to>
    <mc:AlternateContent xmlns:mc="http://schemas.openxmlformats.org/markup-compatibility/2006">
      <mc:Choice xmlns:a14="http://schemas.microsoft.com/office/drawing/2010/main" Requires="a14">
        <xdr:graphicFrame macro="">
          <xdr:nvGraphicFramePr>
            <xdr:cNvPr id="7" name="Order_Status">
              <a:extLst>
                <a:ext uri="{FF2B5EF4-FFF2-40B4-BE49-F238E27FC236}">
                  <a16:creationId xmlns:a16="http://schemas.microsoft.com/office/drawing/2014/main" id="{AECE3DFA-ABCF-467F-967B-2B99C48928C2}"/>
                </a:ext>
              </a:extLst>
            </xdr:cNvPr>
            <xdr:cNvGraphicFramePr/>
          </xdr:nvGraphicFramePr>
          <xdr:xfrm>
            <a:off x="0" y="0"/>
            <a:ext cx="0" cy="0"/>
          </xdr:xfrm>
          <a:graphic>
            <a:graphicData uri="http://schemas.microsoft.com/office/drawing/2010/slicer">
              <sle:slicer xmlns:sle="http://schemas.microsoft.com/office/drawing/2010/slicer" name="Order_Status"/>
            </a:graphicData>
          </a:graphic>
        </xdr:graphicFrame>
      </mc:Choice>
      <mc:Fallback>
        <xdr:sp macro="" textlink="">
          <xdr:nvSpPr>
            <xdr:cNvPr id="0" name=""/>
            <xdr:cNvSpPr>
              <a:spLocks noTextEdit="1"/>
            </xdr:cNvSpPr>
          </xdr:nvSpPr>
          <xdr:spPr>
            <a:xfrm>
              <a:off x="5803053" y="1285241"/>
              <a:ext cx="2799363" cy="7992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12</xdr:row>
      <xdr:rowOff>0</xdr:rowOff>
    </xdr:from>
    <xdr:to>
      <xdr:col>3</xdr:col>
      <xdr:colOff>773430</xdr:colOff>
      <xdr:row>24</xdr:row>
      <xdr:rowOff>68580</xdr:rowOff>
    </xdr:to>
    <xdr:graphicFrame macro="">
      <xdr:nvGraphicFramePr>
        <xdr:cNvPr id="8" name="Chart 7">
          <a:extLst>
            <a:ext uri="{FF2B5EF4-FFF2-40B4-BE49-F238E27FC236}">
              <a16:creationId xmlns:a16="http://schemas.microsoft.com/office/drawing/2014/main" id="{8FF357C3-F9E5-4781-BE24-723640AE54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960120</xdr:colOff>
      <xdr:row>11</xdr:row>
      <xdr:rowOff>160020</xdr:rowOff>
    </xdr:from>
    <xdr:to>
      <xdr:col>8</xdr:col>
      <xdr:colOff>38100</xdr:colOff>
      <xdr:row>23</xdr:row>
      <xdr:rowOff>91440</xdr:rowOff>
    </xdr:to>
    <xdr:graphicFrame macro="">
      <xdr:nvGraphicFramePr>
        <xdr:cNvPr id="9" name="Chart 8">
          <a:extLst>
            <a:ext uri="{FF2B5EF4-FFF2-40B4-BE49-F238E27FC236}">
              <a16:creationId xmlns:a16="http://schemas.microsoft.com/office/drawing/2014/main" id="{11C94ECB-042E-4007-8B24-C3392F8CD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26</xdr:row>
      <xdr:rowOff>0</xdr:rowOff>
    </xdr:from>
    <xdr:to>
      <xdr:col>8</xdr:col>
      <xdr:colOff>42333</xdr:colOff>
      <xdr:row>41</xdr:row>
      <xdr:rowOff>114300</xdr:rowOff>
    </xdr:to>
    <xdr:graphicFrame macro="">
      <xdr:nvGraphicFramePr>
        <xdr:cNvPr id="10" name="Chart 9">
          <a:extLst>
            <a:ext uri="{FF2B5EF4-FFF2-40B4-BE49-F238E27FC236}">
              <a16:creationId xmlns:a16="http://schemas.microsoft.com/office/drawing/2014/main" id="{7772EDF9-F85B-49ED-A1BC-E0E54D6EBC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43</xdr:row>
      <xdr:rowOff>0</xdr:rowOff>
    </xdr:from>
    <xdr:to>
      <xdr:col>8</xdr:col>
      <xdr:colOff>28222</xdr:colOff>
      <xdr:row>54</xdr:row>
      <xdr:rowOff>137160</xdr:rowOff>
    </xdr:to>
    <xdr:graphicFrame macro="">
      <xdr:nvGraphicFramePr>
        <xdr:cNvPr id="11" name="Chart 10">
          <a:extLst>
            <a:ext uri="{FF2B5EF4-FFF2-40B4-BE49-F238E27FC236}">
              <a16:creationId xmlns:a16="http://schemas.microsoft.com/office/drawing/2014/main" id="{B66DA757-AD00-4CFF-8BDD-C8B5BFB808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p12" refreshedDate="46301.508257638889" createdVersion="8" refreshedVersion="8" minRefreshableVersion="3" recordCount="1000" xr:uid="{6C83DA08-4976-4067-A3DF-CAF8C96F2589}">
  <cacheSource type="worksheet">
    <worksheetSource name="SalesData"/>
  </cacheSource>
  <cacheFields count="37">
    <cacheField name="Order_ID" numFmtId="0">
      <sharedItems/>
    </cacheField>
    <cacheField name="Order_Date" numFmtId="14">
      <sharedItems containsSemiMixedTypes="0" containsNonDate="0" containsDate="1" containsString="0" minDate="2024-01-01T00:00:00" maxDate="2026-01-01T00:00:00" count="535">
        <d v="2024-02-13T00:00:00"/>
        <d v="2025-04-12T00:00:00"/>
        <d v="2025-06-29T00:00:00"/>
        <d v="2024-07-27T00:00:00"/>
        <d v="2024-07-11T00:00:00"/>
        <d v="2024-09-15T00:00:00"/>
        <d v="2025-06-06T00:00:00"/>
        <d v="2024-02-16T00:00:00"/>
        <d v="2025-05-02T00:00:00"/>
        <d v="2025-08-01T00:00:00"/>
        <d v="2024-08-30T00:00:00"/>
        <d v="2025-03-11T00:00:00"/>
        <d v="2024-06-05T00:00:00"/>
        <d v="2024-04-10T00:00:00"/>
        <d v="2025-08-09T00:00:00"/>
        <d v="2024-02-26T00:00:00"/>
        <d v="2025-05-30T00:00:00"/>
        <d v="2024-06-09T00:00:00"/>
        <d v="2025-11-07T00:00:00"/>
        <d v="2024-07-16T00:00:00"/>
        <d v="2025-01-15T00:00:00"/>
        <d v="2025-02-11T00:00:00"/>
        <d v="2024-03-08T00:00:00"/>
        <d v="2025-05-28T00:00:00"/>
        <d v="2024-05-13T00:00:00"/>
        <d v="2024-03-06T00:00:00"/>
        <d v="2025-10-31T00:00:00"/>
        <d v="2024-11-30T00:00:00"/>
        <d v="2025-09-23T00:00:00"/>
        <d v="2025-02-27T00:00:00"/>
        <d v="2025-04-13T00:00:00"/>
        <d v="2025-11-08T00:00:00"/>
        <d v="2025-06-23T00:00:00"/>
        <d v="2024-10-29T00:00:00"/>
        <d v="2024-06-17T00:00:00"/>
        <d v="2024-12-26T00:00:00"/>
        <d v="2025-04-05T00:00:00"/>
        <d v="2025-05-17T00:00:00"/>
        <d v="2024-01-12T00:00:00"/>
        <d v="2024-08-20T00:00:00"/>
        <d v="2025-07-18T00:00:00"/>
        <d v="2024-08-07T00:00:00"/>
        <d v="2024-10-25T00:00:00"/>
        <d v="2025-02-09T00:00:00"/>
        <d v="2025-05-01T00:00:00"/>
        <d v="2025-07-19T00:00:00"/>
        <d v="2025-11-18T00:00:00"/>
        <d v="2024-01-02T00:00:00"/>
        <d v="2024-12-19T00:00:00"/>
        <d v="2024-04-22T00:00:00"/>
        <d v="2025-03-09T00:00:00"/>
        <d v="2025-10-21T00:00:00"/>
        <d v="2024-05-22T00:00:00"/>
        <d v="2025-07-30T00:00:00"/>
        <d v="2024-04-28T00:00:00"/>
        <d v="2024-05-11T00:00:00"/>
        <d v="2024-06-28T00:00:00"/>
        <d v="2025-05-09T00:00:00"/>
        <d v="2025-11-23T00:00:00"/>
        <d v="2024-04-18T00:00:00"/>
        <d v="2024-12-03T00:00:00"/>
        <d v="2024-09-18T00:00:00"/>
        <d v="2024-09-23T00:00:00"/>
        <d v="2024-09-25T00:00:00"/>
        <d v="2025-09-25T00:00:00"/>
        <d v="2024-09-14T00:00:00"/>
        <d v="2024-01-23T00:00:00"/>
        <d v="2024-07-03T00:00:00"/>
        <d v="2024-11-18T00:00:00"/>
        <d v="2024-10-31T00:00:00"/>
        <d v="2024-09-27T00:00:00"/>
        <d v="2024-04-27T00:00:00"/>
        <d v="2024-01-08T00:00:00"/>
        <d v="2024-07-21T00:00:00"/>
        <d v="2025-07-04T00:00:00"/>
        <d v="2024-05-15T00:00:00"/>
        <d v="2025-01-24T00:00:00"/>
        <d v="2025-01-14T00:00:00"/>
        <d v="2025-11-20T00:00:00"/>
        <d v="2024-05-18T00:00:00"/>
        <d v="2024-03-27T00:00:00"/>
        <d v="2024-03-12T00:00:00"/>
        <d v="2025-12-27T00:00:00"/>
        <d v="2025-08-16T00:00:00"/>
        <d v="2024-10-03T00:00:00"/>
        <d v="2025-02-08T00:00:00"/>
        <d v="2024-03-18T00:00:00"/>
        <d v="2025-07-28T00:00:00"/>
        <d v="2024-03-22T00:00:00"/>
        <d v="2025-10-08T00:00:00"/>
        <d v="2025-01-13T00:00:00"/>
        <d v="2024-07-17T00:00:00"/>
        <d v="2024-05-26T00:00:00"/>
        <d v="2025-07-10T00:00:00"/>
        <d v="2025-10-20T00:00:00"/>
        <d v="2025-02-24T00:00:00"/>
        <d v="2025-02-14T00:00:00"/>
        <d v="2024-04-19T00:00:00"/>
        <d v="2025-11-26T00:00:00"/>
        <d v="2025-02-22T00:00:00"/>
        <d v="2025-06-13T00:00:00"/>
        <d v="2025-07-13T00:00:00"/>
        <d v="2025-02-06T00:00:00"/>
        <d v="2024-06-25T00:00:00"/>
        <d v="2025-03-31T00:00:00"/>
        <d v="2025-01-17T00:00:00"/>
        <d v="2025-06-12T00:00:00"/>
        <d v="2025-01-27T00:00:00"/>
        <d v="2024-12-10T00:00:00"/>
        <d v="2025-09-29T00:00:00"/>
        <d v="2024-02-14T00:00:00"/>
        <d v="2025-12-23T00:00:00"/>
        <d v="2025-11-17T00:00:00"/>
        <d v="2025-08-11T00:00:00"/>
        <d v="2025-07-06T00:00:00"/>
        <d v="2025-08-05T00:00:00"/>
        <d v="2025-10-19T00:00:00"/>
        <d v="2025-12-17T00:00:00"/>
        <d v="2025-02-23T00:00:00"/>
        <d v="2025-05-10T00:00:00"/>
        <d v="2025-04-25T00:00:00"/>
        <d v="2024-06-18T00:00:00"/>
        <d v="2025-09-09T00:00:00"/>
        <d v="2024-03-30T00:00:00"/>
        <d v="2024-10-06T00:00:00"/>
        <d v="2025-05-11T00:00:00"/>
        <d v="2025-08-28T00:00:00"/>
        <d v="2025-05-04T00:00:00"/>
        <d v="2024-05-25T00:00:00"/>
        <d v="2024-01-28T00:00:00"/>
        <d v="2025-05-23T00:00:00"/>
        <d v="2024-04-05T00:00:00"/>
        <d v="2024-06-06T00:00:00"/>
        <d v="2024-05-16T00:00:00"/>
        <d v="2024-11-05T00:00:00"/>
        <d v="2025-01-05T00:00:00"/>
        <d v="2025-05-15T00:00:00"/>
        <d v="2024-11-27T00:00:00"/>
        <d v="2025-12-30T00:00:00"/>
        <d v="2025-04-02T00:00:00"/>
        <d v="2024-04-02T00:00:00"/>
        <d v="2024-04-15T00:00:00"/>
        <d v="2025-04-07T00:00:00"/>
        <d v="2024-03-09T00:00:00"/>
        <d v="2025-06-02T00:00:00"/>
        <d v="2025-08-20T00:00:00"/>
        <d v="2024-09-21T00:00:00"/>
        <d v="2025-09-17T00:00:00"/>
        <d v="2025-01-21T00:00:00"/>
        <d v="2024-07-25T00:00:00"/>
        <d v="2025-06-27T00:00:00"/>
        <d v="2024-12-17T00:00:00"/>
        <d v="2025-03-22T00:00:00"/>
        <d v="2025-04-18T00:00:00"/>
        <d v="2024-03-15T00:00:00"/>
        <d v="2024-06-27T00:00:00"/>
        <d v="2025-01-19T00:00:00"/>
        <d v="2024-11-19T00:00:00"/>
        <d v="2025-11-25T00:00:00"/>
        <d v="2024-05-23T00:00:00"/>
        <d v="2025-03-07T00:00:00"/>
        <d v="2025-09-01T00:00:00"/>
        <d v="2024-06-26T00:00:00"/>
        <d v="2024-01-05T00:00:00"/>
        <d v="2024-04-30T00:00:00"/>
        <d v="2025-12-14T00:00:00"/>
        <d v="2024-10-24T00:00:00"/>
        <d v="2024-02-29T00:00:00"/>
        <d v="2024-11-15T00:00:00"/>
        <d v="2024-08-04T00:00:00"/>
        <d v="2025-06-08T00:00:00"/>
        <d v="2025-11-24T00:00:00"/>
        <d v="2025-10-15T00:00:00"/>
        <d v="2025-05-29T00:00:00"/>
        <d v="2025-10-07T00:00:00"/>
        <d v="2025-05-31T00:00:00"/>
        <d v="2025-07-16T00:00:00"/>
        <d v="2024-12-05T00:00:00"/>
        <d v="2024-11-01T00:00:00"/>
        <d v="2024-02-19T00:00:00"/>
        <d v="2025-10-29T00:00:00"/>
        <d v="2025-08-30T00:00:00"/>
        <d v="2025-09-21T00:00:00"/>
        <d v="2025-10-10T00:00:00"/>
        <d v="2024-08-11T00:00:00"/>
        <d v="2024-08-28T00:00:00"/>
        <d v="2024-08-21T00:00:00"/>
        <d v="2024-03-10T00:00:00"/>
        <d v="2024-10-17T00:00:00"/>
        <d v="2024-05-31T00:00:00"/>
        <d v="2025-05-18T00:00:00"/>
        <d v="2024-06-14T00:00:00"/>
        <d v="2024-05-02T00:00:00"/>
        <d v="2024-12-29T00:00:00"/>
        <d v="2024-01-24T00:00:00"/>
        <d v="2024-08-02T00:00:00"/>
        <d v="2024-10-14T00:00:00"/>
        <d v="2024-09-03T00:00:00"/>
        <d v="2025-08-08T00:00:00"/>
        <d v="2025-07-07T00:00:00"/>
        <d v="2024-03-25T00:00:00"/>
        <d v="2024-06-16T00:00:00"/>
        <d v="2025-10-05T00:00:00"/>
        <d v="2024-04-13T00:00:00"/>
        <d v="2024-07-13T00:00:00"/>
        <d v="2025-01-09T00:00:00"/>
        <d v="2024-12-21T00:00:00"/>
        <d v="2024-04-01T00:00:00"/>
        <d v="2024-05-19T00:00:00"/>
        <d v="2024-12-31T00:00:00"/>
        <d v="2025-09-02T00:00:00"/>
        <d v="2024-08-14T00:00:00"/>
        <d v="2025-10-18T00:00:00"/>
        <d v="2025-04-01T00:00:00"/>
        <d v="2024-09-11T00:00:00"/>
        <d v="2025-12-31T00:00:00"/>
        <d v="2024-11-03T00:00:00"/>
        <d v="2024-02-23T00:00:00"/>
        <d v="2025-04-28T00:00:00"/>
        <d v="2024-08-23T00:00:00"/>
        <d v="2025-04-06T00:00:00"/>
        <d v="2024-09-12T00:00:00"/>
        <d v="2025-09-27T00:00:00"/>
        <d v="2025-08-23T00:00:00"/>
        <d v="2025-12-04T00:00:00"/>
        <d v="2024-12-20T00:00:00"/>
        <d v="2025-10-27T00:00:00"/>
        <d v="2025-04-10T00:00:00"/>
        <d v="2024-01-09T00:00:00"/>
        <d v="2024-06-15T00:00:00"/>
        <d v="2024-05-28T00:00:00"/>
        <d v="2024-12-08T00:00:00"/>
        <d v="2024-10-26T00:00:00"/>
        <d v="2024-11-08T00:00:00"/>
        <d v="2025-12-15T00:00:00"/>
        <d v="2025-02-20T00:00:00"/>
        <d v="2025-10-03T00:00:00"/>
        <d v="2024-02-28T00:00:00"/>
        <d v="2025-05-21T00:00:00"/>
        <d v="2024-08-25T00:00:00"/>
        <d v="2024-07-01T00:00:00"/>
        <d v="2025-08-02T00:00:00"/>
        <d v="2025-09-24T00:00:00"/>
        <d v="2024-02-02T00:00:00"/>
        <d v="2025-11-06T00:00:00"/>
        <d v="2025-06-30T00:00:00"/>
        <d v="2024-08-29T00:00:00"/>
        <d v="2025-09-05T00:00:00"/>
        <d v="2025-03-24T00:00:00"/>
        <d v="2025-05-14T00:00:00"/>
        <d v="2025-07-26T00:00:00"/>
        <d v="2025-11-02T00:00:00"/>
        <d v="2024-01-31T00:00:00"/>
        <d v="2025-03-05T00:00:00"/>
        <d v="2024-05-09T00:00:00"/>
        <d v="2025-01-18T00:00:00"/>
        <d v="2024-03-21T00:00:00"/>
        <d v="2025-12-18T00:00:00"/>
        <d v="2024-05-07T00:00:00"/>
        <d v="2025-05-12T00:00:00"/>
        <d v="2024-06-11T00:00:00"/>
        <d v="2025-04-19T00:00:00"/>
        <d v="2024-11-07T00:00:00"/>
        <d v="2025-11-12T00:00:00"/>
        <d v="2025-05-03T00:00:00"/>
        <d v="2025-06-03T00:00:00"/>
        <d v="2025-01-11T00:00:00"/>
        <d v="2024-10-02T00:00:00"/>
        <d v="2024-01-15T00:00:00"/>
        <d v="2025-05-27T00:00:00"/>
        <d v="2024-11-10T00:00:00"/>
        <d v="2024-01-17T00:00:00"/>
        <d v="2025-01-26T00:00:00"/>
        <d v="2025-11-13T00:00:00"/>
        <d v="2025-09-19T00:00:00"/>
        <d v="2024-04-26T00:00:00"/>
        <d v="2024-11-24T00:00:00"/>
        <d v="2025-11-11T00:00:00"/>
        <d v="2024-06-13T00:00:00"/>
        <d v="2025-07-14T00:00:00"/>
        <d v="2025-11-05T00:00:00"/>
        <d v="2025-02-10T00:00:00"/>
        <d v="2025-09-22T00:00:00"/>
        <d v="2024-12-14T00:00:00"/>
        <d v="2024-01-10T00:00:00"/>
        <d v="2024-03-16T00:00:00"/>
        <d v="2024-11-25T00:00:00"/>
        <d v="2025-05-19T00:00:00"/>
        <d v="2025-05-06T00:00:00"/>
        <d v="2025-03-25T00:00:00"/>
        <d v="2025-06-17T00:00:00"/>
        <d v="2024-06-29T00:00:00"/>
        <d v="2024-07-15T00:00:00"/>
        <d v="2025-12-06T00:00:00"/>
        <d v="2024-01-04T00:00:00"/>
        <d v="2024-06-30T00:00:00"/>
        <d v="2024-04-21T00:00:00"/>
        <d v="2024-09-05T00:00:00"/>
        <d v="2024-07-18T00:00:00"/>
        <d v="2024-12-06T00:00:00"/>
        <d v="2024-09-06T00:00:00"/>
        <d v="2024-07-05T00:00:00"/>
        <d v="2025-08-26T00:00:00"/>
        <d v="2024-07-07T00:00:00"/>
        <d v="2025-04-29T00:00:00"/>
        <d v="2024-01-30T00:00:00"/>
        <d v="2024-03-14T00:00:00"/>
        <d v="2025-12-24T00:00:00"/>
        <d v="2025-08-18T00:00:00"/>
        <d v="2025-11-01T00:00:00"/>
        <d v="2025-03-02T00:00:00"/>
        <d v="2025-08-13T00:00:00"/>
        <d v="2024-02-09T00:00:00"/>
        <d v="2025-04-17T00:00:00"/>
        <d v="2025-10-02T00:00:00"/>
        <d v="2024-08-24T00:00:00"/>
        <d v="2025-08-17T00:00:00"/>
        <d v="2024-09-04T00:00:00"/>
        <d v="2025-08-24T00:00:00"/>
        <d v="2024-04-24T00:00:00"/>
        <d v="2025-12-07T00:00:00"/>
        <d v="2025-03-28T00:00:00"/>
        <d v="2025-01-06T00:00:00"/>
        <d v="2024-05-27T00:00:00"/>
        <d v="2025-12-21T00:00:00"/>
        <d v="2025-05-16T00:00:00"/>
        <d v="2024-05-05T00:00:00"/>
        <d v="2025-11-15T00:00:00"/>
        <d v="2024-06-20T00:00:00"/>
        <d v="2024-12-28T00:00:00"/>
        <d v="2024-12-30T00:00:00"/>
        <d v="2024-06-23T00:00:00"/>
        <d v="2025-04-30T00:00:00"/>
        <d v="2024-02-10T00:00:00"/>
        <d v="2024-08-19T00:00:00"/>
        <d v="2024-11-21T00:00:00"/>
        <d v="2024-11-04T00:00:00"/>
        <d v="2024-05-08T00:00:00"/>
        <d v="2024-02-01T00:00:00"/>
        <d v="2024-10-23T00:00:00"/>
        <d v="2024-03-29T00:00:00"/>
        <d v="2025-10-12T00:00:00"/>
        <d v="2024-02-17T00:00:00"/>
        <d v="2025-07-02T00:00:00"/>
        <d v="2025-05-22T00:00:00"/>
        <d v="2025-01-30T00:00:00"/>
        <d v="2024-07-30T00:00:00"/>
        <d v="2024-07-31T00:00:00"/>
        <d v="2024-12-25T00:00:00"/>
        <d v="2025-06-05T00:00:00"/>
        <d v="2024-05-03T00:00:00"/>
        <d v="2024-12-02T00:00:00"/>
        <d v="2025-02-05T00:00:00"/>
        <d v="2024-05-29T00:00:00"/>
        <d v="2024-08-10T00:00:00"/>
        <d v="2025-01-29T00:00:00"/>
        <d v="2025-04-09T00:00:00"/>
        <d v="2024-12-01T00:00:00"/>
        <d v="2024-05-10T00:00:00"/>
        <d v="2024-02-24T00:00:00"/>
        <d v="2024-01-20T00:00:00"/>
        <d v="2025-06-04T00:00:00"/>
        <d v="2025-01-28T00:00:00"/>
        <d v="2025-12-08T00:00:00"/>
        <d v="2025-05-05T00:00:00"/>
        <d v="2025-02-01T00:00:00"/>
        <d v="2025-08-10T00:00:00"/>
        <d v="2024-11-16T00:00:00"/>
        <d v="2024-07-24T00:00:00"/>
        <d v="2025-10-13T00:00:00"/>
        <d v="2025-02-18T00:00:00"/>
        <d v="2025-09-20T00:00:00"/>
        <d v="2025-10-28T00:00:00"/>
        <d v="2025-05-24T00:00:00"/>
        <d v="2025-01-04T00:00:00"/>
        <d v="2025-05-20T00:00:00"/>
        <d v="2025-08-29T00:00:00"/>
        <d v="2024-01-07T00:00:00"/>
        <d v="2025-11-22T00:00:00"/>
        <d v="2025-09-18T00:00:00"/>
        <d v="2025-07-17T00:00:00"/>
        <d v="2025-02-02T00:00:00"/>
        <d v="2024-02-06T00:00:00"/>
        <d v="2025-03-12T00:00:00"/>
        <d v="2025-03-01T00:00:00"/>
        <d v="2025-01-02T00:00:00"/>
        <d v="2024-12-16T00:00:00"/>
        <d v="2025-07-08T00:00:00"/>
        <d v="2025-03-06T00:00:00"/>
        <d v="2025-06-14T00:00:00"/>
        <d v="2024-12-24T00:00:00"/>
        <d v="2025-05-25T00:00:00"/>
        <d v="2025-01-01T00:00:00"/>
        <d v="2025-06-16T00:00:00"/>
        <d v="2024-04-16T00:00:00"/>
        <d v="2024-03-13T00:00:00"/>
        <d v="2024-03-11T00:00:00"/>
        <d v="2024-02-25T00:00:00"/>
        <d v="2024-04-07T00:00:00"/>
        <d v="2025-03-29T00:00:00"/>
        <d v="2024-05-06T00:00:00"/>
        <d v="2024-04-29T00:00:00"/>
        <d v="2025-03-18T00:00:00"/>
        <d v="2025-12-28T00:00:00"/>
        <d v="2025-02-17T00:00:00"/>
        <d v="2025-07-24T00:00:00"/>
        <d v="2025-12-05T00:00:00"/>
        <d v="2024-09-24T00:00:00"/>
        <d v="2025-08-14T00:00:00"/>
        <d v="2024-11-29T00:00:00"/>
        <d v="2024-11-11T00:00:00"/>
        <d v="2025-02-13T00:00:00"/>
        <d v="2025-12-29T00:00:00"/>
        <d v="2024-03-04T00:00:00"/>
        <d v="2024-01-27T00:00:00"/>
        <d v="2025-11-04T00:00:00"/>
        <d v="2025-02-12T00:00:00"/>
        <d v="2024-01-22T00:00:00"/>
        <d v="2024-11-17T00:00:00"/>
        <d v="2024-05-24T00:00:00"/>
        <d v="2024-07-10T00:00:00"/>
        <d v="2024-05-01T00:00:00"/>
        <d v="2024-01-06T00:00:00"/>
        <d v="2024-05-17T00:00:00"/>
        <d v="2025-02-28T00:00:00"/>
        <d v="2025-06-24T00:00:00"/>
        <d v="2024-01-01T00:00:00"/>
        <d v="2024-11-20T00:00:00"/>
        <d v="2024-09-28T00:00:00"/>
        <d v="2025-12-09T00:00:00"/>
        <d v="2025-03-08T00:00:00"/>
        <d v="2024-02-21T00:00:00"/>
        <d v="2024-12-13T00:00:00"/>
        <d v="2024-02-08T00:00:00"/>
        <d v="2025-01-07T00:00:00"/>
        <d v="2024-12-09T00:00:00"/>
        <d v="2025-06-28T00:00:00"/>
        <d v="2025-08-27T00:00:00"/>
        <d v="2025-12-22T00:00:00"/>
        <d v="2025-10-01T00:00:00"/>
        <d v="2025-06-19T00:00:00"/>
        <d v="2025-11-30T00:00:00"/>
        <d v="2025-07-01T00:00:00"/>
        <d v="2025-07-25T00:00:00"/>
        <d v="2025-02-16T00:00:00"/>
        <d v="2025-09-30T00:00:00"/>
        <d v="2025-01-31T00:00:00"/>
        <d v="2025-04-27T00:00:00"/>
        <d v="2025-12-13T00:00:00"/>
        <d v="2024-10-16T00:00:00"/>
        <d v="2025-11-28T00:00:00"/>
        <d v="2025-01-25T00:00:00"/>
        <d v="2025-10-24T00:00:00"/>
        <d v="2024-07-12T00:00:00"/>
        <d v="2024-12-18T00:00:00"/>
        <d v="2024-02-04T00:00:00"/>
        <d v="2025-02-15T00:00:00"/>
        <d v="2024-05-21T00:00:00"/>
        <d v="2024-06-10T00:00:00"/>
        <d v="2024-09-29T00:00:00"/>
        <d v="2024-04-20T00:00:00"/>
        <d v="2025-05-13T00:00:00"/>
        <d v="2024-04-06T00:00:00"/>
        <d v="2025-04-04T00:00:00"/>
        <d v="2024-07-26T00:00:00"/>
        <d v="2024-03-03T00:00:00"/>
        <d v="2024-10-27T00:00:00"/>
        <d v="2024-04-09T00:00:00"/>
        <d v="2025-03-15T00:00:00"/>
        <d v="2024-03-26T00:00:00"/>
        <d v="2024-03-24T00:00:00"/>
        <d v="2024-04-11T00:00:00"/>
        <d v="2024-08-12T00:00:00"/>
        <d v="2025-01-12T00:00:00"/>
        <d v="2025-09-03T00:00:00"/>
        <d v="2024-09-30T00:00:00"/>
        <d v="2024-02-15T00:00:00"/>
        <d v="2024-11-28T00:00:00"/>
        <d v="2025-04-21T00:00:00"/>
        <d v="2025-12-19T00:00:00"/>
        <d v="2024-01-19T00:00:00"/>
        <d v="2025-08-07T00:00:00"/>
        <d v="2024-01-21T00:00:00"/>
        <d v="2025-01-08T00:00:00"/>
        <d v="2024-10-21T00:00:00"/>
        <d v="2024-03-19T00:00:00"/>
        <d v="2024-06-03T00:00:00"/>
        <d v="2025-07-21T00:00:00"/>
        <d v="2025-08-03T00:00:00"/>
        <d v="2024-01-13T00:00:00"/>
        <d v="2024-09-19T00:00:00"/>
        <d v="2024-07-28T00:00:00"/>
        <d v="2024-10-22T00:00:00"/>
        <d v="2024-08-03T00:00:00"/>
        <d v="2025-12-01T00:00:00"/>
        <d v="2024-10-11T00:00:00"/>
        <d v="2025-09-16T00:00:00"/>
        <d v="2025-10-14T00:00:00"/>
        <d v="2025-09-12T00:00:00"/>
        <d v="2025-10-26T00:00:00"/>
        <d v="2025-09-26T00:00:00"/>
        <d v="2025-07-22T00:00:00"/>
        <d v="2024-12-04T00:00:00"/>
        <d v="2025-03-26T00:00:00"/>
        <d v="2025-03-16T00:00:00"/>
        <d v="2025-08-25T00:00:00"/>
        <d v="2024-12-12T00:00:00"/>
        <d v="2024-08-22T00:00:00"/>
        <d v="2024-09-02T00:00:00"/>
        <d v="2025-04-11T00:00:00"/>
        <d v="2025-10-04T00:00:00"/>
        <d v="2024-03-07T00:00:00"/>
        <d v="2024-11-26T00:00:00"/>
        <d v="2025-04-20T00:00:00"/>
        <d v="2025-06-11T00:00:00"/>
        <d v="2025-12-03T00:00:00"/>
        <d v="2024-10-08T00:00:00"/>
        <d v="2025-07-03T00:00:00"/>
        <d v="2024-06-08T00:00:00"/>
        <d v="2025-10-11T00:00:00"/>
        <d v="2025-02-25T00:00:00"/>
        <d v="2024-06-24T00:00:00"/>
        <d v="2025-12-26T00:00:00"/>
        <d v="2024-10-12T00:00:00"/>
        <d v="2024-08-01T00:00:00"/>
        <d v="2025-10-22T00:00:00"/>
        <d v="2024-02-07T00:00:00"/>
        <d v="2025-02-19T00:00:00"/>
        <d v="2024-06-02T00:00:00"/>
        <d v="2024-02-03T00:00:00"/>
        <d v="2025-07-31T00:00:00"/>
        <d v="2025-04-24T00:00:00"/>
        <d v="2024-12-15T00:00:00"/>
        <d v="2025-06-10T00:00:00"/>
        <d v="2025-03-14T00:00:00"/>
      </sharedItems>
      <fieldGroup par="36"/>
    </cacheField>
    <cacheField name="Customer_ID" numFmtId="0">
      <sharedItems/>
    </cacheField>
    <cacheField name="Customer_Name" numFmtId="0">
      <sharedItems/>
    </cacheField>
    <cacheField name="Product_ID" numFmtId="0">
      <sharedItems/>
    </cacheField>
    <cacheField name="Product" numFmtId="0">
      <sharedItems count="20">
        <s v="Mobile"/>
        <s v="Headphones"/>
        <s v="Office Chair"/>
        <s v="Study Table"/>
        <s v="Bookshelf"/>
        <s v="Sofa"/>
        <s v="Bed"/>
        <s v="Jacket"/>
        <s v="Mixer Grinder"/>
        <s v="Microwave"/>
        <s v="Air Cooler"/>
        <s v="Electric Kettle"/>
        <s v="Laptop"/>
        <s v="Smart Watch"/>
        <s v="Monitor"/>
        <s v="Running Shoes"/>
        <s v="Backpack"/>
        <s v="Jeans"/>
        <s v="Vacuum Cleaner"/>
        <s v="T-Shirt"/>
      </sharedItems>
    </cacheField>
    <cacheField name="Category" numFmtId="0">
      <sharedItems count="4">
        <s v="Electronics"/>
        <s v="Furniture"/>
        <s v="Fashion"/>
        <s v="Home Appliances"/>
      </sharedItems>
    </cacheField>
    <cacheField name="Sub_Category" numFmtId="0">
      <sharedItems/>
    </cacheField>
    <cacheField name="Region" numFmtId="0">
      <sharedItems count="5">
        <s v="South"/>
        <s v="West"/>
        <s v="East"/>
        <s v="North"/>
        <s v="Central"/>
      </sharedItems>
    </cacheField>
    <cacheField name="State" numFmtId="0">
      <sharedItems/>
    </cacheField>
    <cacheField name="Sales" numFmtId="4">
      <sharedItems containsSemiMixedTypes="0" containsString="0" containsNumber="1" minValue="401.22" maxValue="301960.05"/>
    </cacheField>
    <cacheField name="Cost" numFmtId="4">
      <sharedItems containsSemiMixedTypes="0" containsString="0" containsNumber="1" minValue="231.27" maxValue="261643"/>
    </cacheField>
    <cacheField name="Quantity" numFmtId="0">
      <sharedItems containsSemiMixedTypes="0" containsString="0" containsNumber="1" containsInteger="1" minValue="1" maxValue="5"/>
    </cacheField>
    <cacheField name="Discount" numFmtId="9">
      <sharedItems containsSemiMixedTypes="0" containsString="0" containsNumber="1" minValue="0" maxValue="0.2"/>
    </cacheField>
    <cacheField name="Payment_Mode" numFmtId="0">
      <sharedItems/>
    </cacheField>
    <cacheField name="Order_Status" numFmtId="0">
      <sharedItems count="5">
        <s v="Delivered"/>
        <s v="Processing"/>
        <s v="Returned"/>
        <s v="Cancelled"/>
        <s v="Shipped"/>
      </sharedItems>
    </cacheField>
    <cacheField name="Clean_Customer_Name" numFmtId="0">
      <sharedItems/>
    </cacheField>
    <cacheField name="Profit" numFmtId="4">
      <sharedItems containsSemiMixedTypes="0" containsString="0" containsNumber="1" minValue="-31994.799999999988" maxValue="76102.099999999991" count="1000">
        <n v="36337.86"/>
        <n v="1238.3499999999999"/>
        <n v="3805.1099999999997"/>
        <n v="5687.42"/>
        <n v="11964.169999999998"/>
        <n v="1849.4099999999999"/>
        <n v="1048.5600000000004"/>
        <n v="5456.3399999999965"/>
        <n v="7295.5299999999988"/>
        <n v="9227.1900000000023"/>
        <n v="7717.5299999999988"/>
        <n v="13008.899999999998"/>
        <n v="60066.079999999994"/>
        <n v="17286.5"/>
        <n v="29125.589999999997"/>
        <n v="14329.98"/>
        <n v="871.79999999999973"/>
        <n v="1173.0200000000002"/>
        <n v="2237.4499999999998"/>
        <n v="2021.1100000000006"/>
        <n v="9616.39"/>
        <n v="763.07"/>
        <n v="1220.5"/>
        <n v="961.59000000000015"/>
        <n v="3031.79"/>
        <n v="3465.32"/>
        <n v="19220.320000000007"/>
        <n v="227.07000000000698"/>
        <n v="29540.539999999994"/>
        <n v="2144.2199999999975"/>
        <n v="5699"/>
        <n v="8427.49"/>
        <n v="318.17999999999938"/>
        <n v="3891.9500000000007"/>
        <n v="14033.359999999999"/>
        <n v="13017.1"/>
        <n v="3669.59"/>
        <n v="2454.8500000000004"/>
        <n v="2252.7599999999984"/>
        <n v="7428.57"/>
        <n v="1048.5"/>
        <n v="6175.8600000000006"/>
        <n v="6088.7400000000007"/>
        <n v="10919.8"/>
        <n v="-555.32999999999993"/>
        <n v="19785.349999999999"/>
        <n v="34849.169999999991"/>
        <n v="15031.87"/>
        <n v="4190.2899999999991"/>
        <n v="4325.7199999999993"/>
        <n v="5386.18"/>
        <n v="1718.7000000000003"/>
        <n v="1969.2199999999998"/>
        <n v="1726.3600000000001"/>
        <n v="4052.66"/>
        <n v="1929.0600000000002"/>
        <n v="2852.5099999999998"/>
        <n v="718.96"/>
        <n v="1253.9899999999998"/>
        <n v="25357.4"/>
        <n v="4874.9599999999991"/>
        <n v="9590.2000000000007"/>
        <n v="7433.32"/>
        <n v="12679.400000000001"/>
        <n v="7143.5399999999991"/>
        <n v="32891.800000000003"/>
        <n v="21561.54"/>
        <n v="8676.9500000000007"/>
        <n v="-361.40999999999985"/>
        <n v="6805.33"/>
        <n v="35216.290000000008"/>
        <n v="27069.900000000009"/>
        <n v="60191.540000000008"/>
        <n v="1818.3600000000006"/>
        <n v="1716.4400000000005"/>
        <n v="14555.970000000001"/>
        <n v="2268.9300000000003"/>
        <n v="4246.83"/>
        <n v="752.44"/>
        <n v="1718.5900000000001"/>
        <n v="5070.1399999999994"/>
        <n v="2791.06"/>
        <n v="3374.5"/>
        <n v="734.22"/>
        <n v="1561.5200000000002"/>
        <n v="2088.0299999999997"/>
        <n v="439.64999999999986"/>
        <n v="301.61"/>
        <n v="883.46999999999991"/>
        <n v="1374.4300000000003"/>
        <n v="964.7800000000002"/>
        <n v="1245.8500000000001"/>
        <n v="5908.76"/>
        <n v="3172.9"/>
        <n v="3505.7900000000004"/>
        <n v="4615.9500000000007"/>
        <n v="2469.38"/>
        <n v="23559.130000000005"/>
        <n v="8251.14"/>
        <n v="6641.3100000000013"/>
        <n v="14603.170000000002"/>
        <n v="11419.54"/>
        <n v="12052.609999999999"/>
        <n v="1430.4100000000003"/>
        <n v="2946.24"/>
        <n v="10419.61"/>
        <n v="647.83000000000175"/>
        <n v="39146.239999999991"/>
        <n v="376.16999999999985"/>
        <n v="12425.18"/>
        <n v="10963.730000000001"/>
        <n v="6348.66"/>
        <n v="416.25"/>
        <n v="-659.85000000000036"/>
        <n v="3688.5499999999993"/>
        <n v="2195.6899999999996"/>
        <n v="1510.54"/>
        <n v="13933.27"/>
        <n v="10886.14"/>
        <n v="34831.510000000009"/>
        <n v="9513.0999999999985"/>
        <n v="2859.57"/>
        <n v="1996.12"/>
        <n v="5103.76"/>
        <n v="1373"/>
        <n v="3058.4700000000003"/>
        <n v="1749.07"/>
        <n v="3192.8099999999995"/>
        <n v="3944.6600000000003"/>
        <n v="989.41000000000008"/>
        <n v="6338.8200000000006"/>
        <n v="7777.07"/>
        <n v="8233.23"/>
        <n v="2775.3899999999994"/>
        <n v="5406.07"/>
        <n v="15695.57"/>
        <n v="17869.239999999998"/>
        <n v="6345.62"/>
        <n v="4549.6600000000008"/>
        <n v="3545.6399999999994"/>
        <n v="3072.53"/>
        <n v="49212.239999999991"/>
        <n v="22109.899999999994"/>
        <n v="619.46"/>
        <n v="3520.55"/>
        <n v="10376.4"/>
        <n v="11332.929999999998"/>
        <n v="2487.6099999999988"/>
        <n v="3784.380000000001"/>
        <n v="728.59999999999991"/>
        <n v="4690.079999999999"/>
        <n v="669.30999999999767"/>
        <n v="5300.1299999999974"/>
        <n v="20863.090000000004"/>
        <n v="6138.0399999999972"/>
        <n v="966.6899999999996"/>
        <n v="425.07999999999993"/>
        <n v="8276.1"/>
        <n v="10494.88"/>
        <n v="6318.08"/>
        <n v="1694.43"/>
        <n v="2669.1000000000004"/>
        <n v="3885.3700000000003"/>
        <n v="5214.9799999999996"/>
        <n v="2089.9300000000003"/>
        <n v="3911.05"/>
        <n v="1931.4299999999998"/>
        <n v="4468.9699999999993"/>
        <n v="5120.83"/>
        <n v="2145.4499999999989"/>
        <n v="8499.4500000000007"/>
        <n v="13910.129999999997"/>
        <n v="11958.359999999997"/>
        <n v="3722.5700000000033"/>
        <n v="6191.2499999999991"/>
        <n v="7870.09"/>
        <n v="2420.1799999999998"/>
        <n v="15502.209999999992"/>
        <n v="1345.0500000000002"/>
        <n v="9997.1699999999983"/>
        <n v="1375.11"/>
        <n v="19101.63"/>
        <n v="4193.2800000000025"/>
        <n v="28761.789999999994"/>
        <n v="4112.9700000000012"/>
        <n v="26327.850000000002"/>
        <n v="32100.179999999993"/>
        <n v="3416.6200000000026"/>
        <n v="3575.8399999999983"/>
        <n v="1370.4100000000035"/>
        <n v="74520.66"/>
        <n v="6878.88"/>
        <n v="4956.57"/>
        <n v="983.36999999999989"/>
        <n v="2841"/>
        <n v="501.70999999999992"/>
        <n v="3515.0499999999997"/>
        <n v="5694.420000000001"/>
        <n v="-505.53999999999996"/>
        <n v="2828.37"/>
        <n v="3117.7800000000007"/>
        <n v="30883.770000000004"/>
        <n v="16719.580000000002"/>
        <n v="18307.969999999998"/>
        <n v="4446.3600000000006"/>
        <n v="809.60000000000036"/>
        <n v="13647.899999999994"/>
        <n v="7655.429999999993"/>
        <n v="9423.3099999999977"/>
        <n v="8057.7599999999948"/>
        <n v="4409.3599999999997"/>
        <n v="5612.15"/>
        <n v="7549.65"/>
        <n v="16725.46"/>
        <n v="9767.2000000000007"/>
        <n v="7837.7000000000007"/>
        <n v="21754.860000000004"/>
        <n v="536.95000000000027"/>
        <n v="5166.1299999999992"/>
        <n v="1148.3899999999999"/>
        <n v="4016.25"/>
        <n v="19665.78"/>
        <n v="1165.0400000000009"/>
        <n v="7047.6200000000008"/>
        <n v="11627.52"/>
        <n v="7610.43"/>
        <n v="8115.43"/>
        <n v="10971.73"/>
        <n v="10328.630000000005"/>
        <n v="17108.730000000003"/>
        <n v="7977.1100000000006"/>
        <n v="4372.43"/>
        <n v="1937.9999999999998"/>
        <n v="947.59999999999991"/>
        <n v="3372.59"/>
        <n v="5353.5199999999995"/>
        <n v="3114.44"/>
        <n v="4823.8500000000004"/>
        <n v="3476.12"/>
        <n v="5911.58"/>
        <n v="4396.8099999999995"/>
        <n v="2993.2900000000004"/>
        <n v="9400.1299999999974"/>
        <n v="33707.799999999996"/>
        <n v="-240.11999999999898"/>
        <n v="13299.66"/>
        <n v="6789.8100000000013"/>
        <n v="3307.5899999999992"/>
        <n v="534.99"/>
        <n v="170.88999999999987"/>
        <n v="41703.260000000009"/>
        <n v="6997.5899999999965"/>
        <n v="14566.239999999991"/>
        <n v="15258.710000000021"/>
        <n v="7089.75"/>
        <n v="13348.619999999999"/>
        <n v="50614.26999999999"/>
        <n v="3368.74"/>
        <n v="3268.6400000000012"/>
        <n v="1245.6099999999999"/>
        <n v="10782.240000000002"/>
        <n v="12917.08"/>
        <n v="19538.190000000002"/>
        <n v="6915.84"/>
        <n v="4206.2700000000004"/>
        <n v="4481.239999999998"/>
        <n v="26882.86"/>
        <n v="13479.7"/>
        <n v="42489.62999999999"/>
        <n v="9255.5600000000013"/>
        <n v="33835.699999999997"/>
        <n v="60868.320000000007"/>
        <n v="1177.2700000000004"/>
        <n v="1991.4999999999991"/>
        <n v="4906.9800000000005"/>
        <n v="8805.9000000000015"/>
        <n v="2343.7199999999998"/>
        <n v="619.05999999999995"/>
        <n v="1694.83"/>
        <n v="1124.82"/>
        <n v="2172.6999999999998"/>
        <n v="419.83000000000015"/>
        <n v="4261.62"/>
        <n v="27903"/>
        <n v="5186.6500000000015"/>
        <n v="2067.3899999999994"/>
        <n v="1982.5499999999993"/>
        <n v="4527.95"/>
        <n v="3831.8999999999996"/>
        <n v="6607.8699999999953"/>
        <n v="38427.939999999973"/>
        <n v="30062.079999999987"/>
        <n v="65966.26999999999"/>
        <n v="5100.6500000000005"/>
        <n v="621.59000000000015"/>
        <n v="7079.3399999999992"/>
        <n v="3253.39"/>
        <n v="4683.9799999999996"/>
        <n v="4844.2199999999993"/>
        <n v="965.90999999999985"/>
        <n v="5875.3799999999992"/>
        <n v="24148.83"/>
        <n v="807.97999999999956"/>
        <n v="7308.7999999999993"/>
        <n v="7328.0900000000038"/>
        <n v="3532.8500000000004"/>
        <n v="2230.4900000000002"/>
        <n v="12169.07"/>
        <n v="16245.8"/>
        <n v="8003.34"/>
        <n v="5737.98"/>
        <n v="1343.0700000000002"/>
        <n v="17300.870000000003"/>
        <n v="4308.6299999999974"/>
        <n v="7747.0499999999884"/>
        <n v="22412.22"/>
        <n v="56870.459999999992"/>
        <n v="27939.03"/>
        <n v="22670.189999999995"/>
        <n v="12735.120000000003"/>
        <n v="37445.440000000002"/>
        <n v="2342.96"/>
        <n v="4603.63"/>
        <n v="930.3599999999999"/>
        <n v="149.16000000000003"/>
        <n v="1589.5700000000002"/>
        <n v="8196.3300000000017"/>
        <n v="8458.56"/>
        <n v="5613.0299999999988"/>
        <n v="4115.6499999999996"/>
        <n v="7901.6999999999989"/>
        <n v="3138.2599999999993"/>
        <n v="4149.24"/>
        <n v="1512.85"/>
        <n v="3040.4400000000005"/>
        <n v="20453.490000000005"/>
        <n v="4907.869999999999"/>
        <n v="12748.17"/>
        <n v="6573.42"/>
        <n v="10857.67"/>
        <n v="-642.6200000000008"/>
        <n v="9585.7000000000007"/>
        <n v="5736.75"/>
        <n v="-373.98999999999796"/>
        <n v="20854.8"/>
        <n v="21502.719999999998"/>
        <n v="5790.0499999999993"/>
        <n v="17554.680000000008"/>
        <n v="30625.62000000001"/>
        <n v="27460.920000000006"/>
        <n v="38512.279999999984"/>
        <n v="1993.4900000000052"/>
        <n v="5540.33"/>
        <n v="6848.16"/>
        <n v="166.46000000000004"/>
        <n v="1973.1599999999999"/>
        <n v="702.82"/>
        <n v="376.77"/>
        <n v="308.08"/>
        <n v="320.90999999999997"/>
        <n v="4469.0399999999991"/>
        <n v="1696"/>
        <n v="5309.24"/>
        <n v="1182.28"/>
        <n v="1539.75"/>
        <n v="8039.67"/>
        <n v="2878.4700000000012"/>
        <n v="16690.05"/>
        <n v="18979.949999999997"/>
        <n v="8986.9599999999991"/>
        <n v="-389.52000000000044"/>
        <n v="2071.48"/>
        <n v="16291.509999999995"/>
        <n v="26423.880000000005"/>
        <n v="17837.30999999999"/>
        <n v="16661.080000000002"/>
        <n v="12916.02"/>
        <n v="5211.1400000000012"/>
        <n v="10021.359999999999"/>
        <n v="6998.59"/>
        <n v="26682.079999999994"/>
        <n v="11294.869999999999"/>
        <n v="9629.7999999999956"/>
        <n v="5427.8999999999978"/>
        <n v="1245.83"/>
        <n v="2903.2299999999996"/>
        <n v="11906.420000000002"/>
        <n v="4026.8900000000003"/>
        <n v="6432.57"/>
        <n v="11376.88"/>
        <n v="2593.8900000000003"/>
        <n v="2904.04"/>
        <n v="839.56000000000017"/>
        <n v="652.3599999999999"/>
        <n v="935.83999999999992"/>
        <n v="3371.69"/>
        <n v="2739.4800000000005"/>
        <n v="16628.27"/>
        <n v="99.159999999999854"/>
        <n v="10598.030000000002"/>
        <n v="11589.57"/>
        <n v="20633.2"/>
        <n v="20534.760000000002"/>
        <n v="7843.4900000000007"/>
        <n v="7293.29"/>
        <n v="2738.77"/>
        <n v="2888.74"/>
        <n v="66513.599999999977"/>
        <n v="3554.2100000000064"/>
        <n v="-9604.2200000000012"/>
        <n v="-768.67000000001281"/>
        <n v="13807.5"/>
        <n v="18314.73000000001"/>
        <n v="18314.53"/>
        <n v="6675.75"/>
        <n v="8121.18"/>
        <n v="20421.93"/>
        <n v="6477.6500000000015"/>
        <n v="4850.5400000000009"/>
        <n v="10984.470000000001"/>
        <n v="5610.880000000001"/>
        <n v="24909.989999999998"/>
        <n v="22673.06"/>
        <n v="26881.02"/>
        <n v="14489.73"/>
        <n v="8297.68"/>
        <n v="4096.16"/>
        <n v="4831.2200000000012"/>
        <n v="45029.939999999995"/>
        <n v="547.92000000000007"/>
        <n v="454.98"/>
        <n v="1183.3600000000006"/>
        <n v="1888.86"/>
        <n v="1677.2400000000002"/>
        <n v="6459.3599999999988"/>
        <n v="3134.58"/>
        <n v="1994.21"/>
        <n v="567.08000000000004"/>
        <n v="4323.66"/>
        <n v="13379.55"/>
        <n v="28165.18"/>
        <n v="12298.7"/>
        <n v="21075.570000000003"/>
        <n v="1164.69"/>
        <n v="617.62000000000012"/>
        <n v="51701.939999999973"/>
        <n v="12789.400000000001"/>
        <n v="7575.4799999999959"/>
        <n v="2697.5199999999995"/>
        <n v="4250.72"/>
        <n v="24782.719999999998"/>
        <n v="8822.6699999999983"/>
        <n v="10014.93"/>
        <n v="689.51000000000022"/>
        <n v="-1841.7600000000002"/>
        <n v="13051.770000000004"/>
        <n v="35744.01"/>
        <n v="7915.989999999998"/>
        <n v="7669.5400000000009"/>
        <n v="27495.980000000003"/>
        <n v="32835.179999999993"/>
        <n v="10686.640000000007"/>
        <n v="5747.85"/>
        <n v="17120.330000000002"/>
        <n v="19730.979999999996"/>
        <n v="1652.06"/>
        <n v="320.14999999999998"/>
        <n v="4781.4500000000007"/>
        <n v="1263.0300000000002"/>
        <n v="896.11"/>
        <n v="3701.1000000000004"/>
        <n v="255.6"/>
        <n v="301.52999999999997"/>
        <n v="469.25"/>
        <n v="2231.9299999999998"/>
        <n v="1971"/>
        <n v="1804.3600000000001"/>
        <n v="14508.570000000002"/>
        <n v="13590.719999999998"/>
        <n v="13081.699999999999"/>
        <n v="-858.69000000000233"/>
        <n v="-31994.799999999988"/>
        <n v="2633.2900000000004"/>
        <n v="10077.929999999998"/>
        <n v="1536.4300000000003"/>
        <n v="11011.399999999998"/>
        <n v="871.17999999999847"/>
        <n v="9612.7699999999968"/>
        <n v="11883.939999999999"/>
        <n v="35219.07"/>
        <n v="10166.679999999997"/>
        <n v="10184.43"/>
        <n v="38424.54"/>
        <n v="2808.97"/>
        <n v="3461.12"/>
        <n v="995.43"/>
        <n v="5436.54"/>
        <n v="5999.43"/>
        <n v="1792.8499999999985"/>
        <n v="6577.5499999999993"/>
        <n v="9411.6399999999958"/>
        <n v="23414.82"/>
        <n v="-661.87999999999738"/>
        <n v="17555.629999999997"/>
        <n v="7206.4400000000023"/>
        <n v="609.46000000000095"/>
        <n v="4114.5300000000007"/>
        <n v="498.86000000000013"/>
        <n v="4948.2"/>
        <n v="557.77"/>
        <n v="-2259.0500000000175"/>
        <n v="45032.949999999983"/>
        <n v="24161.900000000023"/>
        <n v="27454.839999999997"/>
        <n v="61419.45"/>
        <n v="10986.11"/>
        <n v="11354.48"/>
        <n v="8167.05"/>
        <n v="7402.3799999999992"/>
        <n v="15745"/>
        <n v="20136.34"/>
        <n v="11464.54"/>
        <n v="917.68000000000029"/>
        <n v="13916.130000000001"/>
        <n v="10110.739999999998"/>
        <n v="10215.450000000001"/>
        <n v="21341.809999999998"/>
        <n v="10521.560000000001"/>
        <n v="9849.2699999999968"/>
        <n v="6285.96"/>
        <n v="2175.2400000000016"/>
        <n v="4747.18"/>
        <n v="30562.900000000009"/>
        <n v="6389.3099999999995"/>
        <n v="1176.58"/>
        <n v="9183.7699999999986"/>
        <n v="12828.960000000001"/>
        <n v="1225.9900000000002"/>
        <n v="1779.8200000000002"/>
        <n v="2623.75"/>
        <n v="3138.6099999999997"/>
        <n v="5752.6799999999994"/>
        <n v="375.74"/>
        <n v="6134.38"/>
        <n v="952.65"/>
        <n v="1128.7100000000003"/>
        <n v="821.22"/>
        <n v="2550.7200000000003"/>
        <n v="520.88"/>
        <n v="1462.22"/>
        <n v="12563.8"/>
        <n v="2482.4599999999991"/>
        <n v="6380.9999999999982"/>
        <n v="2528.58"/>
        <n v="2920"/>
        <n v="12375.400000000001"/>
        <n v="1322.0800000000004"/>
        <n v="1037.9899999999998"/>
        <n v="1005.76"/>
        <n v="4460.5"/>
        <n v="210.57"/>
        <n v="227.03999999999996"/>
        <n v="3563.12"/>
        <n v="36748.380000000005"/>
        <n v="7500.0899999999965"/>
        <n v="30782.720000000001"/>
        <n v="37481.280000000013"/>
        <n v="14947.539999999994"/>
        <n v="12877.04"/>
        <n v="15218.87999999999"/>
        <n v="2677.1299999999992"/>
        <n v="192.95999999999981"/>
        <n v="4307.96"/>
        <n v="28908.550000000003"/>
        <n v="9673.8000000000011"/>
        <n v="9536.14"/>
        <n v="6004.2400000000007"/>
        <n v="9424.8099999999977"/>
        <n v="12335.31"/>
        <n v="15177.84"/>
        <n v="12583.32"/>
        <n v="607.45000000000073"/>
        <n v="2251.5299999999988"/>
        <n v="24489.949999999997"/>
        <n v="80.510000000000218"/>
        <n v="18016.330000000002"/>
        <n v="23562.410000000003"/>
        <n v="2233.1200000000008"/>
        <n v="11086.220000000001"/>
        <n v="7530.44"/>
        <n v="4278.83"/>
        <n v="754.96"/>
        <n v="2115.6899999999996"/>
        <n v="5807.85"/>
        <n v="1376.3300000000002"/>
        <n v="3078.8500000000004"/>
        <n v="727.38999999999987"/>
        <n v="2032.3599999999997"/>
        <n v="1688.9599999999996"/>
        <n v="22518.079999999998"/>
        <n v="5647.85"/>
        <n v="13359.919999999998"/>
        <n v="647.26999999999953"/>
        <n v="3247.5899999999983"/>
        <n v="8766.16"/>
        <n v="6842.0399999999991"/>
        <n v="1261.4900000000002"/>
        <n v="690.40000000000009"/>
        <n v="5015.1100000000151"/>
        <n v="3146.6800000000003"/>
        <n v="-13394.949999999983"/>
        <n v="5430.7799999999988"/>
        <n v="45107.87999999999"/>
        <n v="36450.26"/>
        <n v="7660.51"/>
        <n v="5343.77"/>
        <n v="1286.5500000000002"/>
        <n v="508.32999999999993"/>
        <n v="16295.21"/>
        <n v="9431.6299999999992"/>
        <n v="27460.32"/>
        <n v="7748.07"/>
        <n v="27665.370000000003"/>
        <n v="4580.4800000000005"/>
        <n v="292.56999999999971"/>
        <n v="6149.5600000000013"/>
        <n v="-231.86000000000058"/>
        <n v="17986.150000000001"/>
        <n v="1168.5699999999997"/>
        <n v="56695.25"/>
        <n v="26788.480000000003"/>
        <n v="229.05999999999949"/>
        <n v="21026.32"/>
        <n v="7469.41"/>
        <n v="5749.0599999999995"/>
        <n v="6770.4400000000005"/>
        <n v="8372.49"/>
        <n v="1272.3499999999999"/>
        <n v="2222.8000000000002"/>
        <n v="7031.9"/>
        <n v="6011.2599999999993"/>
        <n v="724.88000000000011"/>
        <n v="4550.8499999999995"/>
        <n v="1369.5700000000002"/>
        <n v="1097.1100000000001"/>
        <n v="549.80999999999995"/>
        <n v="4585.7299999999996"/>
        <n v="2038.1200000000003"/>
        <n v="99.589999999999975"/>
        <n v="3432.09"/>
        <n v="518.91999999999985"/>
        <n v="8091.06"/>
        <n v="991.97000000000116"/>
        <n v="9487.7099999999991"/>
        <n v="12728.869999999999"/>
        <n v="7551.9300000000021"/>
        <n v="26312.329999999998"/>
        <n v="6663.02"/>
        <n v="15897.36"/>
        <n v="13450.32"/>
        <n v="6528.6399999999994"/>
        <n v="4804.9000000000015"/>
        <n v="12840.899999999998"/>
        <n v="4276.0600000000004"/>
        <n v="993.46"/>
        <n v="204.46000000000004"/>
        <n v="593.18000000000006"/>
        <n v="3659.3500000000004"/>
        <n v="3569.3999999999996"/>
        <n v="9782.25"/>
        <n v="51298.559999999998"/>
        <n v="3681.5000000000005"/>
        <n v="3936.04"/>
        <n v="6852.880000000001"/>
        <n v="13659.710000000003"/>
        <n v="23175.77"/>
        <n v="12062.150000000001"/>
        <n v="11196.8"/>
        <n v="8348.2400000000052"/>
        <n v="5840.27"/>
        <n v="60585.49000000002"/>
        <n v="76102.099999999991"/>
        <n v="73.040000000000873"/>
        <n v="3254.38"/>
        <n v="12360.990000000002"/>
        <n v="1854.4"/>
        <n v="8221.8599999999988"/>
        <n v="4975.2700000000004"/>
        <n v="4138.5200000000004"/>
        <n v="2464.0500000000002"/>
        <n v="3638.1299999999997"/>
        <n v="7631.17"/>
        <n v="7335.3300000000008"/>
        <n v="1753.04"/>
        <n v="1954.23"/>
        <n v="2885.44"/>
        <n v="550.14"/>
        <n v="681.7"/>
        <n v="4608.82"/>
        <n v="12082.84"/>
        <n v="7373.5299999999988"/>
        <n v="8664.4399999999987"/>
        <n v="10110.659999999998"/>
        <n v="3472.99"/>
        <n v="1364.3299999999981"/>
        <n v="1972.7599999999984"/>
        <n v="11560.169999999998"/>
        <n v="1458.98"/>
        <n v="5218.55"/>
        <n v="4191.59"/>
        <n v="28033.150000000023"/>
        <n v="30919.48000000001"/>
        <n v="1509.5800000000017"/>
        <n v="7237.4"/>
        <n v="11842.41"/>
        <n v="3268.2499999999991"/>
        <n v="2302.5699999999997"/>
        <n v="15418.27"/>
        <n v="19295.14"/>
        <n v="17029.150000000009"/>
        <n v="14724.77"/>
        <n v="8609.0299999999988"/>
        <n v="1752.8300000000004"/>
        <n v="6345"/>
        <n v="1484.08"/>
        <n v="1484.54"/>
        <n v="1749.4500000000003"/>
        <n v="1006.95"/>
        <n v="346.70999999999992"/>
        <n v="1680.41"/>
        <n v="607.23000000000013"/>
        <n v="3018.4399999999996"/>
        <n v="8202.25"/>
        <n v="24280.760000000002"/>
        <n v="156.34000000000015"/>
        <n v="27262.589999999997"/>
        <n v="12289.529999999999"/>
        <n v="1595.0700000000015"/>
        <n v="12796.210000000003"/>
        <n v="169.09999999999991"/>
        <n v="3953.1000000000004"/>
        <n v="15825.509999999998"/>
        <n v="1625.5200000000002"/>
        <n v="5899.35"/>
        <n v="-2191.1900000000023"/>
        <n v="5043.239999999998"/>
        <n v="30105.970000000008"/>
        <n v="18729.300000000003"/>
        <n v="40294.930000000008"/>
        <n v="12548.4"/>
        <n v="7185.3899999999994"/>
        <n v="12271.89"/>
        <n v="4434.07"/>
        <n v="17368.469999999998"/>
        <n v="3363.04"/>
        <n v="8956.3500000000022"/>
        <n v="2060.869999999999"/>
        <n v="2053.59"/>
        <n v="13625.54"/>
        <n v="979.88000000000102"/>
        <n v="48543.509999999995"/>
        <n v="46458.210000000006"/>
        <n v="34706.600000000006"/>
        <n v="1876.6800000000003"/>
        <n v="409.26000000000022"/>
        <n v="4890.59"/>
        <n v="8908.7100000000009"/>
        <n v="445.34000000000003"/>
        <n v="5249.79"/>
        <n v="5677.36"/>
        <n v="1859.69"/>
        <n v="1433.4"/>
        <n v="1098.0700000000002"/>
        <n v="2006.7599999999998"/>
        <n v="796.01999999999987"/>
        <n v="388.20000000000005"/>
        <n v="3553.16"/>
        <n v="1598.43"/>
        <n v="1718.67"/>
        <n v="172.20000000000005"/>
        <n v="4043.3199999999997"/>
        <n v="719.3"/>
        <n v="31.990000000000009"/>
        <n v="14387.880000000005"/>
        <n v="14660.640000000001"/>
        <n v="5043.2700000000004"/>
        <n v="23218.6"/>
        <n v="15716.76"/>
        <n v="15221.84"/>
        <n v="2868.1099999999997"/>
        <n v="2426.5800000000004"/>
        <n v="752.74"/>
        <n v="543.91"/>
        <n v="1632.6800000000003"/>
        <n v="12203.130000000005"/>
        <n v="51751.710000000006"/>
        <n v="9288.619999999999"/>
        <n v="20570.239999999998"/>
        <n v="2287.9600000000009"/>
        <n v="9930.619999999999"/>
        <n v="21180.809999999998"/>
        <n v="5611.9199999999983"/>
        <n v="1462.260000000002"/>
        <n v="22911.96"/>
        <n v="85.890000000000327"/>
        <n v="6971.68"/>
        <n v="10846.640000000001"/>
        <n v="6470.1000000000022"/>
        <n v="4259.9000000000005"/>
        <n v="10177.48"/>
        <n v="2856.4599999999996"/>
        <n v="26821.699999999997"/>
        <n v="23161.800000000003"/>
        <n v="37508.579999999994"/>
        <n v="6523.68"/>
        <n v="1223.5900000000001"/>
        <n v="736.6400000000001"/>
        <n v="190.65000000000003"/>
        <n v="709.34000000000015"/>
        <n v="5755"/>
        <n v="2299.38"/>
        <n v="9304.7300000000014"/>
        <n v="5229.1600000000008"/>
        <n v="14226"/>
        <n v="5673.5000000000018"/>
        <n v="1323.17"/>
        <n v="9838.4699999999993"/>
        <n v="227.12000000000012"/>
        <n v="501.06999999999994"/>
        <n v="34808.97"/>
        <n v="10863.75"/>
        <n v="2285.3700000000008"/>
        <n v="1551.9699999999993"/>
        <n v="9874.2800000000007"/>
        <n v="2836.1799999999994"/>
        <n v="15495.75"/>
        <n v="9056.9300000000021"/>
        <n v="3415.2"/>
        <n v="9098.25"/>
        <n v="5662.8499999999985"/>
        <n v="6090.5400000000009"/>
        <n v="17658.47"/>
        <n v="5819.1000000000022"/>
        <n v="4593.9499999999971"/>
        <n v="8301.84"/>
        <n v="8360.8700000000008"/>
        <n v="7855.7099999999991"/>
        <n v="23415.030000000002"/>
        <n v="11667.98"/>
        <n v="3558.26"/>
        <n v="6975.4500000000007"/>
        <n v="18909.949999999997"/>
        <n v="9847.2400000000016"/>
        <n v="15427.54"/>
        <n v="11732.760000000002"/>
        <n v="15887.67"/>
        <n v="962.34999999999945"/>
        <n v="4429.7499999999991"/>
        <n v="5377.4800000000014"/>
        <n v="201.25"/>
        <n v="3072.64"/>
        <n v="818.47999999999979"/>
        <n v="2252.7800000000002"/>
        <n v="14810.45"/>
        <n v="8249.3999999999978"/>
        <n v="6745.489999999998"/>
        <n v="17515.259999999998"/>
        <n v="19913.659999999996"/>
        <n v="6852.0299999999988"/>
        <n v="-6619.2599999999802"/>
        <n v="1477.3399999999965"/>
        <n v="16659.460000000006"/>
        <n v="17336.96"/>
        <n v="2597.75"/>
        <n v="2427.4400000000023"/>
        <n v="21713.490000000005"/>
        <n v="326.63999999999942"/>
        <n v="28568.230000000003"/>
        <n v="15411.810000000001"/>
        <n v="11811.300000000003"/>
        <n v="21071.120000000003"/>
        <n v="20299.11"/>
        <n v="8058.68"/>
        <n v="30490.040000000008"/>
        <n v="7553.869999999999"/>
        <n v="28317.54"/>
        <n v="2059.6500000000015"/>
        <n v="4381.5600000000122"/>
        <n v="3230.7799999999988"/>
        <n v="5069.3999999999996"/>
        <n v="6109.94"/>
        <n v="1381.5700000000002"/>
        <n v="4012.51"/>
        <n v="1905.88"/>
        <n v="6058.09"/>
        <n v="769"/>
        <n v="1634.0800000000002"/>
        <n v="3739.4199999999996"/>
        <n v="551.65999999999985"/>
        <n v="1911.33"/>
        <n v="2262.34"/>
        <n v="2872.3399999999997"/>
        <n v="1632.1399999999999"/>
        <n v="4165.6000000000004"/>
        <n v="10315.720000000001"/>
        <n v="8948.41"/>
        <n v="17783.730000000003"/>
        <n v="6108.0599999999995"/>
        <n v="8393.0600000000013"/>
        <n v="6285.23"/>
        <n v="1633.7099999999998"/>
        <n v="1457.0000000000005"/>
        <n v="34.889999999999986"/>
        <n v="70430.599999999991"/>
        <n v="39657.979999999996"/>
        <n v="27833.64"/>
        <n v="2056.3200000000006"/>
        <n v="9561.9499999999989"/>
        <n v="3973.5599999999995"/>
        <n v="7203.7799999999988"/>
        <n v="4787.9800000000005"/>
        <n v="6354.06"/>
        <n v="5631.79"/>
        <n v="4336.67"/>
        <n v="8868.1599999999962"/>
        <n v="-4503.09"/>
        <n v="1077.1000000000004"/>
        <n v="11355.739999999998"/>
        <n v="5926.66"/>
        <n v="16979.339999999997"/>
        <n v="2282.4800000000005"/>
        <n v="5138.92"/>
        <n v="1630.5900000000001"/>
        <n v="1026.1199999999999"/>
        <n v="16563.599999999999"/>
        <n v="30924.559999999998"/>
        <n v="8083.5200000000041"/>
        <n v="2708.4899999999907"/>
        <n v="53299.869999999995"/>
        <n v="13196.990000000005"/>
        <n v="33.630000000001019"/>
        <n v="6963.0700000000006"/>
        <n v="122.46000000000004"/>
        <n v="7412.77"/>
        <n v="2788.95"/>
        <n v="1350.24"/>
        <n v="2233.75"/>
        <n v="8287.5400000000009"/>
        <n v="1556.2799999999997"/>
        <n v="6263.4400000000005"/>
        <n v="3129.5899999999997"/>
        <n v="2081.2399999999998"/>
        <n v="1322.1799999999994"/>
        <n v="708.26000000000022"/>
        <n v="-1544.4599999999991"/>
        <n v="18800.479999999996"/>
        <n v="9127.0499999999993"/>
        <n v="4828.369999999999"/>
        <n v="137.57999999999993"/>
        <n v="38715.839999999997"/>
        <n v="24261.600000000006"/>
        <n v="15710.509999999995"/>
        <n v="-5269.4400000000023"/>
        <n v="16768.91"/>
        <n v="2582.2599999999993"/>
        <n v="5028.28"/>
        <n v="22706.190000000002"/>
        <n v="10222.400000000001"/>
        <n v="23418.149999999998"/>
        <n v="2723.37"/>
        <n v="5038.5"/>
        <n v="5738.28"/>
        <n v="22781.78"/>
        <n v="3519.3099999999995"/>
        <n v="7280.0599999999977"/>
        <n v="8739.1200000000008"/>
        <n v="16585.310000000001"/>
        <n v="9556.9100000000017"/>
        <n v="9229.5"/>
        <n v="10659.400000000001"/>
        <n v="112.57000000000016"/>
        <n v="2046.1800000000003"/>
        <n v="2391.63"/>
        <n v="350.12000000000012"/>
        <n v="6759.5"/>
        <n v="567.55999999999995"/>
        <n v="4130.4600000000009"/>
        <n v="1054.3800000000001"/>
        <n v="2850.02"/>
        <n v="369.5"/>
        <n v="1304.2"/>
        <n v="2889.8"/>
        <n v="523.44000000000005"/>
        <n v="3157.35"/>
        <n v="543.04000000000019"/>
        <n v="6044.1999999999989"/>
        <n v="7146.16"/>
        <n v="-1072.510000000002"/>
        <n v="2468.1900000000005"/>
        <n v="4330.25"/>
      </sharedItems>
    </cacheField>
    <cacheField name="Profit_Margin" numFmtId="10">
      <sharedItems containsSemiMixedTypes="0" containsString="0" containsNumber="1" minValue="-0.2075883719643746" maxValue="0.7901654449126706"/>
    </cacheField>
    <cacheField name="Year" numFmtId="0">
      <sharedItems containsSemiMixedTypes="0" containsString="0" containsNumber="1" containsInteger="1" minValue="2024" maxValue="2025"/>
    </cacheField>
    <cacheField name="Month" numFmtId="0">
      <sharedItems/>
    </cacheField>
    <cacheField name="Quarter" numFmtId="0">
      <sharedItems/>
    </cacheField>
    <cacheField name="Sales_Category" numFmtId="0">
      <sharedItems/>
    </cacheField>
    <cacheField name="Profit_Status" numFmtId="0">
      <sharedItems/>
    </cacheField>
    <cacheField name="Large_Order" numFmtId="0">
      <sharedItems/>
    </cacheField>
    <cacheField name="Upper_Name" numFmtId="0">
      <sharedItems/>
    </cacheField>
    <cacheField name="Lower_Name" numFmtId="0">
      <sharedItems/>
    </cacheField>
    <cacheField name="Name_Length" numFmtId="0">
      <sharedItems containsSemiMixedTypes="0" containsString="0" containsNumber="1" containsInteger="1" minValue="9" maxValue="13"/>
    </cacheField>
    <cacheField name="Order_Prefix" numFmtId="0">
      <sharedItems/>
    </cacheField>
    <cacheField name="Order_Number" numFmtId="0">
      <sharedItems/>
    </cacheField>
    <cacheField name="Customer_Region" numFmtId="0">
      <sharedItems/>
    </cacheField>
    <cacheField name="MID" numFmtId="0">
      <sharedItems/>
    </cacheField>
    <cacheField name="Product_Manager" numFmtId="0">
      <sharedItems/>
    </cacheField>
    <cacheField name="Manager_VLOOKUP" numFmtId="0">
      <sharedItems/>
    </cacheField>
    <cacheField name="Manager_INDEXMATCH" numFmtId="0">
      <sharedItems containsNonDate="0" containsString="0" containsBlank="1"/>
    </cacheField>
    <cacheField name="Months (Order_Date)" numFmtId="0" databaseField="0">
      <fieldGroup base="1">
        <rangePr groupBy="months" startDate="2024-01-01T00:00:00" endDate="2026-01-01T00:00:00"/>
        <groupItems count="14">
          <s v="&lt;01/01/2024"/>
          <s v="Jan"/>
          <s v="Feb"/>
          <s v="Mar"/>
          <s v="Apr"/>
          <s v="May"/>
          <s v="Jun"/>
          <s v="Jul"/>
          <s v="Aug"/>
          <s v="Sept"/>
          <s v="Oct"/>
          <s v="Nov"/>
          <s v="Dec"/>
          <s v="&gt;01/01/2026"/>
        </groupItems>
      </fieldGroup>
    </cacheField>
    <cacheField name="Years (Order_Date)" numFmtId="0" databaseField="0">
      <fieldGroup base="1">
        <rangePr groupBy="years" startDate="2024-01-01T00:00:00" endDate="2026-01-01T00:00:00"/>
        <groupItems count="5">
          <s v="&lt;01/01/2024"/>
          <s v="2024"/>
          <s v="2025"/>
          <s v="2026"/>
          <s v="&gt;01/01/2026"/>
        </groupItems>
      </fieldGroup>
    </cacheField>
  </cacheFields>
  <extLst>
    <ext xmlns:x14="http://schemas.microsoft.com/office/spreadsheetml/2009/9/main" uri="{725AE2AE-9491-48be-B2B4-4EB974FC3084}">
      <x14:pivotCacheDefinition pivotCacheId="7794773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0683"/>
    <x v="0"/>
    <s v="C011"/>
    <s v="Vikas Yadav"/>
    <s v="P002"/>
    <x v="0"/>
    <x v="0"/>
    <s v="Phones"/>
    <x v="0"/>
    <s v="Telangana"/>
    <n v="102839.74"/>
    <n v="66501.88"/>
    <n v="4"/>
    <n v="0.2"/>
    <s v="Net Banking"/>
    <x v="0"/>
    <s v="Vikas Yadav"/>
    <x v="0"/>
    <n v="0.35334453393211612"/>
    <n v="2024"/>
    <s v="Feb"/>
    <s v="Q1"/>
    <s v="High"/>
    <s v="Profit"/>
    <s v="Yes"/>
    <s v="VIKAS YADAV"/>
    <s v="vikas yadav"/>
    <n v="11"/>
    <s v="ORD"/>
    <s v="0683"/>
    <s v="Vikas Yadav-South"/>
    <s v="0683"/>
    <s v="Priya"/>
    <s v="Priya"/>
    <m/>
  </r>
  <r>
    <s v="ORD0337"/>
    <x v="1"/>
    <s v="C011"/>
    <s v="Vikas Yadav"/>
    <s v="P003"/>
    <x v="1"/>
    <x v="0"/>
    <s v="Accessories"/>
    <x v="1"/>
    <s v="Rajasthan"/>
    <n v="2991.16"/>
    <n v="1752.81"/>
    <n v="1"/>
    <n v="0.1"/>
    <s v="Cash on Delivery"/>
    <x v="0"/>
    <s v="Vikas Yadav"/>
    <x v="1"/>
    <n v="0.41400326294815387"/>
    <n v="2025"/>
    <s v="Apr"/>
    <s v="Q2"/>
    <s v="Low"/>
    <s v="Profit"/>
    <s v="No"/>
    <s v="VIKAS YADAV"/>
    <s v="vikas yadav"/>
    <n v="11"/>
    <s v="ORD"/>
    <s v="0337"/>
    <s v="Vikas Yadav-West"/>
    <s v="0337"/>
    <s v="Amit"/>
    <s v="Amit"/>
    <m/>
  </r>
  <r>
    <s v="ORD0591"/>
    <x v="2"/>
    <s v="C011"/>
    <s v="Vikas Yadav"/>
    <s v="P003"/>
    <x v="1"/>
    <x v="0"/>
    <s v="Accessories"/>
    <x v="1"/>
    <s v="Rajasthan"/>
    <n v="5491.4"/>
    <n v="1686.29"/>
    <n v="1"/>
    <n v="0.05"/>
    <s v="UPI"/>
    <x v="1"/>
    <s v="Vikas Yadav"/>
    <x v="2"/>
    <n v="0.69292165932184868"/>
    <n v="2025"/>
    <s v="Jun"/>
    <s v="Q2"/>
    <s v="Low"/>
    <s v="Profit"/>
    <s v="No"/>
    <s v="VIKAS YADAV"/>
    <s v="vikas yadav"/>
    <n v="11"/>
    <s v="ORD"/>
    <s v="0591"/>
    <s v="Vikas Yadav-West"/>
    <s v="0591"/>
    <s v="Amit"/>
    <s v="Amit"/>
    <m/>
  </r>
  <r>
    <s v="ORD0781"/>
    <x v="3"/>
    <s v="C011"/>
    <s v="Vikas Yadav"/>
    <s v="P003"/>
    <x v="1"/>
    <x v="0"/>
    <s v="Accessories"/>
    <x v="2"/>
    <s v="Odisha"/>
    <n v="12551.82"/>
    <n v="6864.4"/>
    <n v="4"/>
    <n v="0.05"/>
    <s v="Debit Card"/>
    <x v="0"/>
    <s v="Vikas Yadav"/>
    <x v="3"/>
    <n v="0.45311516576878891"/>
    <n v="2024"/>
    <s v="Jul"/>
    <s v="Q3"/>
    <s v="Low"/>
    <s v="Profit"/>
    <s v="No"/>
    <s v="VIKAS YADAV"/>
    <s v="vikas yadav"/>
    <n v="11"/>
    <s v="ORD"/>
    <s v="0781"/>
    <s v="Vikas Yadav-East"/>
    <s v="0781"/>
    <s v="Amit"/>
    <s v="Amit"/>
    <m/>
  </r>
  <r>
    <s v="ORD0933"/>
    <x v="4"/>
    <s v="C011"/>
    <s v="Vikas Yadav"/>
    <s v="P003"/>
    <x v="1"/>
    <x v="0"/>
    <s v="Accessories"/>
    <x v="0"/>
    <s v="Telangana"/>
    <n v="19553.169999999998"/>
    <n v="7589"/>
    <n v="4"/>
    <n v="0.05"/>
    <s v="Net Banking"/>
    <x v="2"/>
    <s v="Vikas Yadav"/>
    <x v="4"/>
    <n v="0.61187878998648293"/>
    <n v="2024"/>
    <s v="Jul"/>
    <s v="Q3"/>
    <s v="Low"/>
    <s v="Profit"/>
    <s v="No"/>
    <s v="VIKAS YADAV"/>
    <s v="vikas yadav"/>
    <n v="11"/>
    <s v="ORD"/>
    <s v="0933"/>
    <s v="Vikas Yadav-South"/>
    <s v="0933"/>
    <s v="Amit"/>
    <s v="Amit"/>
    <m/>
  </r>
  <r>
    <s v="ORD0081"/>
    <x v="5"/>
    <s v="C011"/>
    <s v="Vikas Yadav"/>
    <s v="P006"/>
    <x v="2"/>
    <x v="1"/>
    <s v="Chairs"/>
    <x v="3"/>
    <s v="Delhi"/>
    <n v="18460.13"/>
    <n v="16610.72"/>
    <n v="4"/>
    <n v="0.15"/>
    <s v="UPI"/>
    <x v="0"/>
    <s v="Vikas Yadav"/>
    <x v="5"/>
    <n v="0.10018401820572226"/>
    <n v="2024"/>
    <s v="Sep"/>
    <s v="Q3"/>
    <s v="Low"/>
    <s v="Profit"/>
    <s v="No"/>
    <s v="VIKAS YADAV"/>
    <s v="vikas yadav"/>
    <n v="11"/>
    <s v="ORD"/>
    <s v="0081"/>
    <s v="Vikas Yadav-North"/>
    <s v="0081"/>
    <s v="Karan"/>
    <s v="Karan"/>
    <m/>
  </r>
  <r>
    <s v="ORD0149"/>
    <x v="6"/>
    <s v="C011"/>
    <s v="Vikas Yadav"/>
    <s v="P006"/>
    <x v="2"/>
    <x v="1"/>
    <s v="Chairs"/>
    <x v="3"/>
    <s v="Uttar Pradesh"/>
    <n v="5576.1"/>
    <n v="4527.54"/>
    <n v="1"/>
    <n v="0.1"/>
    <s v="Debit Card"/>
    <x v="0"/>
    <s v="Vikas Yadav"/>
    <x v="6"/>
    <n v="0.18804540808091683"/>
    <n v="2025"/>
    <s v="Jun"/>
    <s v="Q2"/>
    <s v="Low"/>
    <s v="Profit"/>
    <s v="No"/>
    <s v="VIKAS YADAV"/>
    <s v="vikas yadav"/>
    <n v="11"/>
    <s v="ORD"/>
    <s v="0149"/>
    <s v="Vikas Yadav-North"/>
    <s v="0149"/>
    <s v="Karan"/>
    <s v="Karan"/>
    <m/>
  </r>
  <r>
    <s v="ORD0688"/>
    <x v="7"/>
    <s v="C011"/>
    <s v="Vikas Yadav"/>
    <s v="P007"/>
    <x v="3"/>
    <x v="1"/>
    <s v="Tables"/>
    <x v="4"/>
    <s v="Madhya Pradesh"/>
    <n v="38170.49"/>
    <n v="32714.15"/>
    <n v="5"/>
    <n v="0.1"/>
    <s v="Credit Card"/>
    <x v="3"/>
    <s v="Vikas Yadav"/>
    <x v="7"/>
    <n v="0.14294655373824117"/>
    <n v="2024"/>
    <s v="Feb"/>
    <s v="Q1"/>
    <s v="Medium"/>
    <s v="Profit"/>
    <s v="No"/>
    <s v="VIKAS YADAV"/>
    <s v="vikas yadav"/>
    <n v="11"/>
    <s v="ORD"/>
    <s v="0688"/>
    <s v="Vikas Yadav-Central"/>
    <s v="0688"/>
    <s v="Rohan"/>
    <s v="Rohan"/>
    <m/>
  </r>
  <r>
    <s v="ORD0911"/>
    <x v="8"/>
    <s v="C011"/>
    <s v="Vikas Yadav"/>
    <s v="P007"/>
    <x v="3"/>
    <x v="1"/>
    <s v="Tables"/>
    <x v="2"/>
    <s v="Odisha"/>
    <n v="35854.21"/>
    <n v="28558.68"/>
    <n v="4"/>
    <n v="0.2"/>
    <s v="Cash on Delivery"/>
    <x v="1"/>
    <s v="Vikas Yadav"/>
    <x v="8"/>
    <n v="0.20347763902760649"/>
    <n v="2025"/>
    <s v="May"/>
    <s v="Q2"/>
    <s v="Medium"/>
    <s v="Profit"/>
    <s v="No"/>
    <s v="VIKAS YADAV"/>
    <s v="vikas yadav"/>
    <n v="11"/>
    <s v="ORD"/>
    <s v="0911"/>
    <s v="Vikas Yadav-East"/>
    <s v="0911"/>
    <s v="Rohan"/>
    <s v="Rohan"/>
    <m/>
  </r>
  <r>
    <s v="ORD0124"/>
    <x v="9"/>
    <s v="C011"/>
    <s v="Vikas Yadav"/>
    <s v="P008"/>
    <x v="4"/>
    <x v="1"/>
    <s v="Storage"/>
    <x v="3"/>
    <s v="Punjab"/>
    <n v="16536.97"/>
    <n v="7309.78"/>
    <n v="2"/>
    <n v="0.05"/>
    <s v="Cash on Delivery"/>
    <x v="0"/>
    <s v="Vikas Yadav"/>
    <x v="9"/>
    <n v="0.55797343769747432"/>
    <n v="2025"/>
    <s v="Aug"/>
    <s v="Q3"/>
    <s v="Low"/>
    <s v="Profit"/>
    <s v="No"/>
    <s v="VIKAS YADAV"/>
    <s v="vikas yadav"/>
    <n v="11"/>
    <s v="ORD"/>
    <s v="0124"/>
    <s v="Vikas Yadav-North"/>
    <s v="0124"/>
    <s v="Anjali"/>
    <s v="Anjali"/>
    <m/>
  </r>
  <r>
    <s v="ORD0699"/>
    <x v="10"/>
    <s v="C011"/>
    <s v="Vikas Yadav"/>
    <s v="P008"/>
    <x v="4"/>
    <x v="1"/>
    <s v="Storage"/>
    <x v="3"/>
    <s v="Uttar Pradesh"/>
    <n v="24901.17"/>
    <n v="17183.64"/>
    <n v="4"/>
    <n v="0.05"/>
    <s v="UPI"/>
    <x v="2"/>
    <s v="Vikas Yadav"/>
    <x v="10"/>
    <n v="0.3099264010486254"/>
    <n v="2024"/>
    <s v="Aug"/>
    <s v="Q3"/>
    <s v="Medium"/>
    <s v="Profit"/>
    <s v="No"/>
    <s v="VIKAS YADAV"/>
    <s v="vikas yadav"/>
    <n v="11"/>
    <s v="ORD"/>
    <s v="0699"/>
    <s v="Vikas Yadav-North"/>
    <s v="0699"/>
    <s v="Anjali"/>
    <s v="Anjali"/>
    <m/>
  </r>
  <r>
    <s v="ORD0935"/>
    <x v="11"/>
    <s v="C011"/>
    <s v="Vikas Yadav"/>
    <s v="P008"/>
    <x v="4"/>
    <x v="1"/>
    <s v="Storage"/>
    <x v="1"/>
    <s v="Maharashtra"/>
    <n v="29849.98"/>
    <n v="16841.080000000002"/>
    <n v="4"/>
    <n v="0.1"/>
    <s v="Debit Card"/>
    <x v="0"/>
    <s v="Vikas Yadav"/>
    <x v="11"/>
    <n v="0.43580933722568654"/>
    <n v="2025"/>
    <s v="Mar"/>
    <s v="Q1"/>
    <s v="Medium"/>
    <s v="Profit"/>
    <s v="No"/>
    <s v="VIKAS YADAV"/>
    <s v="vikas yadav"/>
    <n v="11"/>
    <s v="ORD"/>
    <s v="0935"/>
    <s v="Vikas Yadav-West"/>
    <s v="0935"/>
    <s v="Anjali"/>
    <s v="Anjali"/>
    <m/>
  </r>
  <r>
    <s v="ORD0133"/>
    <x v="12"/>
    <s v="C011"/>
    <s v="Vikas Yadav"/>
    <s v="P009"/>
    <x v="5"/>
    <x v="1"/>
    <s v="Seating"/>
    <x v="0"/>
    <s v="Telangana"/>
    <n v="118525.4"/>
    <n v="58459.32"/>
    <n v="4"/>
    <n v="0"/>
    <s v="Net Banking"/>
    <x v="0"/>
    <s v="Vikas Yadav"/>
    <x v="12"/>
    <n v="0.50677812519510579"/>
    <n v="2024"/>
    <s v="Jun"/>
    <s v="Q2"/>
    <s v="High"/>
    <s v="Profit"/>
    <s v="Yes"/>
    <s v="VIKAS YADAV"/>
    <s v="vikas yadav"/>
    <n v="11"/>
    <s v="ORD"/>
    <s v="0133"/>
    <s v="Vikas Yadav-South"/>
    <s v="0133"/>
    <s v="Arjun"/>
    <s v="Arjun"/>
    <m/>
  </r>
  <r>
    <s v="ORD0667"/>
    <x v="13"/>
    <s v="C011"/>
    <s v="Vikas Yadav"/>
    <s v="P009"/>
    <x v="5"/>
    <x v="1"/>
    <s v="Seating"/>
    <x v="0"/>
    <s v="Tamil Nadu"/>
    <n v="66768.2"/>
    <n v="49481.7"/>
    <n v="3"/>
    <n v="0.05"/>
    <s v="Cash on Delivery"/>
    <x v="0"/>
    <s v="Vikas Yadav"/>
    <x v="13"/>
    <n v="0.25890319044095844"/>
    <n v="2024"/>
    <s v="Apr"/>
    <s v="Q2"/>
    <s v="High"/>
    <s v="Profit"/>
    <s v="Yes"/>
    <s v="VIKAS YADAV"/>
    <s v="vikas yadav"/>
    <n v="11"/>
    <s v="ORD"/>
    <s v="0667"/>
    <s v="Vikas Yadav-South"/>
    <s v="0667"/>
    <s v="Arjun"/>
    <s v="Arjun"/>
    <m/>
  </r>
  <r>
    <s v="ORD0306"/>
    <x v="14"/>
    <s v="C011"/>
    <s v="Vikas Yadav"/>
    <s v="P010"/>
    <x v="6"/>
    <x v="1"/>
    <s v="Bedroom"/>
    <x v="0"/>
    <s v="Tamil Nadu"/>
    <n v="88011.48"/>
    <n v="58885.89"/>
    <n v="3"/>
    <n v="0"/>
    <s v="Credit Card"/>
    <x v="3"/>
    <s v="Vikas Yadav"/>
    <x v="14"/>
    <n v="0.33092944238637956"/>
    <n v="2025"/>
    <s v="Aug"/>
    <s v="Q3"/>
    <s v="High"/>
    <s v="Profit"/>
    <s v="Yes"/>
    <s v="VIKAS YADAV"/>
    <s v="vikas yadav"/>
    <n v="11"/>
    <s v="ORD"/>
    <s v="0306"/>
    <s v="Vikas Yadav-South"/>
    <s v="0306"/>
    <s v="Sneha"/>
    <s v="Sneha"/>
    <m/>
  </r>
  <r>
    <s v="ORD0679"/>
    <x v="15"/>
    <s v="C011"/>
    <s v="Vikas Yadav"/>
    <s v="P010"/>
    <x v="6"/>
    <x v="1"/>
    <s v="Bedroom"/>
    <x v="1"/>
    <s v="Maharashtra"/>
    <n v="31845.26"/>
    <n v="17515.28"/>
    <n v="1"/>
    <n v="0.1"/>
    <s v="UPI"/>
    <x v="2"/>
    <s v="Vikas Yadav"/>
    <x v="15"/>
    <n v="0.44998784748499465"/>
    <n v="2024"/>
    <s v="Feb"/>
    <s v="Q1"/>
    <s v="Medium"/>
    <s v="Profit"/>
    <s v="No"/>
    <s v="VIKAS YADAV"/>
    <s v="vikas yadav"/>
    <n v="11"/>
    <s v="ORD"/>
    <s v="0679"/>
    <s v="Vikas Yadav-West"/>
    <s v="0679"/>
    <s v="Sneha"/>
    <s v="Sneha"/>
    <m/>
  </r>
  <r>
    <s v="ORD0714"/>
    <x v="16"/>
    <s v="C011"/>
    <s v="Vikas Yadav"/>
    <s v="P012"/>
    <x v="7"/>
    <x v="2"/>
    <s v="Clothing"/>
    <x v="0"/>
    <s v="Tamil Nadu"/>
    <n v="4311.3599999999997"/>
    <n v="3439.56"/>
    <n v="4"/>
    <n v="0.1"/>
    <s v="Net Banking"/>
    <x v="2"/>
    <s v="Vikas Yadav"/>
    <x v="16"/>
    <n v="0.20220997550656863"/>
    <n v="2025"/>
    <s v="May"/>
    <s v="Q2"/>
    <s v="Low"/>
    <s v="Profit"/>
    <s v="No"/>
    <s v="VIKAS YADAV"/>
    <s v="vikas yadav"/>
    <n v="11"/>
    <s v="ORD"/>
    <s v="0714"/>
    <s v="Vikas Yadav-South"/>
    <s v="0714"/>
    <s v="Pooja"/>
    <s v="Pooja"/>
    <m/>
  </r>
  <r>
    <s v="ORD0586"/>
    <x v="17"/>
    <s v="C011"/>
    <s v="Vikas Yadav"/>
    <s v="P016"/>
    <x v="8"/>
    <x v="3"/>
    <s v="Kitchen"/>
    <x v="1"/>
    <s v="Maharashtra"/>
    <n v="2917.86"/>
    <n v="1744.84"/>
    <n v="1"/>
    <n v="0.1"/>
    <s v="Credit Card"/>
    <x v="4"/>
    <s v="Vikas Yadav"/>
    <x v="17"/>
    <n v="0.40201380463764547"/>
    <n v="2024"/>
    <s v="Jun"/>
    <s v="Q2"/>
    <s v="Low"/>
    <s v="Profit"/>
    <s v="No"/>
    <s v="VIKAS YADAV"/>
    <s v="vikas yadav"/>
    <n v="11"/>
    <s v="ORD"/>
    <s v="0586"/>
    <s v="Vikas Yadav-West"/>
    <s v="0586"/>
    <s v="Rahul"/>
    <s v="Rahul"/>
    <m/>
  </r>
  <r>
    <s v="ORD0644"/>
    <x v="18"/>
    <s v="C011"/>
    <s v="Vikas Yadav"/>
    <s v="P016"/>
    <x v="8"/>
    <x v="3"/>
    <s v="Kitchen"/>
    <x v="2"/>
    <s v="Odisha"/>
    <n v="3890.04"/>
    <n v="1652.59"/>
    <n v="1"/>
    <n v="0.2"/>
    <s v="UPI"/>
    <x v="0"/>
    <s v="Vikas Yadav"/>
    <x v="18"/>
    <n v="0.57517403420016244"/>
    <n v="2025"/>
    <s v="Nov"/>
    <s v="Q4"/>
    <s v="Low"/>
    <s v="Profit"/>
    <s v="No"/>
    <s v="VIKAS YADAV"/>
    <s v="vikas yadav"/>
    <n v="11"/>
    <s v="ORD"/>
    <s v="0644"/>
    <s v="Vikas Yadav-East"/>
    <s v="0644"/>
    <s v="Rahul"/>
    <s v="Rahul"/>
    <m/>
  </r>
  <r>
    <s v="ORD0861"/>
    <x v="19"/>
    <s v="C011"/>
    <s v="Vikas Yadav"/>
    <s v="P017"/>
    <x v="9"/>
    <x v="3"/>
    <s v="Kitchen"/>
    <x v="2"/>
    <s v="West Bengal"/>
    <n v="19856.62"/>
    <n v="17835.509999999998"/>
    <n v="3"/>
    <n v="0.15"/>
    <s v="Net Banking"/>
    <x v="0"/>
    <s v="Vikas Yadav"/>
    <x v="19"/>
    <n v="0.10178519808507192"/>
    <n v="2024"/>
    <s v="Jul"/>
    <s v="Q3"/>
    <s v="Low"/>
    <s v="Profit"/>
    <s v="No"/>
    <s v="VIKAS YADAV"/>
    <s v="vikas yadav"/>
    <n v="11"/>
    <s v="ORD"/>
    <s v="0861"/>
    <s v="Vikas Yadav-East"/>
    <s v="0861"/>
    <s v="Priya"/>
    <s v="Priya"/>
    <m/>
  </r>
  <r>
    <s v="ORD0563"/>
    <x v="20"/>
    <s v="C011"/>
    <s v="Vikas Yadav"/>
    <s v="P018"/>
    <x v="10"/>
    <x v="3"/>
    <s v="Cooling"/>
    <x v="0"/>
    <s v="Telangana"/>
    <n v="32778.79"/>
    <n v="23162.400000000001"/>
    <n v="4"/>
    <n v="0.1"/>
    <s v="Cash on Delivery"/>
    <x v="0"/>
    <s v="Vikas Yadav"/>
    <x v="20"/>
    <n v="0.29337233009516211"/>
    <n v="2025"/>
    <s v="Jan"/>
    <s v="Q1"/>
    <s v="Medium"/>
    <s v="Profit"/>
    <s v="No"/>
    <s v="VIKAS YADAV"/>
    <s v="vikas yadav"/>
    <n v="11"/>
    <s v="ORD"/>
    <s v="0563"/>
    <s v="Vikas Yadav-South"/>
    <s v="0563"/>
    <s v="Amit"/>
    <s v="Amit"/>
    <m/>
  </r>
  <r>
    <s v="ORD0104"/>
    <x v="21"/>
    <s v="C011"/>
    <s v="Vikas Yadav"/>
    <s v="P020"/>
    <x v="11"/>
    <x v="3"/>
    <s v="Kitchen"/>
    <x v="2"/>
    <s v="Bihar"/>
    <n v="1298.25"/>
    <n v="535.17999999999995"/>
    <n v="1"/>
    <n v="0.2"/>
    <s v="Net Banking"/>
    <x v="1"/>
    <s v="Vikas Yadav"/>
    <x v="21"/>
    <n v="0.58776814943192768"/>
    <n v="2025"/>
    <s v="Feb"/>
    <s v="Q1"/>
    <s v="Low"/>
    <s v="Profit"/>
    <s v="No"/>
    <s v="VIKAS YADAV"/>
    <s v="vikas yadav"/>
    <n v="11"/>
    <s v="ORD"/>
    <s v="0104"/>
    <s v="Vikas Yadav-East"/>
    <s v="0104"/>
    <s v="Simran"/>
    <s v="Simran"/>
    <m/>
  </r>
  <r>
    <s v="ORD0130"/>
    <x v="22"/>
    <s v="C011"/>
    <s v="Vikas Yadav"/>
    <s v="P020"/>
    <x v="11"/>
    <x v="3"/>
    <s v="Kitchen"/>
    <x v="3"/>
    <s v="Punjab"/>
    <n v="2175.5"/>
    <n v="955"/>
    <n v="2"/>
    <n v="0.2"/>
    <s v="Debit Card"/>
    <x v="3"/>
    <s v="Vikas Yadav"/>
    <x v="22"/>
    <n v="0.56102045506780052"/>
    <n v="2024"/>
    <s v="Mar"/>
    <s v="Q1"/>
    <s v="Low"/>
    <s v="Profit"/>
    <s v="No"/>
    <s v="VIKAS YADAV"/>
    <s v="vikas yadav"/>
    <n v="11"/>
    <s v="ORD"/>
    <s v="0130"/>
    <s v="Vikas Yadav-North"/>
    <s v="0130"/>
    <s v="Simran"/>
    <s v="Simran"/>
    <m/>
  </r>
  <r>
    <s v="ORD0155"/>
    <x v="23"/>
    <s v="C011"/>
    <s v="Vikas Yadav"/>
    <s v="P020"/>
    <x v="11"/>
    <x v="3"/>
    <s v="Kitchen"/>
    <x v="1"/>
    <s v="Gujarat"/>
    <n v="2053.13"/>
    <n v="1091.54"/>
    <n v="2"/>
    <n v="0.1"/>
    <s v="UPI"/>
    <x v="0"/>
    <s v="Vikas Yadav"/>
    <x v="23"/>
    <n v="0.46835319731337038"/>
    <n v="2025"/>
    <s v="May"/>
    <s v="Q2"/>
    <s v="Low"/>
    <s v="Profit"/>
    <s v="No"/>
    <s v="VIKAS YADAV"/>
    <s v="vikas yadav"/>
    <n v="11"/>
    <s v="ORD"/>
    <s v="0155"/>
    <s v="Vikas Yadav-West"/>
    <s v="0155"/>
    <s v="Simran"/>
    <s v="Simran"/>
    <m/>
  </r>
  <r>
    <s v="ORD0361"/>
    <x v="24"/>
    <s v="C011"/>
    <s v="Vikas Yadav"/>
    <s v="P020"/>
    <x v="11"/>
    <x v="3"/>
    <s v="Kitchen"/>
    <x v="0"/>
    <s v="Karnataka"/>
    <n v="4596.8599999999997"/>
    <n v="1565.07"/>
    <n v="3"/>
    <n v="0.1"/>
    <s v="UPI"/>
    <x v="0"/>
    <s v="Vikas Yadav"/>
    <x v="24"/>
    <n v="0.6595349869258581"/>
    <n v="2024"/>
    <s v="May"/>
    <s v="Q2"/>
    <s v="Low"/>
    <s v="Profit"/>
    <s v="No"/>
    <s v="VIKAS YADAV"/>
    <s v="vikas yadav"/>
    <n v="11"/>
    <s v="ORD"/>
    <s v="0361"/>
    <s v="Vikas Yadav-South"/>
    <s v="0361"/>
    <s v="Simran"/>
    <s v="Simran"/>
    <m/>
  </r>
  <r>
    <s v="ORD0785"/>
    <x v="25"/>
    <s v="C011"/>
    <s v="Vikas Yadav"/>
    <s v="P020"/>
    <x v="11"/>
    <x v="3"/>
    <s v="Kitchen"/>
    <x v="0"/>
    <s v="Tamil Nadu"/>
    <n v="5624.04"/>
    <n v="2158.7199999999998"/>
    <n v="4"/>
    <n v="0"/>
    <s v="Net Banking"/>
    <x v="0"/>
    <s v="Vikas Yadav"/>
    <x v="25"/>
    <n v="0.61616204721161305"/>
    <n v="2024"/>
    <s v="Mar"/>
    <s v="Q1"/>
    <s v="Low"/>
    <s v="Profit"/>
    <s v="No"/>
    <s v="VIKAS YADAV"/>
    <s v="vikas yadav"/>
    <n v="11"/>
    <s v="ORD"/>
    <s v="0785"/>
    <s v="Vikas Yadav-South"/>
    <s v="0785"/>
    <s v="Simran"/>
    <s v="Simran"/>
    <m/>
  </r>
  <r>
    <s v="ORD0372"/>
    <x v="26"/>
    <s v="C023"/>
    <s v="Varun Kapoor"/>
    <s v="P001"/>
    <x v="12"/>
    <x v="0"/>
    <s v="Computers"/>
    <x v="1"/>
    <s v="Maharashtra"/>
    <n v="117280.82"/>
    <n v="98060.5"/>
    <n v="2"/>
    <n v="0"/>
    <s v="UPI"/>
    <x v="1"/>
    <s v="Varun Kapoor"/>
    <x v="26"/>
    <n v="0.16388289236040476"/>
    <n v="2025"/>
    <s v="Oct"/>
    <s v="Q4"/>
    <s v="High"/>
    <s v="Profit"/>
    <s v="Yes"/>
    <s v="VARUN KAPOOR"/>
    <s v="varun kapoor"/>
    <n v="12"/>
    <s v="ORD"/>
    <s v="0372"/>
    <s v="Varun Kapoor-West"/>
    <s v="0372"/>
    <s v="Rahul"/>
    <s v="Rahul"/>
    <m/>
  </r>
  <r>
    <s v="ORD0998"/>
    <x v="27"/>
    <s v="C023"/>
    <s v="Varun Kapoor"/>
    <s v="P001"/>
    <x v="12"/>
    <x v="0"/>
    <s v="Computers"/>
    <x v="3"/>
    <s v="Punjab"/>
    <n v="202453.31"/>
    <n v="202226.24"/>
    <n v="4"/>
    <n v="0.1"/>
    <s v="Net Banking"/>
    <x v="0"/>
    <s v="Varun Kapoor"/>
    <x v="27"/>
    <n v="1.1215919364321925E-3"/>
    <n v="2024"/>
    <s v="Nov"/>
    <s v="Q4"/>
    <s v="High"/>
    <s v="Profit"/>
    <s v="Yes"/>
    <s v="VARUN KAPOOR"/>
    <s v="varun kapoor"/>
    <n v="12"/>
    <s v="ORD"/>
    <s v="0998"/>
    <s v="Varun Kapoor-North"/>
    <s v="0998"/>
    <s v="Rahul"/>
    <s v="Rahul"/>
    <m/>
  </r>
  <r>
    <s v="ORD0559"/>
    <x v="28"/>
    <s v="C023"/>
    <s v="Varun Kapoor"/>
    <s v="P002"/>
    <x v="0"/>
    <x v="0"/>
    <s v="Phones"/>
    <x v="4"/>
    <s v="Chhattisgarh"/>
    <n v="83853.95"/>
    <n v="54313.41"/>
    <n v="3"/>
    <n v="0.1"/>
    <s v="UPI"/>
    <x v="0"/>
    <s v="Varun Kapoor"/>
    <x v="28"/>
    <n v="0.35228561087462185"/>
    <n v="2025"/>
    <s v="Sep"/>
    <s v="Q3"/>
    <s v="High"/>
    <s v="Profit"/>
    <s v="Yes"/>
    <s v="VARUN KAPOOR"/>
    <s v="varun kapoor"/>
    <n v="12"/>
    <s v="ORD"/>
    <s v="0559"/>
    <s v="Varun Kapoor-Central"/>
    <s v="0559"/>
    <s v="Priya"/>
    <s v="Priya"/>
    <m/>
  </r>
  <r>
    <s v="ORD0625"/>
    <x v="29"/>
    <s v="C023"/>
    <s v="Varun Kapoor"/>
    <s v="P002"/>
    <x v="0"/>
    <x v="0"/>
    <s v="Phones"/>
    <x v="0"/>
    <s v="Tamil Nadu"/>
    <n v="20133.62"/>
    <n v="17989.400000000001"/>
    <n v="1"/>
    <n v="0.15"/>
    <s v="Debit Card"/>
    <x v="0"/>
    <s v="Varun Kapoor"/>
    <x v="29"/>
    <n v="0.10649947699420162"/>
    <n v="2025"/>
    <s v="Feb"/>
    <s v="Q1"/>
    <s v="Medium"/>
    <s v="Profit"/>
    <s v="No"/>
    <s v="VARUN KAPOOR"/>
    <s v="varun kapoor"/>
    <n v="12"/>
    <s v="ORD"/>
    <s v="0625"/>
    <s v="Varun Kapoor-South"/>
    <s v="0625"/>
    <s v="Priya"/>
    <s v="Priya"/>
    <m/>
  </r>
  <r>
    <s v="ORD0845"/>
    <x v="30"/>
    <s v="C023"/>
    <s v="Varun Kapoor"/>
    <s v="P002"/>
    <x v="0"/>
    <x v="0"/>
    <s v="Phones"/>
    <x v="1"/>
    <s v="Gujarat"/>
    <n v="25407.78"/>
    <n v="19708.78"/>
    <n v="1"/>
    <n v="0.2"/>
    <s v="UPI"/>
    <x v="0"/>
    <s v="Varun Kapoor"/>
    <x v="30"/>
    <n v="0.22430137540548606"/>
    <n v="2025"/>
    <s v="Apr"/>
    <s v="Q2"/>
    <s v="Medium"/>
    <s v="Profit"/>
    <s v="No"/>
    <s v="VARUN KAPOOR"/>
    <s v="varun kapoor"/>
    <n v="12"/>
    <s v="ORD"/>
    <s v="0845"/>
    <s v="Varun Kapoor-West"/>
    <s v="0845"/>
    <s v="Priya"/>
    <s v="Priya"/>
    <m/>
  </r>
  <r>
    <s v="ORD0006"/>
    <x v="31"/>
    <s v="C023"/>
    <s v="Varun Kapoor"/>
    <s v="P003"/>
    <x v="1"/>
    <x v="0"/>
    <s v="Accessories"/>
    <x v="3"/>
    <s v="Delhi"/>
    <n v="12224.09"/>
    <n v="3796.6"/>
    <n v="2"/>
    <n v="0.05"/>
    <s v="UPI"/>
    <x v="3"/>
    <s v="Varun Kapoor"/>
    <x v="31"/>
    <n v="0.68941655370665622"/>
    <n v="2025"/>
    <s v="Nov"/>
    <s v="Q4"/>
    <s v="Low"/>
    <s v="Profit"/>
    <s v="No"/>
    <s v="VARUN KAPOOR"/>
    <s v="varun kapoor"/>
    <n v="12"/>
    <s v="ORD"/>
    <s v="0006"/>
    <s v="Varun Kapoor-North"/>
    <s v="0006"/>
    <s v="Amit"/>
    <s v="Amit"/>
    <m/>
  </r>
  <r>
    <s v="ORD0655"/>
    <x v="32"/>
    <s v="C023"/>
    <s v="Varun Kapoor"/>
    <s v="P003"/>
    <x v="1"/>
    <x v="0"/>
    <s v="Accessories"/>
    <x v="3"/>
    <s v="Punjab"/>
    <n v="5680.32"/>
    <n v="5362.14"/>
    <n v="3"/>
    <n v="0.2"/>
    <s v="UPI"/>
    <x v="0"/>
    <s v="Varun Kapoor"/>
    <x v="32"/>
    <n v="5.6014449890146929E-2"/>
    <n v="2025"/>
    <s v="Jun"/>
    <s v="Q2"/>
    <s v="Low"/>
    <s v="Profit"/>
    <s v="No"/>
    <s v="VARUN KAPOOR"/>
    <s v="varun kapoor"/>
    <n v="12"/>
    <s v="ORD"/>
    <s v="0655"/>
    <s v="Varun Kapoor-North"/>
    <s v="0655"/>
    <s v="Amit"/>
    <s v="Amit"/>
    <m/>
  </r>
  <r>
    <s v="ORD0232"/>
    <x v="33"/>
    <s v="C023"/>
    <s v="Varun Kapoor"/>
    <s v="P004"/>
    <x v="13"/>
    <x v="0"/>
    <s v="Wearables"/>
    <x v="2"/>
    <s v="Odisha"/>
    <n v="13098.29"/>
    <n v="9206.34"/>
    <n v="3"/>
    <n v="0.05"/>
    <s v="Net Banking"/>
    <x v="0"/>
    <s v="Varun Kapoor"/>
    <x v="33"/>
    <n v="0.29713420606812035"/>
    <n v="2024"/>
    <s v="Oct"/>
    <s v="Q4"/>
    <s v="Low"/>
    <s v="Profit"/>
    <s v="No"/>
    <s v="VARUN KAPOOR"/>
    <s v="varun kapoor"/>
    <n v="12"/>
    <s v="ORD"/>
    <s v="0232"/>
    <s v="Varun Kapoor-East"/>
    <s v="0232"/>
    <s v="Neha"/>
    <s v="Neha"/>
    <m/>
  </r>
  <r>
    <s v="ORD0436"/>
    <x v="34"/>
    <s v="C023"/>
    <s v="Varun Kapoor"/>
    <s v="P004"/>
    <x v="13"/>
    <x v="0"/>
    <s v="Wearables"/>
    <x v="3"/>
    <s v="Delhi"/>
    <n v="25170.44"/>
    <n v="11137.08"/>
    <n v="4"/>
    <n v="0.15"/>
    <s v="UPI"/>
    <x v="4"/>
    <s v="Varun Kapoor"/>
    <x v="34"/>
    <n v="0.55753336056103908"/>
    <n v="2024"/>
    <s v="Jun"/>
    <s v="Q2"/>
    <s v="Medium"/>
    <s v="Profit"/>
    <s v="No"/>
    <s v="VARUN KAPOOR"/>
    <s v="varun kapoor"/>
    <n v="12"/>
    <s v="ORD"/>
    <s v="0436"/>
    <s v="Varun Kapoor-North"/>
    <s v="0436"/>
    <s v="Neha"/>
    <s v="Neha"/>
    <m/>
  </r>
  <r>
    <s v="ORD0444"/>
    <x v="35"/>
    <s v="C023"/>
    <s v="Varun Kapoor"/>
    <s v="P004"/>
    <x v="13"/>
    <x v="0"/>
    <s v="Wearables"/>
    <x v="4"/>
    <s v="Madhya Pradesh"/>
    <n v="27958.2"/>
    <n v="14941.1"/>
    <n v="5"/>
    <n v="0.15"/>
    <s v="Cash on Delivery"/>
    <x v="4"/>
    <s v="Varun Kapoor"/>
    <x v="35"/>
    <n v="0.46559149015315721"/>
    <n v="2024"/>
    <s v="Dec"/>
    <s v="Q4"/>
    <s v="Medium"/>
    <s v="Profit"/>
    <s v="No"/>
    <s v="VARUN KAPOOR"/>
    <s v="varun kapoor"/>
    <n v="12"/>
    <s v="ORD"/>
    <s v="0444"/>
    <s v="Varun Kapoor-Central"/>
    <s v="0444"/>
    <s v="Neha"/>
    <s v="Neha"/>
    <m/>
  </r>
  <r>
    <s v="ORD0580"/>
    <x v="36"/>
    <s v="C023"/>
    <s v="Varun Kapoor"/>
    <s v="P004"/>
    <x v="13"/>
    <x v="0"/>
    <s v="Wearables"/>
    <x v="0"/>
    <s v="Tamil Nadu"/>
    <n v="14524.19"/>
    <n v="10854.6"/>
    <n v="4"/>
    <n v="0.2"/>
    <s v="Credit Card"/>
    <x v="0"/>
    <s v="Varun Kapoor"/>
    <x v="36"/>
    <n v="0.25265367638401864"/>
    <n v="2025"/>
    <s v="Apr"/>
    <s v="Q2"/>
    <s v="Low"/>
    <s v="Profit"/>
    <s v="No"/>
    <s v="VARUN KAPOOR"/>
    <s v="varun kapoor"/>
    <n v="12"/>
    <s v="ORD"/>
    <s v="0580"/>
    <s v="Varun Kapoor-South"/>
    <s v="0580"/>
    <s v="Neha"/>
    <s v="Neha"/>
    <m/>
  </r>
  <r>
    <s v="ORD0080"/>
    <x v="37"/>
    <s v="C023"/>
    <s v="Varun Kapoor"/>
    <s v="P005"/>
    <x v="14"/>
    <x v="0"/>
    <s v="Computers"/>
    <x v="2"/>
    <s v="Odisha"/>
    <n v="11051.2"/>
    <n v="8596.35"/>
    <n v="1"/>
    <n v="0.15"/>
    <s v="Net Banking"/>
    <x v="2"/>
    <s v="Varun Kapoor"/>
    <x v="37"/>
    <n v="0.22213424786448532"/>
    <n v="2025"/>
    <s v="May"/>
    <s v="Q2"/>
    <s v="Low"/>
    <s v="Profit"/>
    <s v="No"/>
    <s v="VARUN KAPOOR"/>
    <s v="varun kapoor"/>
    <n v="12"/>
    <s v="ORD"/>
    <s v="0080"/>
    <s v="Varun Kapoor-East"/>
    <s v="0080"/>
    <s v="Simran"/>
    <s v="Simran"/>
    <m/>
  </r>
  <r>
    <s v="ORD0330"/>
    <x v="38"/>
    <s v="C023"/>
    <s v="Varun Kapoor"/>
    <s v="P005"/>
    <x v="14"/>
    <x v="0"/>
    <s v="Computers"/>
    <x v="2"/>
    <s v="Bihar"/>
    <n v="18241.28"/>
    <n v="15988.52"/>
    <n v="2"/>
    <n v="0.2"/>
    <s v="Debit Card"/>
    <x v="0"/>
    <s v="Varun Kapoor"/>
    <x v="38"/>
    <n v="0.12349791242719801"/>
    <n v="2024"/>
    <s v="Jan"/>
    <s v="Q1"/>
    <s v="Low"/>
    <s v="Profit"/>
    <s v="No"/>
    <s v="VARUN KAPOOR"/>
    <s v="varun kapoor"/>
    <n v="12"/>
    <s v="ORD"/>
    <s v="0330"/>
    <s v="Varun Kapoor-East"/>
    <s v="0330"/>
    <s v="Simran"/>
    <s v="Simran"/>
    <m/>
  </r>
  <r>
    <s v="ORD0746"/>
    <x v="39"/>
    <s v="C023"/>
    <s v="Varun Kapoor"/>
    <s v="P005"/>
    <x v="14"/>
    <x v="0"/>
    <s v="Computers"/>
    <x v="2"/>
    <s v="Bihar"/>
    <n v="29630.22"/>
    <n v="22201.65"/>
    <n v="3"/>
    <n v="0"/>
    <s v="Net Banking"/>
    <x v="0"/>
    <s v="Varun Kapoor"/>
    <x v="39"/>
    <n v="0.25070924211835077"/>
    <n v="2024"/>
    <s v="Aug"/>
    <s v="Q3"/>
    <s v="Medium"/>
    <s v="Profit"/>
    <s v="No"/>
    <s v="VARUN KAPOOR"/>
    <s v="varun kapoor"/>
    <n v="12"/>
    <s v="ORD"/>
    <s v="0746"/>
    <s v="Varun Kapoor-East"/>
    <s v="0746"/>
    <s v="Simran"/>
    <s v="Simran"/>
    <m/>
  </r>
  <r>
    <s v="ORD0096"/>
    <x v="40"/>
    <s v="C023"/>
    <s v="Varun Kapoor"/>
    <s v="P006"/>
    <x v="2"/>
    <x v="1"/>
    <s v="Chairs"/>
    <x v="0"/>
    <s v="Tamil Nadu"/>
    <n v="5595.53"/>
    <n v="4547.03"/>
    <n v="1"/>
    <n v="0"/>
    <s v="Net Banking"/>
    <x v="0"/>
    <s v="Varun Kapoor"/>
    <x v="40"/>
    <n v="0.18738171361783423"/>
    <n v="2025"/>
    <s v="Jul"/>
    <s v="Q3"/>
    <s v="Low"/>
    <s v="Profit"/>
    <s v="No"/>
    <s v="VARUN KAPOOR"/>
    <s v="varun kapoor"/>
    <n v="12"/>
    <s v="ORD"/>
    <s v="0096"/>
    <s v="Varun Kapoor-South"/>
    <s v="0096"/>
    <s v="Karan"/>
    <s v="Karan"/>
    <m/>
  </r>
  <r>
    <s v="ORD0498"/>
    <x v="41"/>
    <s v="C023"/>
    <s v="Varun Kapoor"/>
    <s v="P006"/>
    <x v="2"/>
    <x v="1"/>
    <s v="Chairs"/>
    <x v="3"/>
    <s v="Uttar Pradesh"/>
    <n v="28228.36"/>
    <n v="22052.5"/>
    <n v="5"/>
    <n v="0.2"/>
    <s v="Cash on Delivery"/>
    <x v="0"/>
    <s v="Varun Kapoor"/>
    <x v="41"/>
    <n v="0.21878210423843258"/>
    <n v="2024"/>
    <s v="Aug"/>
    <s v="Q3"/>
    <s v="Medium"/>
    <s v="Profit"/>
    <s v="No"/>
    <s v="VARUN KAPOOR"/>
    <s v="varun kapoor"/>
    <n v="12"/>
    <s v="ORD"/>
    <s v="0498"/>
    <s v="Varun Kapoor-North"/>
    <s v="0498"/>
    <s v="Karan"/>
    <s v="Karan"/>
    <m/>
  </r>
  <r>
    <s v="ORD0283"/>
    <x v="42"/>
    <s v="C023"/>
    <s v="Varun Kapoor"/>
    <s v="P007"/>
    <x v="3"/>
    <x v="1"/>
    <s v="Tables"/>
    <x v="1"/>
    <s v="Gujarat"/>
    <n v="13535.29"/>
    <n v="7446.55"/>
    <n v="1"/>
    <n v="0.15"/>
    <s v="Net Banking"/>
    <x v="0"/>
    <s v="Varun Kapoor"/>
    <x v="42"/>
    <n v="0.44984185783976555"/>
    <n v="2024"/>
    <s v="Oct"/>
    <s v="Q4"/>
    <s v="Low"/>
    <s v="Profit"/>
    <s v="No"/>
    <s v="VARUN KAPOOR"/>
    <s v="varun kapoor"/>
    <n v="12"/>
    <s v="ORD"/>
    <s v="0283"/>
    <s v="Varun Kapoor-West"/>
    <s v="0283"/>
    <s v="Rohan"/>
    <s v="Rohan"/>
    <m/>
  </r>
  <r>
    <s v="ORD0347"/>
    <x v="43"/>
    <s v="C023"/>
    <s v="Varun Kapoor"/>
    <s v="P008"/>
    <x v="4"/>
    <x v="1"/>
    <s v="Storage"/>
    <x v="0"/>
    <s v="Telangana"/>
    <n v="29115.599999999999"/>
    <n v="18195.8"/>
    <n v="5"/>
    <n v="0.05"/>
    <s v="UPI"/>
    <x v="3"/>
    <s v="Varun Kapoor"/>
    <x v="43"/>
    <n v="0.37504980148099298"/>
    <n v="2025"/>
    <s v="Feb"/>
    <s v="Q1"/>
    <s v="Medium"/>
    <s v="Profit"/>
    <s v="No"/>
    <s v="VARUN KAPOOR"/>
    <s v="varun kapoor"/>
    <n v="12"/>
    <s v="ORD"/>
    <s v="0347"/>
    <s v="Varun Kapoor-South"/>
    <s v="0347"/>
    <s v="Anjali"/>
    <s v="Anjali"/>
    <m/>
  </r>
  <r>
    <s v="ORD0387"/>
    <x v="44"/>
    <s v="C023"/>
    <s v="Varun Kapoor"/>
    <s v="P008"/>
    <x v="4"/>
    <x v="1"/>
    <s v="Storage"/>
    <x v="3"/>
    <s v="Delhi"/>
    <n v="12397.56"/>
    <n v="12952.89"/>
    <n v="3"/>
    <n v="0.1"/>
    <s v="Debit Card"/>
    <x v="4"/>
    <s v="Varun Kapoor"/>
    <x v="44"/>
    <n v="-4.4793491622545076E-2"/>
    <n v="2025"/>
    <s v="May"/>
    <s v="Q2"/>
    <s v="Low"/>
    <s v="Loss"/>
    <s v="No"/>
    <s v="VARUN KAPOOR"/>
    <s v="varun kapoor"/>
    <n v="12"/>
    <s v="ORD"/>
    <s v="0387"/>
    <s v="Varun Kapoor-North"/>
    <s v="0387"/>
    <s v="Anjali"/>
    <s v="Anjali"/>
    <m/>
  </r>
  <r>
    <s v="ORD0791"/>
    <x v="45"/>
    <s v="C023"/>
    <s v="Varun Kapoor"/>
    <s v="P008"/>
    <x v="4"/>
    <x v="1"/>
    <s v="Storage"/>
    <x v="0"/>
    <s v="Tamil Nadu"/>
    <n v="35174.99"/>
    <n v="15389.64"/>
    <n v="4"/>
    <n v="0.1"/>
    <s v="UPI"/>
    <x v="0"/>
    <s v="Varun Kapoor"/>
    <x v="45"/>
    <n v="0.56248345770673991"/>
    <n v="2025"/>
    <s v="Jul"/>
    <s v="Q3"/>
    <s v="Medium"/>
    <s v="Profit"/>
    <s v="No"/>
    <s v="VARUN KAPOOR"/>
    <s v="varun kapoor"/>
    <n v="12"/>
    <s v="ORD"/>
    <s v="0791"/>
    <s v="Varun Kapoor-South"/>
    <s v="0791"/>
    <s v="Anjali"/>
    <s v="Anjali"/>
    <m/>
  </r>
  <r>
    <s v="ORD0019"/>
    <x v="46"/>
    <s v="C023"/>
    <s v="Varun Kapoor"/>
    <s v="P010"/>
    <x v="6"/>
    <x v="1"/>
    <s v="Bedroom"/>
    <x v="1"/>
    <s v="Maharashtra"/>
    <n v="88180.65"/>
    <n v="53331.48"/>
    <n v="3"/>
    <n v="0"/>
    <s v="Credit Card"/>
    <x v="0"/>
    <s v="Varun Kapoor"/>
    <x v="46"/>
    <n v="0.39520200860392835"/>
    <n v="2025"/>
    <s v="Nov"/>
    <s v="Q4"/>
    <s v="High"/>
    <s v="Profit"/>
    <s v="Yes"/>
    <s v="VARUN KAPOOR"/>
    <s v="varun kapoor"/>
    <n v="12"/>
    <s v="ORD"/>
    <s v="0019"/>
    <s v="Varun Kapoor-West"/>
    <s v="0019"/>
    <s v="Sneha"/>
    <s v="Sneha"/>
    <m/>
  </r>
  <r>
    <s v="ORD0617"/>
    <x v="47"/>
    <s v="C023"/>
    <s v="Varun Kapoor"/>
    <s v="P010"/>
    <x v="6"/>
    <x v="1"/>
    <s v="Bedroom"/>
    <x v="0"/>
    <s v="Karnataka"/>
    <n v="31318.22"/>
    <n v="16286.35"/>
    <n v="1"/>
    <n v="0"/>
    <s v="Credit Card"/>
    <x v="3"/>
    <s v="Varun Kapoor"/>
    <x v="47"/>
    <n v="0.47997204183379516"/>
    <n v="2024"/>
    <s v="Jan"/>
    <s v="Q1"/>
    <s v="Medium"/>
    <s v="Profit"/>
    <s v="No"/>
    <s v="VARUN KAPOOR"/>
    <s v="varun kapoor"/>
    <n v="12"/>
    <s v="ORD"/>
    <s v="0617"/>
    <s v="Varun Kapoor-South"/>
    <s v="0617"/>
    <s v="Sneha"/>
    <s v="Sneha"/>
    <m/>
  </r>
  <r>
    <s v="ORD0201"/>
    <x v="48"/>
    <s v="C023"/>
    <s v="Varun Kapoor"/>
    <s v="P011"/>
    <x v="15"/>
    <x v="2"/>
    <s v="Footwear"/>
    <x v="2"/>
    <s v="Bihar"/>
    <n v="8635.81"/>
    <n v="4445.5200000000004"/>
    <n v="4"/>
    <n v="0.2"/>
    <s v="UPI"/>
    <x v="1"/>
    <s v="Varun Kapoor"/>
    <x v="48"/>
    <n v="0.48522257900532773"/>
    <n v="2024"/>
    <s v="Dec"/>
    <s v="Q4"/>
    <s v="Low"/>
    <s v="Profit"/>
    <s v="No"/>
    <s v="VARUN KAPOOR"/>
    <s v="varun kapoor"/>
    <n v="12"/>
    <s v="ORD"/>
    <s v="0201"/>
    <s v="Varun Kapoor-East"/>
    <s v="0201"/>
    <s v="Vikas"/>
    <s v="Vikas"/>
    <m/>
  </r>
  <r>
    <s v="ORD0597"/>
    <x v="30"/>
    <s v="C023"/>
    <s v="Varun Kapoor"/>
    <s v="P011"/>
    <x v="15"/>
    <x v="2"/>
    <s v="Footwear"/>
    <x v="4"/>
    <s v="Chhattisgarh"/>
    <n v="6690.94"/>
    <n v="2365.2199999999998"/>
    <n v="2"/>
    <n v="0.2"/>
    <s v="Net Banking"/>
    <x v="1"/>
    <s v="Varun Kapoor"/>
    <x v="49"/>
    <n v="0.64650407864963666"/>
    <n v="2025"/>
    <s v="Apr"/>
    <s v="Q2"/>
    <s v="Low"/>
    <s v="Profit"/>
    <s v="No"/>
    <s v="VARUN KAPOOR"/>
    <s v="varun kapoor"/>
    <n v="12"/>
    <s v="ORD"/>
    <s v="0597"/>
    <s v="Varun Kapoor-Central"/>
    <s v="0597"/>
    <s v="Vikas"/>
    <s v="Vikas"/>
    <m/>
  </r>
  <r>
    <s v="ORD0766"/>
    <x v="49"/>
    <s v="C023"/>
    <s v="Varun Kapoor"/>
    <s v="P013"/>
    <x v="16"/>
    <x v="2"/>
    <s v="Bags"/>
    <x v="1"/>
    <s v="Gujarat"/>
    <n v="9008.68"/>
    <n v="3622.5"/>
    <n v="5"/>
    <n v="0.2"/>
    <s v="Cash on Delivery"/>
    <x v="2"/>
    <s v="Varun Kapoor"/>
    <x v="50"/>
    <n v="0.5978878148629988"/>
    <n v="2024"/>
    <s v="Apr"/>
    <s v="Q2"/>
    <s v="Low"/>
    <s v="Profit"/>
    <s v="No"/>
    <s v="VARUN KAPOOR"/>
    <s v="varun kapoor"/>
    <n v="12"/>
    <s v="ORD"/>
    <s v="0766"/>
    <s v="Varun Kapoor-West"/>
    <s v="0766"/>
    <s v="Aditya"/>
    <s v="Aditya"/>
    <m/>
  </r>
  <r>
    <s v="ORD0805"/>
    <x v="50"/>
    <s v="C023"/>
    <s v="Varun Kapoor"/>
    <s v="P013"/>
    <x v="16"/>
    <x v="2"/>
    <s v="Bags"/>
    <x v="2"/>
    <s v="Bihar"/>
    <n v="5048.05"/>
    <n v="3329.35"/>
    <n v="5"/>
    <n v="0"/>
    <s v="UPI"/>
    <x v="1"/>
    <s v="Varun Kapoor"/>
    <x v="51"/>
    <n v="0.34046810154416068"/>
    <n v="2025"/>
    <s v="Mar"/>
    <s v="Q1"/>
    <s v="Low"/>
    <s v="Profit"/>
    <s v="No"/>
    <s v="VARUN KAPOOR"/>
    <s v="varun kapoor"/>
    <n v="12"/>
    <s v="ORD"/>
    <s v="0805"/>
    <s v="Varun Kapoor-East"/>
    <s v="0805"/>
    <s v="Aditya"/>
    <s v="Aditya"/>
    <m/>
  </r>
  <r>
    <s v="ORD0854"/>
    <x v="51"/>
    <s v="C023"/>
    <s v="Varun Kapoor"/>
    <s v="P013"/>
    <x v="16"/>
    <x v="2"/>
    <s v="Bags"/>
    <x v="1"/>
    <s v="Gujarat"/>
    <n v="3477.74"/>
    <n v="1508.52"/>
    <n v="2"/>
    <n v="0.2"/>
    <s v="Net Banking"/>
    <x v="1"/>
    <s v="Varun Kapoor"/>
    <x v="52"/>
    <n v="0.56623554377267993"/>
    <n v="2025"/>
    <s v="Oct"/>
    <s v="Q4"/>
    <s v="Low"/>
    <s v="Profit"/>
    <s v="No"/>
    <s v="VARUN KAPOOR"/>
    <s v="varun kapoor"/>
    <n v="12"/>
    <s v="ORD"/>
    <s v="0854"/>
    <s v="Varun Kapoor-West"/>
    <s v="0854"/>
    <s v="Aditya"/>
    <s v="Aditya"/>
    <m/>
  </r>
  <r>
    <s v="ORD0992"/>
    <x v="52"/>
    <s v="C023"/>
    <s v="Varun Kapoor"/>
    <s v="P013"/>
    <x v="16"/>
    <x v="2"/>
    <s v="Bags"/>
    <x v="2"/>
    <s v="Bihar"/>
    <n v="2440.63"/>
    <n v="714.27"/>
    <n v="1"/>
    <n v="0.1"/>
    <s v="Credit Card"/>
    <x v="1"/>
    <s v="Varun Kapoor"/>
    <x v="53"/>
    <n v="0.70734195678984524"/>
    <n v="2024"/>
    <s v="May"/>
    <s v="Q2"/>
    <s v="Low"/>
    <s v="Profit"/>
    <s v="No"/>
    <s v="VARUN KAPOOR"/>
    <s v="varun kapoor"/>
    <n v="12"/>
    <s v="ORD"/>
    <s v="0992"/>
    <s v="Varun Kapoor-East"/>
    <s v="0992"/>
    <s v="Aditya"/>
    <s v="Aditya"/>
    <m/>
  </r>
  <r>
    <s v="ORD0507"/>
    <x v="53"/>
    <s v="C023"/>
    <s v="Varun Kapoor"/>
    <s v="P015"/>
    <x v="17"/>
    <x v="2"/>
    <s v="Clothing"/>
    <x v="1"/>
    <s v="Maharashtra"/>
    <n v="6160.66"/>
    <n v="2108"/>
    <n v="4"/>
    <n v="0.15"/>
    <s v="Net Banking"/>
    <x v="0"/>
    <s v="Varun Kapoor"/>
    <x v="54"/>
    <n v="0.65782886898481652"/>
    <n v="2025"/>
    <s v="Jul"/>
    <s v="Q3"/>
    <s v="Low"/>
    <s v="Profit"/>
    <s v="No"/>
    <s v="VARUN KAPOOR"/>
    <s v="varun kapoor"/>
    <n v="12"/>
    <s v="ORD"/>
    <s v="0507"/>
    <s v="Varun Kapoor-West"/>
    <s v="0507"/>
    <s v="Manish"/>
    <s v="Manish"/>
    <m/>
  </r>
  <r>
    <s v="ORD0812"/>
    <x v="54"/>
    <s v="C023"/>
    <s v="Varun Kapoor"/>
    <s v="P015"/>
    <x v="17"/>
    <x v="2"/>
    <s v="Clothing"/>
    <x v="1"/>
    <s v="Maharashtra"/>
    <n v="3745.38"/>
    <n v="1816.32"/>
    <n v="4"/>
    <n v="0.2"/>
    <s v="Net Banking"/>
    <x v="2"/>
    <s v="Varun Kapoor"/>
    <x v="55"/>
    <n v="0.51505054226807434"/>
    <n v="2024"/>
    <s v="Apr"/>
    <s v="Q2"/>
    <s v="Low"/>
    <s v="Profit"/>
    <s v="No"/>
    <s v="VARUN KAPOOR"/>
    <s v="varun kapoor"/>
    <n v="12"/>
    <s v="ORD"/>
    <s v="0812"/>
    <s v="Varun Kapoor-West"/>
    <s v="0812"/>
    <s v="Manish"/>
    <s v="Manish"/>
    <m/>
  </r>
  <r>
    <s v="ORD0440"/>
    <x v="55"/>
    <s v="C023"/>
    <s v="Varun Kapoor"/>
    <s v="P019"/>
    <x v="18"/>
    <x v="3"/>
    <s v="Cleaning"/>
    <x v="3"/>
    <s v="Punjab"/>
    <n v="6273.69"/>
    <n v="3421.18"/>
    <n v="1"/>
    <n v="0.1"/>
    <s v="Cash on Delivery"/>
    <x v="3"/>
    <s v="Varun Kapoor"/>
    <x v="56"/>
    <n v="0.45467818779697433"/>
    <n v="2024"/>
    <s v="May"/>
    <s v="Q2"/>
    <s v="Low"/>
    <s v="Profit"/>
    <s v="No"/>
    <s v="VARUN KAPOOR"/>
    <s v="varun kapoor"/>
    <n v="12"/>
    <s v="ORD"/>
    <s v="0440"/>
    <s v="Varun Kapoor-North"/>
    <s v="0440"/>
    <s v="Neha"/>
    <s v="Neha"/>
    <m/>
  </r>
  <r>
    <s v="ORD0501"/>
    <x v="56"/>
    <s v="C023"/>
    <s v="Varun Kapoor"/>
    <s v="P020"/>
    <x v="11"/>
    <x v="3"/>
    <s v="Kitchen"/>
    <x v="3"/>
    <s v="Delhi"/>
    <n v="2694.56"/>
    <n v="1975.6"/>
    <n v="4"/>
    <n v="0.2"/>
    <s v="Debit Card"/>
    <x v="0"/>
    <s v="Varun Kapoor"/>
    <x v="57"/>
    <n v="0.26681907250163295"/>
    <n v="2024"/>
    <s v="Jun"/>
    <s v="Q2"/>
    <s v="Low"/>
    <s v="Profit"/>
    <s v="No"/>
    <s v="VARUN KAPOOR"/>
    <s v="varun kapoor"/>
    <n v="12"/>
    <s v="ORD"/>
    <s v="0501"/>
    <s v="Varun Kapoor-North"/>
    <s v="0501"/>
    <s v="Simran"/>
    <s v="Simran"/>
    <m/>
  </r>
  <r>
    <s v="ORD0841"/>
    <x v="57"/>
    <s v="C010"/>
    <s v="Sneha Iyer"/>
    <s v="P003"/>
    <x v="1"/>
    <x v="0"/>
    <s v="Accessories"/>
    <x v="2"/>
    <s v="Odisha"/>
    <n v="4618.75"/>
    <n v="3364.76"/>
    <n v="2"/>
    <n v="0.15"/>
    <s v="UPI"/>
    <x v="3"/>
    <s v="Sneha Iyer"/>
    <x v="58"/>
    <n v="0.27149986468200266"/>
    <n v="2025"/>
    <s v="May"/>
    <s v="Q2"/>
    <s v="Low"/>
    <s v="Profit"/>
    <s v="No"/>
    <s v="SNEHA IYER"/>
    <s v="sneha iyer"/>
    <n v="10"/>
    <s v="ORD"/>
    <s v="0841"/>
    <s v="Sneha Iyer-East"/>
    <s v="0841"/>
    <s v="Amit"/>
    <s v="Amit"/>
    <m/>
  </r>
  <r>
    <s v="ORD0219"/>
    <x v="58"/>
    <s v="C010"/>
    <s v="Sneha Iyer"/>
    <s v="P004"/>
    <x v="13"/>
    <x v="0"/>
    <s v="Wearables"/>
    <x v="2"/>
    <s v="West Bengal"/>
    <n v="39996.5"/>
    <n v="14639.1"/>
    <n v="5"/>
    <n v="0.1"/>
    <s v="Credit Card"/>
    <x v="4"/>
    <s v="Sneha Iyer"/>
    <x v="59"/>
    <n v="0.63399047416648957"/>
    <n v="2025"/>
    <s v="Nov"/>
    <s v="Q4"/>
    <s v="Medium"/>
    <s v="Profit"/>
    <s v="No"/>
    <s v="SNEHA IYER"/>
    <s v="sneha iyer"/>
    <n v="10"/>
    <s v="ORD"/>
    <s v="0219"/>
    <s v="Sneha Iyer-East"/>
    <s v="0219"/>
    <s v="Neha"/>
    <s v="Neha"/>
    <m/>
  </r>
  <r>
    <s v="ORD0418"/>
    <x v="59"/>
    <s v="C010"/>
    <s v="Sneha Iyer"/>
    <s v="P004"/>
    <x v="13"/>
    <x v="0"/>
    <s v="Wearables"/>
    <x v="4"/>
    <s v="Madhya Pradesh"/>
    <n v="16151.72"/>
    <n v="11276.76"/>
    <n v="4"/>
    <n v="0.1"/>
    <s v="Cash on Delivery"/>
    <x v="0"/>
    <s v="Sneha Iyer"/>
    <x v="60"/>
    <n v="0.30182296374627587"/>
    <n v="2024"/>
    <s v="Apr"/>
    <s v="Q2"/>
    <s v="Low"/>
    <s v="Profit"/>
    <s v="No"/>
    <s v="SNEHA IYER"/>
    <s v="sneha iyer"/>
    <n v="10"/>
    <s v="ORD"/>
    <s v="0418"/>
    <s v="Sneha Iyer-Central"/>
    <s v="0418"/>
    <s v="Neha"/>
    <s v="Neha"/>
    <m/>
  </r>
  <r>
    <s v="ORD0256"/>
    <x v="60"/>
    <s v="C010"/>
    <s v="Sneha Iyer"/>
    <s v="P005"/>
    <x v="14"/>
    <x v="0"/>
    <s v="Computers"/>
    <x v="0"/>
    <s v="Karnataka"/>
    <n v="25205.68"/>
    <n v="15615.48"/>
    <n v="2"/>
    <n v="0.15"/>
    <s v="Cash on Delivery"/>
    <x v="1"/>
    <s v="Sneha Iyer"/>
    <x v="61"/>
    <n v="0.3804777335902067"/>
    <n v="2024"/>
    <s v="Dec"/>
    <s v="Q4"/>
    <s v="Medium"/>
    <s v="Profit"/>
    <s v="No"/>
    <s v="SNEHA IYER"/>
    <s v="sneha iyer"/>
    <n v="10"/>
    <s v="ORD"/>
    <s v="0256"/>
    <s v="Sneha Iyer-South"/>
    <s v="0256"/>
    <s v="Simran"/>
    <s v="Simran"/>
    <m/>
  </r>
  <r>
    <s v="ORD0877"/>
    <x v="61"/>
    <s v="C010"/>
    <s v="Sneha Iyer"/>
    <s v="P005"/>
    <x v="14"/>
    <x v="0"/>
    <s v="Computers"/>
    <x v="3"/>
    <s v="Punjab"/>
    <n v="14880.08"/>
    <n v="7446.76"/>
    <n v="1"/>
    <n v="0.05"/>
    <s v="UPI"/>
    <x v="1"/>
    <s v="Sneha Iyer"/>
    <x v="62"/>
    <n v="0.49954838952478747"/>
    <n v="2024"/>
    <s v="Sep"/>
    <s v="Q3"/>
    <s v="Low"/>
    <s v="Profit"/>
    <s v="No"/>
    <s v="SNEHA IYER"/>
    <s v="sneha iyer"/>
    <n v="10"/>
    <s v="ORD"/>
    <s v="0877"/>
    <s v="Sneha Iyer-North"/>
    <s v="0877"/>
    <s v="Simran"/>
    <s v="Simran"/>
    <m/>
  </r>
  <r>
    <s v="ORD0721"/>
    <x v="62"/>
    <s v="C010"/>
    <s v="Sneha Iyer"/>
    <s v="P006"/>
    <x v="2"/>
    <x v="1"/>
    <s v="Chairs"/>
    <x v="4"/>
    <s v="Madhya Pradesh"/>
    <n v="21651.040000000001"/>
    <n v="8971.64"/>
    <n v="2"/>
    <n v="0"/>
    <s v="Credit Card"/>
    <x v="1"/>
    <s v="Sneha Iyer"/>
    <x v="63"/>
    <n v="0.58562544801543026"/>
    <n v="2024"/>
    <s v="Sep"/>
    <s v="Q3"/>
    <s v="Medium"/>
    <s v="Profit"/>
    <s v="No"/>
    <s v="SNEHA IYER"/>
    <s v="sneha iyer"/>
    <n v="10"/>
    <s v="ORD"/>
    <s v="0721"/>
    <s v="Sneha Iyer-Central"/>
    <s v="0721"/>
    <s v="Karan"/>
    <s v="Karan"/>
    <m/>
  </r>
  <r>
    <s v="ORD0916"/>
    <x v="63"/>
    <s v="C010"/>
    <s v="Sneha Iyer"/>
    <s v="P006"/>
    <x v="2"/>
    <x v="1"/>
    <s v="Chairs"/>
    <x v="0"/>
    <s v="Karnataka"/>
    <n v="15855.22"/>
    <n v="8711.68"/>
    <n v="2"/>
    <n v="0.05"/>
    <s v="Credit Card"/>
    <x v="0"/>
    <s v="Sneha Iyer"/>
    <x v="64"/>
    <n v="0.45054814755014433"/>
    <n v="2024"/>
    <s v="Sep"/>
    <s v="Q3"/>
    <s v="Low"/>
    <s v="Profit"/>
    <s v="No"/>
    <s v="SNEHA IYER"/>
    <s v="sneha iyer"/>
    <n v="10"/>
    <s v="ORD"/>
    <s v="0916"/>
    <s v="Sneha Iyer-South"/>
    <s v="0916"/>
    <s v="Karan"/>
    <s v="Karan"/>
    <m/>
  </r>
  <r>
    <s v="ORD0455"/>
    <x v="64"/>
    <s v="C010"/>
    <s v="Sneha Iyer"/>
    <s v="P007"/>
    <x v="3"/>
    <x v="1"/>
    <s v="Tables"/>
    <x v="4"/>
    <s v="Madhya Pradesh"/>
    <n v="67715.8"/>
    <n v="34824"/>
    <n v="5"/>
    <n v="0"/>
    <s v="UPI"/>
    <x v="1"/>
    <s v="Sneha Iyer"/>
    <x v="65"/>
    <n v="0.48573301947256037"/>
    <n v="2025"/>
    <s v="Sep"/>
    <s v="Q3"/>
    <s v="High"/>
    <s v="Profit"/>
    <s v="Yes"/>
    <s v="SNEHA IYER"/>
    <s v="sneha iyer"/>
    <n v="10"/>
    <s v="ORD"/>
    <s v="0455"/>
    <s v="Sneha Iyer-Central"/>
    <s v="0455"/>
    <s v="Rohan"/>
    <s v="Rohan"/>
    <m/>
  </r>
  <r>
    <s v="ORD0696"/>
    <x v="65"/>
    <s v="C010"/>
    <s v="Sneha Iyer"/>
    <s v="P007"/>
    <x v="3"/>
    <x v="1"/>
    <s v="Tables"/>
    <x v="1"/>
    <s v="Maharashtra"/>
    <n v="43052.19"/>
    <n v="21490.65"/>
    <n v="3"/>
    <n v="0.15"/>
    <s v="UPI"/>
    <x v="0"/>
    <s v="Sneha Iyer"/>
    <x v="66"/>
    <n v="0.500823303065419"/>
    <n v="2024"/>
    <s v="Sep"/>
    <s v="Q3"/>
    <s v="Medium"/>
    <s v="Profit"/>
    <s v="No"/>
    <s v="SNEHA IYER"/>
    <s v="sneha iyer"/>
    <n v="10"/>
    <s v="ORD"/>
    <s v="0696"/>
    <s v="Sneha Iyer-West"/>
    <s v="0696"/>
    <s v="Rohan"/>
    <s v="Rohan"/>
    <m/>
  </r>
  <r>
    <s v="ORD0719"/>
    <x v="66"/>
    <s v="C010"/>
    <s v="Sneha Iyer"/>
    <s v="P007"/>
    <x v="3"/>
    <x v="1"/>
    <s v="Tables"/>
    <x v="3"/>
    <s v="Uttar Pradesh"/>
    <n v="23614.81"/>
    <n v="14937.86"/>
    <n v="2"/>
    <n v="0.1"/>
    <s v="Net Banking"/>
    <x v="1"/>
    <s v="Sneha Iyer"/>
    <x v="67"/>
    <n v="0.36743679072581997"/>
    <n v="2024"/>
    <s v="Jan"/>
    <s v="Q1"/>
    <s v="Medium"/>
    <s v="Profit"/>
    <s v="No"/>
    <s v="SNEHA IYER"/>
    <s v="sneha iyer"/>
    <n v="10"/>
    <s v="ORD"/>
    <s v="0719"/>
    <s v="Sneha Iyer-North"/>
    <s v="0719"/>
    <s v="Rohan"/>
    <s v="Rohan"/>
    <m/>
  </r>
  <r>
    <s v="ORD0803"/>
    <x v="67"/>
    <s v="C010"/>
    <s v="Sneha Iyer"/>
    <s v="P007"/>
    <x v="3"/>
    <x v="1"/>
    <s v="Tables"/>
    <x v="1"/>
    <s v="Maharashtra"/>
    <n v="29276.39"/>
    <n v="29637.8"/>
    <n v="4"/>
    <n v="0.1"/>
    <s v="Credit Card"/>
    <x v="2"/>
    <s v="Sneha Iyer"/>
    <x v="68"/>
    <n v="-1.234475971935064E-2"/>
    <n v="2024"/>
    <s v="Jul"/>
    <s v="Q3"/>
    <s v="Medium"/>
    <s v="Loss"/>
    <s v="No"/>
    <s v="SNEHA IYER"/>
    <s v="sneha iyer"/>
    <n v="10"/>
    <s v="ORD"/>
    <s v="0803"/>
    <s v="Sneha Iyer-West"/>
    <s v="0803"/>
    <s v="Rohan"/>
    <s v="Rohan"/>
    <m/>
  </r>
  <r>
    <s v="ORD0113"/>
    <x v="35"/>
    <s v="C010"/>
    <s v="Sneha Iyer"/>
    <s v="P008"/>
    <x v="4"/>
    <x v="1"/>
    <s v="Storage"/>
    <x v="2"/>
    <s v="West Bengal"/>
    <n v="15023.91"/>
    <n v="8218.58"/>
    <n v="2"/>
    <n v="0.05"/>
    <s v="UPI"/>
    <x v="0"/>
    <s v="Sneha Iyer"/>
    <x v="69"/>
    <n v="0.45296663784594021"/>
    <n v="2024"/>
    <s v="Dec"/>
    <s v="Q4"/>
    <s v="Low"/>
    <s v="Profit"/>
    <s v="No"/>
    <s v="SNEHA IYER"/>
    <s v="sneha iyer"/>
    <n v="10"/>
    <s v="ORD"/>
    <s v="0113"/>
    <s v="Sneha Iyer-East"/>
    <s v="0113"/>
    <s v="Anjali"/>
    <s v="Anjali"/>
    <m/>
  </r>
  <r>
    <s v="ORD0343"/>
    <x v="68"/>
    <s v="C010"/>
    <s v="Sneha Iyer"/>
    <s v="P009"/>
    <x v="5"/>
    <x v="1"/>
    <s v="Seating"/>
    <x v="4"/>
    <s v="Chhattisgarh"/>
    <n v="101785.57"/>
    <n v="66569.279999999999"/>
    <n v="4"/>
    <n v="0.1"/>
    <s v="Net Banking"/>
    <x v="4"/>
    <s v="Sneha Iyer"/>
    <x v="70"/>
    <n v="0.34598509395781746"/>
    <n v="2024"/>
    <s v="Nov"/>
    <s v="Q4"/>
    <s v="High"/>
    <s v="Profit"/>
    <s v="Yes"/>
    <s v="SNEHA IYER"/>
    <s v="sneha iyer"/>
    <n v="10"/>
    <s v="ORD"/>
    <s v="0343"/>
    <s v="Sneha Iyer-Central"/>
    <s v="0343"/>
    <s v="Arjun"/>
    <s v="Arjun"/>
    <m/>
  </r>
  <r>
    <s v="ORD0775"/>
    <x v="69"/>
    <s v="C010"/>
    <s v="Sneha Iyer"/>
    <s v="P009"/>
    <x v="5"/>
    <x v="1"/>
    <s v="Seating"/>
    <x v="3"/>
    <s v="Delhi"/>
    <n v="105502.35"/>
    <n v="78432.45"/>
    <n v="5"/>
    <n v="0"/>
    <s v="Cash on Delivery"/>
    <x v="0"/>
    <s v="Sneha Iyer"/>
    <x v="71"/>
    <n v="0.25658101454612153"/>
    <n v="2024"/>
    <s v="Oct"/>
    <s v="Q4"/>
    <s v="High"/>
    <s v="Profit"/>
    <s v="Yes"/>
    <s v="SNEHA IYER"/>
    <s v="sneha iyer"/>
    <n v="10"/>
    <s v="ORD"/>
    <s v="0775"/>
    <s v="Sneha Iyer-North"/>
    <s v="0775"/>
    <s v="Arjun"/>
    <s v="Arjun"/>
    <m/>
  </r>
  <r>
    <s v="ORD0810"/>
    <x v="70"/>
    <s v="C010"/>
    <s v="Sneha Iyer"/>
    <s v="P009"/>
    <x v="5"/>
    <x v="1"/>
    <s v="Seating"/>
    <x v="2"/>
    <s v="West Bengal"/>
    <n v="137199.69"/>
    <n v="77008.149999999994"/>
    <n v="5"/>
    <n v="0.1"/>
    <s v="Net Banking"/>
    <x v="0"/>
    <s v="Sneha Iyer"/>
    <x v="72"/>
    <n v="0.4387148396618098"/>
    <n v="2024"/>
    <s v="Sep"/>
    <s v="Q3"/>
    <s v="High"/>
    <s v="Profit"/>
    <s v="Yes"/>
    <s v="SNEHA IYER"/>
    <s v="sneha iyer"/>
    <n v="10"/>
    <s v="ORD"/>
    <s v="0810"/>
    <s v="Sneha Iyer-East"/>
    <s v="0810"/>
    <s v="Arjun"/>
    <s v="Arjun"/>
    <m/>
  </r>
  <r>
    <s v="ORD0116"/>
    <x v="71"/>
    <s v="C010"/>
    <s v="Sneha Iyer"/>
    <s v="P011"/>
    <x v="15"/>
    <x v="2"/>
    <s v="Footwear"/>
    <x v="4"/>
    <s v="Madhya Pradesh"/>
    <n v="7062.72"/>
    <n v="5244.36"/>
    <n v="4"/>
    <n v="0.05"/>
    <s v="Net Banking"/>
    <x v="1"/>
    <s v="Sneha Iyer"/>
    <x v="73"/>
    <n v="0.25745888269675149"/>
    <n v="2024"/>
    <s v="Apr"/>
    <s v="Q2"/>
    <s v="Low"/>
    <s v="Profit"/>
    <s v="No"/>
    <s v="SNEHA IYER"/>
    <s v="sneha iyer"/>
    <n v="10"/>
    <s v="ORD"/>
    <s v="0116"/>
    <s v="Sneha Iyer-Central"/>
    <s v="0116"/>
    <s v="Vikas"/>
    <s v="Vikas"/>
    <m/>
  </r>
  <r>
    <s v="ORD0144"/>
    <x v="72"/>
    <s v="C010"/>
    <s v="Sneha Iyer"/>
    <s v="P011"/>
    <x v="15"/>
    <x v="2"/>
    <s v="Footwear"/>
    <x v="3"/>
    <s v="Uttar Pradesh"/>
    <n v="6753.56"/>
    <n v="5037.12"/>
    <n v="4"/>
    <n v="0.15"/>
    <s v="Cash on Delivery"/>
    <x v="0"/>
    <s v="Sneha Iyer"/>
    <x v="74"/>
    <n v="0.2541533650400678"/>
    <n v="2024"/>
    <s v="Jan"/>
    <s v="Q1"/>
    <s v="Low"/>
    <s v="Profit"/>
    <s v="No"/>
    <s v="SNEHA IYER"/>
    <s v="sneha iyer"/>
    <n v="10"/>
    <s v="ORD"/>
    <s v="0144"/>
    <s v="Sneha Iyer-North"/>
    <s v="0144"/>
    <s v="Vikas"/>
    <s v="Vikas"/>
    <m/>
  </r>
  <r>
    <s v="ORD0635"/>
    <x v="73"/>
    <s v="C010"/>
    <s v="Sneha Iyer"/>
    <s v="P011"/>
    <x v="15"/>
    <x v="2"/>
    <s v="Footwear"/>
    <x v="4"/>
    <s v="Chhattisgarh"/>
    <n v="20050.22"/>
    <n v="5494.25"/>
    <n v="5"/>
    <n v="0.15"/>
    <s v="Cash on Delivery"/>
    <x v="0"/>
    <s v="Sneha Iyer"/>
    <x v="75"/>
    <n v="0.72597557533034551"/>
    <n v="2024"/>
    <s v="Jul"/>
    <s v="Q3"/>
    <s v="Medium"/>
    <s v="Profit"/>
    <s v="No"/>
    <s v="SNEHA IYER"/>
    <s v="sneha iyer"/>
    <n v="10"/>
    <s v="ORD"/>
    <s v="0635"/>
    <s v="Sneha Iyer-Central"/>
    <s v="0635"/>
    <s v="Vikas"/>
    <s v="Vikas"/>
    <m/>
  </r>
  <r>
    <s v="ORD0248"/>
    <x v="74"/>
    <s v="C010"/>
    <s v="Sneha Iyer"/>
    <s v="P013"/>
    <x v="16"/>
    <x v="2"/>
    <s v="Bags"/>
    <x v="3"/>
    <s v="Punjab"/>
    <n v="4923.8900000000003"/>
    <n v="2654.96"/>
    <n v="4"/>
    <n v="0.05"/>
    <s v="Net Banking"/>
    <x v="0"/>
    <s v="Sneha Iyer"/>
    <x v="76"/>
    <n v="0.46080030220008977"/>
    <n v="2025"/>
    <s v="Jul"/>
    <s v="Q3"/>
    <s v="Low"/>
    <s v="Profit"/>
    <s v="No"/>
    <s v="SNEHA IYER"/>
    <s v="sneha iyer"/>
    <n v="10"/>
    <s v="ORD"/>
    <s v="0248"/>
    <s v="Sneha Iyer-North"/>
    <s v="0248"/>
    <s v="Aditya"/>
    <s v="Aditya"/>
    <m/>
  </r>
  <r>
    <s v="ORD0573"/>
    <x v="75"/>
    <s v="C010"/>
    <s v="Sneha Iyer"/>
    <s v="P013"/>
    <x v="16"/>
    <x v="2"/>
    <s v="Bags"/>
    <x v="3"/>
    <s v="Punjab"/>
    <n v="6171.51"/>
    <n v="1924.68"/>
    <n v="3"/>
    <n v="0"/>
    <s v="Cash on Delivery"/>
    <x v="3"/>
    <s v="Sneha Iyer"/>
    <x v="77"/>
    <n v="0.68813467044532051"/>
    <n v="2024"/>
    <s v="May"/>
    <s v="Q2"/>
    <s v="Low"/>
    <s v="Profit"/>
    <s v="No"/>
    <s v="SNEHA IYER"/>
    <s v="sneha iyer"/>
    <n v="10"/>
    <s v="ORD"/>
    <s v="0573"/>
    <s v="Sneha Iyer-North"/>
    <s v="0573"/>
    <s v="Aditya"/>
    <s v="Aditya"/>
    <m/>
  </r>
  <r>
    <s v="ORD0584"/>
    <x v="76"/>
    <s v="C010"/>
    <s v="Sneha Iyer"/>
    <s v="P013"/>
    <x v="16"/>
    <x v="2"/>
    <s v="Bags"/>
    <x v="0"/>
    <s v="Karnataka"/>
    <n v="4586.09"/>
    <n v="3833.65"/>
    <n v="5"/>
    <n v="0.1"/>
    <s v="Net Banking"/>
    <x v="0"/>
    <s v="Sneha Iyer"/>
    <x v="78"/>
    <n v="0.16407004659742833"/>
    <n v="2025"/>
    <s v="Jan"/>
    <s v="Q1"/>
    <s v="Low"/>
    <s v="Profit"/>
    <s v="No"/>
    <s v="SNEHA IYER"/>
    <s v="sneha iyer"/>
    <n v="10"/>
    <s v="ORD"/>
    <s v="0584"/>
    <s v="Sneha Iyer-South"/>
    <s v="0584"/>
    <s v="Aditya"/>
    <s v="Aditya"/>
    <m/>
  </r>
  <r>
    <s v="ORD0807"/>
    <x v="77"/>
    <s v="C010"/>
    <s v="Sneha Iyer"/>
    <s v="P013"/>
    <x v="16"/>
    <x v="2"/>
    <s v="Bags"/>
    <x v="2"/>
    <s v="Odisha"/>
    <n v="3249.65"/>
    <n v="1531.06"/>
    <n v="2"/>
    <n v="0.2"/>
    <s v="Credit Card"/>
    <x v="4"/>
    <s v="Sneha Iyer"/>
    <x v="79"/>
    <n v="0.5288538765713231"/>
    <n v="2025"/>
    <s v="Jan"/>
    <s v="Q1"/>
    <s v="Low"/>
    <s v="Profit"/>
    <s v="No"/>
    <s v="SNEHA IYER"/>
    <s v="sneha iyer"/>
    <n v="10"/>
    <s v="ORD"/>
    <s v="0807"/>
    <s v="Sneha Iyer-East"/>
    <s v="0807"/>
    <s v="Aditya"/>
    <s v="Aditya"/>
    <m/>
  </r>
  <r>
    <s v="ORD0840"/>
    <x v="78"/>
    <s v="C010"/>
    <s v="Sneha Iyer"/>
    <s v="P013"/>
    <x v="16"/>
    <x v="2"/>
    <s v="Bags"/>
    <x v="1"/>
    <s v="Maharashtra"/>
    <n v="7294.46"/>
    <n v="2224.3200000000002"/>
    <n v="3"/>
    <n v="0.05"/>
    <s v="Cash on Delivery"/>
    <x v="0"/>
    <s v="Sneha Iyer"/>
    <x v="80"/>
    <n v="0.69506721539359995"/>
    <n v="2025"/>
    <s v="Nov"/>
    <s v="Q4"/>
    <s v="Low"/>
    <s v="Profit"/>
    <s v="No"/>
    <s v="SNEHA IYER"/>
    <s v="sneha iyer"/>
    <n v="10"/>
    <s v="ORD"/>
    <s v="0840"/>
    <s v="Sneha Iyer-West"/>
    <s v="0840"/>
    <s v="Aditya"/>
    <s v="Aditya"/>
    <m/>
  </r>
  <r>
    <s v="ORD0239"/>
    <x v="79"/>
    <s v="C010"/>
    <s v="Sneha Iyer"/>
    <s v="P014"/>
    <x v="19"/>
    <x v="2"/>
    <s v="Clothing"/>
    <x v="3"/>
    <s v="Punjab"/>
    <n v="3765.94"/>
    <n v="974.88"/>
    <n v="4"/>
    <n v="0.15"/>
    <s v="Net Banking"/>
    <x v="3"/>
    <s v="Sneha Iyer"/>
    <x v="81"/>
    <n v="0.74113236004822169"/>
    <n v="2024"/>
    <s v="May"/>
    <s v="Q2"/>
    <s v="Low"/>
    <s v="Profit"/>
    <s v="No"/>
    <s v="SNEHA IYER"/>
    <s v="sneha iyer"/>
    <n v="10"/>
    <s v="ORD"/>
    <s v="0239"/>
    <s v="Sneha Iyer-North"/>
    <s v="0239"/>
    <s v="Kavya"/>
    <s v="Kavya"/>
    <m/>
  </r>
  <r>
    <s v="ORD0276"/>
    <x v="80"/>
    <s v="C010"/>
    <s v="Sneha Iyer"/>
    <s v="P014"/>
    <x v="19"/>
    <x v="2"/>
    <s v="Clothing"/>
    <x v="1"/>
    <s v="Maharashtra"/>
    <n v="4725.8"/>
    <n v="1351.3"/>
    <n v="5"/>
    <n v="0.2"/>
    <s v="Cash on Delivery"/>
    <x v="0"/>
    <s v="Sneha Iyer"/>
    <x v="82"/>
    <n v="0.71405899530238259"/>
    <n v="2024"/>
    <s v="Mar"/>
    <s v="Q1"/>
    <s v="Low"/>
    <s v="Profit"/>
    <s v="No"/>
    <s v="SNEHA IYER"/>
    <s v="sneha iyer"/>
    <n v="10"/>
    <s v="ORD"/>
    <s v="0276"/>
    <s v="Sneha Iyer-West"/>
    <s v="0276"/>
    <s v="Kavya"/>
    <s v="Kavya"/>
    <m/>
  </r>
  <r>
    <s v="ORD0289"/>
    <x v="54"/>
    <s v="C010"/>
    <s v="Sneha Iyer"/>
    <s v="P014"/>
    <x v="19"/>
    <x v="2"/>
    <s v="Clothing"/>
    <x v="3"/>
    <s v="Uttar Pradesh"/>
    <n v="1219.06"/>
    <n v="484.84"/>
    <n v="2"/>
    <n v="0.05"/>
    <s v="Cash on Delivery"/>
    <x v="2"/>
    <s v="Sneha Iyer"/>
    <x v="83"/>
    <n v="0.6022837268058997"/>
    <n v="2024"/>
    <s v="Apr"/>
    <s v="Q2"/>
    <s v="Low"/>
    <s v="Profit"/>
    <s v="No"/>
    <s v="SNEHA IYER"/>
    <s v="sneha iyer"/>
    <n v="10"/>
    <s v="ORD"/>
    <s v="0289"/>
    <s v="Sneha Iyer-North"/>
    <s v="0289"/>
    <s v="Kavya"/>
    <s v="Kavya"/>
    <m/>
  </r>
  <r>
    <s v="ORD0756"/>
    <x v="81"/>
    <s v="C010"/>
    <s v="Sneha Iyer"/>
    <s v="P014"/>
    <x v="19"/>
    <x v="2"/>
    <s v="Clothing"/>
    <x v="0"/>
    <s v="Karnataka"/>
    <n v="2649.32"/>
    <n v="1087.8"/>
    <n v="4"/>
    <n v="0"/>
    <s v="Net Banking"/>
    <x v="0"/>
    <s v="Sneha Iyer"/>
    <x v="84"/>
    <n v="0.5894040734981052"/>
    <n v="2024"/>
    <s v="Mar"/>
    <s v="Q1"/>
    <s v="Low"/>
    <s v="Profit"/>
    <s v="No"/>
    <s v="SNEHA IYER"/>
    <s v="sneha iyer"/>
    <n v="10"/>
    <s v="ORD"/>
    <s v="0756"/>
    <s v="Sneha Iyer-South"/>
    <s v="0756"/>
    <s v="Kavya"/>
    <s v="Kavya"/>
    <m/>
  </r>
  <r>
    <s v="ORD0942"/>
    <x v="82"/>
    <s v="C010"/>
    <s v="Sneha Iyer"/>
    <s v="P014"/>
    <x v="19"/>
    <x v="2"/>
    <s v="Clothing"/>
    <x v="4"/>
    <s v="Chhattisgarh"/>
    <n v="3019.79"/>
    <n v="931.76"/>
    <n v="4"/>
    <n v="0.1"/>
    <s v="Cash on Delivery"/>
    <x v="0"/>
    <s v="Sneha Iyer"/>
    <x v="85"/>
    <n v="0.69144874312452187"/>
    <n v="2025"/>
    <s v="Dec"/>
    <s v="Q4"/>
    <s v="Low"/>
    <s v="Profit"/>
    <s v="No"/>
    <s v="SNEHA IYER"/>
    <s v="sneha iyer"/>
    <n v="10"/>
    <s v="ORD"/>
    <s v="0942"/>
    <s v="Sneha Iyer-Central"/>
    <s v="0942"/>
    <s v="Kavya"/>
    <s v="Kavya"/>
    <m/>
  </r>
  <r>
    <s v="ORD0114"/>
    <x v="83"/>
    <s v="C010"/>
    <s v="Sneha Iyer"/>
    <s v="P015"/>
    <x v="17"/>
    <x v="2"/>
    <s v="Clothing"/>
    <x v="3"/>
    <s v="Delhi"/>
    <n v="2009.37"/>
    <n v="1569.72"/>
    <n v="3"/>
    <n v="0.1"/>
    <s v="Debit Card"/>
    <x v="3"/>
    <s v="Sneha Iyer"/>
    <x v="86"/>
    <n v="0.21879992236372589"/>
    <n v="2025"/>
    <s v="Aug"/>
    <s v="Q3"/>
    <s v="Low"/>
    <s v="Profit"/>
    <s v="No"/>
    <s v="SNEHA IYER"/>
    <s v="sneha iyer"/>
    <n v="10"/>
    <s v="ORD"/>
    <s v="0114"/>
    <s v="Sneha Iyer-North"/>
    <s v="0114"/>
    <s v="Manish"/>
    <s v="Manish"/>
    <m/>
  </r>
  <r>
    <s v="ORD0274"/>
    <x v="84"/>
    <s v="C010"/>
    <s v="Sneha Iyer"/>
    <s v="P015"/>
    <x v="17"/>
    <x v="2"/>
    <s v="Clothing"/>
    <x v="0"/>
    <s v="Telangana"/>
    <n v="764.86"/>
    <n v="463.25"/>
    <n v="1"/>
    <n v="0.15"/>
    <s v="Cash on Delivery"/>
    <x v="3"/>
    <s v="Sneha Iyer"/>
    <x v="87"/>
    <n v="0.39433360353528751"/>
    <n v="2024"/>
    <s v="Oct"/>
    <s v="Q4"/>
    <s v="Low"/>
    <s v="Profit"/>
    <s v="No"/>
    <s v="SNEHA IYER"/>
    <s v="sneha iyer"/>
    <n v="10"/>
    <s v="ORD"/>
    <s v="0274"/>
    <s v="Sneha Iyer-South"/>
    <s v="0274"/>
    <s v="Manish"/>
    <s v="Manish"/>
    <m/>
  </r>
  <r>
    <s v="ORD0464"/>
    <x v="85"/>
    <s v="C010"/>
    <s v="Sneha Iyer"/>
    <s v="P015"/>
    <x v="17"/>
    <x v="2"/>
    <s v="Clothing"/>
    <x v="1"/>
    <s v="Maharashtra"/>
    <n v="1380.87"/>
    <n v="497.4"/>
    <n v="1"/>
    <n v="0.05"/>
    <s v="Net Banking"/>
    <x v="4"/>
    <s v="Sneha Iyer"/>
    <x v="88"/>
    <n v="0.63979230485128935"/>
    <n v="2025"/>
    <s v="Feb"/>
    <s v="Q1"/>
    <s v="Low"/>
    <s v="Profit"/>
    <s v="No"/>
    <s v="SNEHA IYER"/>
    <s v="sneha iyer"/>
    <n v="10"/>
    <s v="ORD"/>
    <s v="0464"/>
    <s v="Sneha Iyer-West"/>
    <s v="0464"/>
    <s v="Manish"/>
    <s v="Manish"/>
    <m/>
  </r>
  <r>
    <s v="ORD0672"/>
    <x v="86"/>
    <s v="C010"/>
    <s v="Sneha Iyer"/>
    <s v="P015"/>
    <x v="17"/>
    <x v="2"/>
    <s v="Clothing"/>
    <x v="2"/>
    <s v="Odisha"/>
    <n v="3543.51"/>
    <n v="2169.08"/>
    <n v="4"/>
    <n v="0.15"/>
    <s v="Debit Card"/>
    <x v="4"/>
    <s v="Sneha Iyer"/>
    <x v="89"/>
    <n v="0.38787247672505515"/>
    <n v="2024"/>
    <s v="Mar"/>
    <s v="Q1"/>
    <s v="Low"/>
    <s v="Profit"/>
    <s v="No"/>
    <s v="SNEHA IYER"/>
    <s v="sneha iyer"/>
    <n v="10"/>
    <s v="ORD"/>
    <s v="0672"/>
    <s v="Sneha Iyer-East"/>
    <s v="0672"/>
    <s v="Manish"/>
    <s v="Manish"/>
    <m/>
  </r>
  <r>
    <s v="ORD0722"/>
    <x v="64"/>
    <s v="C010"/>
    <s v="Sneha Iyer"/>
    <s v="P015"/>
    <x v="17"/>
    <x v="2"/>
    <s v="Clothing"/>
    <x v="3"/>
    <s v="Punjab"/>
    <n v="2007.14"/>
    <n v="1042.3599999999999"/>
    <n v="2"/>
    <n v="0.05"/>
    <s v="Credit Card"/>
    <x v="0"/>
    <s v="Sneha Iyer"/>
    <x v="90"/>
    <n v="0.48067399384198417"/>
    <n v="2025"/>
    <s v="Sep"/>
    <s v="Q3"/>
    <s v="Low"/>
    <s v="Profit"/>
    <s v="No"/>
    <s v="SNEHA IYER"/>
    <s v="sneha iyer"/>
    <n v="10"/>
    <s v="ORD"/>
    <s v="0722"/>
    <s v="Sneha Iyer-North"/>
    <s v="0722"/>
    <s v="Manish"/>
    <s v="Manish"/>
    <m/>
  </r>
  <r>
    <s v="ORD0731"/>
    <x v="87"/>
    <s v="C010"/>
    <s v="Sneha Iyer"/>
    <s v="P015"/>
    <x v="17"/>
    <x v="2"/>
    <s v="Clothing"/>
    <x v="4"/>
    <s v="Chhattisgarh"/>
    <n v="1717.42"/>
    <n v="471.57"/>
    <n v="1"/>
    <n v="0.15"/>
    <s v="Net Banking"/>
    <x v="4"/>
    <s v="Sneha Iyer"/>
    <x v="91"/>
    <n v="0.72541952463579096"/>
    <n v="2025"/>
    <s v="Jul"/>
    <s v="Q3"/>
    <s v="Low"/>
    <s v="Profit"/>
    <s v="No"/>
    <s v="SNEHA IYER"/>
    <s v="sneha iyer"/>
    <n v="10"/>
    <s v="ORD"/>
    <s v="0731"/>
    <s v="Sneha Iyer-Central"/>
    <s v="0731"/>
    <s v="Manish"/>
    <s v="Manish"/>
    <m/>
  </r>
  <r>
    <s v="ORD0824"/>
    <x v="88"/>
    <s v="C010"/>
    <s v="Sneha Iyer"/>
    <s v="P015"/>
    <x v="17"/>
    <x v="2"/>
    <s v="Clothing"/>
    <x v="1"/>
    <s v="Maharashtra"/>
    <n v="7828.92"/>
    <n v="1920.16"/>
    <n v="4"/>
    <n v="0.1"/>
    <s v="Credit Card"/>
    <x v="3"/>
    <s v="Sneha Iyer"/>
    <x v="92"/>
    <n v="0.75473500814927219"/>
    <n v="2024"/>
    <s v="Mar"/>
    <s v="Q1"/>
    <s v="Low"/>
    <s v="Profit"/>
    <s v="No"/>
    <s v="SNEHA IYER"/>
    <s v="sneha iyer"/>
    <n v="10"/>
    <s v="ORD"/>
    <s v="0824"/>
    <s v="Sneha Iyer-West"/>
    <s v="0824"/>
    <s v="Manish"/>
    <s v="Manish"/>
    <m/>
  </r>
  <r>
    <s v="ORD0915"/>
    <x v="89"/>
    <s v="C010"/>
    <s v="Sneha Iyer"/>
    <s v="P015"/>
    <x v="17"/>
    <x v="2"/>
    <s v="Clothing"/>
    <x v="0"/>
    <s v="Karnataka"/>
    <n v="5879.25"/>
    <n v="2706.35"/>
    <n v="5"/>
    <n v="0"/>
    <s v="Credit Card"/>
    <x v="0"/>
    <s v="Sneha Iyer"/>
    <x v="93"/>
    <n v="0.53967767997618743"/>
    <n v="2025"/>
    <s v="Oct"/>
    <s v="Q4"/>
    <s v="Low"/>
    <s v="Profit"/>
    <s v="No"/>
    <s v="SNEHA IYER"/>
    <s v="sneha iyer"/>
    <n v="10"/>
    <s v="ORD"/>
    <s v="0915"/>
    <s v="Sneha Iyer-South"/>
    <s v="0915"/>
    <s v="Manish"/>
    <s v="Manish"/>
    <m/>
  </r>
  <r>
    <s v="ORD0918"/>
    <x v="90"/>
    <s v="C010"/>
    <s v="Sneha Iyer"/>
    <s v="P015"/>
    <x v="17"/>
    <x v="2"/>
    <s v="Clothing"/>
    <x v="0"/>
    <s v="Karnataka"/>
    <n v="5054.0600000000004"/>
    <n v="1548.27"/>
    <n v="3"/>
    <n v="0.2"/>
    <s v="Net Banking"/>
    <x v="0"/>
    <s v="Sneha Iyer"/>
    <x v="94"/>
    <n v="0.69365816788878643"/>
    <n v="2025"/>
    <s v="Jan"/>
    <s v="Q1"/>
    <s v="Low"/>
    <s v="Profit"/>
    <s v="No"/>
    <s v="SNEHA IYER"/>
    <s v="sneha iyer"/>
    <n v="10"/>
    <s v="ORD"/>
    <s v="0918"/>
    <s v="Sneha Iyer-South"/>
    <s v="0918"/>
    <s v="Manish"/>
    <s v="Manish"/>
    <m/>
  </r>
  <r>
    <s v="ORD0165"/>
    <x v="91"/>
    <s v="C010"/>
    <s v="Sneha Iyer"/>
    <s v="P016"/>
    <x v="8"/>
    <x v="3"/>
    <s v="Kitchen"/>
    <x v="4"/>
    <s v="Chhattisgarh"/>
    <n v="10208.52"/>
    <n v="5592.57"/>
    <n v="3"/>
    <n v="0.15"/>
    <s v="Net Banking"/>
    <x v="4"/>
    <s v="Sneha Iyer"/>
    <x v="95"/>
    <n v="0.4521664256914813"/>
    <n v="2024"/>
    <s v="Jul"/>
    <s v="Q3"/>
    <s v="Low"/>
    <s v="Profit"/>
    <s v="No"/>
    <s v="SNEHA IYER"/>
    <s v="sneha iyer"/>
    <n v="10"/>
    <s v="ORD"/>
    <s v="0165"/>
    <s v="Sneha Iyer-Central"/>
    <s v="0165"/>
    <s v="Rahul"/>
    <s v="Rahul"/>
    <m/>
  </r>
  <r>
    <s v="ORD0867"/>
    <x v="92"/>
    <s v="C010"/>
    <s v="Sneha Iyer"/>
    <s v="P016"/>
    <x v="8"/>
    <x v="3"/>
    <s v="Kitchen"/>
    <x v="3"/>
    <s v="Delhi"/>
    <n v="6273.72"/>
    <n v="3804.34"/>
    <n v="2"/>
    <n v="0.1"/>
    <s v="Debit Card"/>
    <x v="0"/>
    <s v="Sneha Iyer"/>
    <x v="96"/>
    <n v="0.39360698277895728"/>
    <n v="2024"/>
    <s v="May"/>
    <s v="Q2"/>
    <s v="Low"/>
    <s v="Profit"/>
    <s v="No"/>
    <s v="SNEHA IYER"/>
    <s v="sneha iyer"/>
    <n v="10"/>
    <s v="ORD"/>
    <s v="0867"/>
    <s v="Sneha Iyer-North"/>
    <s v="0867"/>
    <s v="Rahul"/>
    <s v="Rahul"/>
    <m/>
  </r>
  <r>
    <s v="ORD0179"/>
    <x v="93"/>
    <s v="C010"/>
    <s v="Sneha Iyer"/>
    <s v="P017"/>
    <x v="9"/>
    <x v="3"/>
    <s v="Kitchen"/>
    <x v="1"/>
    <s v="Maharashtra"/>
    <n v="46375.05"/>
    <n v="22815.919999999998"/>
    <n v="4"/>
    <n v="0.05"/>
    <s v="Debit Card"/>
    <x v="1"/>
    <s v="Sneha Iyer"/>
    <x v="97"/>
    <n v="0.50801303718270929"/>
    <n v="2025"/>
    <s v="Jul"/>
    <s v="Q3"/>
    <s v="Medium"/>
    <s v="Profit"/>
    <s v="No"/>
    <s v="SNEHA IYER"/>
    <s v="sneha iyer"/>
    <n v="10"/>
    <s v="ORD"/>
    <s v="0179"/>
    <s v="Sneha Iyer-West"/>
    <s v="0179"/>
    <s v="Priya"/>
    <s v="Priya"/>
    <m/>
  </r>
  <r>
    <s v="ORD0160"/>
    <x v="94"/>
    <s v="C010"/>
    <s v="Sneha Iyer"/>
    <s v="P018"/>
    <x v="10"/>
    <x v="3"/>
    <s v="Cooling"/>
    <x v="1"/>
    <s v="Maharashtra"/>
    <n v="25784.639999999999"/>
    <n v="17533.5"/>
    <n v="3"/>
    <n v="0.2"/>
    <s v="UPI"/>
    <x v="3"/>
    <s v="Sneha Iyer"/>
    <x v="98"/>
    <n v="0.32000214080941208"/>
    <n v="2025"/>
    <s v="Oct"/>
    <s v="Q4"/>
    <s v="Medium"/>
    <s v="Profit"/>
    <s v="No"/>
    <s v="SNEHA IYER"/>
    <s v="sneha iyer"/>
    <n v="10"/>
    <s v="ORD"/>
    <s v="0160"/>
    <s v="Sneha Iyer-West"/>
    <s v="0160"/>
    <s v="Amit"/>
    <s v="Amit"/>
    <m/>
  </r>
  <r>
    <s v="ORD0385"/>
    <x v="95"/>
    <s v="C010"/>
    <s v="Sneha Iyer"/>
    <s v="P018"/>
    <x v="10"/>
    <x v="3"/>
    <s v="Cooling"/>
    <x v="0"/>
    <s v="Telangana"/>
    <n v="22755.360000000001"/>
    <n v="16114.05"/>
    <n v="3"/>
    <n v="0.2"/>
    <s v="Net Banking"/>
    <x v="0"/>
    <s v="Sneha Iyer"/>
    <x v="99"/>
    <n v="0.29185695150505203"/>
    <n v="2025"/>
    <s v="Feb"/>
    <s v="Q1"/>
    <s v="Medium"/>
    <s v="Profit"/>
    <s v="No"/>
    <s v="SNEHA IYER"/>
    <s v="sneha iyer"/>
    <n v="10"/>
    <s v="ORD"/>
    <s v="0385"/>
    <s v="Sneha Iyer-South"/>
    <s v="0385"/>
    <s v="Amit"/>
    <s v="Amit"/>
    <m/>
  </r>
  <r>
    <s v="ORD0640"/>
    <x v="96"/>
    <s v="C010"/>
    <s v="Sneha Iyer"/>
    <s v="P018"/>
    <x v="10"/>
    <x v="3"/>
    <s v="Cooling"/>
    <x v="1"/>
    <s v="Gujarat"/>
    <n v="41627.120000000003"/>
    <n v="27023.95"/>
    <n v="5"/>
    <n v="0.2"/>
    <s v="Credit Card"/>
    <x v="2"/>
    <s v="Sneha Iyer"/>
    <x v="100"/>
    <n v="0.35080903987592704"/>
    <n v="2025"/>
    <s v="Feb"/>
    <s v="Q1"/>
    <s v="Medium"/>
    <s v="Profit"/>
    <s v="No"/>
    <s v="SNEHA IYER"/>
    <s v="sneha iyer"/>
    <n v="10"/>
    <s v="ORD"/>
    <s v="0640"/>
    <s v="Sneha Iyer-West"/>
    <s v="0640"/>
    <s v="Amit"/>
    <s v="Amit"/>
    <m/>
  </r>
  <r>
    <s v="ORD0226"/>
    <x v="97"/>
    <s v="C010"/>
    <s v="Sneha Iyer"/>
    <s v="P019"/>
    <x v="18"/>
    <x v="3"/>
    <s v="Cleaning"/>
    <x v="2"/>
    <s v="West Bengal"/>
    <n v="21467.11"/>
    <n v="10047.57"/>
    <n v="3"/>
    <n v="0.2"/>
    <s v="Cash on Delivery"/>
    <x v="2"/>
    <s v="Sneha Iyer"/>
    <x v="101"/>
    <n v="0.53195516303778201"/>
    <n v="2024"/>
    <s v="Apr"/>
    <s v="Q2"/>
    <s v="Medium"/>
    <s v="Profit"/>
    <s v="No"/>
    <s v="SNEHA IYER"/>
    <s v="sneha iyer"/>
    <n v="10"/>
    <s v="ORD"/>
    <s v="0226"/>
    <s v="Sneha Iyer-East"/>
    <s v="0226"/>
    <s v="Neha"/>
    <s v="Neha"/>
    <m/>
  </r>
  <r>
    <s v="ORD0646"/>
    <x v="98"/>
    <s v="C010"/>
    <s v="Sneha Iyer"/>
    <s v="P019"/>
    <x v="18"/>
    <x v="3"/>
    <s v="Cleaning"/>
    <x v="4"/>
    <s v="Madhya Pradesh"/>
    <n v="23431.46"/>
    <n v="11378.85"/>
    <n v="3"/>
    <n v="0.1"/>
    <s v="UPI"/>
    <x v="0"/>
    <s v="Sneha Iyer"/>
    <x v="102"/>
    <n v="0.51437725178029881"/>
    <n v="2025"/>
    <s v="Nov"/>
    <s v="Q4"/>
    <s v="Medium"/>
    <s v="Profit"/>
    <s v="No"/>
    <s v="SNEHA IYER"/>
    <s v="sneha iyer"/>
    <n v="10"/>
    <s v="ORD"/>
    <s v="0646"/>
    <s v="Sneha Iyer-Central"/>
    <s v="0646"/>
    <s v="Neha"/>
    <s v="Neha"/>
    <m/>
  </r>
  <r>
    <s v="ORD0825"/>
    <x v="40"/>
    <s v="C010"/>
    <s v="Sneha Iyer"/>
    <s v="P019"/>
    <x v="18"/>
    <x v="3"/>
    <s v="Cleaning"/>
    <x v="3"/>
    <s v="Delhi"/>
    <n v="5222.5200000000004"/>
    <n v="3792.11"/>
    <n v="1"/>
    <n v="0.2"/>
    <s v="Net Banking"/>
    <x v="3"/>
    <s v="Sneha Iyer"/>
    <x v="103"/>
    <n v="0.27389268016206741"/>
    <n v="2025"/>
    <s v="Jul"/>
    <s v="Q3"/>
    <s v="Low"/>
    <s v="Profit"/>
    <s v="No"/>
    <s v="SNEHA IYER"/>
    <s v="sneha iyer"/>
    <n v="10"/>
    <s v="ORD"/>
    <s v="0825"/>
    <s v="Sneha Iyer-North"/>
    <s v="0825"/>
    <s v="Neha"/>
    <s v="Neha"/>
    <m/>
  </r>
  <r>
    <s v="ORD0493"/>
    <x v="99"/>
    <s v="C010"/>
    <s v="Sneha Iyer"/>
    <s v="P020"/>
    <x v="11"/>
    <x v="3"/>
    <s v="Kitchen"/>
    <x v="1"/>
    <s v="Rajasthan"/>
    <n v="4352.9399999999996"/>
    <n v="1406.7"/>
    <n v="3"/>
    <n v="0"/>
    <s v="Cash on Delivery"/>
    <x v="0"/>
    <s v="Sneha Iyer"/>
    <x v="104"/>
    <n v="0.6768391018484059"/>
    <n v="2025"/>
    <s v="Feb"/>
    <s v="Q1"/>
    <s v="Low"/>
    <s v="Profit"/>
    <s v="No"/>
    <s v="SNEHA IYER"/>
    <s v="sneha iyer"/>
    <n v="10"/>
    <s v="ORD"/>
    <s v="0493"/>
    <s v="Sneha Iyer-West"/>
    <s v="0493"/>
    <s v="Simran"/>
    <s v="Simran"/>
    <m/>
  </r>
  <r>
    <s v="ORD0851"/>
    <x v="100"/>
    <s v="C005"/>
    <s v="Simran Kaur"/>
    <s v="P001"/>
    <x v="12"/>
    <x v="0"/>
    <s v="Computers"/>
    <x v="2"/>
    <s v="Bihar"/>
    <n v="54433.48"/>
    <n v="44013.87"/>
    <n v="1"/>
    <n v="0.05"/>
    <s v="Net Banking"/>
    <x v="0"/>
    <s v="Simran Kaur"/>
    <x v="105"/>
    <n v="0.19141914130788626"/>
    <n v="2025"/>
    <s v="Jun"/>
    <s v="Q2"/>
    <s v="High"/>
    <s v="Profit"/>
    <s v="No"/>
    <s v="SIMRAN KAUR"/>
    <s v="simran kaur"/>
    <n v="11"/>
    <s v="ORD"/>
    <s v="0851"/>
    <s v="Simran Kaur-East"/>
    <s v="0851"/>
    <s v="Rahul"/>
    <s v="Rahul"/>
    <m/>
  </r>
  <r>
    <s v="ORD0177"/>
    <x v="101"/>
    <s v="C005"/>
    <s v="Simran Kaur"/>
    <s v="P002"/>
    <x v="0"/>
    <x v="0"/>
    <s v="Phones"/>
    <x v="0"/>
    <s v="Telangana"/>
    <n v="58033.72"/>
    <n v="57385.89"/>
    <n v="3"/>
    <n v="0.15"/>
    <s v="Net Banking"/>
    <x v="0"/>
    <s v="Simran Kaur"/>
    <x v="106"/>
    <n v="1.1162992825550416E-2"/>
    <n v="2025"/>
    <s v="Jul"/>
    <s v="Q3"/>
    <s v="High"/>
    <s v="Profit"/>
    <s v="Yes"/>
    <s v="SIMRAN KAUR"/>
    <s v="simran kaur"/>
    <n v="11"/>
    <s v="ORD"/>
    <s v="0177"/>
    <s v="Simran Kaur-South"/>
    <s v="0177"/>
    <s v="Priya"/>
    <s v="Priya"/>
    <m/>
  </r>
  <r>
    <s v="ORD0572"/>
    <x v="102"/>
    <s v="C005"/>
    <s v="Simran Kaur"/>
    <s v="P002"/>
    <x v="0"/>
    <x v="0"/>
    <s v="Phones"/>
    <x v="2"/>
    <s v="Odisha"/>
    <n v="114787.12"/>
    <n v="75640.88"/>
    <n v="4"/>
    <n v="0"/>
    <s v="Credit Card"/>
    <x v="3"/>
    <s v="Simran Kaur"/>
    <x v="107"/>
    <n v="0.34103338423335294"/>
    <n v="2025"/>
    <s v="Feb"/>
    <s v="Q1"/>
    <s v="High"/>
    <s v="Profit"/>
    <s v="Yes"/>
    <s v="SIMRAN KAUR"/>
    <s v="simran kaur"/>
    <n v="11"/>
    <s v="ORD"/>
    <s v="0572"/>
    <s v="Simran Kaur-East"/>
    <s v="0572"/>
    <s v="Priya"/>
    <s v="Priya"/>
    <m/>
  </r>
  <r>
    <s v="ORD0178"/>
    <x v="30"/>
    <s v="C005"/>
    <s v="Simran Kaur"/>
    <s v="P003"/>
    <x v="1"/>
    <x v="0"/>
    <s v="Accessories"/>
    <x v="2"/>
    <s v="Bihar"/>
    <n v="2101.81"/>
    <n v="1725.64"/>
    <n v="1"/>
    <n v="0.05"/>
    <s v="UPI"/>
    <x v="1"/>
    <s v="Simran Kaur"/>
    <x v="108"/>
    <n v="0.17897431261626875"/>
    <n v="2025"/>
    <s v="Apr"/>
    <s v="Q2"/>
    <s v="Low"/>
    <s v="Profit"/>
    <s v="No"/>
    <s v="SIMRAN KAUR"/>
    <s v="simran kaur"/>
    <n v="11"/>
    <s v="ORD"/>
    <s v="0178"/>
    <s v="Simran Kaur-East"/>
    <s v="0178"/>
    <s v="Amit"/>
    <s v="Amit"/>
    <m/>
  </r>
  <r>
    <s v="ORD0189"/>
    <x v="103"/>
    <s v="C005"/>
    <s v="Simran Kaur"/>
    <s v="P003"/>
    <x v="1"/>
    <x v="0"/>
    <s v="Accessories"/>
    <x v="1"/>
    <s v="Gujarat"/>
    <n v="20341.22"/>
    <n v="7916.04"/>
    <n v="4"/>
    <n v="0.1"/>
    <s v="Debit Card"/>
    <x v="0"/>
    <s v="Simran Kaur"/>
    <x v="109"/>
    <n v="0.61083750138880555"/>
    <n v="2024"/>
    <s v="Jun"/>
    <s v="Q2"/>
    <s v="Medium"/>
    <s v="Profit"/>
    <s v="No"/>
    <s v="SIMRAN KAUR"/>
    <s v="simran kaur"/>
    <n v="11"/>
    <s v="ORD"/>
    <s v="0189"/>
    <s v="Simran Kaur-West"/>
    <s v="0189"/>
    <s v="Amit"/>
    <s v="Amit"/>
    <m/>
  </r>
  <r>
    <s v="ORD0926"/>
    <x v="104"/>
    <s v="C005"/>
    <s v="Simran Kaur"/>
    <s v="P003"/>
    <x v="1"/>
    <x v="0"/>
    <s v="Accessories"/>
    <x v="0"/>
    <s v="Tamil Nadu"/>
    <n v="19696.580000000002"/>
    <n v="8732.85"/>
    <n v="5"/>
    <n v="0.15"/>
    <s v="Cash on Delivery"/>
    <x v="1"/>
    <s v="Simran Kaur"/>
    <x v="110"/>
    <n v="0.55663115119477602"/>
    <n v="2025"/>
    <s v="Mar"/>
    <s v="Q1"/>
    <s v="Low"/>
    <s v="Profit"/>
    <s v="No"/>
    <s v="SIMRAN KAUR"/>
    <s v="simran kaur"/>
    <n v="11"/>
    <s v="ORD"/>
    <s v="0926"/>
    <s v="Simran Kaur-South"/>
    <s v="0926"/>
    <s v="Amit"/>
    <s v="Amit"/>
    <m/>
  </r>
  <r>
    <s v="ORD0208"/>
    <x v="105"/>
    <s v="C005"/>
    <s v="Simran Kaur"/>
    <s v="P004"/>
    <x v="13"/>
    <x v="0"/>
    <s v="Wearables"/>
    <x v="1"/>
    <s v="Maharashtra"/>
    <n v="15452.76"/>
    <n v="9104.1"/>
    <n v="3"/>
    <n v="0.05"/>
    <s v="Credit Card"/>
    <x v="3"/>
    <s v="Simran Kaur"/>
    <x v="111"/>
    <n v="0.41084311152182523"/>
    <n v="2025"/>
    <s v="Jan"/>
    <s v="Q1"/>
    <s v="Low"/>
    <s v="Profit"/>
    <s v="No"/>
    <s v="SIMRAN KAUR"/>
    <s v="simran kaur"/>
    <n v="11"/>
    <s v="ORD"/>
    <s v="0208"/>
    <s v="Simran Kaur-West"/>
    <s v="0208"/>
    <s v="Neha"/>
    <s v="Neha"/>
    <m/>
  </r>
  <r>
    <s v="ORD0628"/>
    <x v="106"/>
    <s v="C005"/>
    <s v="Simran Kaur"/>
    <s v="P004"/>
    <x v="13"/>
    <x v="0"/>
    <s v="Wearables"/>
    <x v="4"/>
    <s v="Chhattisgarh"/>
    <n v="6062.47"/>
    <n v="5646.22"/>
    <n v="2"/>
    <n v="0.15"/>
    <s v="Cash on Delivery"/>
    <x v="0"/>
    <s v="Simran Kaur"/>
    <x v="112"/>
    <n v="6.8660133575918728E-2"/>
    <n v="2025"/>
    <s v="Jun"/>
    <s v="Q2"/>
    <s v="Low"/>
    <s v="Profit"/>
    <s v="No"/>
    <s v="SIMRAN KAUR"/>
    <s v="simran kaur"/>
    <n v="11"/>
    <s v="ORD"/>
    <s v="0628"/>
    <s v="Simran Kaur-Central"/>
    <s v="0628"/>
    <s v="Neha"/>
    <s v="Neha"/>
    <m/>
  </r>
  <r>
    <s v="ORD0058"/>
    <x v="107"/>
    <s v="C005"/>
    <s v="Simran Kaur"/>
    <s v="P005"/>
    <x v="14"/>
    <x v="0"/>
    <s v="Computers"/>
    <x v="0"/>
    <s v="Karnataka"/>
    <n v="16000.69"/>
    <n v="16660.54"/>
    <n v="2"/>
    <n v="0.15"/>
    <s v="Debit Card"/>
    <x v="2"/>
    <s v="Simran Kaur"/>
    <x v="113"/>
    <n v="-4.1238846574741486E-2"/>
    <n v="2025"/>
    <s v="Jan"/>
    <s v="Q1"/>
    <s v="Low"/>
    <s v="Loss"/>
    <s v="No"/>
    <s v="SIMRAN KAUR"/>
    <s v="simran kaur"/>
    <n v="11"/>
    <s v="ORD"/>
    <s v="0058"/>
    <s v="Simran Kaur-South"/>
    <s v="0058"/>
    <s v="Simran"/>
    <s v="Simran"/>
    <m/>
  </r>
  <r>
    <s v="ORD0082"/>
    <x v="53"/>
    <s v="C005"/>
    <s v="Simran Kaur"/>
    <s v="P005"/>
    <x v="14"/>
    <x v="0"/>
    <s v="Computers"/>
    <x v="4"/>
    <s v="Madhya Pradesh"/>
    <n v="25697.42"/>
    <n v="22008.87"/>
    <n v="3"/>
    <n v="0.2"/>
    <s v="Net Banking"/>
    <x v="0"/>
    <s v="Simran Kaur"/>
    <x v="114"/>
    <n v="0.14353775593036186"/>
    <n v="2025"/>
    <s v="Jul"/>
    <s v="Q3"/>
    <s v="Medium"/>
    <s v="Profit"/>
    <s v="No"/>
    <s v="SIMRAN KAUR"/>
    <s v="simran kaur"/>
    <n v="11"/>
    <s v="ORD"/>
    <s v="0082"/>
    <s v="Simran Kaur-Central"/>
    <s v="0082"/>
    <s v="Simran"/>
    <s v="Simran"/>
    <m/>
  </r>
  <r>
    <s v="ORD0162"/>
    <x v="33"/>
    <s v="C005"/>
    <s v="Simran Kaur"/>
    <s v="P005"/>
    <x v="14"/>
    <x v="0"/>
    <s v="Computers"/>
    <x v="3"/>
    <s v="Uttar Pradesh"/>
    <n v="10207.99"/>
    <n v="8012.3"/>
    <n v="1"/>
    <n v="0.2"/>
    <s v="UPI"/>
    <x v="1"/>
    <s v="Simran Kaur"/>
    <x v="115"/>
    <n v="0.21509523422338772"/>
    <n v="2024"/>
    <s v="Oct"/>
    <s v="Q4"/>
    <s v="Low"/>
    <s v="Profit"/>
    <s v="No"/>
    <s v="SIMRAN KAUR"/>
    <s v="simran kaur"/>
    <n v="11"/>
    <s v="ORD"/>
    <s v="0162"/>
    <s v="Simran Kaur-North"/>
    <s v="0162"/>
    <s v="Simran"/>
    <s v="Simran"/>
    <m/>
  </r>
  <r>
    <s v="ORD0004"/>
    <x v="108"/>
    <s v="C005"/>
    <s v="Simran Kaur"/>
    <s v="P007"/>
    <x v="3"/>
    <x v="1"/>
    <s v="Tables"/>
    <x v="4"/>
    <s v="Madhya Pradesh"/>
    <n v="7940.38"/>
    <n v="6429.84"/>
    <n v="1"/>
    <n v="0.1"/>
    <s v="Cash on Delivery"/>
    <x v="4"/>
    <s v="Simran Kaur"/>
    <x v="116"/>
    <n v="0.19023522803694531"/>
    <n v="2024"/>
    <s v="Dec"/>
    <s v="Q4"/>
    <s v="Low"/>
    <s v="Profit"/>
    <s v="No"/>
    <s v="SIMRAN KAUR"/>
    <s v="simran kaur"/>
    <n v="11"/>
    <s v="ORD"/>
    <s v="0004"/>
    <s v="Simran Kaur-Central"/>
    <s v="0004"/>
    <s v="Rohan"/>
    <s v="Rohan"/>
    <m/>
  </r>
  <r>
    <s v="ORD0607"/>
    <x v="109"/>
    <s v="C005"/>
    <s v="Simran Kaur"/>
    <s v="P007"/>
    <x v="3"/>
    <x v="1"/>
    <s v="Tables"/>
    <x v="3"/>
    <s v="Delhi"/>
    <n v="32884.54"/>
    <n v="18951.27"/>
    <n v="3"/>
    <n v="0.15"/>
    <s v="Cash on Delivery"/>
    <x v="0"/>
    <s v="Simran Kaur"/>
    <x v="117"/>
    <n v="0.42370274907296862"/>
    <n v="2025"/>
    <s v="Sep"/>
    <s v="Q3"/>
    <s v="Medium"/>
    <s v="Profit"/>
    <s v="No"/>
    <s v="SIMRAN KAUR"/>
    <s v="simran kaur"/>
    <n v="11"/>
    <s v="ORD"/>
    <s v="0607"/>
    <s v="Simran Kaur-North"/>
    <s v="0607"/>
    <s v="Rohan"/>
    <s v="Rohan"/>
    <m/>
  </r>
  <r>
    <s v="ORD0341"/>
    <x v="110"/>
    <s v="C005"/>
    <s v="Simran Kaur"/>
    <s v="P009"/>
    <x v="5"/>
    <x v="1"/>
    <s v="Seating"/>
    <x v="3"/>
    <s v="Uttar Pradesh"/>
    <n v="45428.78"/>
    <n v="34542.639999999999"/>
    <n v="2"/>
    <n v="0.1"/>
    <s v="Net Banking"/>
    <x v="0"/>
    <s v="Simran Kaur"/>
    <x v="118"/>
    <n v="0.2396309123863771"/>
    <n v="2024"/>
    <s v="Feb"/>
    <s v="Q1"/>
    <s v="Medium"/>
    <s v="Profit"/>
    <s v="No"/>
    <s v="SIMRAN KAUR"/>
    <s v="simran kaur"/>
    <n v="11"/>
    <s v="ORD"/>
    <s v="0341"/>
    <s v="Simran Kaur-North"/>
    <s v="0341"/>
    <s v="Arjun"/>
    <s v="Arjun"/>
    <m/>
  </r>
  <r>
    <s v="ORD0590"/>
    <x v="111"/>
    <s v="C005"/>
    <s v="Simran Kaur"/>
    <s v="P010"/>
    <x v="6"/>
    <x v="1"/>
    <s v="Bedroom"/>
    <x v="2"/>
    <s v="Bihar"/>
    <n v="132203.66"/>
    <n v="97372.15"/>
    <n v="5"/>
    <n v="0.05"/>
    <s v="Cash on Delivery"/>
    <x v="0"/>
    <s v="Simran Kaur"/>
    <x v="119"/>
    <n v="0.26346857568088516"/>
    <n v="2025"/>
    <s v="Dec"/>
    <s v="Q4"/>
    <s v="High"/>
    <s v="Profit"/>
    <s v="Yes"/>
    <s v="SIMRAN KAUR"/>
    <s v="simran kaur"/>
    <n v="11"/>
    <s v="ORD"/>
    <s v="0590"/>
    <s v="Simran Kaur-East"/>
    <s v="0590"/>
    <s v="Sneha"/>
    <s v="Sneha"/>
    <m/>
  </r>
  <r>
    <s v="ORD0650"/>
    <x v="112"/>
    <s v="C005"/>
    <s v="Simran Kaur"/>
    <s v="P010"/>
    <x v="6"/>
    <x v="1"/>
    <s v="Bedroom"/>
    <x v="4"/>
    <s v="Chhattisgarh"/>
    <n v="42879.9"/>
    <n v="33366.800000000003"/>
    <n v="2"/>
    <n v="0"/>
    <s v="Credit Card"/>
    <x v="2"/>
    <s v="Simran Kaur"/>
    <x v="120"/>
    <n v="0.22185452857865803"/>
    <n v="2025"/>
    <s v="Nov"/>
    <s v="Q4"/>
    <s v="Medium"/>
    <s v="Profit"/>
    <s v="No"/>
    <s v="SIMRAN KAUR"/>
    <s v="simran kaur"/>
    <n v="11"/>
    <s v="ORD"/>
    <s v="0650"/>
    <s v="Simran Kaur-Central"/>
    <s v="0650"/>
    <s v="Sneha"/>
    <s v="Sneha"/>
    <m/>
  </r>
  <r>
    <s v="ORD0677"/>
    <x v="113"/>
    <s v="C005"/>
    <s v="Simran Kaur"/>
    <s v="P011"/>
    <x v="15"/>
    <x v="2"/>
    <s v="Footwear"/>
    <x v="1"/>
    <s v="Maharashtra"/>
    <n v="4063.26"/>
    <n v="1203.69"/>
    <n v="1"/>
    <n v="0.15"/>
    <s v="Net Banking"/>
    <x v="3"/>
    <s v="Simran Kaur"/>
    <x v="121"/>
    <n v="0.70376249612380204"/>
    <n v="2025"/>
    <s v="Aug"/>
    <s v="Q3"/>
    <s v="Low"/>
    <s v="Profit"/>
    <s v="No"/>
    <s v="SIMRAN KAUR"/>
    <s v="simran kaur"/>
    <n v="11"/>
    <s v="ORD"/>
    <s v="0677"/>
    <s v="Simran Kaur-West"/>
    <s v="0677"/>
    <s v="Vikas"/>
    <s v="Vikas"/>
    <m/>
  </r>
  <r>
    <s v="ORD0713"/>
    <x v="114"/>
    <s v="C005"/>
    <s v="Simran Kaur"/>
    <s v="P011"/>
    <x v="15"/>
    <x v="2"/>
    <s v="Footwear"/>
    <x v="0"/>
    <s v="Karnataka"/>
    <n v="3231.89"/>
    <n v="1235.77"/>
    <n v="1"/>
    <n v="0.2"/>
    <s v="Credit Card"/>
    <x v="0"/>
    <s v="Simran Kaur"/>
    <x v="122"/>
    <n v="0.6176324070435566"/>
    <n v="2025"/>
    <s v="Jul"/>
    <s v="Q3"/>
    <s v="Low"/>
    <s v="Profit"/>
    <s v="No"/>
    <s v="SIMRAN KAUR"/>
    <s v="simran kaur"/>
    <n v="11"/>
    <s v="ORD"/>
    <s v="0713"/>
    <s v="Simran Kaur-South"/>
    <s v="0713"/>
    <s v="Vikas"/>
    <s v="Vikas"/>
    <m/>
  </r>
  <r>
    <s v="ORD0324"/>
    <x v="115"/>
    <s v="C005"/>
    <s v="Simran Kaur"/>
    <s v="P013"/>
    <x v="16"/>
    <x v="2"/>
    <s v="Bags"/>
    <x v="4"/>
    <s v="Chhattisgarh"/>
    <n v="7828.4"/>
    <n v="2724.64"/>
    <n v="4"/>
    <n v="0.15"/>
    <s v="UPI"/>
    <x v="0"/>
    <s v="Simran Kaur"/>
    <x v="123"/>
    <n v="0.65195442235961376"/>
    <n v="2025"/>
    <s v="Aug"/>
    <s v="Q3"/>
    <s v="Low"/>
    <s v="Profit"/>
    <s v="No"/>
    <s v="SIMRAN KAUR"/>
    <s v="simran kaur"/>
    <n v="11"/>
    <s v="ORD"/>
    <s v="0324"/>
    <s v="Simran Kaur-Central"/>
    <s v="0324"/>
    <s v="Aditya"/>
    <s v="Aditya"/>
    <m/>
  </r>
  <r>
    <s v="ORD0965"/>
    <x v="116"/>
    <s v="C005"/>
    <s v="Simran Kaur"/>
    <s v="P013"/>
    <x v="16"/>
    <x v="2"/>
    <s v="Bags"/>
    <x v="0"/>
    <s v="Karnataka"/>
    <n v="2036.33"/>
    <n v="663.33"/>
    <n v="1"/>
    <n v="0.15"/>
    <s v="Debit Card"/>
    <x v="0"/>
    <s v="Simran Kaur"/>
    <x v="124"/>
    <n v="0.67425220863023183"/>
    <n v="2025"/>
    <s v="Oct"/>
    <s v="Q4"/>
    <s v="Low"/>
    <s v="Profit"/>
    <s v="No"/>
    <s v="SIMRAN KAUR"/>
    <s v="simran kaur"/>
    <n v="11"/>
    <s v="ORD"/>
    <s v="0965"/>
    <s v="Simran Kaur-South"/>
    <s v="0965"/>
    <s v="Aditya"/>
    <s v="Aditya"/>
    <m/>
  </r>
  <r>
    <s v="ORD0442"/>
    <x v="117"/>
    <s v="C005"/>
    <s v="Simran Kaur"/>
    <s v="P014"/>
    <x v="19"/>
    <x v="2"/>
    <s v="Clothing"/>
    <x v="2"/>
    <s v="West Bengal"/>
    <n v="4258.22"/>
    <n v="1199.75"/>
    <n v="5"/>
    <n v="0.1"/>
    <s v="Cash on Delivery"/>
    <x v="0"/>
    <s v="Simran Kaur"/>
    <x v="125"/>
    <n v="0.71825081841708505"/>
    <n v="2025"/>
    <s v="Dec"/>
    <s v="Q4"/>
    <s v="Low"/>
    <s v="Profit"/>
    <s v="No"/>
    <s v="SIMRAN KAUR"/>
    <s v="simran kaur"/>
    <n v="11"/>
    <s v="ORD"/>
    <s v="0442"/>
    <s v="Simran Kaur-East"/>
    <s v="0442"/>
    <s v="Kavya"/>
    <s v="Kavya"/>
    <m/>
  </r>
  <r>
    <s v="ORD0850"/>
    <x v="118"/>
    <s v="C005"/>
    <s v="Simran Kaur"/>
    <s v="P014"/>
    <x v="19"/>
    <x v="2"/>
    <s v="Clothing"/>
    <x v="1"/>
    <s v="Maharashtra"/>
    <n v="2839.43"/>
    <n v="1090.3599999999999"/>
    <n v="4"/>
    <n v="0.1"/>
    <s v="UPI"/>
    <x v="2"/>
    <s v="Simran Kaur"/>
    <x v="126"/>
    <n v="0.6159933507781491"/>
    <n v="2025"/>
    <s v="Feb"/>
    <s v="Q1"/>
    <s v="Low"/>
    <s v="Profit"/>
    <s v="No"/>
    <s v="SIMRAN KAUR"/>
    <s v="simran kaur"/>
    <n v="11"/>
    <s v="ORD"/>
    <s v="0850"/>
    <s v="Simran Kaur-West"/>
    <s v="0850"/>
    <s v="Kavya"/>
    <s v="Kavya"/>
    <m/>
  </r>
  <r>
    <s v="ORD0100"/>
    <x v="119"/>
    <s v="C005"/>
    <s v="Simran Kaur"/>
    <s v="P015"/>
    <x v="17"/>
    <x v="2"/>
    <s v="Clothing"/>
    <x v="1"/>
    <s v="Rajasthan"/>
    <n v="4642.53"/>
    <n v="1449.72"/>
    <n v="3"/>
    <n v="0.15"/>
    <s v="Net Banking"/>
    <x v="1"/>
    <s v="Simran Kaur"/>
    <x v="127"/>
    <n v="0.68773061240315081"/>
    <n v="2025"/>
    <s v="May"/>
    <s v="Q2"/>
    <s v="Low"/>
    <s v="Profit"/>
    <s v="No"/>
    <s v="SIMRAN KAUR"/>
    <s v="simran kaur"/>
    <n v="11"/>
    <s v="ORD"/>
    <s v="0100"/>
    <s v="Simran Kaur-West"/>
    <s v="0100"/>
    <s v="Manish"/>
    <s v="Manish"/>
    <m/>
  </r>
  <r>
    <s v="ORD0152"/>
    <x v="120"/>
    <s v="C005"/>
    <s v="Simran Kaur"/>
    <s v="P015"/>
    <x v="17"/>
    <x v="2"/>
    <s v="Clothing"/>
    <x v="3"/>
    <s v="Uttar Pradesh"/>
    <n v="5997.22"/>
    <n v="2052.56"/>
    <n v="4"/>
    <n v="0.2"/>
    <s v="UPI"/>
    <x v="1"/>
    <s v="Simran Kaur"/>
    <x v="128"/>
    <n v="0.65774808994834277"/>
    <n v="2025"/>
    <s v="Apr"/>
    <s v="Q2"/>
    <s v="Low"/>
    <s v="Profit"/>
    <s v="No"/>
    <s v="SIMRAN KAUR"/>
    <s v="simran kaur"/>
    <n v="11"/>
    <s v="ORD"/>
    <s v="0152"/>
    <s v="Simran Kaur-North"/>
    <s v="0152"/>
    <s v="Manish"/>
    <s v="Manish"/>
    <m/>
  </r>
  <r>
    <s v="ORD0701"/>
    <x v="91"/>
    <s v="C005"/>
    <s v="Simran Kaur"/>
    <s v="P015"/>
    <x v="17"/>
    <x v="2"/>
    <s v="Clothing"/>
    <x v="2"/>
    <s v="Bihar"/>
    <n v="2632.09"/>
    <n v="1642.68"/>
    <n v="3"/>
    <n v="0.05"/>
    <s v="UPI"/>
    <x v="0"/>
    <s v="Simran Kaur"/>
    <x v="129"/>
    <n v="0.37590279967630286"/>
    <n v="2024"/>
    <s v="Jul"/>
    <s v="Q3"/>
    <s v="Low"/>
    <s v="Profit"/>
    <s v="No"/>
    <s v="SIMRAN KAUR"/>
    <s v="simran kaur"/>
    <n v="11"/>
    <s v="ORD"/>
    <s v="0701"/>
    <s v="Simran Kaur-East"/>
    <s v="0701"/>
    <s v="Manish"/>
    <s v="Manish"/>
    <m/>
  </r>
  <r>
    <s v="ORD0018"/>
    <x v="121"/>
    <s v="C005"/>
    <s v="Simran Kaur"/>
    <s v="P016"/>
    <x v="8"/>
    <x v="3"/>
    <s v="Kitchen"/>
    <x v="1"/>
    <s v="Rajasthan"/>
    <n v="11768.7"/>
    <n v="5429.88"/>
    <n v="3"/>
    <n v="0.05"/>
    <s v="Cash on Delivery"/>
    <x v="0"/>
    <s v="Simran Kaur"/>
    <x v="130"/>
    <n v="0.53861683958296158"/>
    <n v="2024"/>
    <s v="Jun"/>
    <s v="Q2"/>
    <s v="Low"/>
    <s v="Profit"/>
    <s v="No"/>
    <s v="SIMRAN KAUR"/>
    <s v="simran kaur"/>
    <n v="11"/>
    <s v="ORD"/>
    <s v="0018"/>
    <s v="Simran Kaur-West"/>
    <s v="0018"/>
    <s v="Rahul"/>
    <s v="Rahul"/>
    <m/>
  </r>
  <r>
    <s v="ORD0909"/>
    <x v="122"/>
    <s v="C005"/>
    <s v="Simran Kaur"/>
    <s v="P016"/>
    <x v="8"/>
    <x v="3"/>
    <s v="Kitchen"/>
    <x v="0"/>
    <s v="Tamil Nadu"/>
    <n v="12951.41"/>
    <n v="5174.34"/>
    <n v="3"/>
    <n v="0.2"/>
    <s v="Cash on Delivery"/>
    <x v="0"/>
    <s v="Simran Kaur"/>
    <x v="131"/>
    <n v="0.60048056543650463"/>
    <n v="2025"/>
    <s v="Sep"/>
    <s v="Q3"/>
    <s v="Low"/>
    <s v="Profit"/>
    <s v="No"/>
    <s v="SIMRAN KAUR"/>
    <s v="simran kaur"/>
    <n v="11"/>
    <s v="ORD"/>
    <s v="0909"/>
    <s v="Simran Kaur-South"/>
    <s v="0909"/>
    <s v="Rahul"/>
    <s v="Rahul"/>
    <m/>
  </r>
  <r>
    <s v="ORD0996"/>
    <x v="123"/>
    <s v="C005"/>
    <s v="Simran Kaur"/>
    <s v="P016"/>
    <x v="8"/>
    <x v="3"/>
    <s v="Kitchen"/>
    <x v="4"/>
    <s v="Madhya Pradesh"/>
    <n v="13992.18"/>
    <n v="5758.95"/>
    <n v="3"/>
    <n v="0.15"/>
    <s v="Credit Card"/>
    <x v="2"/>
    <s v="Simran Kaur"/>
    <x v="132"/>
    <n v="0.5884165298045051"/>
    <n v="2024"/>
    <s v="Mar"/>
    <s v="Q1"/>
    <s v="Low"/>
    <s v="Profit"/>
    <s v="No"/>
    <s v="SIMRAN KAUR"/>
    <s v="simran kaur"/>
    <n v="11"/>
    <s v="ORD"/>
    <s v="0996"/>
    <s v="Simran Kaur-Central"/>
    <s v="0996"/>
    <s v="Rahul"/>
    <s v="Rahul"/>
    <m/>
  </r>
  <r>
    <s v="ORD0227"/>
    <x v="124"/>
    <s v="C005"/>
    <s v="Simran Kaur"/>
    <s v="P017"/>
    <x v="9"/>
    <x v="3"/>
    <s v="Kitchen"/>
    <x v="1"/>
    <s v="Gujarat"/>
    <n v="15516.55"/>
    <n v="12741.16"/>
    <n v="2"/>
    <n v="0.15"/>
    <s v="Debit Card"/>
    <x v="0"/>
    <s v="Simran Kaur"/>
    <x v="133"/>
    <n v="0.17886643616010001"/>
    <n v="2024"/>
    <s v="Oct"/>
    <s v="Q4"/>
    <s v="Low"/>
    <s v="Profit"/>
    <s v="No"/>
    <s v="SIMRAN KAUR"/>
    <s v="simran kaur"/>
    <n v="11"/>
    <s v="ORD"/>
    <s v="0227"/>
    <s v="Simran Kaur-West"/>
    <s v="0227"/>
    <s v="Priya"/>
    <s v="Priya"/>
    <m/>
  </r>
  <r>
    <s v="ORD0485"/>
    <x v="14"/>
    <s v="C005"/>
    <s v="Simran Kaur"/>
    <s v="P017"/>
    <x v="9"/>
    <x v="3"/>
    <s v="Kitchen"/>
    <x v="3"/>
    <s v="Delhi"/>
    <n v="16340.25"/>
    <n v="10934.18"/>
    <n v="2"/>
    <n v="0.05"/>
    <s v="Cash on Delivery"/>
    <x v="3"/>
    <s v="Simran Kaur"/>
    <x v="134"/>
    <n v="0.33084377534003456"/>
    <n v="2025"/>
    <s v="Aug"/>
    <s v="Q3"/>
    <s v="Low"/>
    <s v="Profit"/>
    <s v="No"/>
    <s v="SIMRAN KAUR"/>
    <s v="simran kaur"/>
    <n v="11"/>
    <s v="ORD"/>
    <s v="0485"/>
    <s v="Simran Kaur-North"/>
    <s v="0485"/>
    <s v="Priya"/>
    <s v="Priya"/>
    <m/>
  </r>
  <r>
    <s v="ORD0864"/>
    <x v="125"/>
    <s v="C005"/>
    <s v="Simran Kaur"/>
    <s v="P017"/>
    <x v="9"/>
    <x v="3"/>
    <s v="Kitchen"/>
    <x v="3"/>
    <s v="Punjab"/>
    <n v="37916.61"/>
    <n v="22221.040000000001"/>
    <n v="4"/>
    <n v="0.2"/>
    <s v="UPI"/>
    <x v="0"/>
    <s v="Simran Kaur"/>
    <x v="135"/>
    <n v="0.41394971755122623"/>
    <n v="2025"/>
    <s v="May"/>
    <s v="Q2"/>
    <s v="Medium"/>
    <s v="Profit"/>
    <s v="No"/>
    <s v="SIMRAN KAUR"/>
    <s v="simran kaur"/>
    <n v="11"/>
    <s v="ORD"/>
    <s v="0864"/>
    <s v="Simran Kaur-North"/>
    <s v="0864"/>
    <s v="Priya"/>
    <s v="Priya"/>
    <m/>
  </r>
  <r>
    <s v="ORD0532"/>
    <x v="126"/>
    <s v="C005"/>
    <s v="Simran Kaur"/>
    <s v="P018"/>
    <x v="10"/>
    <x v="3"/>
    <s v="Cooling"/>
    <x v="3"/>
    <s v="Punjab"/>
    <n v="45130.239999999998"/>
    <n v="27261"/>
    <n v="5"/>
    <n v="0.2"/>
    <s v="Net Banking"/>
    <x v="4"/>
    <s v="Simran Kaur"/>
    <x v="136"/>
    <n v="0.39594825996936861"/>
    <n v="2025"/>
    <s v="Aug"/>
    <s v="Q3"/>
    <s v="Medium"/>
    <s v="Profit"/>
    <s v="No"/>
    <s v="SIMRAN KAUR"/>
    <s v="simran kaur"/>
    <n v="11"/>
    <s v="ORD"/>
    <s v="0532"/>
    <s v="Simran Kaur-North"/>
    <s v="0532"/>
    <s v="Amit"/>
    <s v="Amit"/>
    <m/>
  </r>
  <r>
    <s v="ORD0941"/>
    <x v="127"/>
    <s v="C005"/>
    <s v="Simran Kaur"/>
    <s v="P018"/>
    <x v="10"/>
    <x v="3"/>
    <s v="Cooling"/>
    <x v="1"/>
    <s v="Maharashtra"/>
    <n v="11723.51"/>
    <n v="5377.89"/>
    <n v="1"/>
    <n v="0.05"/>
    <s v="Credit Card"/>
    <x v="0"/>
    <s v="Simran Kaur"/>
    <x v="137"/>
    <n v="0.54127304877122973"/>
    <n v="2025"/>
    <s v="May"/>
    <s v="Q2"/>
    <s v="Low"/>
    <s v="Profit"/>
    <s v="No"/>
    <s v="SIMRAN KAUR"/>
    <s v="simran kaur"/>
    <n v="11"/>
    <s v="ORD"/>
    <s v="0941"/>
    <s v="Simran Kaur-West"/>
    <s v="0941"/>
    <s v="Amit"/>
    <s v="Amit"/>
    <m/>
  </r>
  <r>
    <s v="ORD0362"/>
    <x v="128"/>
    <s v="C005"/>
    <s v="Simran Kaur"/>
    <s v="P019"/>
    <x v="18"/>
    <x v="3"/>
    <s v="Cleaning"/>
    <x v="2"/>
    <s v="Bihar"/>
    <n v="8292.2000000000007"/>
    <n v="3742.54"/>
    <n v="1"/>
    <n v="0"/>
    <s v="Debit Card"/>
    <x v="3"/>
    <s v="Simran Kaur"/>
    <x v="138"/>
    <n v="0.54866742239695143"/>
    <n v="2024"/>
    <s v="May"/>
    <s v="Q2"/>
    <s v="Low"/>
    <s v="Profit"/>
    <s v="No"/>
    <s v="SIMRAN KAUR"/>
    <s v="simran kaur"/>
    <n v="11"/>
    <s v="ORD"/>
    <s v="0362"/>
    <s v="Simran Kaur-East"/>
    <s v="0362"/>
    <s v="Neha"/>
    <s v="Neha"/>
    <m/>
  </r>
  <r>
    <s v="ORD0062"/>
    <x v="129"/>
    <s v="C005"/>
    <s v="Simran Kaur"/>
    <s v="P020"/>
    <x v="11"/>
    <x v="3"/>
    <s v="Kitchen"/>
    <x v="1"/>
    <s v="Rajasthan"/>
    <n v="5582.4"/>
    <n v="2036.76"/>
    <n v="4"/>
    <n v="0"/>
    <s v="Net Banking"/>
    <x v="0"/>
    <s v="Simran Kaur"/>
    <x v="139"/>
    <n v="0.63514617368873594"/>
    <n v="2024"/>
    <s v="Jan"/>
    <s v="Q1"/>
    <s v="Low"/>
    <s v="Profit"/>
    <s v="No"/>
    <s v="SIMRAN KAUR"/>
    <s v="simran kaur"/>
    <n v="11"/>
    <s v="ORD"/>
    <s v="0062"/>
    <s v="Simran Kaur-West"/>
    <s v="0062"/>
    <s v="Simran"/>
    <s v="Simran"/>
    <m/>
  </r>
  <r>
    <s v="ORD0616"/>
    <x v="130"/>
    <s v="C005"/>
    <s v="Simran Kaur"/>
    <s v="P020"/>
    <x v="11"/>
    <x v="3"/>
    <s v="Kitchen"/>
    <x v="2"/>
    <s v="West Bengal"/>
    <n v="5687.13"/>
    <n v="2614.6"/>
    <n v="5"/>
    <n v="0.05"/>
    <s v="Cash on Delivery"/>
    <x v="0"/>
    <s v="Simran Kaur"/>
    <x v="140"/>
    <n v="0.54026020154278176"/>
    <n v="2025"/>
    <s v="May"/>
    <s v="Q2"/>
    <s v="Low"/>
    <s v="Profit"/>
    <s v="No"/>
    <s v="SIMRAN KAUR"/>
    <s v="simran kaur"/>
    <n v="11"/>
    <s v="ORD"/>
    <s v="0616"/>
    <s v="Simran Kaur-East"/>
    <s v="0616"/>
    <s v="Simran"/>
    <s v="Simran"/>
    <m/>
  </r>
  <r>
    <s v="ORD0310"/>
    <x v="131"/>
    <s v="C019"/>
    <s v="Saurabh Roy"/>
    <s v="P001"/>
    <x v="12"/>
    <x v="0"/>
    <s v="Computers"/>
    <x v="4"/>
    <s v="Chhattisgarh"/>
    <n v="246390.12"/>
    <n v="197177.88"/>
    <n v="4"/>
    <n v="0"/>
    <s v="Cash on Delivery"/>
    <x v="3"/>
    <s v="Saurabh Roy"/>
    <x v="141"/>
    <n v="0.1997330087748648"/>
    <n v="2024"/>
    <s v="Apr"/>
    <s v="Q2"/>
    <s v="High"/>
    <s v="Profit"/>
    <s v="Yes"/>
    <s v="SAURABH ROY"/>
    <s v="saurabh roy"/>
    <n v="11"/>
    <s v="ORD"/>
    <s v="0310"/>
    <s v="Saurabh Roy-Central"/>
    <s v="0310"/>
    <s v="Rahul"/>
    <s v="Rahul"/>
    <m/>
  </r>
  <r>
    <s v="ORD0936"/>
    <x v="132"/>
    <s v="C019"/>
    <s v="Saurabh Roy"/>
    <s v="P002"/>
    <x v="0"/>
    <x v="0"/>
    <s v="Phones"/>
    <x v="3"/>
    <s v="Punjab"/>
    <n v="76846.37"/>
    <n v="54736.47"/>
    <n v="3"/>
    <n v="0.2"/>
    <s v="Cash on Delivery"/>
    <x v="3"/>
    <s v="Saurabh Roy"/>
    <x v="142"/>
    <n v="0.2877156071262702"/>
    <n v="2024"/>
    <s v="Jun"/>
    <s v="Q2"/>
    <s v="High"/>
    <s v="Profit"/>
    <s v="Yes"/>
    <s v="SAURABH ROY"/>
    <s v="saurabh roy"/>
    <n v="11"/>
    <s v="ORD"/>
    <s v="0936"/>
    <s v="Saurabh Roy-North"/>
    <s v="0936"/>
    <s v="Priya"/>
    <s v="Priya"/>
    <m/>
  </r>
  <r>
    <s v="ORD0325"/>
    <x v="63"/>
    <s v="C019"/>
    <s v="Saurabh Roy"/>
    <s v="P003"/>
    <x v="1"/>
    <x v="0"/>
    <s v="Accessories"/>
    <x v="3"/>
    <s v="Delhi"/>
    <n v="3888.14"/>
    <n v="3268.68"/>
    <n v="2"/>
    <n v="0.15"/>
    <s v="Cash on Delivery"/>
    <x v="4"/>
    <s v="Saurabh Roy"/>
    <x v="143"/>
    <n v="0.15932039484174954"/>
    <n v="2024"/>
    <s v="Sep"/>
    <s v="Q3"/>
    <s v="Low"/>
    <s v="Profit"/>
    <s v="No"/>
    <s v="SAURABH ROY"/>
    <s v="saurabh roy"/>
    <n v="11"/>
    <s v="ORD"/>
    <s v="0325"/>
    <s v="Saurabh Roy-North"/>
    <s v="0325"/>
    <s v="Amit"/>
    <s v="Amit"/>
    <m/>
  </r>
  <r>
    <s v="ORD0686"/>
    <x v="59"/>
    <s v="C019"/>
    <s v="Saurabh Roy"/>
    <s v="P003"/>
    <x v="1"/>
    <x v="0"/>
    <s v="Accessories"/>
    <x v="4"/>
    <s v="Chhattisgarh"/>
    <n v="5319.52"/>
    <n v="1798.97"/>
    <n v="1"/>
    <n v="0.05"/>
    <s v="UPI"/>
    <x v="0"/>
    <s v="Saurabh Roy"/>
    <x v="144"/>
    <n v="0.66181723162992145"/>
    <n v="2024"/>
    <s v="Apr"/>
    <s v="Q2"/>
    <s v="Low"/>
    <s v="Profit"/>
    <s v="No"/>
    <s v="SAURABH ROY"/>
    <s v="saurabh roy"/>
    <n v="11"/>
    <s v="ORD"/>
    <s v="0686"/>
    <s v="Saurabh Roy-Central"/>
    <s v="0686"/>
    <s v="Amit"/>
    <s v="Amit"/>
    <m/>
  </r>
  <r>
    <s v="ORD0302"/>
    <x v="93"/>
    <s v="C019"/>
    <s v="Saurabh Roy"/>
    <s v="P004"/>
    <x v="13"/>
    <x v="0"/>
    <s v="Wearables"/>
    <x v="0"/>
    <s v="Tamil Nadu"/>
    <n v="19452.09"/>
    <n v="9075.69"/>
    <n v="3"/>
    <n v="0.15"/>
    <s v="Cash on Delivery"/>
    <x v="0"/>
    <s v="Saurabh Roy"/>
    <x v="145"/>
    <n v="0.53343368244749023"/>
    <n v="2025"/>
    <s v="Jul"/>
    <s v="Q3"/>
    <s v="Low"/>
    <s v="Profit"/>
    <s v="No"/>
    <s v="SAURABH ROY"/>
    <s v="saurabh roy"/>
    <n v="11"/>
    <s v="ORD"/>
    <s v="0302"/>
    <s v="Saurabh Roy-South"/>
    <s v="0302"/>
    <s v="Neha"/>
    <s v="Neha"/>
    <m/>
  </r>
  <r>
    <s v="ORD0342"/>
    <x v="133"/>
    <s v="C019"/>
    <s v="Saurabh Roy"/>
    <s v="P004"/>
    <x v="13"/>
    <x v="0"/>
    <s v="Wearables"/>
    <x v="1"/>
    <s v="Rajasthan"/>
    <n v="22312.53"/>
    <n v="10979.6"/>
    <n v="4"/>
    <n v="0.15"/>
    <s v="Credit Card"/>
    <x v="0"/>
    <s v="Saurabh Roy"/>
    <x v="146"/>
    <n v="0.50791774845792925"/>
    <n v="2024"/>
    <s v="May"/>
    <s v="Q2"/>
    <s v="Medium"/>
    <s v="Profit"/>
    <s v="No"/>
    <s v="SAURABH ROY"/>
    <s v="saurabh roy"/>
    <n v="11"/>
    <s v="ORD"/>
    <s v="0342"/>
    <s v="Saurabh Roy-West"/>
    <s v="0342"/>
    <s v="Neha"/>
    <s v="Neha"/>
    <m/>
  </r>
  <r>
    <s v="ORD0363"/>
    <x v="134"/>
    <s v="C019"/>
    <s v="Saurabh Roy"/>
    <s v="P004"/>
    <x v="13"/>
    <x v="0"/>
    <s v="Wearables"/>
    <x v="0"/>
    <s v="Telangana"/>
    <n v="10833.22"/>
    <n v="8345.61"/>
    <n v="3"/>
    <n v="0.15"/>
    <s v="Net Banking"/>
    <x v="1"/>
    <s v="Saurabh Roy"/>
    <x v="147"/>
    <n v="0.22962794072307208"/>
    <n v="2024"/>
    <s v="Nov"/>
    <s v="Q4"/>
    <s v="Low"/>
    <s v="Profit"/>
    <s v="No"/>
    <s v="SAURABH ROY"/>
    <s v="saurabh roy"/>
    <n v="11"/>
    <s v="ORD"/>
    <s v="0363"/>
    <s v="Saurabh Roy-South"/>
    <s v="0363"/>
    <s v="Neha"/>
    <s v="Neha"/>
    <m/>
  </r>
  <r>
    <s v="ORD0516"/>
    <x v="135"/>
    <s v="C019"/>
    <s v="Saurabh Roy"/>
    <s v="P004"/>
    <x v="13"/>
    <x v="0"/>
    <s v="Wearables"/>
    <x v="0"/>
    <s v="Telangana"/>
    <n v="19869.93"/>
    <n v="16085.55"/>
    <n v="5"/>
    <n v="0.1"/>
    <s v="Credit Card"/>
    <x v="4"/>
    <s v="Saurabh Roy"/>
    <x v="148"/>
    <n v="0.19045764126999948"/>
    <n v="2025"/>
    <s v="Jan"/>
    <s v="Q1"/>
    <s v="Low"/>
    <s v="Profit"/>
    <s v="No"/>
    <s v="SAURABH ROY"/>
    <s v="saurabh roy"/>
    <n v="11"/>
    <s v="ORD"/>
    <s v="0516"/>
    <s v="Saurabh Roy-South"/>
    <s v="0516"/>
    <s v="Neha"/>
    <s v="Neha"/>
    <m/>
  </r>
  <r>
    <s v="ORD0773"/>
    <x v="136"/>
    <s v="C019"/>
    <s v="Saurabh Roy"/>
    <s v="P004"/>
    <x v="13"/>
    <x v="0"/>
    <s v="Wearables"/>
    <x v="4"/>
    <s v="Madhya Pradesh"/>
    <n v="3843.12"/>
    <n v="3114.52"/>
    <n v="1"/>
    <n v="0.15"/>
    <s v="Cash on Delivery"/>
    <x v="1"/>
    <s v="Saurabh Roy"/>
    <x v="149"/>
    <n v="0.18958554507795747"/>
    <n v="2025"/>
    <s v="May"/>
    <s v="Q2"/>
    <s v="Low"/>
    <s v="Profit"/>
    <s v="No"/>
    <s v="SAURABH ROY"/>
    <s v="saurabh roy"/>
    <n v="11"/>
    <s v="ORD"/>
    <s v="0773"/>
    <s v="Saurabh Roy-Central"/>
    <s v="0773"/>
    <s v="Neha"/>
    <s v="Neha"/>
    <m/>
  </r>
  <r>
    <s v="ORD0816"/>
    <x v="137"/>
    <s v="C019"/>
    <s v="Saurabh Roy"/>
    <s v="P004"/>
    <x v="13"/>
    <x v="0"/>
    <s v="Wearables"/>
    <x v="4"/>
    <s v="Chhattisgarh"/>
    <n v="10124.719999999999"/>
    <n v="5434.64"/>
    <n v="2"/>
    <n v="0.15"/>
    <s v="Net Banking"/>
    <x v="4"/>
    <s v="Saurabh Roy"/>
    <x v="150"/>
    <n v="0.4632305881051525"/>
    <n v="2024"/>
    <s v="Nov"/>
    <s v="Q4"/>
    <s v="Low"/>
    <s v="Profit"/>
    <s v="No"/>
    <s v="SAURABH ROY"/>
    <s v="saurabh roy"/>
    <n v="11"/>
    <s v="ORD"/>
    <s v="0816"/>
    <s v="Saurabh Roy-Central"/>
    <s v="0816"/>
    <s v="Neha"/>
    <s v="Neha"/>
    <m/>
  </r>
  <r>
    <s v="ORD0268"/>
    <x v="138"/>
    <s v="C019"/>
    <s v="Saurabh Roy"/>
    <s v="P005"/>
    <x v="14"/>
    <x v="0"/>
    <s v="Computers"/>
    <x v="4"/>
    <s v="Madhya Pradesh"/>
    <n v="35414.11"/>
    <n v="34744.800000000003"/>
    <n v="4"/>
    <n v="0.2"/>
    <s v="Credit Card"/>
    <x v="3"/>
    <s v="Saurabh Roy"/>
    <x v="151"/>
    <n v="1.8899529029530817E-2"/>
    <n v="2025"/>
    <s v="Dec"/>
    <s v="Q4"/>
    <s v="Medium"/>
    <s v="Profit"/>
    <s v="No"/>
    <s v="SAURABH ROY"/>
    <s v="saurabh roy"/>
    <n v="11"/>
    <s v="ORD"/>
    <s v="0268"/>
    <s v="Saurabh Roy-Central"/>
    <s v="0268"/>
    <s v="Simran"/>
    <s v="Simran"/>
    <m/>
  </r>
  <r>
    <s v="ORD0661"/>
    <x v="139"/>
    <s v="C019"/>
    <s v="Saurabh Roy"/>
    <s v="P005"/>
    <x v="14"/>
    <x v="0"/>
    <s v="Computers"/>
    <x v="2"/>
    <s v="Odisha"/>
    <n v="30777.78"/>
    <n v="25477.65"/>
    <n v="3"/>
    <n v="0.05"/>
    <s v="Net Banking"/>
    <x v="0"/>
    <s v="Saurabh Roy"/>
    <x v="152"/>
    <n v="0.1722063774580232"/>
    <n v="2025"/>
    <s v="Apr"/>
    <s v="Q2"/>
    <s v="Medium"/>
    <s v="Profit"/>
    <s v="No"/>
    <s v="SAURABH ROY"/>
    <s v="saurabh roy"/>
    <n v="11"/>
    <s v="ORD"/>
    <s v="0661"/>
    <s v="Saurabh Roy-East"/>
    <s v="0661"/>
    <s v="Simran"/>
    <s v="Simran"/>
    <m/>
  </r>
  <r>
    <s v="ORD0603"/>
    <x v="140"/>
    <s v="C019"/>
    <s v="Saurabh Roy"/>
    <s v="P007"/>
    <x v="3"/>
    <x v="1"/>
    <s v="Tables"/>
    <x v="1"/>
    <s v="Gujarat"/>
    <n v="41124.19"/>
    <n v="20261.099999999999"/>
    <n v="3"/>
    <n v="0.05"/>
    <s v="UPI"/>
    <x v="0"/>
    <s v="Saurabh Roy"/>
    <x v="153"/>
    <n v="0.50731917151438122"/>
    <n v="2024"/>
    <s v="Apr"/>
    <s v="Q2"/>
    <s v="Medium"/>
    <s v="Profit"/>
    <s v="No"/>
    <s v="SAURABH ROY"/>
    <s v="saurabh roy"/>
    <n v="11"/>
    <s v="ORD"/>
    <s v="0603"/>
    <s v="Saurabh Roy-West"/>
    <s v="0603"/>
    <s v="Rohan"/>
    <s v="Rohan"/>
    <m/>
  </r>
  <r>
    <s v="ORD0749"/>
    <x v="112"/>
    <s v="C019"/>
    <s v="Saurabh Roy"/>
    <s v="P007"/>
    <x v="3"/>
    <x v="1"/>
    <s v="Tables"/>
    <x v="3"/>
    <s v="Punjab"/>
    <n v="25160.92"/>
    <n v="19022.88"/>
    <n v="3"/>
    <n v="0.1"/>
    <s v="Cash on Delivery"/>
    <x v="1"/>
    <s v="Saurabh Roy"/>
    <x v="154"/>
    <n v="0.24395133405296776"/>
    <n v="2025"/>
    <s v="Nov"/>
    <s v="Q4"/>
    <s v="Medium"/>
    <s v="Profit"/>
    <s v="No"/>
    <s v="SAURABH ROY"/>
    <s v="saurabh roy"/>
    <n v="11"/>
    <s v="ORD"/>
    <s v="0749"/>
    <s v="Saurabh Roy-North"/>
    <s v="0749"/>
    <s v="Rohan"/>
    <s v="Rohan"/>
    <m/>
  </r>
  <r>
    <s v="ORD0906"/>
    <x v="141"/>
    <s v="C019"/>
    <s v="Saurabh Roy"/>
    <s v="P007"/>
    <x v="3"/>
    <x v="1"/>
    <s v="Tables"/>
    <x v="3"/>
    <s v="Uttar Pradesh"/>
    <n v="8099.94"/>
    <n v="7133.25"/>
    <n v="1"/>
    <n v="0.05"/>
    <s v="Cash on Delivery"/>
    <x v="0"/>
    <s v="Saurabh Roy"/>
    <x v="155"/>
    <n v="0.11934532848391466"/>
    <n v="2024"/>
    <s v="Apr"/>
    <s v="Q2"/>
    <s v="Low"/>
    <s v="Profit"/>
    <s v="No"/>
    <s v="SAURABH ROY"/>
    <s v="saurabh roy"/>
    <n v="11"/>
    <s v="ORD"/>
    <s v="0906"/>
    <s v="Saurabh Roy-North"/>
    <s v="0906"/>
    <s v="Rohan"/>
    <s v="Rohan"/>
    <m/>
  </r>
  <r>
    <s v="ORD0370"/>
    <x v="142"/>
    <s v="C019"/>
    <s v="Saurabh Roy"/>
    <s v="P008"/>
    <x v="4"/>
    <x v="1"/>
    <s v="Storage"/>
    <x v="3"/>
    <s v="Punjab"/>
    <n v="4664.4399999999996"/>
    <n v="4239.3599999999997"/>
    <n v="1"/>
    <n v="0"/>
    <s v="Debit Card"/>
    <x v="4"/>
    <s v="Saurabh Roy"/>
    <x v="156"/>
    <n v="9.1132054437402979E-2"/>
    <n v="2025"/>
    <s v="Apr"/>
    <s v="Q2"/>
    <s v="Low"/>
    <s v="Profit"/>
    <s v="No"/>
    <s v="SAURABH ROY"/>
    <s v="saurabh roy"/>
    <n v="11"/>
    <s v="ORD"/>
    <s v="0370"/>
    <s v="Saurabh Roy-North"/>
    <s v="0370"/>
    <s v="Anjali"/>
    <s v="Anjali"/>
    <m/>
  </r>
  <r>
    <s v="ORD0776"/>
    <x v="143"/>
    <s v="C019"/>
    <s v="Saurabh Roy"/>
    <s v="P011"/>
    <x v="15"/>
    <x v="2"/>
    <s v="Footwear"/>
    <x v="0"/>
    <s v="Tamil Nadu"/>
    <n v="14637.5"/>
    <n v="6361.4"/>
    <n v="5"/>
    <n v="0.05"/>
    <s v="Debit Card"/>
    <x v="0"/>
    <s v="Saurabh Roy"/>
    <x v="157"/>
    <n v="0.56540392826643893"/>
    <n v="2024"/>
    <s v="Mar"/>
    <s v="Q1"/>
    <s v="Low"/>
    <s v="Profit"/>
    <s v="No"/>
    <s v="SAURABH ROY"/>
    <s v="saurabh roy"/>
    <n v="11"/>
    <s v="ORD"/>
    <s v="0776"/>
    <s v="Saurabh Roy-South"/>
    <s v="0776"/>
    <s v="Vikas"/>
    <s v="Vikas"/>
    <m/>
  </r>
  <r>
    <s v="ORD0497"/>
    <x v="111"/>
    <s v="C019"/>
    <s v="Saurabh Roy"/>
    <s v="P012"/>
    <x v="7"/>
    <x v="2"/>
    <s v="Clothing"/>
    <x v="4"/>
    <s v="Madhya Pradesh"/>
    <n v="14264.64"/>
    <n v="3769.76"/>
    <n v="4"/>
    <n v="0"/>
    <s v="Credit Card"/>
    <x v="2"/>
    <s v="Saurabh Roy"/>
    <x v="158"/>
    <n v="0.73572694438836173"/>
    <n v="2025"/>
    <s v="Dec"/>
    <s v="Q4"/>
    <s v="Low"/>
    <s v="Profit"/>
    <s v="No"/>
    <s v="SAURABH ROY"/>
    <s v="saurabh roy"/>
    <n v="11"/>
    <s v="ORD"/>
    <s v="0497"/>
    <s v="Saurabh Roy-Central"/>
    <s v="0497"/>
    <s v="Pooja"/>
    <s v="Pooja"/>
    <m/>
  </r>
  <r>
    <s v="ORD0285"/>
    <x v="144"/>
    <s v="C019"/>
    <s v="Saurabh Roy"/>
    <s v="P013"/>
    <x v="16"/>
    <x v="2"/>
    <s v="Bags"/>
    <x v="1"/>
    <s v="Rajasthan"/>
    <n v="9142.52"/>
    <n v="2824.44"/>
    <n v="4"/>
    <n v="0.1"/>
    <s v="Cash on Delivery"/>
    <x v="0"/>
    <s v="Saurabh Roy"/>
    <x v="159"/>
    <n v="0.69106548303968707"/>
    <n v="2025"/>
    <s v="Jun"/>
    <s v="Q2"/>
    <s v="Low"/>
    <s v="Profit"/>
    <s v="No"/>
    <s v="SAURABH ROY"/>
    <s v="saurabh roy"/>
    <n v="11"/>
    <s v="ORD"/>
    <s v="0285"/>
    <s v="Saurabh Roy-West"/>
    <s v="0285"/>
    <s v="Aditya"/>
    <s v="Aditya"/>
    <m/>
  </r>
  <r>
    <s v="ORD0924"/>
    <x v="145"/>
    <s v="C019"/>
    <s v="Saurabh Roy"/>
    <s v="P013"/>
    <x v="16"/>
    <x v="2"/>
    <s v="Bags"/>
    <x v="2"/>
    <s v="Odisha"/>
    <n v="2353.44"/>
    <n v="659.01"/>
    <n v="1"/>
    <n v="0.15"/>
    <s v="Credit Card"/>
    <x v="3"/>
    <s v="Saurabh Roy"/>
    <x v="160"/>
    <n v="0.71998011421578623"/>
    <n v="2025"/>
    <s v="Aug"/>
    <s v="Q3"/>
    <s v="Low"/>
    <s v="Profit"/>
    <s v="No"/>
    <s v="SAURABH ROY"/>
    <s v="saurabh roy"/>
    <n v="11"/>
    <s v="ORD"/>
    <s v="0924"/>
    <s v="Saurabh Roy-East"/>
    <s v="0924"/>
    <s v="Aditya"/>
    <s v="Aditya"/>
    <m/>
  </r>
  <r>
    <s v="ORD0738"/>
    <x v="146"/>
    <s v="C019"/>
    <s v="Saurabh Roy"/>
    <s v="P014"/>
    <x v="19"/>
    <x v="2"/>
    <s v="Clothing"/>
    <x v="4"/>
    <s v="Chhattisgarh"/>
    <n v="3763.94"/>
    <n v="1094.8399999999999"/>
    <n v="4"/>
    <n v="0.1"/>
    <s v="Cash on Delivery"/>
    <x v="0"/>
    <s v="Saurabh Roy"/>
    <x v="161"/>
    <n v="0.70912394990355854"/>
    <n v="2024"/>
    <s v="Sep"/>
    <s v="Q3"/>
    <s v="Low"/>
    <s v="Profit"/>
    <s v="No"/>
    <s v="SAURABH ROY"/>
    <s v="saurabh roy"/>
    <n v="11"/>
    <s v="ORD"/>
    <s v="0738"/>
    <s v="Saurabh Roy-Central"/>
    <s v="0738"/>
    <s v="Kavya"/>
    <s v="Kavya"/>
    <m/>
  </r>
  <r>
    <s v="ORD0426"/>
    <x v="147"/>
    <s v="C019"/>
    <s v="Saurabh Roy"/>
    <s v="P015"/>
    <x v="17"/>
    <x v="2"/>
    <s v="Clothing"/>
    <x v="3"/>
    <s v="Punjab"/>
    <n v="5997.05"/>
    <n v="2111.6799999999998"/>
    <n v="4"/>
    <n v="0.05"/>
    <s v="Net Banking"/>
    <x v="2"/>
    <s v="Saurabh Roy"/>
    <x v="162"/>
    <n v="0.64788020776881972"/>
    <n v="2025"/>
    <s v="Sep"/>
    <s v="Q3"/>
    <s v="Low"/>
    <s v="Profit"/>
    <s v="No"/>
    <s v="SAURABH ROY"/>
    <s v="saurabh roy"/>
    <n v="11"/>
    <s v="ORD"/>
    <s v="0426"/>
    <s v="Saurabh Roy-North"/>
    <s v="0426"/>
    <s v="Manish"/>
    <s v="Manish"/>
    <m/>
  </r>
  <r>
    <s v="ORD0869"/>
    <x v="148"/>
    <s v="C019"/>
    <s v="Saurabh Roy"/>
    <s v="P015"/>
    <x v="17"/>
    <x v="2"/>
    <s v="Clothing"/>
    <x v="0"/>
    <s v="Telangana"/>
    <n v="7348.78"/>
    <n v="2133.8000000000002"/>
    <n v="4"/>
    <n v="0.05"/>
    <s v="Credit Card"/>
    <x v="2"/>
    <s v="Saurabh Roy"/>
    <x v="163"/>
    <n v="0.70963887883430987"/>
    <n v="2025"/>
    <s v="Jan"/>
    <s v="Q1"/>
    <s v="Low"/>
    <s v="Profit"/>
    <s v="No"/>
    <s v="SAURABH ROY"/>
    <s v="saurabh roy"/>
    <n v="11"/>
    <s v="ORD"/>
    <s v="0869"/>
    <s v="Saurabh Roy-South"/>
    <s v="0869"/>
    <s v="Manish"/>
    <s v="Manish"/>
    <m/>
  </r>
  <r>
    <s v="ORD0971"/>
    <x v="149"/>
    <s v="C019"/>
    <s v="Saurabh Roy"/>
    <s v="P015"/>
    <x v="17"/>
    <x v="2"/>
    <s v="Clothing"/>
    <x v="2"/>
    <s v="Odisha"/>
    <n v="3698.65"/>
    <n v="1608.72"/>
    <n v="3"/>
    <n v="0.1"/>
    <s v="Net Banking"/>
    <x v="3"/>
    <s v="Saurabh Roy"/>
    <x v="164"/>
    <n v="0.56505211360901952"/>
    <n v="2024"/>
    <s v="Jul"/>
    <s v="Q3"/>
    <s v="Low"/>
    <s v="Profit"/>
    <s v="No"/>
    <s v="SAURABH ROY"/>
    <s v="saurabh roy"/>
    <n v="11"/>
    <s v="ORD"/>
    <s v="0971"/>
    <s v="Saurabh Roy-East"/>
    <s v="0971"/>
    <s v="Manish"/>
    <s v="Manish"/>
    <m/>
  </r>
  <r>
    <s v="ORD0029"/>
    <x v="150"/>
    <s v="C019"/>
    <s v="Saurabh Roy"/>
    <s v="P016"/>
    <x v="8"/>
    <x v="3"/>
    <s v="Kitchen"/>
    <x v="1"/>
    <s v="Rajasthan"/>
    <n v="7192.01"/>
    <n v="3280.96"/>
    <n v="2"/>
    <n v="0.05"/>
    <s v="UPI"/>
    <x v="0"/>
    <s v="Saurabh Roy"/>
    <x v="165"/>
    <n v="0.54380486122794602"/>
    <n v="2025"/>
    <s v="Jun"/>
    <s v="Q2"/>
    <s v="Low"/>
    <s v="Profit"/>
    <s v="No"/>
    <s v="SAURABH ROY"/>
    <s v="saurabh roy"/>
    <n v="11"/>
    <s v="ORD"/>
    <s v="0029"/>
    <s v="Saurabh Roy-West"/>
    <s v="0029"/>
    <s v="Rahul"/>
    <s v="Rahul"/>
    <m/>
  </r>
  <r>
    <s v="ORD0312"/>
    <x v="151"/>
    <s v="C019"/>
    <s v="Saurabh Roy"/>
    <s v="P016"/>
    <x v="8"/>
    <x v="3"/>
    <s v="Kitchen"/>
    <x v="4"/>
    <s v="Madhya Pradesh"/>
    <n v="3567.97"/>
    <n v="1636.54"/>
    <n v="1"/>
    <n v="0.15"/>
    <s v="UPI"/>
    <x v="0"/>
    <s v="Saurabh Roy"/>
    <x v="166"/>
    <n v="0.54132461876080795"/>
    <n v="2024"/>
    <s v="Dec"/>
    <s v="Q4"/>
    <s v="Low"/>
    <s v="Profit"/>
    <s v="No"/>
    <s v="SAURABH ROY"/>
    <s v="saurabh roy"/>
    <n v="11"/>
    <s v="ORD"/>
    <s v="0312"/>
    <s v="Saurabh Roy-Central"/>
    <s v="0312"/>
    <s v="Rahul"/>
    <s v="Rahul"/>
    <m/>
  </r>
  <r>
    <s v="ORD0700"/>
    <x v="152"/>
    <s v="C019"/>
    <s v="Saurabh Roy"/>
    <s v="P016"/>
    <x v="8"/>
    <x v="3"/>
    <s v="Kitchen"/>
    <x v="3"/>
    <s v="Delhi"/>
    <n v="7864.61"/>
    <n v="3395.64"/>
    <n v="2"/>
    <n v="0.05"/>
    <s v="Net Banking"/>
    <x v="1"/>
    <s v="Saurabh Roy"/>
    <x v="167"/>
    <n v="0.56823796729907772"/>
    <n v="2025"/>
    <s v="Mar"/>
    <s v="Q1"/>
    <s v="Low"/>
    <s v="Profit"/>
    <s v="No"/>
    <s v="SAURABH ROY"/>
    <s v="saurabh roy"/>
    <n v="11"/>
    <s v="ORD"/>
    <s v="0700"/>
    <s v="Saurabh Roy-North"/>
    <s v="0700"/>
    <s v="Rahul"/>
    <s v="Rahul"/>
    <m/>
  </r>
  <r>
    <s v="ORD0704"/>
    <x v="153"/>
    <s v="C019"/>
    <s v="Saurabh Roy"/>
    <s v="P016"/>
    <x v="8"/>
    <x v="3"/>
    <s v="Kitchen"/>
    <x v="4"/>
    <s v="Chhattisgarh"/>
    <n v="9996.49"/>
    <n v="4875.66"/>
    <n v="3"/>
    <n v="0.05"/>
    <s v="Credit Card"/>
    <x v="1"/>
    <s v="Saurabh Roy"/>
    <x v="168"/>
    <n v="0.51226280424428972"/>
    <n v="2025"/>
    <s v="Apr"/>
    <s v="Q2"/>
    <s v="Low"/>
    <s v="Profit"/>
    <s v="No"/>
    <s v="SAURABH ROY"/>
    <s v="saurabh roy"/>
    <n v="11"/>
    <s v="ORD"/>
    <s v="0704"/>
    <s v="Saurabh Roy-Central"/>
    <s v="0704"/>
    <s v="Rahul"/>
    <s v="Rahul"/>
    <m/>
  </r>
  <r>
    <s v="ORD0582"/>
    <x v="61"/>
    <s v="C019"/>
    <s v="Saurabh Roy"/>
    <s v="P017"/>
    <x v="9"/>
    <x v="3"/>
    <s v="Kitchen"/>
    <x v="3"/>
    <s v="Delhi"/>
    <n v="13089.71"/>
    <n v="10944.26"/>
    <n v="2"/>
    <n v="0.2"/>
    <s v="Debit Card"/>
    <x v="0"/>
    <s v="Saurabh Roy"/>
    <x v="169"/>
    <n v="0.1639035547769965"/>
    <n v="2024"/>
    <s v="Sep"/>
    <s v="Q3"/>
    <s v="Low"/>
    <s v="Profit"/>
    <s v="No"/>
    <s v="SAURABH ROY"/>
    <s v="saurabh roy"/>
    <n v="11"/>
    <s v="ORD"/>
    <s v="0582"/>
    <s v="Saurabh Roy-North"/>
    <s v="0582"/>
    <s v="Priya"/>
    <s v="Priya"/>
    <m/>
  </r>
  <r>
    <s v="ORD0235"/>
    <x v="34"/>
    <s v="C019"/>
    <s v="Saurabh Roy"/>
    <s v="P018"/>
    <x v="10"/>
    <x v="3"/>
    <s v="Cooling"/>
    <x v="3"/>
    <s v="Punjab"/>
    <n v="26169.24"/>
    <n v="17669.79"/>
    <n v="3"/>
    <n v="0.05"/>
    <s v="Cash on Delivery"/>
    <x v="2"/>
    <s v="Saurabh Roy"/>
    <x v="170"/>
    <n v="0.32478780430765281"/>
    <n v="2024"/>
    <s v="Jun"/>
    <s v="Q2"/>
    <s v="Medium"/>
    <s v="Profit"/>
    <s v="No"/>
    <s v="SAURABH ROY"/>
    <s v="saurabh roy"/>
    <n v="11"/>
    <s v="ORD"/>
    <s v="0235"/>
    <s v="Saurabh Roy-North"/>
    <s v="0235"/>
    <s v="Amit"/>
    <s v="Amit"/>
    <m/>
  </r>
  <r>
    <s v="ORD0453"/>
    <x v="154"/>
    <s v="C019"/>
    <s v="Saurabh Roy"/>
    <s v="P018"/>
    <x v="10"/>
    <x v="3"/>
    <s v="Cooling"/>
    <x v="0"/>
    <s v="Telangana"/>
    <n v="30493.919999999998"/>
    <n v="16583.79"/>
    <n v="3"/>
    <n v="0.2"/>
    <s v="UPI"/>
    <x v="0"/>
    <s v="Saurabh Roy"/>
    <x v="171"/>
    <n v="0.45616076909757741"/>
    <n v="2024"/>
    <s v="Mar"/>
    <s v="Q1"/>
    <s v="Medium"/>
    <s v="Profit"/>
    <s v="No"/>
    <s v="SAURABH ROY"/>
    <s v="saurabh roy"/>
    <n v="11"/>
    <s v="ORD"/>
    <s v="0453"/>
    <s v="Saurabh Roy-South"/>
    <s v="0453"/>
    <s v="Amit"/>
    <s v="Amit"/>
    <m/>
  </r>
  <r>
    <s v="ORD0480"/>
    <x v="155"/>
    <s v="C019"/>
    <s v="Saurabh Roy"/>
    <s v="P018"/>
    <x v="10"/>
    <x v="3"/>
    <s v="Cooling"/>
    <x v="2"/>
    <s v="West Bengal"/>
    <n v="34634.519999999997"/>
    <n v="22676.16"/>
    <n v="4"/>
    <n v="0"/>
    <s v="Cash on Delivery"/>
    <x v="4"/>
    <s v="Saurabh Roy"/>
    <x v="172"/>
    <n v="0.34527286649273609"/>
    <n v="2024"/>
    <s v="Jun"/>
    <s v="Q2"/>
    <s v="Medium"/>
    <s v="Profit"/>
    <s v="No"/>
    <s v="SAURABH ROY"/>
    <s v="saurabh roy"/>
    <n v="11"/>
    <s v="ORD"/>
    <s v="0480"/>
    <s v="Saurabh Roy-East"/>
    <s v="0480"/>
    <s v="Amit"/>
    <s v="Amit"/>
    <m/>
  </r>
  <r>
    <s v="ORD0564"/>
    <x v="156"/>
    <s v="C019"/>
    <s v="Saurabh Roy"/>
    <s v="P018"/>
    <x v="10"/>
    <x v="3"/>
    <s v="Cooling"/>
    <x v="0"/>
    <s v="Karnataka"/>
    <n v="33566.370000000003"/>
    <n v="29843.8"/>
    <n v="5"/>
    <n v="0.15"/>
    <s v="Net Banking"/>
    <x v="3"/>
    <s v="Saurabh Roy"/>
    <x v="173"/>
    <n v="0.11090177460356908"/>
    <n v="2025"/>
    <s v="Jan"/>
    <s v="Q1"/>
    <s v="Medium"/>
    <s v="Profit"/>
    <s v="No"/>
    <s v="SAURABH ROY"/>
    <s v="saurabh roy"/>
    <n v="11"/>
    <s v="ORD"/>
    <s v="0564"/>
    <s v="Saurabh Roy-South"/>
    <s v="0564"/>
    <s v="Amit"/>
    <s v="Amit"/>
    <m/>
  </r>
  <r>
    <s v="ORD0359"/>
    <x v="53"/>
    <s v="C019"/>
    <s v="Saurabh Roy"/>
    <s v="P019"/>
    <x v="18"/>
    <x v="3"/>
    <s v="Cleaning"/>
    <x v="3"/>
    <s v="Punjab"/>
    <n v="13662.63"/>
    <n v="7471.38"/>
    <n v="2"/>
    <n v="0.15"/>
    <s v="Cash on Delivery"/>
    <x v="4"/>
    <s v="Saurabh Roy"/>
    <x v="174"/>
    <n v="0.45315213835110807"/>
    <n v="2025"/>
    <s v="Jul"/>
    <s v="Q3"/>
    <s v="Low"/>
    <s v="Profit"/>
    <s v="No"/>
    <s v="SAURABH ROY"/>
    <s v="saurabh roy"/>
    <n v="11"/>
    <s v="ORD"/>
    <s v="0359"/>
    <s v="Saurabh Roy-North"/>
    <s v="0359"/>
    <s v="Neha"/>
    <s v="Neha"/>
    <m/>
  </r>
  <r>
    <s v="ORD0471"/>
    <x v="157"/>
    <s v="C019"/>
    <s v="Saurabh Roy"/>
    <s v="P019"/>
    <x v="18"/>
    <x v="3"/>
    <s v="Cleaning"/>
    <x v="0"/>
    <s v="Telangana"/>
    <n v="20942.29"/>
    <n v="13072.2"/>
    <n v="4"/>
    <n v="0.05"/>
    <s v="Net Banking"/>
    <x v="4"/>
    <s v="Saurabh Roy"/>
    <x v="175"/>
    <n v="0.3757989217034049"/>
    <n v="2024"/>
    <s v="Nov"/>
    <s v="Q4"/>
    <s v="Medium"/>
    <s v="Profit"/>
    <s v="No"/>
    <s v="SAURABH ROY"/>
    <s v="saurabh roy"/>
    <n v="11"/>
    <s v="ORD"/>
    <s v="0471"/>
    <s v="Saurabh Roy-South"/>
    <s v="0471"/>
    <s v="Neha"/>
    <s v="Neha"/>
    <m/>
  </r>
  <r>
    <s v="ORD0822"/>
    <x v="140"/>
    <s v="C019"/>
    <s v="Saurabh Roy"/>
    <s v="P020"/>
    <x v="11"/>
    <x v="3"/>
    <s v="Kitchen"/>
    <x v="1"/>
    <s v="Maharashtra"/>
    <n v="4544.58"/>
    <n v="2124.4"/>
    <n v="4"/>
    <n v="0.15"/>
    <s v="Net Banking"/>
    <x v="0"/>
    <s v="Saurabh Roy"/>
    <x v="176"/>
    <n v="0.5325420610925542"/>
    <n v="2024"/>
    <s v="Apr"/>
    <s v="Q2"/>
    <s v="Low"/>
    <s v="Profit"/>
    <s v="No"/>
    <s v="SAURABH ROY"/>
    <s v="saurabh roy"/>
    <n v="11"/>
    <s v="ORD"/>
    <s v="0822"/>
    <s v="Saurabh Roy-West"/>
    <s v="0822"/>
    <s v="Simran"/>
    <s v="Simran"/>
    <m/>
  </r>
  <r>
    <s v="ORD0895"/>
    <x v="158"/>
    <s v="C007"/>
    <s v="Rohan Gupta"/>
    <s v="P001"/>
    <x v="12"/>
    <x v="0"/>
    <s v="Computers"/>
    <x v="2"/>
    <s v="Bihar"/>
    <n v="260996.11"/>
    <n v="245493.9"/>
    <n v="5"/>
    <n v="0.15"/>
    <s v="UPI"/>
    <x v="3"/>
    <s v="Rohan Gupta"/>
    <x v="177"/>
    <n v="5.9396325868611578E-2"/>
    <n v="2025"/>
    <s v="Nov"/>
    <s v="Q4"/>
    <s v="High"/>
    <s v="Profit"/>
    <s v="Yes"/>
    <s v="ROHAN GUPTA"/>
    <s v="rohan gupta"/>
    <n v="11"/>
    <s v="ORD"/>
    <s v="0895"/>
    <s v="Rohan Gupta-East"/>
    <s v="0895"/>
    <s v="Rahul"/>
    <s v="Rahul"/>
    <m/>
  </r>
  <r>
    <s v="ORD0320"/>
    <x v="159"/>
    <s v="C007"/>
    <s v="Rohan Gupta"/>
    <s v="P003"/>
    <x v="1"/>
    <x v="0"/>
    <s v="Accessories"/>
    <x v="3"/>
    <s v="Uttar Pradesh"/>
    <n v="3177.3"/>
    <n v="1832.25"/>
    <n v="1"/>
    <n v="0.15"/>
    <s v="Debit Card"/>
    <x v="0"/>
    <s v="Rohan Gupta"/>
    <x v="178"/>
    <n v="0.42333113020489099"/>
    <n v="2024"/>
    <s v="May"/>
    <s v="Q2"/>
    <s v="Low"/>
    <s v="Profit"/>
    <s v="No"/>
    <s v="ROHAN GUPTA"/>
    <s v="rohan gupta"/>
    <n v="11"/>
    <s v="ORD"/>
    <s v="0320"/>
    <s v="Rohan Gupta-North"/>
    <s v="0320"/>
    <s v="Amit"/>
    <s v="Amit"/>
    <m/>
  </r>
  <r>
    <s v="ORD0856"/>
    <x v="45"/>
    <s v="C007"/>
    <s v="Rohan Gupta"/>
    <s v="P003"/>
    <x v="1"/>
    <x v="0"/>
    <s v="Accessories"/>
    <x v="1"/>
    <s v="Rajasthan"/>
    <n v="15420.21"/>
    <n v="5423.04"/>
    <n v="3"/>
    <n v="0.05"/>
    <s v="UPI"/>
    <x v="0"/>
    <s v="Rohan Gupta"/>
    <x v="179"/>
    <n v="0.64831607351650844"/>
    <n v="2025"/>
    <s v="Jul"/>
    <s v="Q3"/>
    <s v="Low"/>
    <s v="Profit"/>
    <s v="No"/>
    <s v="ROHAN GUPTA"/>
    <s v="rohan gupta"/>
    <n v="11"/>
    <s v="ORD"/>
    <s v="0856"/>
    <s v="Rohan Gupta-West"/>
    <s v="0856"/>
    <s v="Amit"/>
    <s v="Amit"/>
    <m/>
  </r>
  <r>
    <s v="ORD0956"/>
    <x v="160"/>
    <s v="C007"/>
    <s v="Rohan Gupta"/>
    <s v="P003"/>
    <x v="1"/>
    <x v="0"/>
    <s v="Accessories"/>
    <x v="3"/>
    <s v="Delhi"/>
    <n v="3351.25"/>
    <n v="1976.14"/>
    <n v="1"/>
    <n v="0.05"/>
    <s v="UPI"/>
    <x v="0"/>
    <s v="Rohan Gupta"/>
    <x v="180"/>
    <n v="0.41032748974263333"/>
    <n v="2025"/>
    <s v="Mar"/>
    <s v="Q1"/>
    <s v="Low"/>
    <s v="Profit"/>
    <s v="No"/>
    <s v="ROHAN GUPTA"/>
    <s v="rohan gupta"/>
    <n v="11"/>
    <s v="ORD"/>
    <s v="0956"/>
    <s v="Rohan Gupta-North"/>
    <s v="0956"/>
    <s v="Amit"/>
    <s v="Amit"/>
    <m/>
  </r>
  <r>
    <s v="ORD0382"/>
    <x v="161"/>
    <s v="C007"/>
    <s v="Rohan Gupta"/>
    <s v="P005"/>
    <x v="14"/>
    <x v="0"/>
    <s v="Computers"/>
    <x v="4"/>
    <s v="Chhattisgarh"/>
    <n v="42236.43"/>
    <n v="23134.799999999999"/>
    <n v="3"/>
    <n v="0"/>
    <s v="UPI"/>
    <x v="3"/>
    <s v="Rohan Gupta"/>
    <x v="181"/>
    <n v="0.45225484256126763"/>
    <n v="2025"/>
    <s v="Sep"/>
    <s v="Q3"/>
    <s v="Medium"/>
    <s v="Profit"/>
    <s v="No"/>
    <s v="ROHAN GUPTA"/>
    <s v="rohan gupta"/>
    <n v="11"/>
    <s v="ORD"/>
    <s v="0382"/>
    <s v="Rohan Gupta-Central"/>
    <s v="0382"/>
    <s v="Simran"/>
    <s v="Simran"/>
    <m/>
  </r>
  <r>
    <s v="ORD0788"/>
    <x v="56"/>
    <s v="C007"/>
    <s v="Rohan Gupta"/>
    <s v="P005"/>
    <x v="14"/>
    <x v="0"/>
    <s v="Computers"/>
    <x v="3"/>
    <s v="Uttar Pradesh"/>
    <n v="21697.040000000001"/>
    <n v="17503.759999999998"/>
    <n v="2"/>
    <n v="0.1"/>
    <s v="Cash on Delivery"/>
    <x v="0"/>
    <s v="Rohan Gupta"/>
    <x v="182"/>
    <n v="0.19326507210200111"/>
    <n v="2024"/>
    <s v="Jun"/>
    <s v="Q2"/>
    <s v="Medium"/>
    <s v="Profit"/>
    <s v="No"/>
    <s v="ROHAN GUPTA"/>
    <s v="rohan gupta"/>
    <n v="11"/>
    <s v="ORD"/>
    <s v="0788"/>
    <s v="Rohan Gupta-North"/>
    <s v="0788"/>
    <s v="Simran"/>
    <s v="Simran"/>
    <m/>
  </r>
  <r>
    <s v="ORD0969"/>
    <x v="162"/>
    <s v="C007"/>
    <s v="Rohan Gupta"/>
    <s v="P005"/>
    <x v="14"/>
    <x v="0"/>
    <s v="Computers"/>
    <x v="3"/>
    <s v="Uttar Pradesh"/>
    <n v="69152.59"/>
    <n v="40390.800000000003"/>
    <n v="5"/>
    <n v="0.05"/>
    <s v="Credit Card"/>
    <x v="0"/>
    <s v="Rohan Gupta"/>
    <x v="183"/>
    <n v="0.41591775521350677"/>
    <n v="2024"/>
    <s v="Jun"/>
    <s v="Q2"/>
    <s v="High"/>
    <s v="Profit"/>
    <s v="Yes"/>
    <s v="ROHAN GUPTA"/>
    <s v="rohan gupta"/>
    <n v="11"/>
    <s v="ORD"/>
    <s v="0969"/>
    <s v="Rohan Gupta-North"/>
    <s v="0969"/>
    <s v="Simran"/>
    <s v="Simran"/>
    <m/>
  </r>
  <r>
    <s v="ORD0975"/>
    <x v="163"/>
    <s v="C007"/>
    <s v="Rohan Gupta"/>
    <s v="P005"/>
    <x v="14"/>
    <x v="0"/>
    <s v="Computers"/>
    <x v="0"/>
    <s v="Karnataka"/>
    <n v="12691.62"/>
    <n v="8578.65"/>
    <n v="1"/>
    <n v="0.1"/>
    <s v="Net Banking"/>
    <x v="3"/>
    <s v="Rohan Gupta"/>
    <x v="184"/>
    <n v="0.32406974050594023"/>
    <n v="2024"/>
    <s v="Jan"/>
    <s v="Q1"/>
    <s v="Low"/>
    <s v="Profit"/>
    <s v="No"/>
    <s v="ROHAN GUPTA"/>
    <s v="rohan gupta"/>
    <n v="11"/>
    <s v="ORD"/>
    <s v="0975"/>
    <s v="Rohan Gupta-South"/>
    <s v="0975"/>
    <s v="Simran"/>
    <s v="Simran"/>
    <m/>
  </r>
  <r>
    <s v="ORD0252"/>
    <x v="164"/>
    <s v="C007"/>
    <s v="Rohan Gupta"/>
    <s v="P007"/>
    <x v="3"/>
    <x v="1"/>
    <s v="Tables"/>
    <x v="2"/>
    <s v="Bihar"/>
    <n v="56648.73"/>
    <n v="30320.880000000001"/>
    <n v="4"/>
    <n v="0.05"/>
    <s v="Net Banking"/>
    <x v="0"/>
    <s v="Rohan Gupta"/>
    <x v="185"/>
    <n v="0.46475622666209815"/>
    <n v="2024"/>
    <s v="Apr"/>
    <s v="Q2"/>
    <s v="High"/>
    <s v="Profit"/>
    <s v="Yes"/>
    <s v="ROHAN GUPTA"/>
    <s v="rohan gupta"/>
    <n v="11"/>
    <s v="ORD"/>
    <s v="0252"/>
    <s v="Rohan Gupta-East"/>
    <s v="0252"/>
    <s v="Rohan"/>
    <s v="Rohan"/>
    <m/>
  </r>
  <r>
    <s v="ORD0373"/>
    <x v="165"/>
    <s v="C007"/>
    <s v="Rohan Gupta"/>
    <s v="P007"/>
    <x v="3"/>
    <x v="1"/>
    <s v="Tables"/>
    <x v="1"/>
    <s v="Maharashtra"/>
    <n v="68654.429999999993"/>
    <n v="36554.25"/>
    <n v="5"/>
    <n v="0.1"/>
    <s v="Debit Card"/>
    <x v="4"/>
    <s v="Rohan Gupta"/>
    <x v="186"/>
    <n v="0.46756167082007666"/>
    <n v="2025"/>
    <s v="Dec"/>
    <s v="Q4"/>
    <s v="High"/>
    <s v="Profit"/>
    <s v="Yes"/>
    <s v="ROHAN GUPTA"/>
    <s v="rohan gupta"/>
    <n v="11"/>
    <s v="ORD"/>
    <s v="0373"/>
    <s v="Rohan Gupta-West"/>
    <s v="0373"/>
    <s v="Rohan"/>
    <s v="Rohan"/>
    <m/>
  </r>
  <r>
    <s v="ORD0443"/>
    <x v="166"/>
    <s v="C007"/>
    <s v="Rohan Gupta"/>
    <s v="P007"/>
    <x v="3"/>
    <x v="1"/>
    <s v="Tables"/>
    <x v="2"/>
    <s v="West Bengal"/>
    <n v="26185.63"/>
    <n v="22769.01"/>
    <n v="3"/>
    <n v="0.05"/>
    <s v="Cash on Delivery"/>
    <x v="1"/>
    <s v="Rohan Gupta"/>
    <x v="187"/>
    <n v="0.13047690660870112"/>
    <n v="2024"/>
    <s v="Oct"/>
    <s v="Q4"/>
    <s v="Medium"/>
    <s v="Profit"/>
    <s v="No"/>
    <s v="ROHAN GUPTA"/>
    <s v="rohan gupta"/>
    <n v="11"/>
    <s v="ORD"/>
    <s v="0443"/>
    <s v="Rohan Gupta-East"/>
    <s v="0443"/>
    <s v="Rohan"/>
    <s v="Rohan"/>
    <m/>
  </r>
  <r>
    <s v="ORD0101"/>
    <x v="107"/>
    <s v="C007"/>
    <s v="Rohan Gupta"/>
    <s v="P008"/>
    <x v="4"/>
    <x v="1"/>
    <s v="Storage"/>
    <x v="2"/>
    <s v="West Bengal"/>
    <n v="12145.46"/>
    <n v="8569.6200000000008"/>
    <n v="2"/>
    <n v="0.1"/>
    <s v="Net Banking"/>
    <x v="3"/>
    <s v="Rohan Gupta"/>
    <x v="188"/>
    <n v="0.29441783184827897"/>
    <n v="2025"/>
    <s v="Jan"/>
    <s v="Q1"/>
    <s v="Low"/>
    <s v="Profit"/>
    <s v="No"/>
    <s v="ROHAN GUPTA"/>
    <s v="rohan gupta"/>
    <n v="11"/>
    <s v="ORD"/>
    <s v="0101"/>
    <s v="Rohan Gupta-East"/>
    <s v="0101"/>
    <s v="Anjali"/>
    <s v="Anjali"/>
    <m/>
  </r>
  <r>
    <s v="ORD0028"/>
    <x v="167"/>
    <s v="C007"/>
    <s v="Rohan Gupta"/>
    <s v="P010"/>
    <x v="6"/>
    <x v="1"/>
    <s v="Bedroom"/>
    <x v="0"/>
    <s v="Karnataka"/>
    <n v="95613.66"/>
    <n v="94243.25"/>
    <n v="5"/>
    <n v="0.1"/>
    <s v="UPI"/>
    <x v="0"/>
    <s v="Rohan Gupta"/>
    <x v="189"/>
    <n v="1.4332784666960804E-2"/>
    <n v="2024"/>
    <s v="Feb"/>
    <s v="Q1"/>
    <s v="High"/>
    <s v="Profit"/>
    <s v="Yes"/>
    <s v="ROHAN GUPTA"/>
    <s v="rohan gupta"/>
    <n v="11"/>
    <s v="ORD"/>
    <s v="0028"/>
    <s v="Rohan Gupta-South"/>
    <s v="0028"/>
    <s v="Sneha"/>
    <s v="Sneha"/>
    <m/>
  </r>
  <r>
    <s v="ORD0925"/>
    <x v="148"/>
    <s v="C007"/>
    <s v="Rohan Gupta"/>
    <s v="P010"/>
    <x v="6"/>
    <x v="1"/>
    <s v="Bedroom"/>
    <x v="1"/>
    <s v="Maharashtra"/>
    <n v="158350.41"/>
    <n v="83829.75"/>
    <n v="5"/>
    <n v="0.1"/>
    <s v="Cash on Delivery"/>
    <x v="0"/>
    <s v="Rohan Gupta"/>
    <x v="190"/>
    <n v="0.47060604389972849"/>
    <n v="2025"/>
    <s v="Jan"/>
    <s v="Q1"/>
    <s v="High"/>
    <s v="Profit"/>
    <s v="Yes"/>
    <s v="ROHAN GUPTA"/>
    <s v="rohan gupta"/>
    <n v="11"/>
    <s v="ORD"/>
    <s v="0925"/>
    <s v="Rohan Gupta-West"/>
    <s v="0925"/>
    <s v="Sneha"/>
    <s v="Sneha"/>
    <m/>
  </r>
  <r>
    <s v="ORD0541"/>
    <x v="168"/>
    <s v="C007"/>
    <s v="Rohan Gupta"/>
    <s v="P011"/>
    <x v="15"/>
    <x v="2"/>
    <s v="Footwear"/>
    <x v="1"/>
    <s v="Maharashtra"/>
    <n v="12156.92"/>
    <n v="5278.04"/>
    <n v="4"/>
    <n v="0"/>
    <s v="Debit Card"/>
    <x v="0"/>
    <s v="Rohan Gupta"/>
    <x v="191"/>
    <n v="0.56584068991158942"/>
    <n v="2024"/>
    <s v="Nov"/>
    <s v="Q4"/>
    <s v="Low"/>
    <s v="Profit"/>
    <s v="No"/>
    <s v="ROHAN GUPTA"/>
    <s v="rohan gupta"/>
    <n v="11"/>
    <s v="ORD"/>
    <s v="0541"/>
    <s v="Rohan Gupta-West"/>
    <s v="0541"/>
    <s v="Vikas"/>
    <s v="Vikas"/>
    <m/>
  </r>
  <r>
    <s v="ORD0073"/>
    <x v="146"/>
    <s v="C007"/>
    <s v="Rohan Gupta"/>
    <s v="P012"/>
    <x v="7"/>
    <x v="2"/>
    <s v="Clothing"/>
    <x v="4"/>
    <s v="Madhya Pradesh"/>
    <n v="7537.59"/>
    <n v="2581.02"/>
    <n v="3"/>
    <n v="0.1"/>
    <s v="Cash on Delivery"/>
    <x v="0"/>
    <s v="Rohan Gupta"/>
    <x v="192"/>
    <n v="0.65758020799751637"/>
    <n v="2024"/>
    <s v="Sep"/>
    <s v="Q3"/>
    <s v="Low"/>
    <s v="Profit"/>
    <s v="No"/>
    <s v="ROHAN GUPTA"/>
    <s v="rohan gupta"/>
    <n v="11"/>
    <s v="ORD"/>
    <s v="0073"/>
    <s v="Rohan Gupta-Central"/>
    <s v="0073"/>
    <s v="Pooja"/>
    <s v="Pooja"/>
    <m/>
  </r>
  <r>
    <s v="ORD0111"/>
    <x v="57"/>
    <s v="C007"/>
    <s v="Rohan Gupta"/>
    <s v="P013"/>
    <x v="16"/>
    <x v="2"/>
    <s v="Bags"/>
    <x v="4"/>
    <s v="Chhattisgarh"/>
    <n v="1646.58"/>
    <n v="663.21"/>
    <n v="1"/>
    <n v="0.2"/>
    <s v="Debit Card"/>
    <x v="4"/>
    <s v="Rohan Gupta"/>
    <x v="193"/>
    <n v="0.5972196917246656"/>
    <n v="2025"/>
    <s v="May"/>
    <s v="Q2"/>
    <s v="Low"/>
    <s v="Profit"/>
    <s v="No"/>
    <s v="ROHAN GUPTA"/>
    <s v="rohan gupta"/>
    <n v="11"/>
    <s v="ORD"/>
    <s v="0111"/>
    <s v="Rohan Gupta-Central"/>
    <s v="0111"/>
    <s v="Aditya"/>
    <s v="Aditya"/>
    <m/>
  </r>
  <r>
    <s v="ORD0311"/>
    <x v="169"/>
    <s v="C007"/>
    <s v="Rohan Gupta"/>
    <s v="P014"/>
    <x v="19"/>
    <x v="2"/>
    <s v="Clothing"/>
    <x v="4"/>
    <s v="Chhattisgarh"/>
    <n v="3794.72"/>
    <n v="953.72"/>
    <n v="4"/>
    <n v="0.1"/>
    <s v="Cash on Delivery"/>
    <x v="0"/>
    <s v="Rohan Gupta"/>
    <x v="194"/>
    <n v="0.74867183876544252"/>
    <n v="2024"/>
    <s v="Aug"/>
    <s v="Q3"/>
    <s v="Low"/>
    <s v="Profit"/>
    <s v="No"/>
    <s v="ROHAN GUPTA"/>
    <s v="rohan gupta"/>
    <n v="11"/>
    <s v="ORD"/>
    <s v="0311"/>
    <s v="Rohan Gupta-Central"/>
    <s v="0311"/>
    <s v="Kavya"/>
    <s v="Kavya"/>
    <m/>
  </r>
  <r>
    <s v="ORD0467"/>
    <x v="170"/>
    <s v="C007"/>
    <s v="Rohan Gupta"/>
    <s v="P014"/>
    <x v="19"/>
    <x v="2"/>
    <s v="Clothing"/>
    <x v="2"/>
    <s v="Odisha"/>
    <n v="967.81"/>
    <n v="466.1"/>
    <n v="2"/>
    <n v="0.1"/>
    <s v="Credit Card"/>
    <x v="0"/>
    <s v="Rohan Gupta"/>
    <x v="195"/>
    <n v="0.51839720606317352"/>
    <n v="2025"/>
    <s v="Jun"/>
    <s v="Q2"/>
    <s v="Low"/>
    <s v="Profit"/>
    <s v="No"/>
    <s v="ROHAN GUPTA"/>
    <s v="rohan gupta"/>
    <n v="11"/>
    <s v="ORD"/>
    <s v="0467"/>
    <s v="Rohan Gupta-East"/>
    <s v="0467"/>
    <s v="Kavya"/>
    <s v="Kavya"/>
    <m/>
  </r>
  <r>
    <s v="ORD0397"/>
    <x v="171"/>
    <s v="C007"/>
    <s v="Rohan Gupta"/>
    <s v="P015"/>
    <x v="17"/>
    <x v="2"/>
    <s v="Clothing"/>
    <x v="0"/>
    <s v="Tamil Nadu"/>
    <n v="6177.2"/>
    <n v="2662.15"/>
    <n v="5"/>
    <n v="0"/>
    <s v="UPI"/>
    <x v="1"/>
    <s v="Rohan Gupta"/>
    <x v="196"/>
    <n v="0.56903613287573651"/>
    <n v="2025"/>
    <s v="Nov"/>
    <s v="Q4"/>
    <s v="Low"/>
    <s v="Profit"/>
    <s v="No"/>
    <s v="ROHAN GUPTA"/>
    <s v="rohan gupta"/>
    <n v="11"/>
    <s v="ORD"/>
    <s v="0397"/>
    <s v="Rohan Gupta-South"/>
    <s v="0397"/>
    <s v="Manish"/>
    <s v="Manish"/>
    <m/>
  </r>
  <r>
    <s v="ORD0779"/>
    <x v="172"/>
    <s v="C007"/>
    <s v="Rohan Gupta"/>
    <s v="P015"/>
    <x v="17"/>
    <x v="2"/>
    <s v="Clothing"/>
    <x v="0"/>
    <s v="Tamil Nadu"/>
    <n v="8348.8700000000008"/>
    <n v="2654.45"/>
    <n v="5"/>
    <n v="0.15"/>
    <s v="Cash on Delivery"/>
    <x v="0"/>
    <s v="Rohan Gupta"/>
    <x v="197"/>
    <n v="0.68205876962990208"/>
    <n v="2025"/>
    <s v="Oct"/>
    <s v="Q4"/>
    <s v="Low"/>
    <s v="Profit"/>
    <s v="No"/>
    <s v="ROHAN GUPTA"/>
    <s v="rohan gupta"/>
    <n v="11"/>
    <s v="ORD"/>
    <s v="0779"/>
    <s v="Rohan Gupta-South"/>
    <s v="0779"/>
    <s v="Manish"/>
    <s v="Manish"/>
    <m/>
  </r>
  <r>
    <s v="ORD0558"/>
    <x v="88"/>
    <s v="C007"/>
    <s v="Rohan Gupta"/>
    <s v="P016"/>
    <x v="8"/>
    <x v="3"/>
    <s v="Kitchen"/>
    <x v="4"/>
    <s v="Chhattisgarh"/>
    <n v="7127.94"/>
    <n v="7633.48"/>
    <n v="4"/>
    <n v="0.2"/>
    <s v="Net Banking"/>
    <x v="1"/>
    <s v="Rohan Gupta"/>
    <x v="198"/>
    <n v="-7.0923717090772373E-2"/>
    <n v="2024"/>
    <s v="Mar"/>
    <s v="Q1"/>
    <s v="Low"/>
    <s v="Loss"/>
    <s v="No"/>
    <s v="ROHAN GUPTA"/>
    <s v="rohan gupta"/>
    <n v="11"/>
    <s v="ORD"/>
    <s v="0558"/>
    <s v="Rohan Gupta-Central"/>
    <s v="0558"/>
    <s v="Rahul"/>
    <s v="Rahul"/>
    <m/>
  </r>
  <r>
    <s v="ORD0985"/>
    <x v="173"/>
    <s v="C007"/>
    <s v="Rohan Gupta"/>
    <s v="P016"/>
    <x v="8"/>
    <x v="3"/>
    <s v="Kitchen"/>
    <x v="3"/>
    <s v="Punjab"/>
    <n v="4610.6099999999997"/>
    <n v="1782.24"/>
    <n v="1"/>
    <n v="0.05"/>
    <s v="Credit Card"/>
    <x v="0"/>
    <s v="Rohan Gupta"/>
    <x v="199"/>
    <n v="0.61344811207193839"/>
    <n v="2025"/>
    <s v="May"/>
    <s v="Q2"/>
    <s v="Low"/>
    <s v="Profit"/>
    <s v="No"/>
    <s v="ROHAN GUPTA"/>
    <s v="rohan gupta"/>
    <n v="11"/>
    <s v="ORD"/>
    <s v="0985"/>
    <s v="Rohan Gupta-North"/>
    <s v="0985"/>
    <s v="Rahul"/>
    <s v="Rahul"/>
    <m/>
  </r>
  <r>
    <s v="ORD0260"/>
    <x v="105"/>
    <s v="C007"/>
    <s v="Rohan Gupta"/>
    <s v="P017"/>
    <x v="9"/>
    <x v="3"/>
    <s v="Kitchen"/>
    <x v="1"/>
    <s v="Gujarat"/>
    <n v="9259.18"/>
    <n v="6141.4"/>
    <n v="1"/>
    <n v="0.2"/>
    <s v="Net Banking"/>
    <x v="2"/>
    <s v="Rohan Gupta"/>
    <x v="200"/>
    <n v="0.33672312234992735"/>
    <n v="2025"/>
    <s v="Jan"/>
    <s v="Q1"/>
    <s v="Low"/>
    <s v="Profit"/>
    <s v="No"/>
    <s v="ROHAN GUPTA"/>
    <s v="rohan gupta"/>
    <n v="11"/>
    <s v="ORD"/>
    <s v="0260"/>
    <s v="Rohan Gupta-West"/>
    <s v="0260"/>
    <s v="Priya"/>
    <s v="Priya"/>
    <m/>
  </r>
  <r>
    <s v="ORD0354"/>
    <x v="174"/>
    <s v="C007"/>
    <s v="Rohan Gupta"/>
    <s v="P017"/>
    <x v="9"/>
    <x v="3"/>
    <s v="Kitchen"/>
    <x v="0"/>
    <s v="Karnataka"/>
    <n v="62652.87"/>
    <n v="31769.1"/>
    <n v="5"/>
    <n v="0.1"/>
    <s v="Net Banking"/>
    <x v="2"/>
    <s v="Rohan Gupta"/>
    <x v="201"/>
    <n v="0.49293464130214631"/>
    <n v="2025"/>
    <s v="Oct"/>
    <s v="Q4"/>
    <s v="High"/>
    <s v="Profit"/>
    <s v="Yes"/>
    <s v="ROHAN GUPTA"/>
    <s v="rohan gupta"/>
    <n v="11"/>
    <s v="ORD"/>
    <s v="0354"/>
    <s v="Rohan Gupta-South"/>
    <s v="0354"/>
    <s v="Priya"/>
    <s v="Priya"/>
    <m/>
  </r>
  <r>
    <s v="ORD0489"/>
    <x v="175"/>
    <s v="C007"/>
    <s v="Rohan Gupta"/>
    <s v="P017"/>
    <x v="9"/>
    <x v="3"/>
    <s v="Kitchen"/>
    <x v="4"/>
    <s v="Chhattisgarh"/>
    <n v="42286.86"/>
    <n v="25567.279999999999"/>
    <n v="4"/>
    <n v="0.05"/>
    <s v="Net Banking"/>
    <x v="0"/>
    <s v="Rohan Gupta"/>
    <x v="202"/>
    <n v="0.39538476018318697"/>
    <n v="2025"/>
    <s v="May"/>
    <s v="Q2"/>
    <s v="Medium"/>
    <s v="Profit"/>
    <s v="No"/>
    <s v="ROHAN GUPTA"/>
    <s v="rohan gupta"/>
    <n v="11"/>
    <s v="ORD"/>
    <s v="0489"/>
    <s v="Rohan Gupta-Central"/>
    <s v="0489"/>
    <s v="Priya"/>
    <s v="Priya"/>
    <m/>
  </r>
  <r>
    <s v="ORD0632"/>
    <x v="176"/>
    <s v="C007"/>
    <s v="Rohan Gupta"/>
    <s v="P018"/>
    <x v="10"/>
    <x v="3"/>
    <s v="Cooling"/>
    <x v="0"/>
    <s v="Telangana"/>
    <n v="34052.449999999997"/>
    <n v="15744.48"/>
    <n v="3"/>
    <n v="0.1"/>
    <s v="Cash on Delivery"/>
    <x v="0"/>
    <s v="Rohan Gupta"/>
    <x v="203"/>
    <n v="0.53764031662919998"/>
    <n v="2025"/>
    <s v="Jul"/>
    <s v="Q3"/>
    <s v="Medium"/>
    <s v="Profit"/>
    <s v="No"/>
    <s v="ROHAN GUPTA"/>
    <s v="rohan gupta"/>
    <n v="11"/>
    <s v="ORD"/>
    <s v="0632"/>
    <s v="Rohan Gupta-South"/>
    <s v="0632"/>
    <s v="Amit"/>
    <s v="Amit"/>
    <m/>
  </r>
  <r>
    <s v="ORD0623"/>
    <x v="177"/>
    <s v="C007"/>
    <s v="Rohan Gupta"/>
    <s v="P019"/>
    <x v="18"/>
    <x v="3"/>
    <s v="Cleaning"/>
    <x v="2"/>
    <s v="Odisha"/>
    <n v="14035.41"/>
    <n v="9589.0499999999993"/>
    <n v="3"/>
    <n v="0"/>
    <s v="Debit Card"/>
    <x v="3"/>
    <s v="Rohan Gupta"/>
    <x v="204"/>
    <n v="0.31679587557470718"/>
    <n v="2024"/>
    <s v="Dec"/>
    <s v="Q4"/>
    <s v="Low"/>
    <s v="Profit"/>
    <s v="No"/>
    <s v="ROHAN GUPTA"/>
    <s v="rohan gupta"/>
    <n v="11"/>
    <s v="ORD"/>
    <s v="0623"/>
    <s v="Rohan Gupta-East"/>
    <s v="0623"/>
    <s v="Neha"/>
    <s v="Neha"/>
    <m/>
  </r>
  <r>
    <s v="ORD0675"/>
    <x v="59"/>
    <s v="C007"/>
    <s v="Rohan Gupta"/>
    <s v="P020"/>
    <x v="11"/>
    <x v="3"/>
    <s v="Kitchen"/>
    <x v="2"/>
    <s v="Odisha"/>
    <n v="2895.76"/>
    <n v="2086.16"/>
    <n v="4"/>
    <n v="0"/>
    <s v="UPI"/>
    <x v="4"/>
    <s v="Rohan Gupta"/>
    <x v="205"/>
    <n v="0.27958118076083666"/>
    <n v="2024"/>
    <s v="Apr"/>
    <s v="Q2"/>
    <s v="Low"/>
    <s v="Profit"/>
    <s v="No"/>
    <s v="ROHAN GUPTA"/>
    <s v="rohan gupta"/>
    <n v="11"/>
    <s v="ORD"/>
    <s v="0675"/>
    <s v="Rohan Gupta-East"/>
    <s v="0675"/>
    <s v="Simran"/>
    <s v="Simran"/>
    <m/>
  </r>
  <r>
    <s v="ORD0060"/>
    <x v="178"/>
    <s v="C016"/>
    <s v="Ritika Das"/>
    <s v="P001"/>
    <x v="12"/>
    <x v="0"/>
    <s v="Computers"/>
    <x v="0"/>
    <s v="Telangana"/>
    <n v="219220.3"/>
    <n v="205572.4"/>
    <n v="4"/>
    <n v="0.15"/>
    <s v="Cash on Delivery"/>
    <x v="0"/>
    <s v="Ritika Das"/>
    <x v="206"/>
    <n v="6.2256551970780054E-2"/>
    <n v="2024"/>
    <s v="Nov"/>
    <s v="Q4"/>
    <s v="High"/>
    <s v="Profit"/>
    <s v="Yes"/>
    <s v="RITIKA DAS"/>
    <s v="ritika das"/>
    <n v="10"/>
    <s v="ORD"/>
    <s v="0060"/>
    <s v="Ritika Das-South"/>
    <s v="0060"/>
    <s v="Rahul"/>
    <s v="Rahul"/>
    <m/>
  </r>
  <r>
    <s v="ORD0439"/>
    <x v="179"/>
    <s v="C016"/>
    <s v="Ritika Das"/>
    <s v="P001"/>
    <x v="12"/>
    <x v="0"/>
    <s v="Computers"/>
    <x v="1"/>
    <s v="Rajasthan"/>
    <n v="268550.23"/>
    <n v="260894.8"/>
    <n v="5"/>
    <n v="0.15"/>
    <s v="Cash on Delivery"/>
    <x v="0"/>
    <s v="Ritika Das"/>
    <x v="207"/>
    <n v="2.8506510681446794E-2"/>
    <n v="2024"/>
    <s v="Feb"/>
    <s v="Q1"/>
    <s v="High"/>
    <s v="Profit"/>
    <s v="Yes"/>
    <s v="RITIKA DAS"/>
    <s v="ritika das"/>
    <n v="10"/>
    <s v="ORD"/>
    <s v="0439"/>
    <s v="Ritika Das-West"/>
    <s v="0439"/>
    <s v="Rahul"/>
    <s v="Rahul"/>
    <m/>
  </r>
  <r>
    <s v="ORD0638"/>
    <x v="44"/>
    <s v="C016"/>
    <s v="Ritika Das"/>
    <s v="P001"/>
    <x v="12"/>
    <x v="0"/>
    <s v="Computers"/>
    <x v="3"/>
    <s v="Uttar Pradesh"/>
    <n v="55997.14"/>
    <n v="46573.83"/>
    <n v="1"/>
    <n v="0.05"/>
    <s v="Debit Card"/>
    <x v="1"/>
    <s v="Ritika Das"/>
    <x v="208"/>
    <n v="0.16828198725863497"/>
    <n v="2025"/>
    <s v="May"/>
    <s v="Q2"/>
    <s v="High"/>
    <s v="Profit"/>
    <s v="No"/>
    <s v="RITIKA DAS"/>
    <s v="ritika das"/>
    <n v="10"/>
    <s v="ORD"/>
    <s v="0638"/>
    <s v="Ritika Das-North"/>
    <s v="0638"/>
    <s v="Rahul"/>
    <s v="Rahul"/>
    <m/>
  </r>
  <r>
    <s v="ORD0458"/>
    <x v="180"/>
    <s v="C016"/>
    <s v="Ritika Das"/>
    <s v="P002"/>
    <x v="0"/>
    <x v="0"/>
    <s v="Phones"/>
    <x v="0"/>
    <s v="Tamil Nadu"/>
    <n v="42764.02"/>
    <n v="34706.26"/>
    <n v="2"/>
    <n v="0"/>
    <s v="Credit Card"/>
    <x v="0"/>
    <s v="Ritika Das"/>
    <x v="209"/>
    <n v="0.18842381983733042"/>
    <n v="2025"/>
    <s v="Oct"/>
    <s v="Q4"/>
    <s v="Medium"/>
    <s v="Profit"/>
    <s v="No"/>
    <s v="RITIKA DAS"/>
    <s v="ritika das"/>
    <n v="10"/>
    <s v="ORD"/>
    <s v="0458"/>
    <s v="Ritika Das-South"/>
    <s v="0458"/>
    <s v="Priya"/>
    <s v="Priya"/>
    <m/>
  </r>
  <r>
    <s v="ORD0316"/>
    <x v="181"/>
    <s v="C016"/>
    <s v="Ritika Das"/>
    <s v="P003"/>
    <x v="1"/>
    <x v="0"/>
    <s v="Accessories"/>
    <x v="3"/>
    <s v="Punjab"/>
    <n v="8023.36"/>
    <n v="3614"/>
    <n v="2"/>
    <n v="0"/>
    <s v="Debit Card"/>
    <x v="0"/>
    <s v="Ritika Das"/>
    <x v="210"/>
    <n v="0.54956526941331307"/>
    <n v="2025"/>
    <s v="Aug"/>
    <s v="Q3"/>
    <s v="Low"/>
    <s v="Profit"/>
    <s v="No"/>
    <s v="RITIKA DAS"/>
    <s v="ritika das"/>
    <n v="10"/>
    <s v="ORD"/>
    <s v="0316"/>
    <s v="Ritika Das-North"/>
    <s v="0316"/>
    <s v="Amit"/>
    <s v="Amit"/>
    <m/>
  </r>
  <r>
    <s v="ORD0409"/>
    <x v="182"/>
    <s v="C016"/>
    <s v="Ritika Das"/>
    <s v="P003"/>
    <x v="1"/>
    <x v="0"/>
    <s v="Accessories"/>
    <x v="3"/>
    <s v="Punjab"/>
    <n v="13004.39"/>
    <n v="7392.24"/>
    <n v="4"/>
    <n v="0.15"/>
    <s v="Net Banking"/>
    <x v="0"/>
    <s v="Ritika Das"/>
    <x v="211"/>
    <n v="0.43155811229900054"/>
    <n v="2025"/>
    <s v="Sep"/>
    <s v="Q3"/>
    <s v="Low"/>
    <s v="Profit"/>
    <s v="No"/>
    <s v="RITIKA DAS"/>
    <s v="ritika das"/>
    <n v="10"/>
    <s v="ORD"/>
    <s v="0409"/>
    <s v="Ritika Das-North"/>
    <s v="0409"/>
    <s v="Amit"/>
    <s v="Amit"/>
    <m/>
  </r>
  <r>
    <s v="ORD0656"/>
    <x v="183"/>
    <s v="C016"/>
    <s v="Ritika Das"/>
    <s v="P003"/>
    <x v="1"/>
    <x v="0"/>
    <s v="Accessories"/>
    <x v="2"/>
    <s v="Odisha"/>
    <n v="17086.25"/>
    <n v="9536.6"/>
    <n v="5"/>
    <n v="0"/>
    <s v="Debit Card"/>
    <x v="0"/>
    <s v="Ritika Das"/>
    <x v="212"/>
    <n v="0.44185529299875631"/>
    <n v="2025"/>
    <s v="Oct"/>
    <s v="Q4"/>
    <s v="Low"/>
    <s v="Profit"/>
    <s v="No"/>
    <s v="RITIKA DAS"/>
    <s v="ritika das"/>
    <n v="10"/>
    <s v="ORD"/>
    <s v="0656"/>
    <s v="Ritika Das-East"/>
    <s v="0656"/>
    <s v="Amit"/>
    <s v="Amit"/>
    <m/>
  </r>
  <r>
    <s v="ORD0066"/>
    <x v="184"/>
    <s v="C016"/>
    <s v="Ritika Das"/>
    <s v="P004"/>
    <x v="13"/>
    <x v="0"/>
    <s v="Wearables"/>
    <x v="2"/>
    <s v="West Bengal"/>
    <n v="29204.18"/>
    <n v="12478.72"/>
    <n v="4"/>
    <n v="0.05"/>
    <s v="Cash on Delivery"/>
    <x v="0"/>
    <s v="Ritika Das"/>
    <x v="213"/>
    <n v="0.57270774252178969"/>
    <n v="2024"/>
    <s v="Aug"/>
    <s v="Q3"/>
    <s v="Medium"/>
    <s v="Profit"/>
    <s v="No"/>
    <s v="RITIKA DAS"/>
    <s v="ritika das"/>
    <n v="10"/>
    <s v="ORD"/>
    <s v="0066"/>
    <s v="Ritika Das-East"/>
    <s v="0066"/>
    <s v="Neha"/>
    <s v="Neha"/>
    <m/>
  </r>
  <r>
    <s v="ORD0120"/>
    <x v="185"/>
    <s v="C016"/>
    <s v="Ritika Das"/>
    <s v="P004"/>
    <x v="13"/>
    <x v="0"/>
    <s v="Wearables"/>
    <x v="3"/>
    <s v="Uttar Pradesh"/>
    <n v="23674.2"/>
    <n v="13907"/>
    <n v="5"/>
    <n v="0.2"/>
    <s v="Net Banking"/>
    <x v="0"/>
    <s v="Ritika Das"/>
    <x v="214"/>
    <n v="0.41256726732054305"/>
    <n v="2024"/>
    <s v="Aug"/>
    <s v="Q3"/>
    <s v="Medium"/>
    <s v="Profit"/>
    <s v="No"/>
    <s v="RITIKA DAS"/>
    <s v="ritika das"/>
    <n v="10"/>
    <s v="ORD"/>
    <s v="0120"/>
    <s v="Ritika Das-North"/>
    <s v="0120"/>
    <s v="Neha"/>
    <s v="Neha"/>
    <m/>
  </r>
  <r>
    <s v="ORD0388"/>
    <x v="186"/>
    <s v="C016"/>
    <s v="Ritika Das"/>
    <s v="P004"/>
    <x v="13"/>
    <x v="0"/>
    <s v="Wearables"/>
    <x v="4"/>
    <s v="Chhattisgarh"/>
    <n v="13598.28"/>
    <n v="5760.58"/>
    <n v="2"/>
    <n v="0.1"/>
    <s v="Debit Card"/>
    <x v="3"/>
    <s v="Ritika Das"/>
    <x v="215"/>
    <n v="0.5763743649932197"/>
    <n v="2024"/>
    <s v="Aug"/>
    <s v="Q3"/>
    <s v="Low"/>
    <s v="Profit"/>
    <s v="No"/>
    <s v="RITIKA DAS"/>
    <s v="ritika das"/>
    <n v="10"/>
    <s v="ORD"/>
    <s v="0388"/>
    <s v="Ritika Das-Central"/>
    <s v="0388"/>
    <s v="Neha"/>
    <s v="Neha"/>
    <m/>
  </r>
  <r>
    <s v="ORD0508"/>
    <x v="187"/>
    <s v="C016"/>
    <s v="Ritika Das"/>
    <s v="P004"/>
    <x v="13"/>
    <x v="0"/>
    <s v="Wearables"/>
    <x v="0"/>
    <s v="Tamil Nadu"/>
    <n v="34075.660000000003"/>
    <n v="12320.8"/>
    <n v="4"/>
    <n v="0.05"/>
    <s v="Debit Card"/>
    <x v="3"/>
    <s v="Ritika Das"/>
    <x v="216"/>
    <n v="0.63842813316015012"/>
    <n v="2024"/>
    <s v="Mar"/>
    <s v="Q1"/>
    <s v="Medium"/>
    <s v="Profit"/>
    <s v="No"/>
    <s v="RITIKA DAS"/>
    <s v="ritika das"/>
    <n v="10"/>
    <s v="ORD"/>
    <s v="0508"/>
    <s v="Ritika Das-South"/>
    <s v="0508"/>
    <s v="Neha"/>
    <s v="Neha"/>
    <m/>
  </r>
  <r>
    <s v="ORD0748"/>
    <x v="110"/>
    <s v="C016"/>
    <s v="Ritika Das"/>
    <s v="P004"/>
    <x v="13"/>
    <x v="0"/>
    <s v="Wearables"/>
    <x v="0"/>
    <s v="Tamil Nadu"/>
    <n v="3417.94"/>
    <n v="2880.99"/>
    <n v="1"/>
    <n v="0"/>
    <s v="UPI"/>
    <x v="0"/>
    <s v="Ritika Das"/>
    <x v="217"/>
    <n v="0.15709754998624911"/>
    <n v="2024"/>
    <s v="Feb"/>
    <s v="Q1"/>
    <s v="Low"/>
    <s v="Profit"/>
    <s v="No"/>
    <s v="RITIKA DAS"/>
    <s v="ritika das"/>
    <n v="10"/>
    <s v="ORD"/>
    <s v="0748"/>
    <s v="Ritika Das-South"/>
    <s v="0748"/>
    <s v="Neha"/>
    <s v="Neha"/>
    <m/>
  </r>
  <r>
    <s v="ORD0755"/>
    <x v="188"/>
    <s v="C016"/>
    <s v="Ritika Das"/>
    <s v="P004"/>
    <x v="13"/>
    <x v="0"/>
    <s v="Wearables"/>
    <x v="1"/>
    <s v="Maharashtra"/>
    <n v="17407.05"/>
    <n v="12240.92"/>
    <n v="4"/>
    <n v="0.15"/>
    <s v="Credit Card"/>
    <x v="3"/>
    <s v="Ritika Das"/>
    <x v="218"/>
    <n v="0.29678377439026138"/>
    <n v="2024"/>
    <s v="Oct"/>
    <s v="Q4"/>
    <s v="Low"/>
    <s v="Profit"/>
    <s v="No"/>
    <s v="RITIKA DAS"/>
    <s v="ritika das"/>
    <n v="10"/>
    <s v="ORD"/>
    <s v="0755"/>
    <s v="Ritika Das-West"/>
    <s v="0755"/>
    <s v="Neha"/>
    <s v="Neha"/>
    <m/>
  </r>
  <r>
    <s v="ORD0813"/>
    <x v="189"/>
    <s v="C016"/>
    <s v="Ritika Das"/>
    <s v="P004"/>
    <x v="13"/>
    <x v="0"/>
    <s v="Wearables"/>
    <x v="4"/>
    <s v="Chhattisgarh"/>
    <n v="4058.15"/>
    <n v="2909.76"/>
    <n v="1"/>
    <n v="0.1"/>
    <s v="Credit Card"/>
    <x v="0"/>
    <s v="Ritika Das"/>
    <x v="219"/>
    <n v="0.28298362554365902"/>
    <n v="2024"/>
    <s v="May"/>
    <s v="Q2"/>
    <s v="Low"/>
    <s v="Profit"/>
    <s v="No"/>
    <s v="RITIKA DAS"/>
    <s v="ritika das"/>
    <n v="10"/>
    <s v="ORD"/>
    <s v="0813"/>
    <s v="Ritika Das-Central"/>
    <s v="0813"/>
    <s v="Neha"/>
    <s v="Neha"/>
    <m/>
  </r>
  <r>
    <s v="ORD0403"/>
    <x v="146"/>
    <s v="C016"/>
    <s v="Ritika Das"/>
    <s v="P005"/>
    <x v="14"/>
    <x v="0"/>
    <s v="Computers"/>
    <x v="2"/>
    <s v="Bihar"/>
    <n v="46119.6"/>
    <n v="42103.35"/>
    <n v="5"/>
    <n v="0.1"/>
    <s v="UPI"/>
    <x v="0"/>
    <s v="Ritika Das"/>
    <x v="220"/>
    <n v="8.7083365857466247E-2"/>
    <n v="2024"/>
    <s v="Sep"/>
    <s v="Q3"/>
    <s v="Medium"/>
    <s v="Profit"/>
    <s v="No"/>
    <s v="RITIKA DAS"/>
    <s v="ritika das"/>
    <n v="10"/>
    <s v="ORD"/>
    <s v="0403"/>
    <s v="Ritika Das-East"/>
    <s v="0403"/>
    <s v="Simran"/>
    <s v="Simran"/>
    <m/>
  </r>
  <r>
    <s v="ORD0430"/>
    <x v="190"/>
    <s v="C016"/>
    <s v="Ritika Das"/>
    <s v="P006"/>
    <x v="2"/>
    <x v="1"/>
    <s v="Chairs"/>
    <x v="3"/>
    <s v="Uttar Pradesh"/>
    <n v="32466.18"/>
    <n v="12800.4"/>
    <n v="3"/>
    <n v="0"/>
    <s v="Cash on Delivery"/>
    <x v="0"/>
    <s v="Ritika Das"/>
    <x v="221"/>
    <n v="0.60573125634121416"/>
    <n v="2025"/>
    <s v="May"/>
    <s v="Q2"/>
    <s v="Medium"/>
    <s v="Profit"/>
    <s v="No"/>
    <s v="RITIKA DAS"/>
    <s v="ritika das"/>
    <n v="10"/>
    <s v="ORD"/>
    <s v="0430"/>
    <s v="Ritika Das-North"/>
    <s v="0430"/>
    <s v="Karan"/>
    <s v="Karan"/>
    <m/>
  </r>
  <r>
    <s v="ORD0484"/>
    <x v="191"/>
    <s v="C016"/>
    <s v="Ritika Das"/>
    <s v="P007"/>
    <x v="3"/>
    <x v="1"/>
    <s v="Tables"/>
    <x v="2"/>
    <s v="West Bengal"/>
    <n v="26490.720000000001"/>
    <n v="25325.68"/>
    <n v="4"/>
    <n v="0.2"/>
    <s v="Cash on Delivery"/>
    <x v="0"/>
    <s v="Ritika Das"/>
    <x v="222"/>
    <n v="4.3979174593971049E-2"/>
    <n v="2024"/>
    <s v="Jun"/>
    <s v="Q2"/>
    <s v="Medium"/>
    <s v="Profit"/>
    <s v="No"/>
    <s v="RITIKA DAS"/>
    <s v="ritika das"/>
    <n v="10"/>
    <s v="ORD"/>
    <s v="0484"/>
    <s v="Ritika Das-East"/>
    <s v="0484"/>
    <s v="Rohan"/>
    <s v="Rohan"/>
    <m/>
  </r>
  <r>
    <s v="ORD0061"/>
    <x v="152"/>
    <s v="C016"/>
    <s v="Ritika Das"/>
    <s v="P008"/>
    <x v="4"/>
    <x v="1"/>
    <s v="Storage"/>
    <x v="0"/>
    <s v="Tamil Nadu"/>
    <n v="21540.5"/>
    <n v="14492.88"/>
    <n v="4"/>
    <n v="0.15"/>
    <s v="Credit Card"/>
    <x v="2"/>
    <s v="Ritika Das"/>
    <x v="223"/>
    <n v="0.32717996332489963"/>
    <n v="2025"/>
    <s v="Mar"/>
    <s v="Q1"/>
    <s v="Medium"/>
    <s v="Profit"/>
    <s v="No"/>
    <s v="RITIKA DAS"/>
    <s v="ritika das"/>
    <n v="10"/>
    <s v="ORD"/>
    <s v="0061"/>
    <s v="Ritika Das-South"/>
    <s v="0061"/>
    <s v="Anjali"/>
    <s v="Anjali"/>
    <m/>
  </r>
  <r>
    <s v="ORD0737"/>
    <x v="192"/>
    <s v="C016"/>
    <s v="Ritika Das"/>
    <s v="P008"/>
    <x v="4"/>
    <x v="1"/>
    <s v="Storage"/>
    <x v="3"/>
    <s v="Delhi"/>
    <n v="23610.84"/>
    <n v="11983.32"/>
    <n v="3"/>
    <n v="0.2"/>
    <s v="Debit Card"/>
    <x v="2"/>
    <s v="Ritika Das"/>
    <x v="224"/>
    <n v="0.49246532524891112"/>
    <n v="2024"/>
    <s v="May"/>
    <s v="Q2"/>
    <s v="Medium"/>
    <s v="Profit"/>
    <s v="No"/>
    <s v="RITIKA DAS"/>
    <s v="ritika das"/>
    <n v="10"/>
    <s v="ORD"/>
    <s v="0737"/>
    <s v="Ritika Das-North"/>
    <s v="0737"/>
    <s v="Anjali"/>
    <s v="Anjali"/>
    <m/>
  </r>
  <r>
    <s v="ORD0844"/>
    <x v="193"/>
    <s v="C016"/>
    <s v="Ritika Das"/>
    <s v="P009"/>
    <x v="5"/>
    <x v="1"/>
    <s v="Seating"/>
    <x v="0"/>
    <s v="Telangana"/>
    <n v="24474.73"/>
    <n v="16864.3"/>
    <n v="1"/>
    <n v="0.05"/>
    <s v="Cash on Delivery"/>
    <x v="0"/>
    <s v="Ritika Das"/>
    <x v="225"/>
    <n v="0.31095051916813793"/>
    <n v="2024"/>
    <s v="Dec"/>
    <s v="Q4"/>
    <s v="Medium"/>
    <s v="Profit"/>
    <s v="No"/>
    <s v="RITIKA DAS"/>
    <s v="ritika das"/>
    <n v="10"/>
    <s v="ORD"/>
    <s v="0844"/>
    <s v="Ritika Das-South"/>
    <s v="0844"/>
    <s v="Arjun"/>
    <s v="Arjun"/>
    <m/>
  </r>
  <r>
    <s v="ORD0204"/>
    <x v="194"/>
    <s v="C016"/>
    <s v="Ritika Das"/>
    <s v="P010"/>
    <x v="6"/>
    <x v="1"/>
    <s v="Bedroom"/>
    <x v="1"/>
    <s v="Gujarat"/>
    <n v="27718.27"/>
    <n v="19602.84"/>
    <n v="1"/>
    <n v="0.05"/>
    <s v="Credit Card"/>
    <x v="1"/>
    <s v="Ritika Das"/>
    <x v="226"/>
    <n v="0.29278270252797162"/>
    <n v="2024"/>
    <s v="Jan"/>
    <s v="Q1"/>
    <s v="Medium"/>
    <s v="Profit"/>
    <s v="No"/>
    <s v="RITIKA DAS"/>
    <s v="ritika das"/>
    <n v="10"/>
    <s v="ORD"/>
    <s v="0204"/>
    <s v="Ritika Das-West"/>
    <s v="0204"/>
    <s v="Sneha"/>
    <s v="Sneha"/>
    <m/>
  </r>
  <r>
    <s v="ORD0380"/>
    <x v="85"/>
    <s v="C016"/>
    <s v="Ritika Das"/>
    <s v="P010"/>
    <x v="6"/>
    <x v="1"/>
    <s v="Bedroom"/>
    <x v="3"/>
    <s v="Uttar Pradesh"/>
    <n v="28979.3"/>
    <n v="18007.57"/>
    <n v="1"/>
    <n v="0.2"/>
    <s v="Cash on Delivery"/>
    <x v="0"/>
    <s v="Ritika Das"/>
    <x v="227"/>
    <n v="0.3786057634242373"/>
    <n v="2025"/>
    <s v="Feb"/>
    <s v="Q1"/>
    <s v="Medium"/>
    <s v="Profit"/>
    <s v="No"/>
    <s v="RITIKA DAS"/>
    <s v="ritika das"/>
    <n v="10"/>
    <s v="ORD"/>
    <s v="0380"/>
    <s v="Ritika Das-North"/>
    <s v="0380"/>
    <s v="Sneha"/>
    <s v="Sneha"/>
    <m/>
  </r>
  <r>
    <s v="ORD0842"/>
    <x v="195"/>
    <s v="C016"/>
    <s v="Ritika Das"/>
    <s v="P010"/>
    <x v="6"/>
    <x v="1"/>
    <s v="Bedroom"/>
    <x v="0"/>
    <s v="Karnataka"/>
    <n v="92175.53"/>
    <n v="81846.899999999994"/>
    <n v="5"/>
    <n v="0.1"/>
    <s v="Debit Card"/>
    <x v="0"/>
    <s v="Ritika Das"/>
    <x v="228"/>
    <n v="0.11205392580872607"/>
    <n v="2024"/>
    <s v="Aug"/>
    <s v="Q3"/>
    <s v="High"/>
    <s v="Profit"/>
    <s v="Yes"/>
    <s v="RITIKA DAS"/>
    <s v="ritika das"/>
    <n v="10"/>
    <s v="ORD"/>
    <s v="0842"/>
    <s v="Ritika Das-South"/>
    <s v="0842"/>
    <s v="Sneha"/>
    <s v="Sneha"/>
    <m/>
  </r>
  <r>
    <s v="ORD0510"/>
    <x v="184"/>
    <s v="C016"/>
    <s v="Ritika Das"/>
    <s v="P011"/>
    <x v="15"/>
    <x v="2"/>
    <s v="Footwear"/>
    <x v="0"/>
    <s v="Telangana"/>
    <n v="22831.63"/>
    <n v="5722.9"/>
    <n v="5"/>
    <n v="0.05"/>
    <s v="Net Banking"/>
    <x v="0"/>
    <s v="Ritika Das"/>
    <x v="229"/>
    <n v="0.74934334517509271"/>
    <n v="2024"/>
    <s v="Aug"/>
    <s v="Q3"/>
    <s v="Medium"/>
    <s v="Profit"/>
    <s v="No"/>
    <s v="RITIKA DAS"/>
    <s v="ritika das"/>
    <n v="10"/>
    <s v="ORD"/>
    <s v="0510"/>
    <s v="Ritika Das-South"/>
    <s v="0510"/>
    <s v="Vikas"/>
    <s v="Vikas"/>
    <m/>
  </r>
  <r>
    <s v="ORD0892"/>
    <x v="196"/>
    <s v="C016"/>
    <s v="Ritika Das"/>
    <s v="P012"/>
    <x v="7"/>
    <x v="2"/>
    <s v="Clothing"/>
    <x v="3"/>
    <s v="Delhi"/>
    <n v="11868.35"/>
    <n v="3891.24"/>
    <n v="4"/>
    <n v="0.05"/>
    <s v="UPI"/>
    <x v="0"/>
    <s v="Ritika Das"/>
    <x v="230"/>
    <n v="0.67213302607354863"/>
    <n v="2024"/>
    <s v="Oct"/>
    <s v="Q4"/>
    <s v="Low"/>
    <s v="Profit"/>
    <s v="No"/>
    <s v="RITIKA DAS"/>
    <s v="ritika das"/>
    <n v="10"/>
    <s v="ORD"/>
    <s v="0892"/>
    <s v="Ritika Das-North"/>
    <s v="0892"/>
    <s v="Pooja"/>
    <s v="Pooja"/>
    <m/>
  </r>
  <r>
    <s v="ORD0897"/>
    <x v="110"/>
    <s v="C016"/>
    <s v="Ritika Das"/>
    <s v="P012"/>
    <x v="7"/>
    <x v="2"/>
    <s v="Clothing"/>
    <x v="1"/>
    <s v="Rajasthan"/>
    <n v="6009.33"/>
    <n v="1636.9"/>
    <n v="2"/>
    <n v="0.2"/>
    <s v="Net Banking"/>
    <x v="1"/>
    <s v="Ritika Das"/>
    <x v="231"/>
    <n v="0.72760690459668553"/>
    <n v="2024"/>
    <s v="Feb"/>
    <s v="Q1"/>
    <s v="Low"/>
    <s v="Profit"/>
    <s v="No"/>
    <s v="RITIKA DAS"/>
    <s v="ritika das"/>
    <n v="10"/>
    <s v="ORD"/>
    <s v="0897"/>
    <s v="Ritika Das-West"/>
    <s v="0897"/>
    <s v="Pooja"/>
    <s v="Pooja"/>
    <m/>
  </r>
  <r>
    <s v="ORD0053"/>
    <x v="189"/>
    <s v="C016"/>
    <s v="Ritika Das"/>
    <s v="P013"/>
    <x v="16"/>
    <x v="2"/>
    <s v="Bags"/>
    <x v="0"/>
    <s v="Karnataka"/>
    <n v="2692.97"/>
    <n v="754.97"/>
    <n v="1"/>
    <n v="0"/>
    <s v="Net Banking"/>
    <x v="0"/>
    <s v="Ritika Das"/>
    <x v="232"/>
    <n v="0.7196515371504324"/>
    <n v="2024"/>
    <s v="May"/>
    <s v="Q2"/>
    <s v="Low"/>
    <s v="Profit"/>
    <s v="No"/>
    <s v="RITIKA DAS"/>
    <s v="ritika das"/>
    <n v="10"/>
    <s v="ORD"/>
    <s v="0053"/>
    <s v="Ritika Das-South"/>
    <s v="0053"/>
    <s v="Aditya"/>
    <s v="Aditya"/>
    <m/>
  </r>
  <r>
    <s v="ORD0323"/>
    <x v="197"/>
    <s v="C016"/>
    <s v="Ritika Das"/>
    <s v="P013"/>
    <x v="16"/>
    <x v="2"/>
    <s v="Bags"/>
    <x v="3"/>
    <s v="Uttar Pradesh"/>
    <n v="3824.92"/>
    <n v="2877.32"/>
    <n v="4"/>
    <n v="0"/>
    <s v="Debit Card"/>
    <x v="1"/>
    <s v="Ritika Das"/>
    <x v="233"/>
    <n v="0.2477437436599981"/>
    <n v="2024"/>
    <s v="Sep"/>
    <s v="Q3"/>
    <s v="Low"/>
    <s v="Profit"/>
    <s v="No"/>
    <s v="RITIKA DAS"/>
    <s v="ritika das"/>
    <n v="10"/>
    <s v="ORD"/>
    <s v="0323"/>
    <s v="Ritika Das-North"/>
    <s v="0323"/>
    <s v="Aditya"/>
    <s v="Aditya"/>
    <m/>
  </r>
  <r>
    <s v="ORD0575"/>
    <x v="198"/>
    <s v="C016"/>
    <s v="Ritika Das"/>
    <s v="P013"/>
    <x v="16"/>
    <x v="2"/>
    <s v="Bags"/>
    <x v="2"/>
    <s v="Odisha"/>
    <n v="4789.71"/>
    <n v="1417.12"/>
    <n v="2"/>
    <n v="0.2"/>
    <s v="Credit Card"/>
    <x v="0"/>
    <s v="Ritika Das"/>
    <x v="234"/>
    <n v="0.70413240050023906"/>
    <n v="2025"/>
    <s v="Aug"/>
    <s v="Q3"/>
    <s v="Low"/>
    <s v="Profit"/>
    <s v="No"/>
    <s v="RITIKA DAS"/>
    <s v="ritika das"/>
    <n v="10"/>
    <s v="ORD"/>
    <s v="0575"/>
    <s v="Ritika Das-East"/>
    <s v="0575"/>
    <s v="Aditya"/>
    <s v="Aditya"/>
    <m/>
  </r>
  <r>
    <s v="ORD0682"/>
    <x v="199"/>
    <s v="C016"/>
    <s v="Ritika Das"/>
    <s v="P013"/>
    <x v="16"/>
    <x v="2"/>
    <s v="Bags"/>
    <x v="3"/>
    <s v="Uttar Pradesh"/>
    <n v="7453.4"/>
    <n v="2099.88"/>
    <n v="3"/>
    <n v="0.15"/>
    <s v="UPI"/>
    <x v="0"/>
    <s v="Ritika Das"/>
    <x v="235"/>
    <n v="0.7182654895752274"/>
    <n v="2025"/>
    <s v="Jul"/>
    <s v="Q3"/>
    <s v="Low"/>
    <s v="Profit"/>
    <s v="No"/>
    <s v="RITIKA DAS"/>
    <s v="ritika das"/>
    <n v="10"/>
    <s v="ORD"/>
    <s v="0682"/>
    <s v="Ritika Das-North"/>
    <s v="0682"/>
    <s v="Aditya"/>
    <s v="Aditya"/>
    <m/>
  </r>
  <r>
    <s v="ORD0657"/>
    <x v="120"/>
    <s v="C016"/>
    <s v="Ritika Das"/>
    <s v="P015"/>
    <x v="17"/>
    <x v="2"/>
    <s v="Clothing"/>
    <x v="1"/>
    <s v="Rajasthan"/>
    <n v="5731.34"/>
    <n v="2616.9"/>
    <n v="5"/>
    <n v="0.1"/>
    <s v="Debit Card"/>
    <x v="0"/>
    <s v="Ritika Das"/>
    <x v="236"/>
    <n v="0.54340520715923324"/>
    <n v="2025"/>
    <s v="Apr"/>
    <s v="Q2"/>
    <s v="Low"/>
    <s v="Profit"/>
    <s v="No"/>
    <s v="RITIKA DAS"/>
    <s v="ritika das"/>
    <n v="10"/>
    <s v="ORD"/>
    <s v="0657"/>
    <s v="Ritika Das-West"/>
    <s v="0657"/>
    <s v="Manish"/>
    <s v="Manish"/>
    <m/>
  </r>
  <r>
    <s v="ORD0951"/>
    <x v="200"/>
    <s v="C016"/>
    <s v="Ritika Das"/>
    <s v="P015"/>
    <x v="17"/>
    <x v="2"/>
    <s v="Clothing"/>
    <x v="3"/>
    <s v="Uttar Pradesh"/>
    <n v="7402.35"/>
    <n v="2578.5"/>
    <n v="5"/>
    <n v="0.15"/>
    <s v="Credit Card"/>
    <x v="2"/>
    <s v="Ritika Das"/>
    <x v="237"/>
    <n v="0.65166467405621187"/>
    <n v="2024"/>
    <s v="Mar"/>
    <s v="Q1"/>
    <s v="Low"/>
    <s v="Profit"/>
    <s v="No"/>
    <s v="RITIKA DAS"/>
    <s v="ritika das"/>
    <n v="10"/>
    <s v="ORD"/>
    <s v="0951"/>
    <s v="Ritika Das-North"/>
    <s v="0951"/>
    <s v="Manish"/>
    <s v="Manish"/>
    <m/>
  </r>
  <r>
    <s v="ORD0595"/>
    <x v="201"/>
    <s v="C016"/>
    <s v="Ritika Das"/>
    <s v="P016"/>
    <x v="8"/>
    <x v="3"/>
    <s v="Kitchen"/>
    <x v="3"/>
    <s v="Punjab"/>
    <n v="6879.04"/>
    <n v="3402.92"/>
    <n v="2"/>
    <n v="0"/>
    <s v="Debit Card"/>
    <x v="3"/>
    <s v="Ritika Das"/>
    <x v="238"/>
    <n v="0.50532050983858212"/>
    <n v="2024"/>
    <s v="Jun"/>
    <s v="Q2"/>
    <s v="Low"/>
    <s v="Profit"/>
    <s v="No"/>
    <s v="RITIKA DAS"/>
    <s v="ritika das"/>
    <n v="10"/>
    <s v="ORD"/>
    <s v="0595"/>
    <s v="Ritika Das-North"/>
    <s v="0595"/>
    <s v="Rahul"/>
    <s v="Rahul"/>
    <m/>
  </r>
  <r>
    <s v="ORD0761"/>
    <x v="202"/>
    <s v="C016"/>
    <s v="Ritika Das"/>
    <s v="P016"/>
    <x v="8"/>
    <x v="3"/>
    <s v="Kitchen"/>
    <x v="0"/>
    <s v="Karnataka"/>
    <n v="9172.98"/>
    <n v="3261.4"/>
    <n v="2"/>
    <n v="0"/>
    <s v="Net Banking"/>
    <x v="0"/>
    <s v="Ritika Das"/>
    <x v="239"/>
    <n v="0.64445578209044396"/>
    <n v="2025"/>
    <s v="Oct"/>
    <s v="Q4"/>
    <s v="Low"/>
    <s v="Profit"/>
    <s v="No"/>
    <s v="RITIKA DAS"/>
    <s v="ritika das"/>
    <n v="10"/>
    <s v="ORD"/>
    <s v="0761"/>
    <s v="Ritika Das-South"/>
    <s v="0761"/>
    <s v="Rahul"/>
    <s v="Rahul"/>
    <m/>
  </r>
  <r>
    <s v="ORD0834"/>
    <x v="36"/>
    <s v="C016"/>
    <s v="Ritika Das"/>
    <s v="P016"/>
    <x v="8"/>
    <x v="3"/>
    <s v="Kitchen"/>
    <x v="3"/>
    <s v="Delhi"/>
    <n v="12933.56"/>
    <n v="8536.75"/>
    <n v="5"/>
    <n v="0.15"/>
    <s v="UPI"/>
    <x v="1"/>
    <s v="Ritika Das"/>
    <x v="240"/>
    <n v="0.33995357813316673"/>
    <n v="2025"/>
    <s v="Apr"/>
    <s v="Q2"/>
    <s v="Low"/>
    <s v="Profit"/>
    <s v="No"/>
    <s v="RITIKA DAS"/>
    <s v="ritika das"/>
    <n v="10"/>
    <s v="ORD"/>
    <s v="0834"/>
    <s v="Ritika Das-North"/>
    <s v="0834"/>
    <s v="Rahul"/>
    <s v="Rahul"/>
    <m/>
  </r>
  <r>
    <s v="ORD0988"/>
    <x v="203"/>
    <s v="C016"/>
    <s v="Ritika Das"/>
    <s v="P016"/>
    <x v="8"/>
    <x v="3"/>
    <s v="Kitchen"/>
    <x v="2"/>
    <s v="Odisha"/>
    <n v="4635.2700000000004"/>
    <n v="1641.98"/>
    <n v="1"/>
    <n v="0"/>
    <s v="Cash on Delivery"/>
    <x v="0"/>
    <s v="Ritika Das"/>
    <x v="241"/>
    <n v="0.64576389293396075"/>
    <n v="2024"/>
    <s v="Apr"/>
    <s v="Q2"/>
    <s v="Low"/>
    <s v="Profit"/>
    <s v="No"/>
    <s v="RITIKA DAS"/>
    <s v="ritika das"/>
    <n v="10"/>
    <s v="ORD"/>
    <s v="0988"/>
    <s v="Ritika Das-East"/>
    <s v="0988"/>
    <s v="Rahul"/>
    <s v="Rahul"/>
    <m/>
  </r>
  <r>
    <s v="ORD0627"/>
    <x v="204"/>
    <s v="C016"/>
    <s v="Ritika Das"/>
    <s v="P017"/>
    <x v="9"/>
    <x v="3"/>
    <s v="Kitchen"/>
    <x v="3"/>
    <s v="Punjab"/>
    <n v="28925.21"/>
    <n v="19525.080000000002"/>
    <n v="3"/>
    <n v="0.2"/>
    <s v="Debit Card"/>
    <x v="1"/>
    <s v="Ritika Das"/>
    <x v="242"/>
    <n v="0.32498052736695765"/>
    <n v="2024"/>
    <s v="Jul"/>
    <s v="Q3"/>
    <s v="Medium"/>
    <s v="Profit"/>
    <s v="No"/>
    <s v="RITIKA DAS"/>
    <s v="ritika das"/>
    <n v="10"/>
    <s v="ORD"/>
    <s v="0627"/>
    <s v="Ritika Das-North"/>
    <s v="0627"/>
    <s v="Priya"/>
    <s v="Priya"/>
    <m/>
  </r>
  <r>
    <s v="ORD0706"/>
    <x v="11"/>
    <s v="C016"/>
    <s v="Ritika Das"/>
    <s v="P017"/>
    <x v="9"/>
    <x v="3"/>
    <s v="Kitchen"/>
    <x v="3"/>
    <s v="Delhi"/>
    <n v="63073.7"/>
    <n v="29365.9"/>
    <n v="5"/>
    <n v="0"/>
    <s v="Net Banking"/>
    <x v="2"/>
    <s v="Ritika Das"/>
    <x v="243"/>
    <n v="0.53441925874017215"/>
    <n v="2025"/>
    <s v="Mar"/>
    <s v="Q1"/>
    <s v="High"/>
    <s v="Profit"/>
    <s v="Yes"/>
    <s v="RITIKA DAS"/>
    <s v="ritika das"/>
    <n v="10"/>
    <s v="ORD"/>
    <s v="0706"/>
    <s v="Ritika Das-North"/>
    <s v="0706"/>
    <s v="Priya"/>
    <s v="Priya"/>
    <m/>
  </r>
  <r>
    <s v="ORD0733"/>
    <x v="22"/>
    <s v="C016"/>
    <s v="Ritika Das"/>
    <s v="P017"/>
    <x v="9"/>
    <x v="3"/>
    <s v="Kitchen"/>
    <x v="0"/>
    <s v="Telangana"/>
    <n v="31296.58"/>
    <n v="31536.7"/>
    <n v="5"/>
    <n v="0.15"/>
    <s v="Debit Card"/>
    <x v="3"/>
    <s v="Ritika Das"/>
    <x v="244"/>
    <n v="-7.6724038217594057E-3"/>
    <n v="2024"/>
    <s v="Mar"/>
    <s v="Q1"/>
    <s v="Medium"/>
    <s v="Loss"/>
    <s v="No"/>
    <s v="RITIKA DAS"/>
    <s v="ritika das"/>
    <n v="10"/>
    <s v="ORD"/>
    <s v="0733"/>
    <s v="Ritika Das-South"/>
    <s v="0733"/>
    <s v="Priya"/>
    <s v="Priya"/>
    <m/>
  </r>
  <r>
    <s v="ORD0199"/>
    <x v="116"/>
    <s v="C016"/>
    <s v="Ritika Das"/>
    <s v="P018"/>
    <x v="10"/>
    <x v="3"/>
    <s v="Cooling"/>
    <x v="0"/>
    <s v="Tamil Nadu"/>
    <n v="29743.38"/>
    <n v="16443.72"/>
    <n v="3"/>
    <n v="0.15"/>
    <s v="Debit Card"/>
    <x v="2"/>
    <s v="Ritika Das"/>
    <x v="245"/>
    <n v="0.44714689453585971"/>
    <n v="2025"/>
    <s v="Oct"/>
    <s v="Q4"/>
    <s v="Medium"/>
    <s v="Profit"/>
    <s v="No"/>
    <s v="RITIKA DAS"/>
    <s v="ritika das"/>
    <n v="10"/>
    <s v="ORD"/>
    <s v="0199"/>
    <s v="Ritika Das-South"/>
    <s v="0199"/>
    <s v="Amit"/>
    <s v="Amit"/>
    <m/>
  </r>
  <r>
    <s v="ORD0767"/>
    <x v="17"/>
    <s v="C016"/>
    <s v="Ritika Das"/>
    <s v="P018"/>
    <x v="10"/>
    <x v="3"/>
    <s v="Cooling"/>
    <x v="4"/>
    <s v="Chhattisgarh"/>
    <n v="31846.36"/>
    <n v="25056.55"/>
    <n v="5"/>
    <n v="0.2"/>
    <s v="Net Banking"/>
    <x v="1"/>
    <s v="Ritika Das"/>
    <x v="246"/>
    <n v="0.21320521403388021"/>
    <n v="2024"/>
    <s v="Jun"/>
    <s v="Q2"/>
    <s v="Medium"/>
    <s v="Profit"/>
    <s v="No"/>
    <s v="RITIKA DAS"/>
    <s v="ritika das"/>
    <n v="10"/>
    <s v="ORD"/>
    <s v="0767"/>
    <s v="Ritika Das-Central"/>
    <s v="0767"/>
    <s v="Amit"/>
    <s v="Amit"/>
    <m/>
  </r>
  <r>
    <s v="ORD0789"/>
    <x v="117"/>
    <s v="C016"/>
    <s v="Ritika Das"/>
    <s v="P018"/>
    <x v="10"/>
    <x v="3"/>
    <s v="Cooling"/>
    <x v="0"/>
    <s v="Telangana"/>
    <n v="8605.73"/>
    <n v="5298.14"/>
    <n v="1"/>
    <n v="0.05"/>
    <s v="Debit Card"/>
    <x v="0"/>
    <s v="Ritika Das"/>
    <x v="247"/>
    <n v="0.38434740574012888"/>
    <n v="2025"/>
    <s v="Dec"/>
    <s v="Q4"/>
    <s v="Low"/>
    <s v="Profit"/>
    <s v="No"/>
    <s v="RITIKA DAS"/>
    <s v="ritika das"/>
    <n v="10"/>
    <s v="ORD"/>
    <s v="0789"/>
    <s v="Ritika Das-South"/>
    <s v="0789"/>
    <s v="Amit"/>
    <s v="Amit"/>
    <m/>
  </r>
  <r>
    <s v="ORD0517"/>
    <x v="205"/>
    <s v="C016"/>
    <s v="Ritika Das"/>
    <s v="P020"/>
    <x v="11"/>
    <x v="3"/>
    <s v="Kitchen"/>
    <x v="0"/>
    <s v="Telangana"/>
    <n v="1534.75"/>
    <n v="999.76"/>
    <n v="2"/>
    <n v="0.1"/>
    <s v="Debit Card"/>
    <x v="3"/>
    <s v="Ritika Das"/>
    <x v="248"/>
    <n v="0.34858446000977361"/>
    <n v="2025"/>
    <s v="Jan"/>
    <s v="Q1"/>
    <s v="Low"/>
    <s v="Profit"/>
    <s v="No"/>
    <s v="RITIKA DAS"/>
    <s v="ritika das"/>
    <n v="10"/>
    <s v="ORD"/>
    <s v="0517"/>
    <s v="Ritika Das-South"/>
    <s v="0517"/>
    <s v="Simran"/>
    <s v="Simran"/>
    <m/>
  </r>
  <r>
    <s v="ORD0838"/>
    <x v="206"/>
    <s v="C016"/>
    <s v="Ritika Das"/>
    <s v="P020"/>
    <x v="11"/>
    <x v="3"/>
    <s v="Kitchen"/>
    <x v="2"/>
    <s v="Odisha"/>
    <n v="2249.89"/>
    <n v="2079"/>
    <n v="4"/>
    <n v="0.1"/>
    <s v="Credit Card"/>
    <x v="2"/>
    <s v="Ritika Das"/>
    <x v="249"/>
    <n v="7.5954824458084561E-2"/>
    <n v="2024"/>
    <s v="Dec"/>
    <s v="Q4"/>
    <s v="Low"/>
    <s v="Profit"/>
    <s v="No"/>
    <s v="RITIKA DAS"/>
    <s v="ritika das"/>
    <n v="10"/>
    <s v="ORD"/>
    <s v="0838"/>
    <s v="Ritika Das-East"/>
    <s v="0838"/>
    <s v="Simran"/>
    <s v="Simran"/>
    <m/>
  </r>
  <r>
    <s v="ORD0261"/>
    <x v="40"/>
    <s v="C001"/>
    <s v="Rahul Sharma"/>
    <s v="P001"/>
    <x v="12"/>
    <x v="0"/>
    <s v="Computers"/>
    <x v="1"/>
    <s v="Rajasthan"/>
    <n v="214958.34"/>
    <n v="173255.08"/>
    <n v="4"/>
    <n v="0.1"/>
    <s v="Cash on Delivery"/>
    <x v="4"/>
    <s v="Rahul Sharma"/>
    <x v="250"/>
    <n v="0.19400624325625146"/>
    <n v="2025"/>
    <s v="Jul"/>
    <s v="Q3"/>
    <s v="High"/>
    <s v="Profit"/>
    <s v="Yes"/>
    <s v="RAHUL SHARMA"/>
    <s v="rahul sharma"/>
    <n v="12"/>
    <s v="ORD"/>
    <s v="0261"/>
    <s v="Rahul Sharma-West"/>
    <s v="0261"/>
    <s v="Rahul"/>
    <s v="Rahul"/>
    <m/>
  </r>
  <r>
    <s v="ORD0420"/>
    <x v="207"/>
    <s v="C001"/>
    <s v="Rahul Sharma"/>
    <s v="P001"/>
    <x v="12"/>
    <x v="0"/>
    <s v="Computers"/>
    <x v="2"/>
    <s v="Odisha"/>
    <n v="58215.82"/>
    <n v="51218.23"/>
    <n v="1"/>
    <n v="0.05"/>
    <s v="UPI"/>
    <x v="0"/>
    <s v="Rahul Sharma"/>
    <x v="251"/>
    <n v="0.12020083200751955"/>
    <n v="2024"/>
    <s v="Apr"/>
    <s v="Q2"/>
    <s v="High"/>
    <s v="Profit"/>
    <s v="No"/>
    <s v="RAHUL SHARMA"/>
    <s v="rahul sharma"/>
    <n v="12"/>
    <s v="ORD"/>
    <s v="0420"/>
    <s v="Rahul Sharma-East"/>
    <s v="0420"/>
    <s v="Rahul"/>
    <s v="Rahul"/>
    <m/>
  </r>
  <r>
    <s v="ORD0534"/>
    <x v="208"/>
    <s v="C001"/>
    <s v="Rahul Sharma"/>
    <s v="P001"/>
    <x v="12"/>
    <x v="0"/>
    <s v="Computers"/>
    <x v="1"/>
    <s v="Rajasthan"/>
    <n v="152425"/>
    <n v="137858.76"/>
    <n v="3"/>
    <n v="0.15"/>
    <s v="Net Banking"/>
    <x v="4"/>
    <s v="Rahul Sharma"/>
    <x v="252"/>
    <n v="9.5563326226012726E-2"/>
    <n v="2024"/>
    <s v="May"/>
    <s v="Q2"/>
    <s v="High"/>
    <s v="Profit"/>
    <s v="Yes"/>
    <s v="RAHUL SHARMA"/>
    <s v="rahul sharma"/>
    <n v="12"/>
    <s v="ORD"/>
    <s v="0534"/>
    <s v="Rahul Sharma-West"/>
    <s v="0534"/>
    <s v="Rahul"/>
    <s v="Rahul"/>
    <m/>
  </r>
  <r>
    <s v="ORD0888"/>
    <x v="162"/>
    <s v="C001"/>
    <s v="Rahul Sharma"/>
    <s v="P001"/>
    <x v="12"/>
    <x v="0"/>
    <s v="Computers"/>
    <x v="2"/>
    <s v="Odisha"/>
    <n v="209401.07"/>
    <n v="194142.36"/>
    <n v="4"/>
    <n v="0.15"/>
    <s v="Net Banking"/>
    <x v="0"/>
    <s v="Rahul Sharma"/>
    <x v="253"/>
    <n v="7.2868347807391917E-2"/>
    <n v="2024"/>
    <s v="Jun"/>
    <s v="Q2"/>
    <s v="High"/>
    <s v="Profit"/>
    <s v="Yes"/>
    <s v="RAHUL SHARMA"/>
    <s v="rahul sharma"/>
    <n v="12"/>
    <s v="ORD"/>
    <s v="0888"/>
    <s v="Rahul Sharma-East"/>
    <s v="0888"/>
    <s v="Rahul"/>
    <s v="Rahul"/>
    <m/>
  </r>
  <r>
    <s v="ORD0531"/>
    <x v="209"/>
    <s v="C001"/>
    <s v="Rahul Sharma"/>
    <s v="P002"/>
    <x v="0"/>
    <x v="0"/>
    <s v="Phones"/>
    <x v="2"/>
    <s v="Odisha"/>
    <n v="65023.56"/>
    <n v="57933.81"/>
    <n v="3"/>
    <n v="0.2"/>
    <s v="Debit Card"/>
    <x v="2"/>
    <s v="Rahul Sharma"/>
    <x v="254"/>
    <n v="0.10903355645246124"/>
    <n v="2024"/>
    <s v="Dec"/>
    <s v="Q4"/>
    <s v="High"/>
    <s v="Profit"/>
    <s v="Yes"/>
    <s v="RAHUL SHARMA"/>
    <s v="rahul sharma"/>
    <n v="12"/>
    <s v="ORD"/>
    <s v="0531"/>
    <s v="Rahul Sharma-East"/>
    <s v="0531"/>
    <s v="Priya"/>
    <s v="Priya"/>
    <m/>
  </r>
  <r>
    <s v="ORD0565"/>
    <x v="210"/>
    <s v="C001"/>
    <s v="Rahul Sharma"/>
    <s v="P002"/>
    <x v="0"/>
    <x v="0"/>
    <s v="Phones"/>
    <x v="0"/>
    <s v="Tamil Nadu"/>
    <n v="31412.01"/>
    <n v="18063.39"/>
    <n v="1"/>
    <n v="0.1"/>
    <s v="UPI"/>
    <x v="4"/>
    <s v="Rahul Sharma"/>
    <x v="255"/>
    <n v="0.42495274896448842"/>
    <n v="2025"/>
    <s v="Sep"/>
    <s v="Q3"/>
    <s v="Medium"/>
    <s v="Profit"/>
    <s v="No"/>
    <s v="RAHUL SHARMA"/>
    <s v="rahul sharma"/>
    <n v="12"/>
    <s v="ORD"/>
    <s v="0565"/>
    <s v="Rahul Sharma-South"/>
    <s v="0565"/>
    <s v="Priya"/>
    <s v="Priya"/>
    <m/>
  </r>
  <r>
    <s v="ORD0884"/>
    <x v="124"/>
    <s v="C001"/>
    <s v="Rahul Sharma"/>
    <s v="P002"/>
    <x v="0"/>
    <x v="0"/>
    <s v="Phones"/>
    <x v="1"/>
    <s v="Gujarat"/>
    <n v="136130.26999999999"/>
    <n v="85516"/>
    <n v="5"/>
    <n v="0.1"/>
    <s v="Credit Card"/>
    <x v="4"/>
    <s v="Rahul Sharma"/>
    <x v="256"/>
    <n v="0.37180760752182446"/>
    <n v="2024"/>
    <s v="Oct"/>
    <s v="Q4"/>
    <s v="High"/>
    <s v="Profit"/>
    <s v="Yes"/>
    <s v="RAHUL SHARMA"/>
    <s v="rahul sharma"/>
    <n v="12"/>
    <s v="ORD"/>
    <s v="0884"/>
    <s v="Rahul Sharma-West"/>
    <s v="0884"/>
    <s v="Priya"/>
    <s v="Priya"/>
    <m/>
  </r>
  <r>
    <s v="ORD0075"/>
    <x v="211"/>
    <s v="C001"/>
    <s v="Rahul Sharma"/>
    <s v="P003"/>
    <x v="1"/>
    <x v="0"/>
    <s v="Accessories"/>
    <x v="0"/>
    <s v="Tamil Nadu"/>
    <n v="10844.9"/>
    <n v="7476.16"/>
    <n v="4"/>
    <n v="0.2"/>
    <s v="Debit Card"/>
    <x v="2"/>
    <s v="Rahul Sharma"/>
    <x v="257"/>
    <n v="0.31062895923429445"/>
    <n v="2024"/>
    <s v="Aug"/>
    <s v="Q3"/>
    <s v="Low"/>
    <s v="Profit"/>
    <s v="No"/>
    <s v="RAHUL SHARMA"/>
    <s v="rahul sharma"/>
    <n v="12"/>
    <s v="ORD"/>
    <s v="0075"/>
    <s v="Rahul Sharma-South"/>
    <s v="0075"/>
    <s v="Amit"/>
    <s v="Amit"/>
    <m/>
  </r>
  <r>
    <s v="ORD0198"/>
    <x v="212"/>
    <s v="C001"/>
    <s v="Rahul Sharma"/>
    <s v="P003"/>
    <x v="1"/>
    <x v="0"/>
    <s v="Accessories"/>
    <x v="3"/>
    <s v="Delhi"/>
    <n v="11845.04"/>
    <n v="8576.4"/>
    <n v="5"/>
    <n v="0.2"/>
    <s v="Net Banking"/>
    <x v="0"/>
    <s v="Rahul Sharma"/>
    <x v="258"/>
    <n v="0.27595010232130923"/>
    <n v="2025"/>
    <s v="Oct"/>
    <s v="Q4"/>
    <s v="Low"/>
    <s v="Profit"/>
    <s v="No"/>
    <s v="RAHUL SHARMA"/>
    <s v="rahul sharma"/>
    <n v="12"/>
    <s v="ORD"/>
    <s v="0198"/>
    <s v="Rahul Sharma-North"/>
    <s v="0198"/>
    <s v="Amit"/>
    <s v="Amit"/>
    <m/>
  </r>
  <r>
    <s v="ORD0729"/>
    <x v="213"/>
    <s v="C001"/>
    <s v="Rahul Sharma"/>
    <s v="P003"/>
    <x v="1"/>
    <x v="0"/>
    <s v="Accessories"/>
    <x v="1"/>
    <s v="Rajasthan"/>
    <n v="3216.91"/>
    <n v="1971.3"/>
    <n v="1"/>
    <n v="0.15"/>
    <s v="Debit Card"/>
    <x v="0"/>
    <s v="Rahul Sharma"/>
    <x v="259"/>
    <n v="0.38720697812497085"/>
    <n v="2025"/>
    <s v="Apr"/>
    <s v="Q2"/>
    <s v="Low"/>
    <s v="Profit"/>
    <s v="No"/>
    <s v="RAHUL SHARMA"/>
    <s v="rahul sharma"/>
    <n v="12"/>
    <s v="ORD"/>
    <s v="0729"/>
    <s v="Rahul Sharma-West"/>
    <s v="0729"/>
    <s v="Amit"/>
    <s v="Amit"/>
    <m/>
  </r>
  <r>
    <s v="ORD0543"/>
    <x v="214"/>
    <s v="C001"/>
    <s v="Rahul Sharma"/>
    <s v="P004"/>
    <x v="13"/>
    <x v="0"/>
    <s v="Wearables"/>
    <x v="4"/>
    <s v="Madhya Pradesh"/>
    <n v="23433.200000000001"/>
    <n v="12650.96"/>
    <n v="4"/>
    <n v="0"/>
    <s v="Credit Card"/>
    <x v="2"/>
    <s v="Rahul Sharma"/>
    <x v="260"/>
    <n v="0.46012665790417023"/>
    <n v="2024"/>
    <s v="Sep"/>
    <s v="Q3"/>
    <s v="Medium"/>
    <s v="Profit"/>
    <s v="No"/>
    <s v="RAHUL SHARMA"/>
    <s v="rahul sharma"/>
    <n v="12"/>
    <s v="ORD"/>
    <s v="0543"/>
    <s v="Rahul Sharma-Central"/>
    <s v="0543"/>
    <s v="Neha"/>
    <s v="Neha"/>
    <m/>
  </r>
  <r>
    <s v="ORD0835"/>
    <x v="215"/>
    <s v="C001"/>
    <s v="Rahul Sharma"/>
    <s v="P004"/>
    <x v="13"/>
    <x v="0"/>
    <s v="Wearables"/>
    <x v="2"/>
    <s v="Odisha"/>
    <n v="26067.84"/>
    <n v="13150.76"/>
    <n v="4"/>
    <n v="0.2"/>
    <s v="Cash on Delivery"/>
    <x v="4"/>
    <s v="Rahul Sharma"/>
    <x v="261"/>
    <n v="0.49551784881294347"/>
    <n v="2025"/>
    <s v="Dec"/>
    <s v="Q4"/>
    <s v="Medium"/>
    <s v="Profit"/>
    <s v="No"/>
    <s v="RAHUL SHARMA"/>
    <s v="rahul sharma"/>
    <n v="12"/>
    <s v="ORD"/>
    <s v="0835"/>
    <s v="Rahul Sharma-East"/>
    <s v="0835"/>
    <s v="Neha"/>
    <s v="Neha"/>
    <m/>
  </r>
  <r>
    <s v="ORD0736"/>
    <x v="216"/>
    <s v="C001"/>
    <s v="Rahul Sharma"/>
    <s v="P005"/>
    <x v="14"/>
    <x v="0"/>
    <s v="Computers"/>
    <x v="0"/>
    <s v="Tamil Nadu"/>
    <n v="49132.91"/>
    <n v="29594.720000000001"/>
    <n v="4"/>
    <n v="0.1"/>
    <s v="Net Banking"/>
    <x v="0"/>
    <s v="Rahul Sharma"/>
    <x v="262"/>
    <n v="0.39765993913244707"/>
    <n v="2024"/>
    <s v="Nov"/>
    <s v="Q4"/>
    <s v="Medium"/>
    <s v="Profit"/>
    <s v="No"/>
    <s v="RAHUL SHARMA"/>
    <s v="rahul sharma"/>
    <n v="12"/>
    <s v="ORD"/>
    <s v="0736"/>
    <s v="Rahul Sharma-South"/>
    <s v="0736"/>
    <s v="Simran"/>
    <s v="Simran"/>
    <m/>
  </r>
  <r>
    <s v="ORD0127"/>
    <x v="217"/>
    <s v="C001"/>
    <s v="Rahul Sharma"/>
    <s v="P006"/>
    <x v="2"/>
    <x v="1"/>
    <s v="Chairs"/>
    <x v="0"/>
    <s v="Tamil Nadu"/>
    <n v="16350.94"/>
    <n v="9435.1"/>
    <n v="2"/>
    <n v="0"/>
    <s v="Net Banking"/>
    <x v="2"/>
    <s v="Rahul Sharma"/>
    <x v="263"/>
    <n v="0.42296283883373065"/>
    <n v="2024"/>
    <s v="Feb"/>
    <s v="Q1"/>
    <s v="Low"/>
    <s v="Profit"/>
    <s v="No"/>
    <s v="RAHUL SHARMA"/>
    <s v="rahul sharma"/>
    <n v="12"/>
    <s v="ORD"/>
    <s v="0127"/>
    <s v="Rahul Sharma-South"/>
    <s v="0127"/>
    <s v="Karan"/>
    <s v="Karan"/>
    <m/>
  </r>
  <r>
    <s v="ORD0334"/>
    <x v="218"/>
    <s v="C001"/>
    <s v="Rahul Sharma"/>
    <s v="P008"/>
    <x v="4"/>
    <x v="1"/>
    <s v="Storage"/>
    <x v="3"/>
    <s v="Delhi"/>
    <n v="15925.41"/>
    <n v="11719.14"/>
    <n v="3"/>
    <n v="0"/>
    <s v="Cash on Delivery"/>
    <x v="3"/>
    <s v="Rahul Sharma"/>
    <x v="264"/>
    <n v="0.26412318426966719"/>
    <n v="2025"/>
    <s v="Apr"/>
    <s v="Q2"/>
    <s v="Low"/>
    <s v="Profit"/>
    <s v="No"/>
    <s v="RAHUL SHARMA"/>
    <s v="rahul sharma"/>
    <n v="12"/>
    <s v="ORD"/>
    <s v="0334"/>
    <s v="Rahul Sharma-North"/>
    <s v="0334"/>
    <s v="Anjali"/>
    <s v="Anjali"/>
    <m/>
  </r>
  <r>
    <s v="ORD0913"/>
    <x v="219"/>
    <s v="C001"/>
    <s v="Rahul Sharma"/>
    <s v="P008"/>
    <x v="4"/>
    <x v="1"/>
    <s v="Storage"/>
    <x v="2"/>
    <s v="Bihar"/>
    <n v="20877.8"/>
    <n v="16396.560000000001"/>
    <n v="4"/>
    <n v="0.1"/>
    <s v="Net Banking"/>
    <x v="0"/>
    <s v="Rahul Sharma"/>
    <x v="265"/>
    <n v="0.21464138941842523"/>
    <n v="2024"/>
    <s v="Aug"/>
    <s v="Q3"/>
    <s v="Medium"/>
    <s v="Profit"/>
    <s v="No"/>
    <s v="RAHUL SHARMA"/>
    <s v="rahul sharma"/>
    <n v="12"/>
    <s v="ORD"/>
    <s v="0913"/>
    <s v="Rahul Sharma-East"/>
    <s v="0913"/>
    <s v="Anjali"/>
    <s v="Anjali"/>
    <m/>
  </r>
  <r>
    <s v="ORD0271"/>
    <x v="220"/>
    <s v="C001"/>
    <s v="Rahul Sharma"/>
    <s v="P009"/>
    <x v="5"/>
    <x v="1"/>
    <s v="Seating"/>
    <x v="4"/>
    <s v="Madhya Pradesh"/>
    <n v="87403.02"/>
    <n v="60520.160000000003"/>
    <n v="4"/>
    <n v="0.15"/>
    <s v="Net Banking"/>
    <x v="0"/>
    <s v="Rahul Sharma"/>
    <x v="266"/>
    <n v="0.30757358269771456"/>
    <n v="2025"/>
    <s v="Apr"/>
    <s v="Q2"/>
    <s v="High"/>
    <s v="Profit"/>
    <s v="Yes"/>
    <s v="RAHUL SHARMA"/>
    <s v="rahul sharma"/>
    <n v="12"/>
    <s v="ORD"/>
    <s v="0271"/>
    <s v="Rahul Sharma-Central"/>
    <s v="0271"/>
    <s v="Arjun"/>
    <s v="Arjun"/>
    <m/>
  </r>
  <r>
    <s v="ORD0368"/>
    <x v="221"/>
    <s v="C001"/>
    <s v="Rahul Sharma"/>
    <s v="P009"/>
    <x v="5"/>
    <x v="1"/>
    <s v="Seating"/>
    <x v="0"/>
    <s v="Karnataka"/>
    <n v="29001.24"/>
    <n v="15521.54"/>
    <n v="1"/>
    <n v="0"/>
    <s v="UPI"/>
    <x v="3"/>
    <s v="Rahul Sharma"/>
    <x v="267"/>
    <n v="0.46479736728498505"/>
    <n v="2024"/>
    <s v="Sep"/>
    <s v="Q3"/>
    <s v="Medium"/>
    <s v="Profit"/>
    <s v="No"/>
    <s v="RAHUL SHARMA"/>
    <s v="rahul sharma"/>
    <n v="12"/>
    <s v="ORD"/>
    <s v="0368"/>
    <s v="Rahul Sharma-South"/>
    <s v="0368"/>
    <s v="Arjun"/>
    <s v="Arjun"/>
    <m/>
  </r>
  <r>
    <s v="ORD0449"/>
    <x v="222"/>
    <s v="C001"/>
    <s v="Rahul Sharma"/>
    <s v="P009"/>
    <x v="5"/>
    <x v="1"/>
    <s v="Seating"/>
    <x v="0"/>
    <s v="Karnataka"/>
    <n v="110713.43"/>
    <n v="68223.8"/>
    <n v="4"/>
    <n v="0.1"/>
    <s v="Cash on Delivery"/>
    <x v="0"/>
    <s v="Rahul Sharma"/>
    <x v="268"/>
    <n v="0.38378026947588917"/>
    <n v="2025"/>
    <s v="Sep"/>
    <s v="Q3"/>
    <s v="High"/>
    <s v="Profit"/>
    <s v="Yes"/>
    <s v="RAHUL SHARMA"/>
    <s v="rahul sharma"/>
    <n v="12"/>
    <s v="ORD"/>
    <s v="0449"/>
    <s v="Rahul Sharma-South"/>
    <s v="0449"/>
    <s v="Arjun"/>
    <s v="Arjun"/>
    <m/>
  </r>
  <r>
    <s v="ORD0881"/>
    <x v="223"/>
    <s v="C001"/>
    <s v="Rahul Sharma"/>
    <s v="P009"/>
    <x v="5"/>
    <x v="1"/>
    <s v="Seating"/>
    <x v="1"/>
    <s v="Rajasthan"/>
    <n v="24443.77"/>
    <n v="15188.21"/>
    <n v="1"/>
    <n v="0.05"/>
    <s v="Debit Card"/>
    <x v="3"/>
    <s v="Rahul Sharma"/>
    <x v="269"/>
    <n v="0.3786469926692978"/>
    <n v="2025"/>
    <s v="Aug"/>
    <s v="Q3"/>
    <s v="Medium"/>
    <s v="Profit"/>
    <s v="No"/>
    <s v="RAHUL SHARMA"/>
    <s v="rahul sharma"/>
    <n v="12"/>
    <s v="ORD"/>
    <s v="0881"/>
    <s v="Rahul Sharma-West"/>
    <s v="0881"/>
    <s v="Arjun"/>
    <s v="Arjun"/>
    <m/>
  </r>
  <r>
    <s v="ORD0629"/>
    <x v="224"/>
    <s v="C001"/>
    <s v="Rahul Sharma"/>
    <s v="P010"/>
    <x v="6"/>
    <x v="1"/>
    <s v="Bedroom"/>
    <x v="3"/>
    <s v="Delhi"/>
    <n v="130529.45"/>
    <n v="96693.75"/>
    <n v="5"/>
    <n v="0"/>
    <s v="UPI"/>
    <x v="4"/>
    <s v="Rahul Sharma"/>
    <x v="270"/>
    <n v="0.25921889657851155"/>
    <n v="2025"/>
    <s v="Dec"/>
    <s v="Q4"/>
    <s v="High"/>
    <s v="Profit"/>
    <s v="Yes"/>
    <s v="RAHUL SHARMA"/>
    <s v="rahul sharma"/>
    <n v="12"/>
    <s v="ORD"/>
    <s v="0629"/>
    <s v="Rahul Sharma-North"/>
    <s v="0629"/>
    <s v="Sneha"/>
    <s v="Sneha"/>
    <m/>
  </r>
  <r>
    <s v="ORD0931"/>
    <x v="225"/>
    <s v="C001"/>
    <s v="Rahul Sharma"/>
    <s v="P010"/>
    <x v="6"/>
    <x v="1"/>
    <s v="Bedroom"/>
    <x v="0"/>
    <s v="Tamil Nadu"/>
    <n v="139288.04"/>
    <n v="78419.72"/>
    <n v="4"/>
    <n v="0"/>
    <s v="Net Banking"/>
    <x v="0"/>
    <s v="Rahul Sharma"/>
    <x v="271"/>
    <n v="0.43699602636378548"/>
    <n v="2024"/>
    <s v="Dec"/>
    <s v="Q4"/>
    <s v="High"/>
    <s v="Profit"/>
    <s v="Yes"/>
    <s v="RAHUL SHARMA"/>
    <s v="rahul sharma"/>
    <n v="12"/>
    <s v="ORD"/>
    <s v="0931"/>
    <s v="Rahul Sharma-South"/>
    <s v="0931"/>
    <s v="Sneha"/>
    <s v="Sneha"/>
    <m/>
  </r>
  <r>
    <s v="ORD0170"/>
    <x v="226"/>
    <s v="C001"/>
    <s v="Rahul Sharma"/>
    <s v="P011"/>
    <x v="15"/>
    <x v="2"/>
    <s v="Footwear"/>
    <x v="3"/>
    <s v="Uttar Pradesh"/>
    <n v="4987.0600000000004"/>
    <n v="3809.79"/>
    <n v="3"/>
    <n v="0.1"/>
    <s v="Net Banking"/>
    <x v="0"/>
    <s v="Rahul Sharma"/>
    <x v="272"/>
    <n v="0.23606493605450915"/>
    <n v="2025"/>
    <s v="Oct"/>
    <s v="Q4"/>
    <s v="Low"/>
    <s v="Profit"/>
    <s v="No"/>
    <s v="RAHUL SHARMA"/>
    <s v="rahul sharma"/>
    <n v="12"/>
    <s v="ORD"/>
    <s v="0170"/>
    <s v="Rahul Sharma-North"/>
    <s v="0170"/>
    <s v="Vikas"/>
    <s v="Vikas"/>
    <m/>
  </r>
  <r>
    <s v="ORD0228"/>
    <x v="33"/>
    <s v="C001"/>
    <s v="Rahul Sharma"/>
    <s v="P011"/>
    <x v="15"/>
    <x v="2"/>
    <s v="Footwear"/>
    <x v="4"/>
    <s v="Madhya Pradesh"/>
    <n v="8200.7999999999993"/>
    <n v="6209.3"/>
    <n v="5"/>
    <n v="0.2"/>
    <s v="Net Banking"/>
    <x v="3"/>
    <s v="Rahul Sharma"/>
    <x v="273"/>
    <n v="0.24284216174031792"/>
    <n v="2024"/>
    <s v="Oct"/>
    <s v="Q4"/>
    <s v="Low"/>
    <s v="Profit"/>
    <s v="No"/>
    <s v="RAHUL SHARMA"/>
    <s v="rahul sharma"/>
    <n v="12"/>
    <s v="ORD"/>
    <s v="0228"/>
    <s v="Rahul Sharma-Central"/>
    <s v="0228"/>
    <s v="Vikas"/>
    <s v="Vikas"/>
    <m/>
  </r>
  <r>
    <s v="ORD0027"/>
    <x v="227"/>
    <s v="C001"/>
    <s v="Rahul Sharma"/>
    <s v="P013"/>
    <x v="16"/>
    <x v="2"/>
    <s v="Bags"/>
    <x v="0"/>
    <s v="Tamil Nadu"/>
    <n v="6974.64"/>
    <n v="2067.66"/>
    <n v="3"/>
    <n v="0.2"/>
    <s v="Net Banking"/>
    <x v="0"/>
    <s v="Rahul Sharma"/>
    <x v="274"/>
    <n v="0.70354598947042435"/>
    <n v="2025"/>
    <s v="Apr"/>
    <s v="Q2"/>
    <s v="Low"/>
    <s v="Profit"/>
    <s v="No"/>
    <s v="RAHUL SHARMA"/>
    <s v="rahul sharma"/>
    <n v="12"/>
    <s v="ORD"/>
    <s v="0027"/>
    <s v="Rahul Sharma-South"/>
    <s v="0027"/>
    <s v="Aditya"/>
    <s v="Aditya"/>
    <m/>
  </r>
  <r>
    <s v="ORD0112"/>
    <x v="228"/>
    <s v="C001"/>
    <s v="Rahul Sharma"/>
    <s v="P013"/>
    <x v="16"/>
    <x v="2"/>
    <s v="Bags"/>
    <x v="0"/>
    <s v="Tamil Nadu"/>
    <n v="12561.45"/>
    <n v="3755.55"/>
    <n v="5"/>
    <n v="0"/>
    <s v="Cash on Delivery"/>
    <x v="2"/>
    <s v="Rahul Sharma"/>
    <x v="275"/>
    <n v="0.701025757376736"/>
    <n v="2024"/>
    <s v="Jan"/>
    <s v="Q1"/>
    <s v="Low"/>
    <s v="Profit"/>
    <s v="No"/>
    <s v="RAHUL SHARMA"/>
    <s v="rahul sharma"/>
    <n v="12"/>
    <s v="ORD"/>
    <s v="0112"/>
    <s v="Rahul Sharma-South"/>
    <s v="0112"/>
    <s v="Aditya"/>
    <s v="Aditya"/>
    <m/>
  </r>
  <r>
    <s v="ORD0394"/>
    <x v="229"/>
    <s v="C001"/>
    <s v="Rahul Sharma"/>
    <s v="P013"/>
    <x v="16"/>
    <x v="2"/>
    <s v="Bags"/>
    <x v="3"/>
    <s v="Delhi"/>
    <n v="6039.62"/>
    <n v="3695.9"/>
    <n v="5"/>
    <n v="0.05"/>
    <s v="Credit Card"/>
    <x v="0"/>
    <s v="Rahul Sharma"/>
    <x v="276"/>
    <n v="0.38805752679804356"/>
    <n v="2024"/>
    <s v="Jun"/>
    <s v="Q2"/>
    <s v="Low"/>
    <s v="Profit"/>
    <s v="No"/>
    <s v="RAHUL SHARMA"/>
    <s v="rahul sharma"/>
    <n v="12"/>
    <s v="ORD"/>
    <s v="0394"/>
    <s v="Rahul Sharma-North"/>
    <s v="0394"/>
    <s v="Aditya"/>
    <s v="Aditya"/>
    <m/>
  </r>
  <r>
    <s v="ORD0725"/>
    <x v="230"/>
    <s v="C001"/>
    <s v="Rahul Sharma"/>
    <s v="P013"/>
    <x v="16"/>
    <x v="2"/>
    <s v="Bags"/>
    <x v="1"/>
    <s v="Gujarat"/>
    <n v="3658.62"/>
    <n v="3039.56"/>
    <n v="4"/>
    <n v="0.2"/>
    <s v="Cash on Delivery"/>
    <x v="1"/>
    <s v="Rahul Sharma"/>
    <x v="277"/>
    <n v="0.16920587543937329"/>
    <n v="2024"/>
    <s v="May"/>
    <s v="Q2"/>
    <s v="Low"/>
    <s v="Profit"/>
    <s v="No"/>
    <s v="RAHUL SHARMA"/>
    <s v="rahul sharma"/>
    <n v="12"/>
    <s v="ORD"/>
    <s v="0725"/>
    <s v="Rahul Sharma-West"/>
    <s v="0725"/>
    <s v="Aditya"/>
    <s v="Aditya"/>
    <m/>
  </r>
  <r>
    <s v="ORD0898"/>
    <x v="231"/>
    <s v="C001"/>
    <s v="Rahul Sharma"/>
    <s v="P013"/>
    <x v="16"/>
    <x v="2"/>
    <s v="Bags"/>
    <x v="0"/>
    <s v="Karnataka"/>
    <n v="2448.04"/>
    <n v="753.21"/>
    <n v="1"/>
    <n v="0.05"/>
    <s v="Net Banking"/>
    <x v="0"/>
    <s v="Rahul Sharma"/>
    <x v="278"/>
    <n v="0.692321203901897"/>
    <n v="2024"/>
    <s v="Dec"/>
    <s v="Q4"/>
    <s v="Low"/>
    <s v="Profit"/>
    <s v="No"/>
    <s v="RAHUL SHARMA"/>
    <s v="rahul sharma"/>
    <n v="12"/>
    <s v="ORD"/>
    <s v="0898"/>
    <s v="Rahul Sharma-South"/>
    <s v="0898"/>
    <s v="Aditya"/>
    <s v="Aditya"/>
    <m/>
  </r>
  <r>
    <s v="ORD0959"/>
    <x v="157"/>
    <s v="C001"/>
    <s v="Rahul Sharma"/>
    <s v="P013"/>
    <x v="16"/>
    <x v="2"/>
    <s v="Bags"/>
    <x v="2"/>
    <s v="Odisha"/>
    <n v="1809.31"/>
    <n v="684.49"/>
    <n v="1"/>
    <n v="0"/>
    <s v="Debit Card"/>
    <x v="1"/>
    <s v="Rahul Sharma"/>
    <x v="279"/>
    <n v="0.62168450956441956"/>
    <n v="2024"/>
    <s v="Nov"/>
    <s v="Q4"/>
    <s v="Low"/>
    <s v="Profit"/>
    <s v="No"/>
    <s v="RAHUL SHARMA"/>
    <s v="rahul sharma"/>
    <n v="12"/>
    <s v="ORD"/>
    <s v="0959"/>
    <s v="Rahul Sharma-East"/>
    <s v="0959"/>
    <s v="Aditya"/>
    <s v="Aditya"/>
    <m/>
  </r>
  <r>
    <s v="ORD0169"/>
    <x v="43"/>
    <s v="C001"/>
    <s v="Rahul Sharma"/>
    <s v="P014"/>
    <x v="19"/>
    <x v="2"/>
    <s v="Clothing"/>
    <x v="3"/>
    <s v="Delhi"/>
    <n v="3391.2"/>
    <n v="1218.5"/>
    <n v="5"/>
    <n v="0"/>
    <s v="Debit Card"/>
    <x v="0"/>
    <s v="Rahul Sharma"/>
    <x v="280"/>
    <n v="0.64068766218447748"/>
    <n v="2025"/>
    <s v="Feb"/>
    <s v="Q1"/>
    <s v="Low"/>
    <s v="Profit"/>
    <s v="No"/>
    <s v="RAHUL SHARMA"/>
    <s v="rahul sharma"/>
    <n v="12"/>
    <s v="ORD"/>
    <s v="0169"/>
    <s v="Rahul Sharma-North"/>
    <s v="0169"/>
    <s v="Kavya"/>
    <s v="Kavya"/>
    <m/>
  </r>
  <r>
    <s v="ORD0535"/>
    <x v="232"/>
    <s v="C001"/>
    <s v="Rahul Sharma"/>
    <s v="P014"/>
    <x v="19"/>
    <x v="2"/>
    <s v="Clothing"/>
    <x v="4"/>
    <s v="Madhya Pradesh"/>
    <n v="1602.63"/>
    <n v="1182.8"/>
    <n v="5"/>
    <n v="0.1"/>
    <s v="Credit Card"/>
    <x v="3"/>
    <s v="Rahul Sharma"/>
    <x v="281"/>
    <n v="0.2619631480753512"/>
    <n v="2024"/>
    <s v="Oct"/>
    <s v="Q4"/>
    <s v="Low"/>
    <s v="Profit"/>
    <s v="No"/>
    <s v="RAHUL SHARMA"/>
    <s v="rahul sharma"/>
    <n v="12"/>
    <s v="ORD"/>
    <s v="0535"/>
    <s v="Rahul Sharma-Central"/>
    <s v="0535"/>
    <s v="Kavya"/>
    <s v="Kavya"/>
    <m/>
  </r>
  <r>
    <s v="ORD0708"/>
    <x v="233"/>
    <s v="C001"/>
    <s v="Rahul Sharma"/>
    <s v="P016"/>
    <x v="8"/>
    <x v="3"/>
    <s v="Kitchen"/>
    <x v="2"/>
    <s v="Odisha"/>
    <n v="8008"/>
    <n v="3746.38"/>
    <n v="2"/>
    <n v="0.2"/>
    <s v="UPI"/>
    <x v="2"/>
    <s v="Rahul Sharma"/>
    <x v="282"/>
    <n v="0.53217032967032962"/>
    <n v="2024"/>
    <s v="Nov"/>
    <s v="Q4"/>
    <s v="Low"/>
    <s v="Profit"/>
    <s v="No"/>
    <s v="RAHUL SHARMA"/>
    <s v="rahul sharma"/>
    <n v="12"/>
    <s v="ORD"/>
    <s v="0708"/>
    <s v="Rahul Sharma-East"/>
    <s v="0708"/>
    <s v="Rahul"/>
    <s v="Rahul"/>
    <m/>
  </r>
  <r>
    <s v="ORD0262"/>
    <x v="234"/>
    <s v="C001"/>
    <s v="Rahul Sharma"/>
    <s v="P017"/>
    <x v="9"/>
    <x v="3"/>
    <s v="Kitchen"/>
    <x v="4"/>
    <s v="Chhattisgarh"/>
    <n v="53372.6"/>
    <n v="25469.599999999999"/>
    <n v="4"/>
    <n v="0"/>
    <s v="UPI"/>
    <x v="0"/>
    <s v="Rahul Sharma"/>
    <x v="283"/>
    <n v="0.52279634119379603"/>
    <n v="2025"/>
    <s v="Dec"/>
    <s v="Q4"/>
    <s v="High"/>
    <s v="Profit"/>
    <s v="Yes"/>
    <s v="RAHUL SHARMA"/>
    <s v="rahul sharma"/>
    <n v="12"/>
    <s v="ORD"/>
    <s v="0262"/>
    <s v="Rahul Sharma-Central"/>
    <s v="0262"/>
    <s v="Priya"/>
    <s v="Priya"/>
    <m/>
  </r>
  <r>
    <s v="ORD0223"/>
    <x v="235"/>
    <s v="C001"/>
    <s v="Rahul Sharma"/>
    <s v="P018"/>
    <x v="10"/>
    <x v="3"/>
    <s v="Cooling"/>
    <x v="3"/>
    <s v="Punjab"/>
    <n v="27087.41"/>
    <n v="21900.76"/>
    <n v="4"/>
    <n v="0.1"/>
    <s v="Debit Card"/>
    <x v="4"/>
    <s v="Rahul Sharma"/>
    <x v="284"/>
    <n v="0.19147825502696647"/>
    <n v="2025"/>
    <s v="Feb"/>
    <s v="Q1"/>
    <s v="Medium"/>
    <s v="Profit"/>
    <s v="No"/>
    <s v="RAHUL SHARMA"/>
    <s v="rahul sharma"/>
    <n v="12"/>
    <s v="ORD"/>
    <s v="0223"/>
    <s v="Rahul Sharma-North"/>
    <s v="0223"/>
    <s v="Amit"/>
    <s v="Amit"/>
    <m/>
  </r>
  <r>
    <s v="ORD0630"/>
    <x v="168"/>
    <s v="C001"/>
    <s v="Rahul Sharma"/>
    <s v="P019"/>
    <x v="18"/>
    <x v="3"/>
    <s v="Cleaning"/>
    <x v="4"/>
    <s v="Madhya Pradesh"/>
    <n v="8816.6299999999992"/>
    <n v="6749.24"/>
    <n v="2"/>
    <n v="0.1"/>
    <s v="Cash on Delivery"/>
    <x v="1"/>
    <s v="Rahul Sharma"/>
    <x v="285"/>
    <n v="0.23448755363443852"/>
    <n v="2024"/>
    <s v="Nov"/>
    <s v="Q4"/>
    <s v="Low"/>
    <s v="Profit"/>
    <s v="No"/>
    <s v="RAHUL SHARMA"/>
    <s v="rahul sharma"/>
    <n v="12"/>
    <s v="ORD"/>
    <s v="0630"/>
    <s v="Rahul Sharma-Central"/>
    <s v="0630"/>
    <s v="Neha"/>
    <s v="Neha"/>
    <m/>
  </r>
  <r>
    <s v="ORD0900"/>
    <x v="236"/>
    <s v="C001"/>
    <s v="Rahul Sharma"/>
    <s v="P019"/>
    <x v="18"/>
    <x v="3"/>
    <s v="Cleaning"/>
    <x v="4"/>
    <s v="Madhya Pradesh"/>
    <n v="13197.63"/>
    <n v="11215.08"/>
    <n v="3"/>
    <n v="0.15"/>
    <s v="Credit Card"/>
    <x v="1"/>
    <s v="Rahul Sharma"/>
    <x v="286"/>
    <n v="0.15022015316386347"/>
    <n v="2025"/>
    <s v="Oct"/>
    <s v="Q4"/>
    <s v="Low"/>
    <s v="Profit"/>
    <s v="No"/>
    <s v="RAHUL SHARMA"/>
    <s v="rahul sharma"/>
    <n v="12"/>
    <s v="ORD"/>
    <s v="0900"/>
    <s v="Rahul Sharma-Central"/>
    <s v="0900"/>
    <s v="Neha"/>
    <s v="Neha"/>
    <m/>
  </r>
  <r>
    <s v="ORD0174"/>
    <x v="197"/>
    <s v="C001"/>
    <s v="Rahul Sharma"/>
    <s v="P020"/>
    <x v="11"/>
    <x v="3"/>
    <s v="Kitchen"/>
    <x v="0"/>
    <s v="Telangana"/>
    <n v="6986.25"/>
    <n v="2458.3000000000002"/>
    <n v="5"/>
    <n v="0"/>
    <s v="Cash on Delivery"/>
    <x v="1"/>
    <s v="Rahul Sharma"/>
    <x v="287"/>
    <n v="0.64812309894435494"/>
    <n v="2024"/>
    <s v="Sep"/>
    <s v="Q3"/>
    <s v="Low"/>
    <s v="Profit"/>
    <s v="No"/>
    <s v="RAHUL SHARMA"/>
    <s v="rahul sharma"/>
    <n v="12"/>
    <s v="ORD"/>
    <s v="0174"/>
    <s v="Rahul Sharma-South"/>
    <s v="0174"/>
    <s v="Simran"/>
    <s v="Simran"/>
    <m/>
  </r>
  <r>
    <s v="ORD0670"/>
    <x v="237"/>
    <s v="C001"/>
    <s v="Rahul Sharma"/>
    <s v="P020"/>
    <x v="11"/>
    <x v="3"/>
    <s v="Kitchen"/>
    <x v="3"/>
    <s v="Uttar Pradesh"/>
    <n v="6410.2"/>
    <n v="2578.3000000000002"/>
    <n v="5"/>
    <n v="0.2"/>
    <s v="UPI"/>
    <x v="0"/>
    <s v="Rahul Sharma"/>
    <x v="288"/>
    <n v="0.59778166047861214"/>
    <n v="2024"/>
    <s v="Feb"/>
    <s v="Q1"/>
    <s v="Low"/>
    <s v="Profit"/>
    <s v="No"/>
    <s v="RAHUL SHARMA"/>
    <s v="rahul sharma"/>
    <n v="12"/>
    <s v="ORD"/>
    <s v="0670"/>
    <s v="Rahul Sharma-North"/>
    <s v="0670"/>
    <s v="Simran"/>
    <s v="Simran"/>
    <m/>
  </r>
  <r>
    <s v="ORD0002"/>
    <x v="184"/>
    <s v="C002"/>
    <s v="Priya Singh"/>
    <s v="P001"/>
    <x v="12"/>
    <x v="0"/>
    <s v="Computers"/>
    <x v="3"/>
    <s v="Uttar Pradesh"/>
    <n v="102710.69"/>
    <n v="96102.82"/>
    <n v="2"/>
    <n v="0.05"/>
    <s v="Cash on Delivery"/>
    <x v="3"/>
    <s v="Priya Singh"/>
    <x v="289"/>
    <n v="6.4334783458274841E-2"/>
    <n v="2024"/>
    <s v="Aug"/>
    <s v="Q3"/>
    <s v="High"/>
    <s v="Profit"/>
    <s v="Yes"/>
    <s v="PRIYA SINGH"/>
    <s v="priya singh"/>
    <n v="11"/>
    <s v="ORD"/>
    <s v="0002"/>
    <s v="Priya Singh-North"/>
    <s v="0002"/>
    <s v="Rahul"/>
    <s v="Rahul"/>
    <m/>
  </r>
  <r>
    <s v="ORD0466"/>
    <x v="210"/>
    <s v="C002"/>
    <s v="Priya Singh"/>
    <s v="P001"/>
    <x v="12"/>
    <x v="0"/>
    <s v="Computers"/>
    <x v="2"/>
    <s v="West Bengal"/>
    <n v="231854.58"/>
    <n v="193426.64"/>
    <n v="4"/>
    <n v="0.1"/>
    <s v="Credit Card"/>
    <x v="1"/>
    <s v="Priya Singh"/>
    <x v="290"/>
    <n v="0.16574156093875728"/>
    <n v="2025"/>
    <s v="Sep"/>
    <s v="Q3"/>
    <s v="High"/>
    <s v="Profit"/>
    <s v="Yes"/>
    <s v="PRIYA SINGH"/>
    <s v="priya singh"/>
    <n v="11"/>
    <s v="ORD"/>
    <s v="0466"/>
    <s v="Priya Singh-East"/>
    <s v="0466"/>
    <s v="Rahul"/>
    <s v="Rahul"/>
    <m/>
  </r>
  <r>
    <s v="ORD0205"/>
    <x v="238"/>
    <s v="C002"/>
    <s v="Priya Singh"/>
    <s v="P002"/>
    <x v="0"/>
    <x v="0"/>
    <s v="Phones"/>
    <x v="0"/>
    <s v="Tamil Nadu"/>
    <n v="126944.18"/>
    <n v="96882.1"/>
    <n v="5"/>
    <n v="0.15"/>
    <s v="Debit Card"/>
    <x v="0"/>
    <s v="Priya Singh"/>
    <x v="291"/>
    <n v="0.23681337734427832"/>
    <n v="2025"/>
    <s v="May"/>
    <s v="Q2"/>
    <s v="High"/>
    <s v="Profit"/>
    <s v="Yes"/>
    <s v="PRIYA SINGH"/>
    <s v="priya singh"/>
    <n v="11"/>
    <s v="ORD"/>
    <s v="0205"/>
    <s v="Priya Singh-South"/>
    <s v="0205"/>
    <s v="Priya"/>
    <s v="Priya"/>
    <m/>
  </r>
  <r>
    <s v="ORD0908"/>
    <x v="168"/>
    <s v="C002"/>
    <s v="Priya Singh"/>
    <s v="P002"/>
    <x v="0"/>
    <x v="0"/>
    <s v="Phones"/>
    <x v="3"/>
    <s v="Punjab"/>
    <n v="154811.51999999999"/>
    <n v="88845.25"/>
    <n v="5"/>
    <n v="0.1"/>
    <s v="Debit Card"/>
    <x v="0"/>
    <s v="Priya Singh"/>
    <x v="292"/>
    <n v="0.42610698480319809"/>
    <n v="2024"/>
    <s v="Nov"/>
    <s v="Q4"/>
    <s v="High"/>
    <s v="Profit"/>
    <s v="Yes"/>
    <s v="PRIYA SINGH"/>
    <s v="priya singh"/>
    <n v="11"/>
    <s v="ORD"/>
    <s v="0908"/>
    <s v="Priya Singh-North"/>
    <s v="0908"/>
    <s v="Priya"/>
    <s v="Priya"/>
    <m/>
  </r>
  <r>
    <s v="ORD0037"/>
    <x v="50"/>
    <s v="C002"/>
    <s v="Priya Singh"/>
    <s v="P003"/>
    <x v="1"/>
    <x v="0"/>
    <s v="Accessories"/>
    <x v="2"/>
    <s v="Odisha"/>
    <n v="10008.26"/>
    <n v="4907.6099999999997"/>
    <n v="3"/>
    <n v="0.05"/>
    <s v="Debit Card"/>
    <x v="0"/>
    <s v="Priya Singh"/>
    <x v="293"/>
    <n v="0.50964403402789304"/>
    <n v="2025"/>
    <s v="Mar"/>
    <s v="Q1"/>
    <s v="Low"/>
    <s v="Profit"/>
    <s v="No"/>
    <s v="PRIYA SINGH"/>
    <s v="priya singh"/>
    <n v="11"/>
    <s v="ORD"/>
    <s v="0037"/>
    <s v="Priya Singh-East"/>
    <s v="0037"/>
    <s v="Amit"/>
    <s v="Amit"/>
    <m/>
  </r>
  <r>
    <s v="ORD0267"/>
    <x v="196"/>
    <s v="C002"/>
    <s v="Priya Singh"/>
    <s v="P003"/>
    <x v="1"/>
    <x v="0"/>
    <s v="Accessories"/>
    <x v="2"/>
    <s v="Odisha"/>
    <n v="9735.89"/>
    <n v="9114.2999999999993"/>
    <n v="5"/>
    <n v="0.1"/>
    <s v="UPI"/>
    <x v="0"/>
    <s v="Priya Singh"/>
    <x v="294"/>
    <n v="6.3845215999769944E-2"/>
    <n v="2024"/>
    <s v="Oct"/>
    <s v="Q4"/>
    <s v="Low"/>
    <s v="Profit"/>
    <s v="No"/>
    <s v="PRIYA SINGH"/>
    <s v="priya singh"/>
    <n v="11"/>
    <s v="ORD"/>
    <s v="0267"/>
    <s v="Priya Singh-East"/>
    <s v="0267"/>
    <s v="Amit"/>
    <s v="Amit"/>
    <m/>
  </r>
  <r>
    <s v="ORD0960"/>
    <x v="95"/>
    <s v="C002"/>
    <s v="Priya Singh"/>
    <s v="P003"/>
    <x v="1"/>
    <x v="0"/>
    <s v="Accessories"/>
    <x v="0"/>
    <s v="Karnataka"/>
    <n v="12768.3"/>
    <n v="5688.96"/>
    <n v="3"/>
    <n v="0"/>
    <s v="Cash on Delivery"/>
    <x v="0"/>
    <s v="Priya Singh"/>
    <x v="295"/>
    <n v="0.55444655905641316"/>
    <n v="2025"/>
    <s v="Feb"/>
    <s v="Q1"/>
    <s v="Low"/>
    <s v="Profit"/>
    <s v="No"/>
    <s v="PRIYA SINGH"/>
    <s v="priya singh"/>
    <n v="11"/>
    <s v="ORD"/>
    <s v="0960"/>
    <s v="Priya Singh-South"/>
    <s v="0960"/>
    <s v="Amit"/>
    <s v="Amit"/>
    <m/>
  </r>
  <r>
    <s v="ORD0270"/>
    <x v="239"/>
    <s v="C002"/>
    <s v="Priya Singh"/>
    <s v="P004"/>
    <x v="13"/>
    <x v="0"/>
    <s v="Wearables"/>
    <x v="1"/>
    <s v="Maharashtra"/>
    <n v="6157.75"/>
    <n v="2904.36"/>
    <n v="1"/>
    <n v="0.2"/>
    <s v="Net Banking"/>
    <x v="1"/>
    <s v="Priya Singh"/>
    <x v="296"/>
    <n v="0.52834070886281514"/>
    <n v="2024"/>
    <s v="Aug"/>
    <s v="Q3"/>
    <s v="Low"/>
    <s v="Profit"/>
    <s v="No"/>
    <s v="PRIYA SINGH"/>
    <s v="priya singh"/>
    <n v="11"/>
    <s v="ORD"/>
    <s v="0270"/>
    <s v="Priya Singh-West"/>
    <s v="0270"/>
    <s v="Neha"/>
    <s v="Neha"/>
    <m/>
  </r>
  <r>
    <s v="ORD0611"/>
    <x v="240"/>
    <s v="C002"/>
    <s v="Priya Singh"/>
    <s v="P004"/>
    <x v="13"/>
    <x v="0"/>
    <s v="Wearables"/>
    <x v="1"/>
    <s v="Maharashtra"/>
    <n v="10890.48"/>
    <n v="6206.5"/>
    <n v="2"/>
    <n v="0.2"/>
    <s v="Cash on Delivery"/>
    <x v="0"/>
    <s v="Priya Singh"/>
    <x v="297"/>
    <n v="0.43009858151339514"/>
    <n v="2024"/>
    <s v="Jul"/>
    <s v="Q3"/>
    <s v="Low"/>
    <s v="Profit"/>
    <s v="No"/>
    <s v="PRIYA SINGH"/>
    <s v="priya singh"/>
    <n v="11"/>
    <s v="ORD"/>
    <s v="0611"/>
    <s v="Priya Singh-West"/>
    <s v="0611"/>
    <s v="Neha"/>
    <s v="Neha"/>
    <m/>
  </r>
  <r>
    <s v="ORD0977"/>
    <x v="241"/>
    <s v="C002"/>
    <s v="Priya Singh"/>
    <s v="P004"/>
    <x v="13"/>
    <x v="0"/>
    <s v="Wearables"/>
    <x v="1"/>
    <s v="Maharashtra"/>
    <n v="10477.299999999999"/>
    <n v="5633.08"/>
    <n v="2"/>
    <n v="0.1"/>
    <s v="Debit Card"/>
    <x v="2"/>
    <s v="Priya Singh"/>
    <x v="298"/>
    <n v="0.46235385070581159"/>
    <n v="2025"/>
    <s v="Aug"/>
    <s v="Q3"/>
    <s v="Low"/>
    <s v="Profit"/>
    <s v="No"/>
    <s v="PRIYA SINGH"/>
    <s v="priya singh"/>
    <n v="11"/>
    <s v="ORD"/>
    <s v="0977"/>
    <s v="Priya Singh-West"/>
    <s v="0977"/>
    <s v="Neha"/>
    <s v="Neha"/>
    <m/>
  </r>
  <r>
    <s v="ORD0141"/>
    <x v="242"/>
    <s v="C002"/>
    <s v="Priya Singh"/>
    <s v="P005"/>
    <x v="14"/>
    <x v="0"/>
    <s v="Computers"/>
    <x v="3"/>
    <s v="Punjab"/>
    <n v="9244.26"/>
    <n v="8278.35"/>
    <n v="1"/>
    <n v="0.15"/>
    <s v="Net Banking"/>
    <x v="2"/>
    <s v="Priya Singh"/>
    <x v="299"/>
    <n v="0.10448754145815889"/>
    <n v="2025"/>
    <s v="Sep"/>
    <s v="Q3"/>
    <s v="Low"/>
    <s v="Profit"/>
    <s v="No"/>
    <s v="PRIYA SINGH"/>
    <s v="priya singh"/>
    <n v="11"/>
    <s v="ORD"/>
    <s v="0141"/>
    <s v="Priya Singh-North"/>
    <s v="0141"/>
    <s v="Simran"/>
    <s v="Simran"/>
    <m/>
  </r>
  <r>
    <s v="ORD0556"/>
    <x v="243"/>
    <s v="C002"/>
    <s v="Priya Singh"/>
    <s v="P005"/>
    <x v="14"/>
    <x v="0"/>
    <s v="Computers"/>
    <x v="3"/>
    <s v="Punjab"/>
    <n v="20617.96"/>
    <n v="14742.58"/>
    <n v="2"/>
    <n v="0"/>
    <s v="Cash on Delivery"/>
    <x v="3"/>
    <s v="Priya Singh"/>
    <x v="300"/>
    <n v="0.28496417686327841"/>
    <n v="2024"/>
    <s v="Feb"/>
    <s v="Q1"/>
    <s v="Medium"/>
    <s v="Profit"/>
    <s v="No"/>
    <s v="PRIYA SINGH"/>
    <s v="priya singh"/>
    <n v="11"/>
    <s v="ORD"/>
    <s v="0556"/>
    <s v="Priya Singh-North"/>
    <s v="0556"/>
    <s v="Simran"/>
    <s v="Simran"/>
    <m/>
  </r>
  <r>
    <s v="ORD0461"/>
    <x v="65"/>
    <s v="C002"/>
    <s v="Priya Singh"/>
    <s v="P006"/>
    <x v="2"/>
    <x v="1"/>
    <s v="Chairs"/>
    <x v="4"/>
    <s v="Madhya Pradesh"/>
    <n v="44715.83"/>
    <n v="20567"/>
    <n v="5"/>
    <n v="0.1"/>
    <s v="Net Banking"/>
    <x v="3"/>
    <s v="Priya Singh"/>
    <x v="301"/>
    <n v="0.54005102890855428"/>
    <n v="2024"/>
    <s v="Sep"/>
    <s v="Q3"/>
    <s v="Medium"/>
    <s v="Profit"/>
    <s v="No"/>
    <s v="PRIYA SINGH"/>
    <s v="priya singh"/>
    <n v="11"/>
    <s v="ORD"/>
    <s v="0461"/>
    <s v="Priya Singh-Central"/>
    <s v="0461"/>
    <s v="Karan"/>
    <s v="Karan"/>
    <m/>
  </r>
  <r>
    <s v="ORD0765"/>
    <x v="244"/>
    <s v="C002"/>
    <s v="Priya Singh"/>
    <s v="P006"/>
    <x v="2"/>
    <x v="1"/>
    <s v="Chairs"/>
    <x v="1"/>
    <s v="Rajasthan"/>
    <n v="15346.67"/>
    <n v="14538.69"/>
    <n v="3"/>
    <n v="0.15"/>
    <s v="Credit Card"/>
    <x v="4"/>
    <s v="Priya Singh"/>
    <x v="302"/>
    <n v="5.2648555028550141E-2"/>
    <n v="2025"/>
    <s v="Nov"/>
    <s v="Q4"/>
    <s v="Low"/>
    <s v="Profit"/>
    <s v="No"/>
    <s v="PRIYA SINGH"/>
    <s v="priya singh"/>
    <n v="11"/>
    <s v="ORD"/>
    <s v="0765"/>
    <s v="Priya Singh-West"/>
    <s v="0765"/>
    <s v="Karan"/>
    <s v="Karan"/>
    <m/>
  </r>
  <r>
    <s v="ORD0885"/>
    <x v="245"/>
    <s v="C002"/>
    <s v="Priya Singh"/>
    <s v="P006"/>
    <x v="2"/>
    <x v="1"/>
    <s v="Chairs"/>
    <x v="2"/>
    <s v="Bihar"/>
    <n v="27873.5"/>
    <n v="20564.7"/>
    <n v="5"/>
    <n v="0"/>
    <s v="Credit Card"/>
    <x v="4"/>
    <s v="Priya Singh"/>
    <x v="303"/>
    <n v="0.26221321326708164"/>
    <n v="2025"/>
    <s v="Jun"/>
    <s v="Q2"/>
    <s v="Medium"/>
    <s v="Profit"/>
    <s v="No"/>
    <s v="PRIYA SINGH"/>
    <s v="priya singh"/>
    <n v="11"/>
    <s v="ORD"/>
    <s v="0885"/>
    <s v="Priya Singh-East"/>
    <s v="0885"/>
    <s v="Karan"/>
    <s v="Karan"/>
    <m/>
  </r>
  <r>
    <s v="ORD0546"/>
    <x v="246"/>
    <s v="C002"/>
    <s v="Priya Singh"/>
    <s v="P007"/>
    <x v="3"/>
    <x v="1"/>
    <s v="Tables"/>
    <x v="3"/>
    <s v="Uttar Pradesh"/>
    <n v="34345.370000000003"/>
    <n v="27017.279999999999"/>
    <n v="4"/>
    <n v="0.1"/>
    <s v="Cash on Delivery"/>
    <x v="0"/>
    <s v="Priya Singh"/>
    <x v="304"/>
    <n v="0.2133647126235648"/>
    <n v="2024"/>
    <s v="Aug"/>
    <s v="Q3"/>
    <s v="Medium"/>
    <s v="Profit"/>
    <s v="No"/>
    <s v="PRIYA SINGH"/>
    <s v="priya singh"/>
    <n v="11"/>
    <s v="ORD"/>
    <s v="0546"/>
    <s v="Priya Singh-North"/>
    <s v="0546"/>
    <s v="Rohan"/>
    <s v="Rohan"/>
    <m/>
  </r>
  <r>
    <s v="ORD0052"/>
    <x v="147"/>
    <s v="C002"/>
    <s v="Priya Singh"/>
    <s v="P008"/>
    <x v="4"/>
    <x v="1"/>
    <s v="Storage"/>
    <x v="1"/>
    <s v="Gujarat"/>
    <n v="7497.18"/>
    <n v="3964.33"/>
    <n v="1"/>
    <n v="0.2"/>
    <s v="Credit Card"/>
    <x v="3"/>
    <s v="Priya Singh"/>
    <x v="305"/>
    <n v="0.47122384683307594"/>
    <n v="2025"/>
    <s v="Sep"/>
    <s v="Q3"/>
    <s v="Low"/>
    <s v="Profit"/>
    <s v="No"/>
    <s v="PRIYA SINGH"/>
    <s v="priya singh"/>
    <n v="11"/>
    <s v="ORD"/>
    <s v="0052"/>
    <s v="Priya Singh-West"/>
    <s v="0052"/>
    <s v="Anjali"/>
    <s v="Anjali"/>
    <m/>
  </r>
  <r>
    <s v="ORD0143"/>
    <x v="247"/>
    <s v="C002"/>
    <s v="Priya Singh"/>
    <s v="P008"/>
    <x v="4"/>
    <x v="1"/>
    <s v="Storage"/>
    <x v="1"/>
    <s v="Maharashtra"/>
    <n v="5836.64"/>
    <n v="3606.15"/>
    <n v="1"/>
    <n v="0.05"/>
    <s v="Credit Card"/>
    <x v="4"/>
    <s v="Priya Singh"/>
    <x v="306"/>
    <n v="0.38215308807807236"/>
    <n v="2025"/>
    <s v="Sep"/>
    <s v="Q3"/>
    <s v="Low"/>
    <s v="Profit"/>
    <s v="No"/>
    <s v="PRIYA SINGH"/>
    <s v="priya singh"/>
    <n v="11"/>
    <s v="ORD"/>
    <s v="0143"/>
    <s v="Priya Singh-West"/>
    <s v="0143"/>
    <s v="Anjali"/>
    <s v="Anjali"/>
    <m/>
  </r>
  <r>
    <s v="ORD0156"/>
    <x v="248"/>
    <s v="C002"/>
    <s v="Priya Singh"/>
    <s v="P008"/>
    <x v="4"/>
    <x v="1"/>
    <s v="Storage"/>
    <x v="2"/>
    <s v="Bihar"/>
    <n v="28246.07"/>
    <n v="16077"/>
    <n v="4"/>
    <n v="0.1"/>
    <s v="Debit Card"/>
    <x v="4"/>
    <s v="Priya Singh"/>
    <x v="307"/>
    <n v="0.43082347384963643"/>
    <n v="2025"/>
    <s v="Mar"/>
    <s v="Q1"/>
    <s v="Medium"/>
    <s v="Profit"/>
    <s v="No"/>
    <s v="PRIYA SINGH"/>
    <s v="priya singh"/>
    <n v="11"/>
    <s v="ORD"/>
    <s v="0156"/>
    <s v="Priya Singh-East"/>
    <s v="0156"/>
    <s v="Anjali"/>
    <s v="Anjali"/>
    <m/>
  </r>
  <r>
    <s v="ORD0349"/>
    <x v="73"/>
    <s v="C002"/>
    <s v="Priya Singh"/>
    <s v="P008"/>
    <x v="4"/>
    <x v="1"/>
    <s v="Storage"/>
    <x v="3"/>
    <s v="Punjab"/>
    <n v="31836.959999999999"/>
    <n v="15591.16"/>
    <n v="4"/>
    <n v="0"/>
    <s v="Cash on Delivery"/>
    <x v="4"/>
    <s v="Priya Singh"/>
    <x v="308"/>
    <n v="0.51028113236942219"/>
    <n v="2024"/>
    <s v="Jul"/>
    <s v="Q3"/>
    <s v="Medium"/>
    <s v="Profit"/>
    <s v="No"/>
    <s v="PRIYA SINGH"/>
    <s v="priya singh"/>
    <n v="11"/>
    <s v="ORD"/>
    <s v="0349"/>
    <s v="Priya Singh-North"/>
    <s v="0349"/>
    <s v="Anjali"/>
    <s v="Anjali"/>
    <m/>
  </r>
  <r>
    <s v="ORD0434"/>
    <x v="227"/>
    <s v="C002"/>
    <s v="Priya Singh"/>
    <s v="P008"/>
    <x v="4"/>
    <x v="1"/>
    <s v="Storage"/>
    <x v="4"/>
    <s v="Chhattisgarh"/>
    <n v="20147.7"/>
    <n v="12144.36"/>
    <n v="3"/>
    <n v="0.15"/>
    <s v="Debit Card"/>
    <x v="2"/>
    <s v="Priya Singh"/>
    <x v="309"/>
    <n v="0.39723343111124348"/>
    <n v="2025"/>
    <s v="Apr"/>
    <s v="Q2"/>
    <s v="Medium"/>
    <s v="Profit"/>
    <s v="No"/>
    <s v="PRIYA SINGH"/>
    <s v="priya singh"/>
    <n v="11"/>
    <s v="ORD"/>
    <s v="0434"/>
    <s v="Priya Singh-Central"/>
    <s v="0434"/>
    <s v="Anjali"/>
    <s v="Anjali"/>
    <m/>
  </r>
  <r>
    <s v="ORD0478"/>
    <x v="249"/>
    <s v="C002"/>
    <s v="Priya Singh"/>
    <s v="P008"/>
    <x v="4"/>
    <x v="1"/>
    <s v="Storage"/>
    <x v="4"/>
    <s v="Madhya Pradesh"/>
    <n v="13038.56"/>
    <n v="7300.58"/>
    <n v="2"/>
    <n v="0"/>
    <s v="Credit Card"/>
    <x v="1"/>
    <s v="Priya Singh"/>
    <x v="310"/>
    <n v="0.44007773864598543"/>
    <n v="2025"/>
    <s v="May"/>
    <s v="Q2"/>
    <s v="Low"/>
    <s v="Profit"/>
    <s v="No"/>
    <s v="PRIYA SINGH"/>
    <s v="priya singh"/>
    <n v="11"/>
    <s v="ORD"/>
    <s v="0478"/>
    <s v="Priya Singh-Central"/>
    <s v="0478"/>
    <s v="Anjali"/>
    <s v="Anjali"/>
    <m/>
  </r>
  <r>
    <s v="ORD0910"/>
    <x v="250"/>
    <s v="C002"/>
    <s v="Priya Singh"/>
    <s v="P008"/>
    <x v="4"/>
    <x v="1"/>
    <s v="Storage"/>
    <x v="1"/>
    <s v="Rajasthan"/>
    <n v="5280.72"/>
    <n v="3937.65"/>
    <n v="1"/>
    <n v="0.05"/>
    <s v="Credit Card"/>
    <x v="0"/>
    <s v="Priya Singh"/>
    <x v="311"/>
    <n v="0.25433463618597468"/>
    <n v="2025"/>
    <s v="Jul"/>
    <s v="Q3"/>
    <s v="Low"/>
    <s v="Profit"/>
    <s v="No"/>
    <s v="PRIYA SINGH"/>
    <s v="priya singh"/>
    <n v="11"/>
    <s v="ORD"/>
    <s v="0910"/>
    <s v="Priya Singh-West"/>
    <s v="0910"/>
    <s v="Anjali"/>
    <s v="Anjali"/>
    <m/>
  </r>
  <r>
    <s v="ORD0301"/>
    <x v="74"/>
    <s v="C002"/>
    <s v="Priya Singh"/>
    <s v="P009"/>
    <x v="5"/>
    <x v="1"/>
    <s v="Seating"/>
    <x v="0"/>
    <s v="Karnataka"/>
    <n v="62115.68"/>
    <n v="44814.81"/>
    <n v="3"/>
    <n v="0.15"/>
    <s v="Cash on Delivery"/>
    <x v="0"/>
    <s v="Priya Singh"/>
    <x v="312"/>
    <n v="0.27852661357003583"/>
    <n v="2025"/>
    <s v="Jul"/>
    <s v="Q3"/>
    <s v="High"/>
    <s v="Profit"/>
    <s v="Yes"/>
    <s v="PRIYA SINGH"/>
    <s v="priya singh"/>
    <n v="11"/>
    <s v="ORD"/>
    <s v="0301"/>
    <s v="Priya Singh-South"/>
    <s v="0301"/>
    <s v="Arjun"/>
    <s v="Arjun"/>
    <m/>
  </r>
  <r>
    <s v="ORD0307"/>
    <x v="251"/>
    <s v="C002"/>
    <s v="Priya Singh"/>
    <s v="P009"/>
    <x v="5"/>
    <x v="1"/>
    <s v="Seating"/>
    <x v="4"/>
    <s v="Chhattisgarh"/>
    <n v="37597.75"/>
    <n v="33289.120000000003"/>
    <n v="2"/>
    <n v="0.05"/>
    <s v="Debit Card"/>
    <x v="0"/>
    <s v="Priya Singh"/>
    <x v="313"/>
    <n v="0.11459808100218756"/>
    <n v="2025"/>
    <s v="Nov"/>
    <s v="Q4"/>
    <s v="Medium"/>
    <s v="Profit"/>
    <s v="No"/>
    <s v="PRIYA SINGH"/>
    <s v="priya singh"/>
    <n v="11"/>
    <s v="ORD"/>
    <s v="0307"/>
    <s v="Priya Singh-Central"/>
    <s v="0307"/>
    <s v="Arjun"/>
    <s v="Arjun"/>
    <m/>
  </r>
  <r>
    <s v="ORD0587"/>
    <x v="252"/>
    <s v="C002"/>
    <s v="Priya Singh"/>
    <s v="P009"/>
    <x v="5"/>
    <x v="1"/>
    <s v="Seating"/>
    <x v="1"/>
    <s v="Maharashtra"/>
    <n v="94932.9"/>
    <n v="87185.85"/>
    <n v="5"/>
    <n v="0.1"/>
    <s v="Net Banking"/>
    <x v="0"/>
    <s v="Priya Singh"/>
    <x v="314"/>
    <n v="8.1605534014024525E-2"/>
    <n v="2024"/>
    <s v="Jan"/>
    <s v="Q1"/>
    <s v="High"/>
    <s v="Profit"/>
    <s v="Yes"/>
    <s v="PRIYA SINGH"/>
    <s v="priya singh"/>
    <n v="11"/>
    <s v="ORD"/>
    <s v="0587"/>
    <s v="Priya Singh-West"/>
    <s v="0587"/>
    <s v="Arjun"/>
    <s v="Arjun"/>
    <m/>
  </r>
  <r>
    <s v="ORD0740"/>
    <x v="253"/>
    <s v="C002"/>
    <s v="Priya Singh"/>
    <s v="P009"/>
    <x v="5"/>
    <x v="1"/>
    <s v="Seating"/>
    <x v="0"/>
    <s v="Telangana"/>
    <n v="66079.89"/>
    <n v="43667.67"/>
    <n v="3"/>
    <n v="0"/>
    <s v="Cash on Delivery"/>
    <x v="0"/>
    <s v="Priya Singh"/>
    <x v="315"/>
    <n v="0.33916854280477771"/>
    <n v="2025"/>
    <s v="Mar"/>
    <s v="Q1"/>
    <s v="High"/>
    <s v="Profit"/>
    <s v="Yes"/>
    <s v="PRIYA SINGH"/>
    <s v="priya singh"/>
    <n v="11"/>
    <s v="ORD"/>
    <s v="0740"/>
    <s v="Priya Singh-South"/>
    <s v="0740"/>
    <s v="Arjun"/>
    <s v="Arjun"/>
    <m/>
  </r>
  <r>
    <s v="ORD0921"/>
    <x v="254"/>
    <s v="C002"/>
    <s v="Priya Singh"/>
    <s v="P009"/>
    <x v="5"/>
    <x v="1"/>
    <s v="Seating"/>
    <x v="4"/>
    <s v="Chhattisgarh"/>
    <n v="144364.60999999999"/>
    <n v="87494.15"/>
    <n v="5"/>
    <n v="0.05"/>
    <s v="UPI"/>
    <x v="2"/>
    <s v="Priya Singh"/>
    <x v="316"/>
    <n v="0.39393629782257578"/>
    <n v="2024"/>
    <s v="May"/>
    <s v="Q2"/>
    <s v="High"/>
    <s v="Profit"/>
    <s v="Yes"/>
    <s v="PRIYA SINGH"/>
    <s v="priya singh"/>
    <n v="11"/>
    <s v="ORD"/>
    <s v="0921"/>
    <s v="Priya Singh-Central"/>
    <s v="0921"/>
    <s v="Arjun"/>
    <s v="Arjun"/>
    <m/>
  </r>
  <r>
    <s v="ORD0107"/>
    <x v="255"/>
    <s v="C002"/>
    <s v="Priya Singh"/>
    <s v="P010"/>
    <x v="6"/>
    <x v="1"/>
    <s v="Bedroom"/>
    <x v="0"/>
    <s v="Telangana"/>
    <n v="94835.23"/>
    <n v="66896.2"/>
    <n v="4"/>
    <n v="0.2"/>
    <s v="Credit Card"/>
    <x v="0"/>
    <s v="Priya Singh"/>
    <x v="317"/>
    <n v="0.29460602352100584"/>
    <n v="2025"/>
    <s v="Jan"/>
    <s v="Q1"/>
    <s v="High"/>
    <s v="Profit"/>
    <s v="Yes"/>
    <s v="PRIYA SINGH"/>
    <s v="priya singh"/>
    <n v="11"/>
    <s v="ORD"/>
    <s v="0107"/>
    <s v="Priya Singh-South"/>
    <s v="0107"/>
    <s v="Sneha"/>
    <s v="Sneha"/>
    <m/>
  </r>
  <r>
    <s v="ORD0220"/>
    <x v="256"/>
    <s v="C002"/>
    <s v="Priya Singh"/>
    <s v="P010"/>
    <x v="6"/>
    <x v="1"/>
    <s v="Bedroom"/>
    <x v="2"/>
    <s v="Bihar"/>
    <n v="81249.48"/>
    <n v="58579.29"/>
    <n v="3"/>
    <n v="0.15"/>
    <s v="Credit Card"/>
    <x v="0"/>
    <s v="Priya Singh"/>
    <x v="318"/>
    <n v="0.27901950880177934"/>
    <n v="2024"/>
    <s v="Mar"/>
    <s v="Q1"/>
    <s v="High"/>
    <s v="Profit"/>
    <s v="Yes"/>
    <s v="PRIYA SINGH"/>
    <s v="priya singh"/>
    <n v="11"/>
    <s v="ORD"/>
    <s v="0220"/>
    <s v="Priya Singh-East"/>
    <s v="0220"/>
    <s v="Sneha"/>
    <s v="Sneha"/>
    <m/>
  </r>
  <r>
    <s v="ORD0818"/>
    <x v="15"/>
    <s v="C002"/>
    <s v="Priya Singh"/>
    <s v="P010"/>
    <x v="6"/>
    <x v="1"/>
    <s v="Bedroom"/>
    <x v="0"/>
    <s v="Telangana"/>
    <n v="30904.880000000001"/>
    <n v="18169.759999999998"/>
    <n v="1"/>
    <n v="0"/>
    <s v="Net Banking"/>
    <x v="4"/>
    <s v="Priya Singh"/>
    <x v="319"/>
    <n v="0.41207472735697409"/>
    <n v="2024"/>
    <s v="Feb"/>
    <s v="Q1"/>
    <s v="Medium"/>
    <s v="Profit"/>
    <s v="No"/>
    <s v="PRIYA SINGH"/>
    <s v="priya singh"/>
    <n v="11"/>
    <s v="ORD"/>
    <s v="0818"/>
    <s v="Priya Singh-South"/>
    <s v="0818"/>
    <s v="Sneha"/>
    <s v="Sneha"/>
    <m/>
  </r>
  <r>
    <s v="ORD0903"/>
    <x v="236"/>
    <s v="C002"/>
    <s v="Priya Singh"/>
    <s v="P010"/>
    <x v="6"/>
    <x v="1"/>
    <s v="Bedroom"/>
    <x v="2"/>
    <s v="West Bengal"/>
    <n v="103192.8"/>
    <n v="65747.360000000001"/>
    <n v="4"/>
    <n v="0.2"/>
    <s v="UPI"/>
    <x v="4"/>
    <s v="Priya Singh"/>
    <x v="320"/>
    <n v="0.36286872727554637"/>
    <n v="2025"/>
    <s v="Oct"/>
    <s v="Q4"/>
    <s v="High"/>
    <s v="Profit"/>
    <s v="Yes"/>
    <s v="PRIYA SINGH"/>
    <s v="priya singh"/>
    <n v="11"/>
    <s v="ORD"/>
    <s v="0903"/>
    <s v="Priya Singh-East"/>
    <s v="0903"/>
    <s v="Sneha"/>
    <s v="Sneha"/>
    <m/>
  </r>
  <r>
    <s v="ORD0901"/>
    <x v="10"/>
    <s v="C002"/>
    <s v="Priya Singh"/>
    <s v="P011"/>
    <x v="15"/>
    <x v="2"/>
    <s v="Footwear"/>
    <x v="1"/>
    <s v="Rajasthan"/>
    <n v="3609.14"/>
    <n v="1266.18"/>
    <n v="1"/>
    <n v="0"/>
    <s v="Net Banking"/>
    <x v="0"/>
    <s v="Priya Singh"/>
    <x v="321"/>
    <n v="0.64917404146140079"/>
    <n v="2024"/>
    <s v="Aug"/>
    <s v="Q3"/>
    <s v="Low"/>
    <s v="Profit"/>
    <s v="No"/>
    <s v="PRIYA SINGH"/>
    <s v="priya singh"/>
    <n v="11"/>
    <s v="ORD"/>
    <s v="0901"/>
    <s v="Priya Singh-West"/>
    <s v="0901"/>
    <s v="Vikas"/>
    <s v="Vikas"/>
    <m/>
  </r>
  <r>
    <s v="ORD0940"/>
    <x v="38"/>
    <s v="C002"/>
    <s v="Priya Singh"/>
    <s v="P012"/>
    <x v="7"/>
    <x v="2"/>
    <s v="Clothing"/>
    <x v="1"/>
    <s v="Rajasthan"/>
    <n v="6341.27"/>
    <n v="1737.64"/>
    <n v="2"/>
    <n v="0.15"/>
    <s v="Credit Card"/>
    <x v="0"/>
    <s v="Priya Singh"/>
    <x v="322"/>
    <n v="0.72597918082655366"/>
    <n v="2024"/>
    <s v="Jan"/>
    <s v="Q1"/>
    <s v="Low"/>
    <s v="Profit"/>
    <s v="No"/>
    <s v="PRIYA SINGH"/>
    <s v="priya singh"/>
    <n v="11"/>
    <s v="ORD"/>
    <s v="0940"/>
    <s v="Priya Singh-West"/>
    <s v="0940"/>
    <s v="Pooja"/>
    <s v="Pooja"/>
    <m/>
  </r>
  <r>
    <s v="ORD0164"/>
    <x v="58"/>
    <s v="C002"/>
    <s v="Priya Singh"/>
    <s v="P014"/>
    <x v="19"/>
    <x v="2"/>
    <s v="Clothing"/>
    <x v="0"/>
    <s v="Telangana"/>
    <n v="1477.32"/>
    <n v="546.96"/>
    <n v="2"/>
    <n v="0.15"/>
    <s v="Credit Card"/>
    <x v="0"/>
    <s v="Priya Singh"/>
    <x v="323"/>
    <n v="0.62976200146210704"/>
    <n v="2025"/>
    <s v="Nov"/>
    <s v="Q4"/>
    <s v="Low"/>
    <s v="Profit"/>
    <s v="No"/>
    <s v="PRIYA SINGH"/>
    <s v="priya singh"/>
    <n v="11"/>
    <s v="ORD"/>
    <s v="0164"/>
    <s v="Priya Singh-South"/>
    <s v="0164"/>
    <s v="Kavya"/>
    <s v="Kavya"/>
    <m/>
  </r>
  <r>
    <s v="ORD0238"/>
    <x v="257"/>
    <s v="C002"/>
    <s v="Priya Singh"/>
    <s v="P014"/>
    <x v="19"/>
    <x v="2"/>
    <s v="Clothing"/>
    <x v="0"/>
    <s v="Telangana"/>
    <n v="401.22"/>
    <n v="252.06"/>
    <n v="1"/>
    <n v="0"/>
    <s v="Net Banking"/>
    <x v="0"/>
    <s v="Priya Singh"/>
    <x v="324"/>
    <n v="0.37176611335426951"/>
    <n v="2025"/>
    <s v="Dec"/>
    <s v="Q4"/>
    <s v="Low"/>
    <s v="Profit"/>
    <s v="No"/>
    <s v="PRIYA SINGH"/>
    <s v="priya singh"/>
    <n v="11"/>
    <s v="ORD"/>
    <s v="0238"/>
    <s v="Priya Singh-South"/>
    <s v="0238"/>
    <s v="Kavya"/>
    <s v="Kavya"/>
    <m/>
  </r>
  <r>
    <s v="ORD0005"/>
    <x v="258"/>
    <s v="C002"/>
    <s v="Priya Singh"/>
    <s v="P015"/>
    <x v="17"/>
    <x v="2"/>
    <s v="Clothing"/>
    <x v="1"/>
    <s v="Rajasthan"/>
    <n v="3421.09"/>
    <n v="1831.52"/>
    <n v="4"/>
    <n v="0.2"/>
    <s v="Debit Card"/>
    <x v="0"/>
    <s v="Priya Singh"/>
    <x v="325"/>
    <n v="0.46463846317986374"/>
    <n v="2024"/>
    <s v="May"/>
    <s v="Q2"/>
    <s v="Low"/>
    <s v="Profit"/>
    <s v="No"/>
    <s v="PRIYA SINGH"/>
    <s v="priya singh"/>
    <n v="11"/>
    <s v="ORD"/>
    <s v="0005"/>
    <s v="Priya Singh-West"/>
    <s v="0005"/>
    <s v="Manish"/>
    <s v="Manish"/>
    <m/>
  </r>
  <r>
    <s v="ORD0167"/>
    <x v="20"/>
    <s v="C002"/>
    <s v="Priya Singh"/>
    <s v="P016"/>
    <x v="8"/>
    <x v="3"/>
    <s v="Kitchen"/>
    <x v="4"/>
    <s v="Chhattisgarh"/>
    <n v="17978.080000000002"/>
    <n v="9781.75"/>
    <n v="5"/>
    <n v="0.2"/>
    <s v="UPI"/>
    <x v="4"/>
    <s v="Priya Singh"/>
    <x v="326"/>
    <n v="0.45590685990940083"/>
    <n v="2025"/>
    <s v="Jan"/>
    <s v="Q1"/>
    <s v="Low"/>
    <s v="Profit"/>
    <s v="No"/>
    <s v="PRIYA SINGH"/>
    <s v="priya singh"/>
    <n v="11"/>
    <s v="ORD"/>
    <s v="0167"/>
    <s v="Priya Singh-Central"/>
    <s v="0167"/>
    <s v="Rahul"/>
    <s v="Rahul"/>
    <m/>
  </r>
  <r>
    <s v="ORD0836"/>
    <x v="259"/>
    <s v="C002"/>
    <s v="Priya Singh"/>
    <s v="P016"/>
    <x v="8"/>
    <x v="3"/>
    <s v="Kitchen"/>
    <x v="1"/>
    <s v="Maharashtra"/>
    <n v="17622.41"/>
    <n v="9163.85"/>
    <n v="5"/>
    <n v="0.15"/>
    <s v="Credit Card"/>
    <x v="0"/>
    <s v="Priya Singh"/>
    <x v="327"/>
    <n v="0.47998883240147061"/>
    <n v="2025"/>
    <s v="May"/>
    <s v="Q2"/>
    <s v="Low"/>
    <s v="Profit"/>
    <s v="No"/>
    <s v="PRIYA SINGH"/>
    <s v="priya singh"/>
    <n v="11"/>
    <s v="ORD"/>
    <s v="0836"/>
    <s v="Priya Singh-West"/>
    <s v="0836"/>
    <s v="Rahul"/>
    <s v="Rahul"/>
    <m/>
  </r>
  <r>
    <s v="ORD0222"/>
    <x v="172"/>
    <s v="C002"/>
    <s v="Priya Singh"/>
    <s v="P017"/>
    <x v="9"/>
    <x v="3"/>
    <s v="Kitchen"/>
    <x v="0"/>
    <s v="Karnataka"/>
    <n v="16539.009999999998"/>
    <n v="10925.98"/>
    <n v="2"/>
    <n v="0.15"/>
    <s v="UPI"/>
    <x v="0"/>
    <s v="Priya Singh"/>
    <x v="328"/>
    <n v="0.33938125679832104"/>
    <n v="2025"/>
    <s v="Oct"/>
    <s v="Q4"/>
    <s v="Low"/>
    <s v="Profit"/>
    <s v="No"/>
    <s v="PRIYA SINGH"/>
    <s v="priya singh"/>
    <n v="11"/>
    <s v="ORD"/>
    <s v="0222"/>
    <s v="Priya Singh-South"/>
    <s v="0222"/>
    <s v="Priya"/>
    <s v="Priya"/>
    <m/>
  </r>
  <r>
    <s v="ORD0390"/>
    <x v="260"/>
    <s v="C002"/>
    <s v="Priya Singh"/>
    <s v="P017"/>
    <x v="9"/>
    <x v="3"/>
    <s v="Kitchen"/>
    <x v="4"/>
    <s v="Madhya Pradesh"/>
    <n v="9889"/>
    <n v="5773.35"/>
    <n v="1"/>
    <n v="0.05"/>
    <s v="Cash on Delivery"/>
    <x v="0"/>
    <s v="Priya Singh"/>
    <x v="329"/>
    <n v="0.41618464961067847"/>
    <n v="2024"/>
    <s v="Jun"/>
    <s v="Q2"/>
    <s v="Low"/>
    <s v="Profit"/>
    <s v="No"/>
    <s v="PRIYA SINGH"/>
    <s v="priya singh"/>
    <n v="11"/>
    <s v="ORD"/>
    <s v="0390"/>
    <s v="Priya Singh-Central"/>
    <s v="0390"/>
    <s v="Priya"/>
    <s v="Priya"/>
    <m/>
  </r>
  <r>
    <s v="ORD0823"/>
    <x v="261"/>
    <s v="C002"/>
    <s v="Priya Singh"/>
    <s v="P017"/>
    <x v="9"/>
    <x v="3"/>
    <s v="Kitchen"/>
    <x v="0"/>
    <s v="Telangana"/>
    <n v="20255.96"/>
    <n v="12354.26"/>
    <n v="2"/>
    <n v="0.15"/>
    <s v="Cash on Delivery"/>
    <x v="0"/>
    <s v="Priya Singh"/>
    <x v="330"/>
    <n v="0.39009259496957926"/>
    <n v="2025"/>
    <s v="Apr"/>
    <s v="Q2"/>
    <s v="Medium"/>
    <s v="Profit"/>
    <s v="No"/>
    <s v="PRIYA SINGH"/>
    <s v="priya singh"/>
    <n v="11"/>
    <s v="ORD"/>
    <s v="0823"/>
    <s v="Priya Singh-South"/>
    <s v="0823"/>
    <s v="Priya"/>
    <s v="Priya"/>
    <m/>
  </r>
  <r>
    <s v="ORD0410"/>
    <x v="105"/>
    <s v="C002"/>
    <s v="Priya Singh"/>
    <s v="P018"/>
    <x v="10"/>
    <x v="3"/>
    <s v="Cooling"/>
    <x v="0"/>
    <s v="Karnataka"/>
    <n v="9069.4699999999993"/>
    <n v="5931.21"/>
    <n v="1"/>
    <n v="0.2"/>
    <s v="Credit Card"/>
    <x v="0"/>
    <s v="Priya Singh"/>
    <x v="331"/>
    <n v="0.34602462988465693"/>
    <n v="2025"/>
    <s v="Jan"/>
    <s v="Q1"/>
    <s v="Low"/>
    <s v="Profit"/>
    <s v="No"/>
    <s v="PRIYA SINGH"/>
    <s v="priya singh"/>
    <n v="11"/>
    <s v="ORD"/>
    <s v="0410"/>
    <s v="Priya Singh-South"/>
    <s v="0410"/>
    <s v="Amit"/>
    <s v="Amit"/>
    <m/>
  </r>
  <r>
    <s v="ORD0214"/>
    <x v="49"/>
    <s v="C002"/>
    <s v="Priya Singh"/>
    <s v="P019"/>
    <x v="18"/>
    <x v="3"/>
    <s v="Cleaning"/>
    <x v="2"/>
    <s v="Bihar"/>
    <n v="10475.76"/>
    <n v="6326.52"/>
    <n v="2"/>
    <n v="0.05"/>
    <s v="Net Banking"/>
    <x v="0"/>
    <s v="Priya Singh"/>
    <x v="332"/>
    <n v="0.39608009347293177"/>
    <n v="2024"/>
    <s v="Apr"/>
    <s v="Q2"/>
    <s v="Low"/>
    <s v="Profit"/>
    <s v="No"/>
    <s v="PRIYA SINGH"/>
    <s v="priya singh"/>
    <n v="11"/>
    <s v="ORD"/>
    <s v="0214"/>
    <s v="Priya Singh-East"/>
    <s v="0214"/>
    <s v="Neha"/>
    <s v="Neha"/>
    <m/>
  </r>
  <r>
    <s v="ORD0502"/>
    <x v="106"/>
    <s v="C002"/>
    <s v="Priya Singh"/>
    <s v="P020"/>
    <x v="11"/>
    <x v="3"/>
    <s v="Kitchen"/>
    <x v="1"/>
    <s v="Rajasthan"/>
    <n v="2535.89"/>
    <n v="1023.04"/>
    <n v="2"/>
    <n v="0.1"/>
    <s v="Credit Card"/>
    <x v="0"/>
    <s v="Priya Singh"/>
    <x v="333"/>
    <n v="0.59657556124279842"/>
    <n v="2025"/>
    <s v="Jun"/>
    <s v="Q2"/>
    <s v="Low"/>
    <s v="Profit"/>
    <s v="No"/>
    <s v="PRIYA SINGH"/>
    <s v="priya singh"/>
    <n v="11"/>
    <s v="ORD"/>
    <s v="0502"/>
    <s v="Priya Singh-West"/>
    <s v="0502"/>
    <s v="Simran"/>
    <s v="Simran"/>
    <m/>
  </r>
  <r>
    <s v="ORD0658"/>
    <x v="262"/>
    <s v="C002"/>
    <s v="Priya Singh"/>
    <s v="P020"/>
    <x v="11"/>
    <x v="3"/>
    <s v="Kitchen"/>
    <x v="2"/>
    <s v="Bihar"/>
    <n v="5420.64"/>
    <n v="2380.1999999999998"/>
    <n v="5"/>
    <n v="0.2"/>
    <s v="Credit Card"/>
    <x v="0"/>
    <s v="Priya Singh"/>
    <x v="334"/>
    <n v="0.56090055786770576"/>
    <n v="2024"/>
    <s v="Nov"/>
    <s v="Q4"/>
    <s v="Low"/>
    <s v="Profit"/>
    <s v="No"/>
    <s v="PRIYA SINGH"/>
    <s v="priya singh"/>
    <n v="11"/>
    <s v="ORD"/>
    <s v="0658"/>
    <s v="Priya Singh-East"/>
    <s v="0658"/>
    <s v="Simran"/>
    <s v="Simran"/>
    <m/>
  </r>
  <r>
    <s v="ORD0979"/>
    <x v="263"/>
    <s v="C012"/>
    <s v="Pooja Mishra"/>
    <s v="P001"/>
    <x v="12"/>
    <x v="0"/>
    <s v="Computers"/>
    <x v="2"/>
    <s v="Bihar"/>
    <n v="111871.03"/>
    <n v="91417.54"/>
    <n v="2"/>
    <n v="0.05"/>
    <s v="Debit Card"/>
    <x v="0"/>
    <s v="Pooja Mishra"/>
    <x v="335"/>
    <n v="0.18283097956638109"/>
    <n v="2025"/>
    <s v="Nov"/>
    <s v="Q4"/>
    <s v="High"/>
    <s v="Profit"/>
    <s v="Yes"/>
    <s v="POOJA MISHRA"/>
    <s v="pooja mishra"/>
    <n v="12"/>
    <s v="ORD"/>
    <s v="0979"/>
    <s v="Pooja Mishra-East"/>
    <s v="0979"/>
    <s v="Rahul"/>
    <s v="Rahul"/>
    <m/>
  </r>
  <r>
    <s v="ORD0594"/>
    <x v="264"/>
    <s v="C012"/>
    <s v="Pooja Mishra"/>
    <s v="P003"/>
    <x v="1"/>
    <x v="0"/>
    <s v="Accessories"/>
    <x v="2"/>
    <s v="Bihar"/>
    <n v="8509.5499999999993"/>
    <n v="3601.68"/>
    <n v="2"/>
    <n v="0.1"/>
    <s v="Credit Card"/>
    <x v="3"/>
    <s v="Pooja Mishra"/>
    <x v="336"/>
    <n v="0.57674847671145946"/>
    <n v="2025"/>
    <s v="May"/>
    <s v="Q2"/>
    <s v="Low"/>
    <s v="Profit"/>
    <s v="No"/>
    <s v="POOJA MISHRA"/>
    <s v="pooja mishra"/>
    <n v="12"/>
    <s v="ORD"/>
    <s v="0594"/>
    <s v="Pooja Mishra-East"/>
    <s v="0594"/>
    <s v="Amit"/>
    <s v="Amit"/>
    <m/>
  </r>
  <r>
    <s v="ORD0728"/>
    <x v="15"/>
    <s v="C012"/>
    <s v="Pooja Mishra"/>
    <s v="P003"/>
    <x v="1"/>
    <x v="0"/>
    <s v="Accessories"/>
    <x v="0"/>
    <s v="Telangana"/>
    <n v="22002.52"/>
    <n v="9254.35"/>
    <n v="5"/>
    <n v="0.05"/>
    <s v="Debit Card"/>
    <x v="0"/>
    <s v="Pooja Mishra"/>
    <x v="337"/>
    <n v="0.57939590555990861"/>
    <n v="2024"/>
    <s v="Feb"/>
    <s v="Q1"/>
    <s v="Medium"/>
    <s v="Profit"/>
    <s v="No"/>
    <s v="POOJA MISHRA"/>
    <s v="pooja mishra"/>
    <n v="12"/>
    <s v="ORD"/>
    <s v="0728"/>
    <s v="Pooja Mishra-South"/>
    <s v="0728"/>
    <s v="Amit"/>
    <s v="Amit"/>
    <m/>
  </r>
  <r>
    <s v="ORD0136"/>
    <x v="265"/>
    <s v="C012"/>
    <s v="Pooja Mishra"/>
    <s v="P004"/>
    <x v="13"/>
    <x v="0"/>
    <s v="Wearables"/>
    <x v="2"/>
    <s v="West Bengal"/>
    <n v="12159.1"/>
    <n v="5585.68"/>
    <n v="2"/>
    <n v="0"/>
    <s v="Debit Card"/>
    <x v="1"/>
    <s v="Pooja Mishra"/>
    <x v="338"/>
    <n v="0.5406173154263062"/>
    <n v="2025"/>
    <s v="Jun"/>
    <s v="Q2"/>
    <s v="Low"/>
    <s v="Profit"/>
    <s v="No"/>
    <s v="POOJA MISHRA"/>
    <s v="pooja mishra"/>
    <n v="12"/>
    <s v="ORD"/>
    <s v="0136"/>
    <s v="Pooja Mishra-East"/>
    <s v="0136"/>
    <s v="Neha"/>
    <s v="Neha"/>
    <m/>
  </r>
  <r>
    <s v="ORD0821"/>
    <x v="266"/>
    <s v="C012"/>
    <s v="Pooja Mishra"/>
    <s v="P004"/>
    <x v="13"/>
    <x v="0"/>
    <s v="Wearables"/>
    <x v="4"/>
    <s v="Chhattisgarh"/>
    <n v="24957.27"/>
    <n v="14099.6"/>
    <n v="5"/>
    <n v="0.15"/>
    <s v="Net Banking"/>
    <x v="4"/>
    <s v="Pooja Mishra"/>
    <x v="339"/>
    <n v="0.43505038812338048"/>
    <n v="2025"/>
    <s v="Jan"/>
    <s v="Q1"/>
    <s v="Medium"/>
    <s v="Profit"/>
    <s v="No"/>
    <s v="POOJA MISHRA"/>
    <s v="pooja mishra"/>
    <n v="12"/>
    <s v="ORD"/>
    <s v="0821"/>
    <s v="Pooja Mishra-Central"/>
    <s v="0821"/>
    <s v="Neha"/>
    <s v="Neha"/>
    <m/>
  </r>
  <r>
    <s v="ORD0331"/>
    <x v="267"/>
    <s v="C012"/>
    <s v="Pooja Mishra"/>
    <s v="P005"/>
    <x v="14"/>
    <x v="0"/>
    <s v="Computers"/>
    <x v="2"/>
    <s v="Bihar"/>
    <n v="7791.67"/>
    <n v="8434.2900000000009"/>
    <n v="1"/>
    <n v="0.15"/>
    <s v="Debit Card"/>
    <x v="0"/>
    <s v="Pooja Mishra"/>
    <x v="340"/>
    <n v="-8.2475258834113968E-2"/>
    <n v="2024"/>
    <s v="Oct"/>
    <s v="Q4"/>
    <s v="Low"/>
    <s v="Loss"/>
    <s v="No"/>
    <s v="POOJA MISHRA"/>
    <s v="pooja mishra"/>
    <n v="12"/>
    <s v="ORD"/>
    <s v="0331"/>
    <s v="Pooja Mishra-East"/>
    <s v="0331"/>
    <s v="Simran"/>
    <s v="Simran"/>
    <m/>
  </r>
  <r>
    <s v="ORD0472"/>
    <x v="177"/>
    <s v="C012"/>
    <s v="Pooja Mishra"/>
    <s v="P005"/>
    <x v="14"/>
    <x v="0"/>
    <s v="Computers"/>
    <x v="2"/>
    <s v="Odisha"/>
    <n v="41347.94"/>
    <n v="31762.240000000002"/>
    <n v="4"/>
    <n v="0.1"/>
    <s v="Net Banking"/>
    <x v="0"/>
    <s v="Pooja Mishra"/>
    <x v="341"/>
    <n v="0.23183017098312517"/>
    <n v="2024"/>
    <s v="Dec"/>
    <s v="Q4"/>
    <s v="Medium"/>
    <s v="Profit"/>
    <s v="No"/>
    <s v="POOJA MISHRA"/>
    <s v="pooja mishra"/>
    <n v="12"/>
    <s v="ORD"/>
    <s v="0472"/>
    <s v="Pooja Mishra-East"/>
    <s v="0472"/>
    <s v="Simran"/>
    <s v="Simran"/>
    <m/>
  </r>
  <r>
    <s v="ORD0079"/>
    <x v="268"/>
    <s v="C012"/>
    <s v="Pooja Mishra"/>
    <s v="P006"/>
    <x v="2"/>
    <x v="1"/>
    <s v="Chairs"/>
    <x v="0"/>
    <s v="Tamil Nadu"/>
    <n v="26556.35"/>
    <n v="20819.599999999999"/>
    <n v="5"/>
    <n v="0"/>
    <s v="Cash on Delivery"/>
    <x v="4"/>
    <s v="Pooja Mishra"/>
    <x v="342"/>
    <n v="0.21602178010155765"/>
    <n v="2024"/>
    <s v="Jan"/>
    <s v="Q1"/>
    <s v="Medium"/>
    <s v="Profit"/>
    <s v="No"/>
    <s v="POOJA MISHRA"/>
    <s v="pooja mishra"/>
    <n v="12"/>
    <s v="ORD"/>
    <s v="0079"/>
    <s v="Pooja Mishra-South"/>
    <s v="0079"/>
    <s v="Karan"/>
    <s v="Karan"/>
    <m/>
  </r>
  <r>
    <s v="ORD0333"/>
    <x v="141"/>
    <s v="C012"/>
    <s v="Pooja Mishra"/>
    <s v="P006"/>
    <x v="2"/>
    <x v="1"/>
    <s v="Chairs"/>
    <x v="0"/>
    <s v="Tamil Nadu"/>
    <n v="22909.56"/>
    <n v="23283.55"/>
    <n v="5"/>
    <n v="0.2"/>
    <s v="UPI"/>
    <x v="0"/>
    <s v="Pooja Mishra"/>
    <x v="343"/>
    <n v="-1.6324626051307748E-2"/>
    <n v="2024"/>
    <s v="Apr"/>
    <s v="Q2"/>
    <s v="Medium"/>
    <s v="Loss"/>
    <s v="No"/>
    <s v="POOJA MISHRA"/>
    <s v="pooja mishra"/>
    <n v="12"/>
    <s v="ORD"/>
    <s v="0333"/>
    <s v="Pooja Mishra-South"/>
    <s v="0333"/>
    <s v="Karan"/>
    <s v="Karan"/>
    <m/>
  </r>
  <r>
    <s v="ORD0750"/>
    <x v="269"/>
    <s v="C012"/>
    <s v="Pooja Mishra"/>
    <s v="P006"/>
    <x v="2"/>
    <x v="1"/>
    <s v="Chairs"/>
    <x v="4"/>
    <s v="Chhattisgarh"/>
    <n v="42193"/>
    <n v="21338.2"/>
    <n v="5"/>
    <n v="0"/>
    <s v="Cash on Delivery"/>
    <x v="0"/>
    <s v="Pooja Mishra"/>
    <x v="344"/>
    <n v="0.49427156163344627"/>
    <n v="2025"/>
    <s v="May"/>
    <s v="Q2"/>
    <s v="Medium"/>
    <s v="Profit"/>
    <s v="No"/>
    <s v="POOJA MISHRA"/>
    <s v="pooja mishra"/>
    <n v="12"/>
    <s v="ORD"/>
    <s v="0750"/>
    <s v="Pooja Mishra-Central"/>
    <s v="0750"/>
    <s v="Karan"/>
    <s v="Karan"/>
    <m/>
  </r>
  <r>
    <s v="ORD0799"/>
    <x v="148"/>
    <s v="C012"/>
    <s v="Pooja Mishra"/>
    <s v="P006"/>
    <x v="2"/>
    <x v="1"/>
    <s v="Chairs"/>
    <x v="1"/>
    <s v="Maharashtra"/>
    <n v="42762.92"/>
    <n v="21260.2"/>
    <n v="5"/>
    <n v="0.2"/>
    <s v="Cash on Delivery"/>
    <x v="0"/>
    <s v="Pooja Mishra"/>
    <x v="345"/>
    <n v="0.50283563423638977"/>
    <n v="2025"/>
    <s v="Jan"/>
    <s v="Q1"/>
    <s v="Medium"/>
    <s v="Profit"/>
    <s v="No"/>
    <s v="POOJA MISHRA"/>
    <s v="pooja mishra"/>
    <n v="12"/>
    <s v="ORD"/>
    <s v="0799"/>
    <s v="Pooja Mishra-West"/>
    <s v="0799"/>
    <s v="Karan"/>
    <s v="Karan"/>
    <m/>
  </r>
  <r>
    <s v="ORD0404"/>
    <x v="270"/>
    <s v="C012"/>
    <s v="Pooja Mishra"/>
    <s v="P008"/>
    <x v="4"/>
    <x v="1"/>
    <s v="Storage"/>
    <x v="2"/>
    <s v="Bihar"/>
    <n v="22711.93"/>
    <n v="16921.88"/>
    <n v="4"/>
    <n v="0.1"/>
    <s v="Cash on Delivery"/>
    <x v="4"/>
    <s v="Pooja Mishra"/>
    <x v="346"/>
    <n v="0.25493430104795139"/>
    <n v="2024"/>
    <s v="Nov"/>
    <s v="Q4"/>
    <s v="Medium"/>
    <s v="Profit"/>
    <s v="No"/>
    <s v="POOJA MISHRA"/>
    <s v="pooja mishra"/>
    <n v="12"/>
    <s v="ORD"/>
    <s v="0404"/>
    <s v="Pooja Mishra-East"/>
    <s v="0404"/>
    <s v="Anjali"/>
    <s v="Anjali"/>
    <m/>
  </r>
  <r>
    <s v="ORD0176"/>
    <x v="271"/>
    <s v="C012"/>
    <s v="Pooja Mishra"/>
    <s v="P009"/>
    <x v="5"/>
    <x v="1"/>
    <s v="Seating"/>
    <x v="2"/>
    <s v="Bihar"/>
    <n v="68324.460000000006"/>
    <n v="50769.78"/>
    <n v="3"/>
    <n v="0"/>
    <s v="Cash on Delivery"/>
    <x v="1"/>
    <s v="Pooja Mishra"/>
    <x v="347"/>
    <n v="0.25693111954342568"/>
    <n v="2024"/>
    <s v="Jan"/>
    <s v="Q1"/>
    <s v="High"/>
    <s v="Profit"/>
    <s v="Yes"/>
    <s v="POOJA MISHRA"/>
    <s v="pooja mishra"/>
    <n v="12"/>
    <s v="ORD"/>
    <s v="0176"/>
    <s v="Pooja Mishra-East"/>
    <s v="0176"/>
    <s v="Arjun"/>
    <s v="Arjun"/>
    <m/>
  </r>
  <r>
    <s v="ORD0034"/>
    <x v="248"/>
    <s v="C012"/>
    <s v="Pooja Mishra"/>
    <s v="P010"/>
    <x v="6"/>
    <x v="1"/>
    <s v="Bedroom"/>
    <x v="3"/>
    <s v="Punjab"/>
    <n v="124289.32"/>
    <n v="93663.7"/>
    <n v="5"/>
    <n v="0.2"/>
    <s v="UPI"/>
    <x v="4"/>
    <s v="Pooja Mishra"/>
    <x v="348"/>
    <n v="0.2464058858798166"/>
    <n v="2025"/>
    <s v="Mar"/>
    <s v="Q1"/>
    <s v="High"/>
    <s v="Profit"/>
    <s v="Yes"/>
    <s v="POOJA MISHRA"/>
    <s v="pooja mishra"/>
    <n v="12"/>
    <s v="ORD"/>
    <s v="0034"/>
    <s v="Pooja Mishra-North"/>
    <s v="0034"/>
    <s v="Sneha"/>
    <s v="Sneha"/>
    <m/>
  </r>
  <r>
    <s v="ORD0318"/>
    <x v="272"/>
    <s v="C012"/>
    <s v="Pooja Mishra"/>
    <s v="P010"/>
    <x v="6"/>
    <x v="1"/>
    <s v="Bedroom"/>
    <x v="3"/>
    <s v="Punjab"/>
    <n v="64480.26"/>
    <n v="37019.339999999997"/>
    <n v="2"/>
    <n v="0"/>
    <s v="Cash on Delivery"/>
    <x v="0"/>
    <s v="Pooja Mishra"/>
    <x v="349"/>
    <n v="0.42588103708018554"/>
    <n v="2025"/>
    <s v="Jan"/>
    <s v="Q1"/>
    <s v="High"/>
    <s v="Profit"/>
    <s v="Yes"/>
    <s v="POOJA MISHRA"/>
    <s v="pooja mishra"/>
    <n v="12"/>
    <s v="ORD"/>
    <s v="0318"/>
    <s v="Pooja Mishra-North"/>
    <s v="0318"/>
    <s v="Sneha"/>
    <s v="Sneha"/>
    <m/>
  </r>
  <r>
    <s v="ORD0860"/>
    <x v="273"/>
    <s v="C012"/>
    <s v="Pooja Mishra"/>
    <s v="P010"/>
    <x v="6"/>
    <x v="1"/>
    <s v="Bedroom"/>
    <x v="0"/>
    <s v="Tamil Nadu"/>
    <n v="131616.07999999999"/>
    <n v="93103.8"/>
    <n v="5"/>
    <n v="0.2"/>
    <s v="Credit Card"/>
    <x v="0"/>
    <s v="Pooja Mishra"/>
    <x v="350"/>
    <n v="0.29261075090520844"/>
    <n v="2025"/>
    <s v="Nov"/>
    <s v="Q4"/>
    <s v="High"/>
    <s v="Profit"/>
    <s v="Yes"/>
    <s v="POOJA MISHRA"/>
    <s v="pooja mishra"/>
    <n v="12"/>
    <s v="ORD"/>
    <s v="0860"/>
    <s v="Pooja Mishra-South"/>
    <s v="0860"/>
    <s v="Sneha"/>
    <s v="Sneha"/>
    <m/>
  </r>
  <r>
    <s v="ORD0945"/>
    <x v="274"/>
    <s v="C012"/>
    <s v="Pooja Mishra"/>
    <s v="P010"/>
    <x v="6"/>
    <x v="1"/>
    <s v="Bedroom"/>
    <x v="1"/>
    <s v="Maharashtra"/>
    <n v="37381.870000000003"/>
    <n v="35388.379999999997"/>
    <n v="2"/>
    <n v="0.2"/>
    <s v="Net Banking"/>
    <x v="2"/>
    <s v="Pooja Mishra"/>
    <x v="351"/>
    <n v="5.3327722770423337E-2"/>
    <n v="2025"/>
    <s v="Sep"/>
    <s v="Q3"/>
    <s v="Medium"/>
    <s v="Profit"/>
    <s v="No"/>
    <s v="POOJA MISHRA"/>
    <s v="pooja mishra"/>
    <n v="12"/>
    <s v="ORD"/>
    <s v="0945"/>
    <s v="Pooja Mishra-West"/>
    <s v="0945"/>
    <s v="Sneha"/>
    <s v="Sneha"/>
    <m/>
  </r>
  <r>
    <s v="ORD0424"/>
    <x v="275"/>
    <s v="C012"/>
    <s v="Pooja Mishra"/>
    <s v="P011"/>
    <x v="15"/>
    <x v="2"/>
    <s v="Footwear"/>
    <x v="3"/>
    <s v="Punjab"/>
    <n v="10244.57"/>
    <n v="4704.24"/>
    <n v="4"/>
    <n v="0.15"/>
    <s v="Net Banking"/>
    <x v="3"/>
    <s v="Pooja Mishra"/>
    <x v="352"/>
    <n v="0.54080649553861215"/>
    <n v="2024"/>
    <s v="Apr"/>
    <s v="Q2"/>
    <s v="Low"/>
    <s v="Profit"/>
    <s v="No"/>
    <s v="POOJA MISHRA"/>
    <s v="pooja mishra"/>
    <n v="12"/>
    <s v="ORD"/>
    <s v="0424"/>
    <s v="Pooja Mishra-North"/>
    <s v="0424"/>
    <s v="Vikas"/>
    <s v="Vikas"/>
    <m/>
  </r>
  <r>
    <s v="ORD0524"/>
    <x v="6"/>
    <s v="C012"/>
    <s v="Pooja Mishra"/>
    <s v="P011"/>
    <x v="15"/>
    <x v="2"/>
    <s v="Footwear"/>
    <x v="2"/>
    <s v="Odisha"/>
    <n v="11911.92"/>
    <n v="5063.76"/>
    <n v="4"/>
    <n v="0"/>
    <s v="Net Banking"/>
    <x v="4"/>
    <s v="Pooja Mishra"/>
    <x v="353"/>
    <n v="0.57489976426973988"/>
    <n v="2025"/>
    <s v="Jun"/>
    <s v="Q2"/>
    <s v="Low"/>
    <s v="Profit"/>
    <s v="No"/>
    <s v="POOJA MISHRA"/>
    <s v="pooja mishra"/>
    <n v="12"/>
    <s v="ORD"/>
    <s v="0524"/>
    <s v="Pooja Mishra-East"/>
    <s v="0524"/>
    <s v="Vikas"/>
    <s v="Vikas"/>
    <m/>
  </r>
  <r>
    <s v="ORD0577"/>
    <x v="276"/>
    <s v="C012"/>
    <s v="Pooja Mishra"/>
    <s v="P012"/>
    <x v="7"/>
    <x v="2"/>
    <s v="Clothing"/>
    <x v="0"/>
    <s v="Karnataka"/>
    <n v="2917.16"/>
    <n v="2750.7"/>
    <n v="3"/>
    <n v="0.1"/>
    <s v="Credit Card"/>
    <x v="1"/>
    <s v="Pooja Mishra"/>
    <x v="354"/>
    <n v="5.7062348311371351E-2"/>
    <n v="2024"/>
    <s v="Nov"/>
    <s v="Q4"/>
    <s v="Low"/>
    <s v="Profit"/>
    <s v="No"/>
    <s v="POOJA MISHRA"/>
    <s v="pooja mishra"/>
    <n v="12"/>
    <s v="ORD"/>
    <s v="0577"/>
    <s v="Pooja Mishra-South"/>
    <s v="0577"/>
    <s v="Pooja"/>
    <s v="Pooja"/>
    <m/>
  </r>
  <r>
    <s v="ORD0047"/>
    <x v="277"/>
    <s v="C012"/>
    <s v="Pooja Mishra"/>
    <s v="P014"/>
    <x v="19"/>
    <x v="2"/>
    <s v="Clothing"/>
    <x v="3"/>
    <s v="Uttar Pradesh"/>
    <n v="2741.64"/>
    <n v="768.48"/>
    <n v="3"/>
    <n v="0"/>
    <s v="Debit Card"/>
    <x v="4"/>
    <s v="Pooja Mishra"/>
    <x v="355"/>
    <n v="0.7197006171488598"/>
    <n v="2025"/>
    <s v="Nov"/>
    <s v="Q4"/>
    <s v="Low"/>
    <s v="Profit"/>
    <s v="No"/>
    <s v="POOJA MISHRA"/>
    <s v="pooja mishra"/>
    <n v="12"/>
    <s v="ORD"/>
    <s v="0047"/>
    <s v="Pooja Mishra-North"/>
    <s v="0047"/>
    <s v="Kavya"/>
    <s v="Kavya"/>
    <m/>
  </r>
  <r>
    <s v="ORD0419"/>
    <x v="278"/>
    <s v="C012"/>
    <s v="Pooja Mishra"/>
    <s v="P014"/>
    <x v="19"/>
    <x v="2"/>
    <s v="Clothing"/>
    <x v="0"/>
    <s v="Tamil Nadu"/>
    <n v="955.23"/>
    <n v="252.41"/>
    <n v="1"/>
    <n v="0.15"/>
    <s v="Debit Card"/>
    <x v="0"/>
    <s v="Pooja Mishra"/>
    <x v="356"/>
    <n v="0.73575997403766635"/>
    <n v="2024"/>
    <s v="Jun"/>
    <s v="Q2"/>
    <s v="Low"/>
    <s v="Profit"/>
    <s v="No"/>
    <s v="POOJA MISHRA"/>
    <s v="pooja mishra"/>
    <n v="12"/>
    <s v="ORD"/>
    <s v="0419"/>
    <s v="Pooja Mishra-South"/>
    <s v="0419"/>
    <s v="Kavya"/>
    <s v="Kavya"/>
    <m/>
  </r>
  <r>
    <s v="ORD0795"/>
    <x v="279"/>
    <s v="C012"/>
    <s v="Pooja Mishra"/>
    <s v="P014"/>
    <x v="19"/>
    <x v="2"/>
    <s v="Clothing"/>
    <x v="2"/>
    <s v="West Bengal"/>
    <n v="1119.75"/>
    <n v="742.98"/>
    <n v="3"/>
    <n v="0"/>
    <s v="Credit Card"/>
    <x v="2"/>
    <s v="Pooja Mishra"/>
    <x v="357"/>
    <n v="0.3364768921634293"/>
    <n v="2025"/>
    <s v="Jul"/>
    <s v="Q3"/>
    <s v="Low"/>
    <s v="Profit"/>
    <s v="No"/>
    <s v="POOJA MISHRA"/>
    <s v="pooja mishra"/>
    <n v="12"/>
    <s v="ORD"/>
    <s v="0795"/>
    <s v="Pooja Mishra-East"/>
    <s v="0795"/>
    <s v="Kavya"/>
    <s v="Kavya"/>
    <m/>
  </r>
  <r>
    <s v="ORD0995"/>
    <x v="280"/>
    <s v="C012"/>
    <s v="Pooja Mishra"/>
    <s v="P014"/>
    <x v="19"/>
    <x v="2"/>
    <s v="Clothing"/>
    <x v="1"/>
    <s v="Gujarat"/>
    <n v="569.79"/>
    <n v="261.70999999999998"/>
    <n v="1"/>
    <n v="0.05"/>
    <s v="Credit Card"/>
    <x v="0"/>
    <s v="Pooja Mishra"/>
    <x v="358"/>
    <n v="0.54069042980747295"/>
    <n v="2025"/>
    <s v="Nov"/>
    <s v="Q4"/>
    <s v="Low"/>
    <s v="Profit"/>
    <s v="No"/>
    <s v="POOJA MISHRA"/>
    <s v="pooja mishra"/>
    <n v="12"/>
    <s v="ORD"/>
    <s v="0995"/>
    <s v="Pooja Mishra-West"/>
    <s v="0995"/>
    <s v="Kavya"/>
    <s v="Kavya"/>
    <m/>
  </r>
  <r>
    <s v="ORD0392"/>
    <x v="281"/>
    <s v="C012"/>
    <s v="Pooja Mishra"/>
    <s v="P015"/>
    <x v="17"/>
    <x v="2"/>
    <s v="Clothing"/>
    <x v="1"/>
    <s v="Rajasthan"/>
    <n v="839.03"/>
    <n v="518.12"/>
    <n v="1"/>
    <n v="0.15"/>
    <s v="Cash on Delivery"/>
    <x v="2"/>
    <s v="Pooja Mishra"/>
    <x v="359"/>
    <n v="0.38247738459888203"/>
    <n v="2025"/>
    <s v="Feb"/>
    <s v="Q1"/>
    <s v="Low"/>
    <s v="Profit"/>
    <s v="No"/>
    <s v="POOJA MISHRA"/>
    <s v="pooja mishra"/>
    <n v="12"/>
    <s v="ORD"/>
    <s v="0392"/>
    <s v="Pooja Mishra-West"/>
    <s v="0392"/>
    <s v="Manish"/>
    <s v="Manish"/>
    <m/>
  </r>
  <r>
    <s v="ORD0447"/>
    <x v="282"/>
    <s v="C012"/>
    <s v="Pooja Mishra"/>
    <s v="P015"/>
    <x v="17"/>
    <x v="2"/>
    <s v="Clothing"/>
    <x v="3"/>
    <s v="Uttar Pradesh"/>
    <n v="7151.44"/>
    <n v="2682.4"/>
    <n v="5"/>
    <n v="0.2"/>
    <s v="Net Banking"/>
    <x v="0"/>
    <s v="Pooja Mishra"/>
    <x v="360"/>
    <n v="0.62491470249348369"/>
    <n v="2025"/>
    <s v="Sep"/>
    <s v="Q3"/>
    <s v="Low"/>
    <s v="Profit"/>
    <s v="No"/>
    <s v="POOJA MISHRA"/>
    <s v="pooja mishra"/>
    <n v="12"/>
    <s v="ORD"/>
    <s v="0447"/>
    <s v="Pooja Mishra-North"/>
    <s v="0447"/>
    <s v="Manish"/>
    <s v="Manish"/>
    <m/>
  </r>
  <r>
    <s v="ORD0839"/>
    <x v="265"/>
    <s v="C012"/>
    <s v="Pooja Mishra"/>
    <s v="P015"/>
    <x v="17"/>
    <x v="2"/>
    <s v="Clothing"/>
    <x v="0"/>
    <s v="Karnataka"/>
    <n v="2713.54"/>
    <n v="1017.54"/>
    <n v="2"/>
    <n v="0.2"/>
    <s v="Net Banking"/>
    <x v="0"/>
    <s v="Pooja Mishra"/>
    <x v="361"/>
    <n v="0.62501381958622315"/>
    <n v="2025"/>
    <s v="Jun"/>
    <s v="Q2"/>
    <s v="Low"/>
    <s v="Profit"/>
    <s v="No"/>
    <s v="POOJA MISHRA"/>
    <s v="pooja mishra"/>
    <n v="12"/>
    <s v="ORD"/>
    <s v="0839"/>
    <s v="Pooja Mishra-South"/>
    <s v="0839"/>
    <s v="Manish"/>
    <s v="Manish"/>
    <m/>
  </r>
  <r>
    <s v="ORD0290"/>
    <x v="248"/>
    <s v="C012"/>
    <s v="Pooja Mishra"/>
    <s v="P016"/>
    <x v="8"/>
    <x v="3"/>
    <s v="Kitchen"/>
    <x v="3"/>
    <s v="Uttar Pradesh"/>
    <n v="12248.48"/>
    <n v="6939.24"/>
    <n v="4"/>
    <n v="0"/>
    <s v="UPI"/>
    <x v="1"/>
    <s v="Pooja Mishra"/>
    <x v="362"/>
    <n v="0.43346113150366411"/>
    <n v="2025"/>
    <s v="Mar"/>
    <s v="Q1"/>
    <s v="Low"/>
    <s v="Profit"/>
    <s v="No"/>
    <s v="POOJA MISHRA"/>
    <s v="pooja mishra"/>
    <n v="12"/>
    <s v="ORD"/>
    <s v="0290"/>
    <s v="Pooja Mishra-North"/>
    <s v="0290"/>
    <s v="Rahul"/>
    <s v="Rahul"/>
    <m/>
  </r>
  <r>
    <s v="ORD0533"/>
    <x v="39"/>
    <s v="C012"/>
    <s v="Pooja Mishra"/>
    <s v="P016"/>
    <x v="8"/>
    <x v="3"/>
    <s v="Kitchen"/>
    <x v="1"/>
    <s v="Rajasthan"/>
    <n v="2961.35"/>
    <n v="1779.07"/>
    <n v="1"/>
    <n v="0.1"/>
    <s v="Credit Card"/>
    <x v="4"/>
    <s v="Pooja Mishra"/>
    <x v="363"/>
    <n v="0.39923683455180914"/>
    <n v="2024"/>
    <s v="Aug"/>
    <s v="Q3"/>
    <s v="Low"/>
    <s v="Profit"/>
    <s v="No"/>
    <s v="POOJA MISHRA"/>
    <s v="pooja mishra"/>
    <n v="12"/>
    <s v="ORD"/>
    <s v="0533"/>
    <s v="Pooja Mishra-West"/>
    <s v="0533"/>
    <s v="Rahul"/>
    <s v="Rahul"/>
    <m/>
  </r>
  <r>
    <s v="ORD0743"/>
    <x v="283"/>
    <s v="C012"/>
    <s v="Pooja Mishra"/>
    <s v="P016"/>
    <x v="8"/>
    <x v="3"/>
    <s v="Kitchen"/>
    <x v="1"/>
    <s v="Maharashtra"/>
    <n v="4853.49"/>
    <n v="3313.74"/>
    <n v="2"/>
    <n v="0.05"/>
    <s v="Credit Card"/>
    <x v="0"/>
    <s v="Pooja Mishra"/>
    <x v="364"/>
    <n v="0.317245940549996"/>
    <n v="2024"/>
    <s v="Dec"/>
    <s v="Q4"/>
    <s v="Low"/>
    <s v="Profit"/>
    <s v="No"/>
    <s v="POOJA MISHRA"/>
    <s v="pooja mishra"/>
    <n v="12"/>
    <s v="ORD"/>
    <s v="0743"/>
    <s v="Pooja Mishra-West"/>
    <s v="0743"/>
    <s v="Rahul"/>
    <s v="Rahul"/>
    <m/>
  </r>
  <r>
    <s v="ORD0790"/>
    <x v="266"/>
    <s v="C012"/>
    <s v="Pooja Mishra"/>
    <s v="P016"/>
    <x v="8"/>
    <x v="3"/>
    <s v="Kitchen"/>
    <x v="2"/>
    <s v="Bihar"/>
    <n v="12922.44"/>
    <n v="4882.7700000000004"/>
    <n v="3"/>
    <n v="0.2"/>
    <s v="UPI"/>
    <x v="0"/>
    <s v="Pooja Mishra"/>
    <x v="365"/>
    <n v="0.62214798443637576"/>
    <n v="2025"/>
    <s v="Jan"/>
    <s v="Q1"/>
    <s v="Low"/>
    <s v="Profit"/>
    <s v="No"/>
    <s v="POOJA MISHRA"/>
    <s v="pooja mishra"/>
    <n v="12"/>
    <s v="ORD"/>
    <s v="0790"/>
    <s v="Pooja Mishra-East"/>
    <s v="0790"/>
    <s v="Rahul"/>
    <s v="Rahul"/>
    <m/>
  </r>
  <r>
    <s v="ORD0509"/>
    <x v="284"/>
    <s v="C012"/>
    <s v="Pooja Mishra"/>
    <s v="P017"/>
    <x v="9"/>
    <x v="3"/>
    <s v="Kitchen"/>
    <x v="1"/>
    <s v="Rajasthan"/>
    <n v="19972.2"/>
    <n v="17093.73"/>
    <n v="3"/>
    <n v="0.1"/>
    <s v="UPI"/>
    <x v="0"/>
    <s v="Pooja Mishra"/>
    <x v="366"/>
    <n v="0.14412383212665611"/>
    <n v="2024"/>
    <s v="Jan"/>
    <s v="Q1"/>
    <s v="Low"/>
    <s v="Profit"/>
    <s v="No"/>
    <s v="POOJA MISHRA"/>
    <s v="pooja mishra"/>
    <n v="12"/>
    <s v="ORD"/>
    <s v="0509"/>
    <s v="Pooja Mishra-West"/>
    <s v="0509"/>
    <s v="Priya"/>
    <s v="Priya"/>
    <m/>
  </r>
  <r>
    <s v="ORD0069"/>
    <x v="31"/>
    <s v="C012"/>
    <s v="Pooja Mishra"/>
    <s v="P018"/>
    <x v="10"/>
    <x v="3"/>
    <s v="Cooling"/>
    <x v="1"/>
    <s v="Maharashtra"/>
    <n v="31767.599999999999"/>
    <n v="15077.55"/>
    <n v="3"/>
    <n v="0"/>
    <s v="Net Banking"/>
    <x v="2"/>
    <s v="Pooja Mishra"/>
    <x v="367"/>
    <n v="0.52537963207796623"/>
    <n v="2025"/>
    <s v="Nov"/>
    <s v="Q4"/>
    <s v="Medium"/>
    <s v="Profit"/>
    <s v="No"/>
    <s v="POOJA MISHRA"/>
    <s v="pooja mishra"/>
    <n v="12"/>
    <s v="ORD"/>
    <s v="0069"/>
    <s v="Pooja Mishra-West"/>
    <s v="0069"/>
    <s v="Amit"/>
    <s v="Amit"/>
    <m/>
  </r>
  <r>
    <s v="ORD0207"/>
    <x v="285"/>
    <s v="C012"/>
    <s v="Pooja Mishra"/>
    <s v="P018"/>
    <x v="10"/>
    <x v="3"/>
    <s v="Cooling"/>
    <x v="0"/>
    <s v="Tamil Nadu"/>
    <n v="40998.67"/>
    <n v="22018.720000000001"/>
    <n v="4"/>
    <n v="0.1"/>
    <s v="Cash on Delivery"/>
    <x v="0"/>
    <s v="Pooja Mishra"/>
    <x v="368"/>
    <n v="0.46294062709839118"/>
    <n v="2024"/>
    <s v="Mar"/>
    <s v="Q1"/>
    <s v="Medium"/>
    <s v="Profit"/>
    <s v="No"/>
    <s v="POOJA MISHRA"/>
    <s v="pooja mishra"/>
    <n v="12"/>
    <s v="ORD"/>
    <s v="0207"/>
    <s v="Pooja Mishra-South"/>
    <s v="0207"/>
    <s v="Amit"/>
    <s v="Amit"/>
    <m/>
  </r>
  <r>
    <s v="ORD0039"/>
    <x v="189"/>
    <s v="C012"/>
    <s v="Pooja Mishra"/>
    <s v="P019"/>
    <x v="18"/>
    <x v="3"/>
    <s v="Cleaning"/>
    <x v="1"/>
    <s v="Rajasthan"/>
    <n v="21943.8"/>
    <n v="12956.84"/>
    <n v="4"/>
    <n v="0"/>
    <s v="Debit Card"/>
    <x v="0"/>
    <s v="Pooja Mishra"/>
    <x v="369"/>
    <n v="0.40954438155652162"/>
    <n v="2024"/>
    <s v="May"/>
    <s v="Q2"/>
    <s v="Medium"/>
    <s v="Profit"/>
    <s v="No"/>
    <s v="POOJA MISHRA"/>
    <s v="pooja mishra"/>
    <n v="12"/>
    <s v="ORD"/>
    <s v="0039"/>
    <s v="Pooja Mishra-West"/>
    <s v="0039"/>
    <s v="Neha"/>
    <s v="Neha"/>
    <m/>
  </r>
  <r>
    <s v="ORD0355"/>
    <x v="286"/>
    <s v="C012"/>
    <s v="Pooja Mishra"/>
    <s v="P019"/>
    <x v="18"/>
    <x v="3"/>
    <s v="Cleaning"/>
    <x v="1"/>
    <s v="Rajasthan"/>
    <n v="12967.68"/>
    <n v="13357.2"/>
    <n v="4"/>
    <n v="0.2"/>
    <s v="Credit Card"/>
    <x v="0"/>
    <s v="Pooja Mishra"/>
    <x v="370"/>
    <n v="-3.003775540420495E-2"/>
    <n v="2024"/>
    <s v="Nov"/>
    <s v="Q4"/>
    <s v="Low"/>
    <s v="Loss"/>
    <s v="No"/>
    <s v="POOJA MISHRA"/>
    <s v="pooja mishra"/>
    <n v="12"/>
    <s v="ORD"/>
    <s v="0355"/>
    <s v="Pooja Mishra-West"/>
    <s v="0355"/>
    <s v="Neha"/>
    <s v="Neha"/>
    <m/>
  </r>
  <r>
    <s v="ORD0513"/>
    <x v="287"/>
    <s v="C012"/>
    <s v="Pooja Mishra"/>
    <s v="P020"/>
    <x v="11"/>
    <x v="3"/>
    <s v="Kitchen"/>
    <x v="0"/>
    <s v="Telangana"/>
    <n v="4755.88"/>
    <n v="2684.4"/>
    <n v="5"/>
    <n v="0.2"/>
    <s v="Debit Card"/>
    <x v="3"/>
    <s v="Pooja Mishra"/>
    <x v="371"/>
    <n v="0.43556187288156978"/>
    <n v="2025"/>
    <s v="May"/>
    <s v="Q2"/>
    <s v="Low"/>
    <s v="Profit"/>
    <s v="No"/>
    <s v="POOJA MISHRA"/>
    <s v="pooja mishra"/>
    <n v="12"/>
    <s v="ORD"/>
    <s v="0513"/>
    <s v="Pooja Mishra-South"/>
    <s v="0513"/>
    <s v="Simran"/>
    <s v="Simran"/>
    <m/>
  </r>
  <r>
    <s v="ORD0213"/>
    <x v="288"/>
    <s v="C024"/>
    <s v="Nisha Agarwal"/>
    <s v="P002"/>
    <x v="0"/>
    <x v="0"/>
    <s v="Phones"/>
    <x v="2"/>
    <s v="West Bengal"/>
    <n v="52465.99"/>
    <n v="36174.480000000003"/>
    <n v="2"/>
    <n v="0.15"/>
    <s v="Credit Card"/>
    <x v="0"/>
    <s v="Nisha Agarwal"/>
    <x v="372"/>
    <n v="0.31051563117364211"/>
    <n v="2025"/>
    <s v="May"/>
    <s v="Q2"/>
    <s v="High"/>
    <s v="Profit"/>
    <s v="Yes"/>
    <s v="NISHA AGARWAL"/>
    <s v="nisha agarwal"/>
    <n v="13"/>
    <s v="ORD"/>
    <s v="0213"/>
    <s v="Nisha Agarwal-East"/>
    <s v="0213"/>
    <s v="Priya"/>
    <s v="Priya"/>
    <m/>
  </r>
  <r>
    <s v="ORD0244"/>
    <x v="289"/>
    <s v="C024"/>
    <s v="Nisha Agarwal"/>
    <s v="P002"/>
    <x v="0"/>
    <x v="0"/>
    <s v="Phones"/>
    <x v="1"/>
    <s v="Maharashtra"/>
    <n v="62710.16"/>
    <n v="36286.28"/>
    <n v="2"/>
    <n v="0"/>
    <s v="Credit Card"/>
    <x v="4"/>
    <s v="Nisha Agarwal"/>
    <x v="373"/>
    <n v="0.4213652141853888"/>
    <n v="2025"/>
    <s v="Mar"/>
    <s v="Q1"/>
    <s v="High"/>
    <s v="Profit"/>
    <s v="Yes"/>
    <s v="NISHA AGARWAL"/>
    <s v="nisha agarwal"/>
    <n v="13"/>
    <s v="ORD"/>
    <s v="0244"/>
    <s v="Nisha Agarwal-West"/>
    <s v="0244"/>
    <s v="Priya"/>
    <s v="Priya"/>
    <m/>
  </r>
  <r>
    <s v="ORD0622"/>
    <x v="290"/>
    <s v="C024"/>
    <s v="Nisha Agarwal"/>
    <s v="P002"/>
    <x v="0"/>
    <x v="0"/>
    <s v="Phones"/>
    <x v="4"/>
    <s v="Chhattisgarh"/>
    <n v="72538.679999999993"/>
    <n v="54701.37"/>
    <n v="3"/>
    <n v="0.2"/>
    <s v="Cash on Delivery"/>
    <x v="0"/>
    <s v="Nisha Agarwal"/>
    <x v="374"/>
    <n v="0.24590066982194866"/>
    <n v="2025"/>
    <s v="Jun"/>
    <s v="Q2"/>
    <s v="High"/>
    <s v="Profit"/>
    <s v="Yes"/>
    <s v="NISHA AGARWAL"/>
    <s v="nisha agarwal"/>
    <n v="13"/>
    <s v="ORD"/>
    <s v="0622"/>
    <s v="Nisha Agarwal-Central"/>
    <s v="0622"/>
    <s v="Priya"/>
    <s v="Priya"/>
    <m/>
  </r>
  <r>
    <s v="ORD0697"/>
    <x v="291"/>
    <s v="C024"/>
    <s v="Nisha Agarwal"/>
    <s v="P002"/>
    <x v="0"/>
    <x v="0"/>
    <s v="Phones"/>
    <x v="1"/>
    <s v="Rajasthan"/>
    <n v="54716.62"/>
    <n v="38055.54"/>
    <n v="2"/>
    <n v="0"/>
    <s v="UPI"/>
    <x v="0"/>
    <s v="Nisha Agarwal"/>
    <x v="375"/>
    <n v="0.30449760968422396"/>
    <n v="2024"/>
    <s v="Jun"/>
    <s v="Q2"/>
    <s v="High"/>
    <s v="Profit"/>
    <s v="Yes"/>
    <s v="NISHA AGARWAL"/>
    <s v="nisha agarwal"/>
    <n v="13"/>
    <s v="ORD"/>
    <s v="0697"/>
    <s v="Nisha Agarwal-West"/>
    <s v="0697"/>
    <s v="Priya"/>
    <s v="Priya"/>
    <m/>
  </r>
  <r>
    <s v="ORD0367"/>
    <x v="206"/>
    <s v="C024"/>
    <s v="Nisha Agarwal"/>
    <s v="P003"/>
    <x v="1"/>
    <x v="0"/>
    <s v="Accessories"/>
    <x v="0"/>
    <s v="Karnataka"/>
    <n v="17957.34"/>
    <n v="5041.32"/>
    <n v="3"/>
    <n v="0"/>
    <s v="Debit Card"/>
    <x v="2"/>
    <s v="Nisha Agarwal"/>
    <x v="376"/>
    <n v="0.71926131598555243"/>
    <n v="2024"/>
    <s v="Dec"/>
    <s v="Q4"/>
    <s v="Low"/>
    <s v="Profit"/>
    <s v="No"/>
    <s v="NISHA AGARWAL"/>
    <s v="nisha agarwal"/>
    <n v="13"/>
    <s v="ORD"/>
    <s v="0367"/>
    <s v="Nisha Agarwal-South"/>
    <s v="0367"/>
    <s v="Amit"/>
    <s v="Amit"/>
    <m/>
  </r>
  <r>
    <s v="ORD0504"/>
    <x v="176"/>
    <s v="C024"/>
    <s v="Nisha Agarwal"/>
    <s v="P003"/>
    <x v="1"/>
    <x v="0"/>
    <s v="Accessories"/>
    <x v="3"/>
    <s v="Uttar Pradesh"/>
    <n v="10855.37"/>
    <n v="5644.23"/>
    <n v="3"/>
    <n v="0.2"/>
    <s v="Debit Card"/>
    <x v="1"/>
    <s v="Nisha Agarwal"/>
    <x v="377"/>
    <n v="0.48005180845977619"/>
    <n v="2025"/>
    <s v="Jul"/>
    <s v="Q3"/>
    <s v="Low"/>
    <s v="Profit"/>
    <s v="No"/>
    <s v="NISHA AGARWAL"/>
    <s v="nisha agarwal"/>
    <n v="13"/>
    <s v="ORD"/>
    <s v="0504"/>
    <s v="Nisha Agarwal-North"/>
    <s v="0504"/>
    <s v="Amit"/>
    <s v="Amit"/>
    <m/>
  </r>
  <r>
    <s v="ORD0421"/>
    <x v="51"/>
    <s v="C024"/>
    <s v="Nisha Agarwal"/>
    <s v="P004"/>
    <x v="13"/>
    <x v="0"/>
    <s v="Wearables"/>
    <x v="0"/>
    <s v="Tamil Nadu"/>
    <n v="15969.46"/>
    <n v="5948.1"/>
    <n v="2"/>
    <n v="0.1"/>
    <s v="Net Banking"/>
    <x v="0"/>
    <s v="Nisha Agarwal"/>
    <x v="378"/>
    <n v="0.62753280323818084"/>
    <n v="2025"/>
    <s v="Oct"/>
    <s v="Q4"/>
    <s v="Low"/>
    <s v="Profit"/>
    <s v="No"/>
    <s v="NISHA AGARWAL"/>
    <s v="nisha agarwal"/>
    <n v="13"/>
    <s v="ORD"/>
    <s v="0421"/>
    <s v="Nisha Agarwal-South"/>
    <s v="0421"/>
    <s v="Neha"/>
    <s v="Neha"/>
    <m/>
  </r>
  <r>
    <s v="ORD0544"/>
    <x v="263"/>
    <s v="C024"/>
    <s v="Nisha Agarwal"/>
    <s v="P004"/>
    <x v="13"/>
    <x v="0"/>
    <s v="Wearables"/>
    <x v="1"/>
    <s v="Rajasthan"/>
    <n v="12965.99"/>
    <n v="5967.4"/>
    <n v="2"/>
    <n v="0.1"/>
    <s v="Debit Card"/>
    <x v="0"/>
    <s v="Nisha Agarwal"/>
    <x v="379"/>
    <n v="0.53976518568963883"/>
    <n v="2025"/>
    <s v="Nov"/>
    <s v="Q4"/>
    <s v="Low"/>
    <s v="Profit"/>
    <s v="No"/>
    <s v="NISHA AGARWAL"/>
    <s v="nisha agarwal"/>
    <n v="13"/>
    <s v="ORD"/>
    <s v="0544"/>
    <s v="Nisha Agarwal-West"/>
    <s v="0544"/>
    <s v="Neha"/>
    <s v="Neha"/>
    <m/>
  </r>
  <r>
    <s v="ORD0798"/>
    <x v="162"/>
    <s v="C024"/>
    <s v="Nisha Agarwal"/>
    <s v="P005"/>
    <x v="14"/>
    <x v="0"/>
    <s v="Computers"/>
    <x v="0"/>
    <s v="Tamil Nadu"/>
    <n v="69296.23"/>
    <n v="42614.15"/>
    <n v="5"/>
    <n v="0.05"/>
    <s v="UPI"/>
    <x v="3"/>
    <s v="Nisha Agarwal"/>
    <x v="380"/>
    <n v="0.38504374624709015"/>
    <n v="2024"/>
    <s v="Jun"/>
    <s v="Q2"/>
    <s v="High"/>
    <s v="Profit"/>
    <s v="Yes"/>
    <s v="NISHA AGARWAL"/>
    <s v="nisha agarwal"/>
    <n v="13"/>
    <s v="ORD"/>
    <s v="0798"/>
    <s v="Nisha Agarwal-South"/>
    <s v="0798"/>
    <s v="Simran"/>
    <s v="Simran"/>
    <m/>
  </r>
  <r>
    <s v="ORD0986"/>
    <x v="292"/>
    <s v="C024"/>
    <s v="Nisha Agarwal"/>
    <s v="P006"/>
    <x v="2"/>
    <x v="1"/>
    <s v="Chairs"/>
    <x v="4"/>
    <s v="Madhya Pradesh"/>
    <n v="26098.82"/>
    <n v="14803.95"/>
    <n v="3"/>
    <n v="0.15"/>
    <s v="Cash on Delivery"/>
    <x v="0"/>
    <s v="Nisha Agarwal"/>
    <x v="381"/>
    <n v="0.43277320583842482"/>
    <n v="2024"/>
    <s v="Jul"/>
    <s v="Q3"/>
    <s v="Medium"/>
    <s v="Profit"/>
    <s v="No"/>
    <s v="NISHA AGARWAL"/>
    <s v="nisha agarwal"/>
    <n v="13"/>
    <s v="ORD"/>
    <s v="0986"/>
    <s v="Nisha Agarwal-Central"/>
    <s v="0986"/>
    <s v="Karan"/>
    <s v="Karan"/>
    <m/>
  </r>
  <r>
    <s v="ORD0550"/>
    <x v="293"/>
    <s v="C024"/>
    <s v="Nisha Agarwal"/>
    <s v="P007"/>
    <x v="3"/>
    <x v="1"/>
    <s v="Tables"/>
    <x v="3"/>
    <s v="Delhi"/>
    <n v="36835.519999999997"/>
    <n v="27205.72"/>
    <n v="4"/>
    <n v="0"/>
    <s v="Net Banking"/>
    <x v="2"/>
    <s v="Nisha Agarwal"/>
    <x v="382"/>
    <n v="0.26142701392568901"/>
    <n v="2025"/>
    <s v="Dec"/>
    <s v="Q4"/>
    <s v="Medium"/>
    <s v="Profit"/>
    <s v="No"/>
    <s v="NISHA AGARWAL"/>
    <s v="nisha agarwal"/>
    <n v="13"/>
    <s v="ORD"/>
    <s v="0550"/>
    <s v="Nisha Agarwal-North"/>
    <s v="0550"/>
    <s v="Rohan"/>
    <s v="Rohan"/>
    <m/>
  </r>
  <r>
    <s v="ORD0983"/>
    <x v="21"/>
    <s v="C024"/>
    <s v="Nisha Agarwal"/>
    <s v="P007"/>
    <x v="3"/>
    <x v="1"/>
    <s v="Tables"/>
    <x v="2"/>
    <s v="Bihar"/>
    <n v="24354.87"/>
    <n v="18926.97"/>
    <n v="3"/>
    <n v="0.15"/>
    <s v="UPI"/>
    <x v="0"/>
    <s v="Nisha Agarwal"/>
    <x v="383"/>
    <n v="0.22286713088593771"/>
    <n v="2025"/>
    <s v="Feb"/>
    <s v="Q1"/>
    <s v="Medium"/>
    <s v="Profit"/>
    <s v="No"/>
    <s v="NISHA AGARWAL"/>
    <s v="nisha agarwal"/>
    <n v="13"/>
    <s v="ORD"/>
    <s v="0983"/>
    <s v="Nisha Agarwal-East"/>
    <s v="0983"/>
    <s v="Rohan"/>
    <s v="Rohan"/>
    <m/>
  </r>
  <r>
    <s v="ORD0241"/>
    <x v="294"/>
    <s v="C024"/>
    <s v="Nisha Agarwal"/>
    <s v="P008"/>
    <x v="4"/>
    <x v="1"/>
    <s v="Storage"/>
    <x v="4"/>
    <s v="Chhattisgarh"/>
    <n v="5628.62"/>
    <n v="4382.79"/>
    <n v="1"/>
    <n v="0.2"/>
    <s v="Net Banking"/>
    <x v="3"/>
    <s v="Nisha Agarwal"/>
    <x v="384"/>
    <n v="0.22133844530275626"/>
    <n v="2024"/>
    <s v="Jan"/>
    <s v="Q1"/>
    <s v="Low"/>
    <s v="Profit"/>
    <s v="No"/>
    <s v="NISHA AGARWAL"/>
    <s v="nisha agarwal"/>
    <n v="13"/>
    <s v="ORD"/>
    <s v="0241"/>
    <s v="Nisha Agarwal-Central"/>
    <s v="0241"/>
    <s v="Anjali"/>
    <s v="Anjali"/>
    <m/>
  </r>
  <r>
    <s v="ORD0528"/>
    <x v="65"/>
    <s v="C024"/>
    <s v="Nisha Agarwal"/>
    <s v="P008"/>
    <x v="4"/>
    <x v="1"/>
    <s v="Storage"/>
    <x v="2"/>
    <s v="Odisha"/>
    <n v="6671.69"/>
    <n v="3768.46"/>
    <n v="1"/>
    <n v="0"/>
    <s v="UPI"/>
    <x v="2"/>
    <s v="Nisha Agarwal"/>
    <x v="385"/>
    <n v="0.43515660949474566"/>
    <n v="2024"/>
    <s v="Sep"/>
    <s v="Q3"/>
    <s v="Low"/>
    <s v="Profit"/>
    <s v="No"/>
    <s v="NISHA AGARWAL"/>
    <s v="nisha agarwal"/>
    <n v="13"/>
    <s v="ORD"/>
    <s v="0528"/>
    <s v="Nisha Agarwal-East"/>
    <s v="0528"/>
    <s v="Anjali"/>
    <s v="Anjali"/>
    <m/>
  </r>
  <r>
    <s v="ORD0365"/>
    <x v="295"/>
    <s v="C024"/>
    <s v="Nisha Agarwal"/>
    <s v="P010"/>
    <x v="6"/>
    <x v="1"/>
    <s v="Bedroom"/>
    <x v="3"/>
    <s v="Punjab"/>
    <n v="31522.06"/>
    <n v="19615.64"/>
    <n v="1"/>
    <n v="0.15"/>
    <s v="Cash on Delivery"/>
    <x v="0"/>
    <s v="Nisha Agarwal"/>
    <x v="386"/>
    <n v="0.37771706544559591"/>
    <n v="2024"/>
    <s v="Jun"/>
    <s v="Q2"/>
    <s v="Medium"/>
    <s v="Profit"/>
    <s v="No"/>
    <s v="NISHA AGARWAL"/>
    <s v="nisha agarwal"/>
    <n v="13"/>
    <s v="ORD"/>
    <s v="0365"/>
    <s v="Nisha Agarwal-North"/>
    <s v="0365"/>
    <s v="Sneha"/>
    <s v="Sneha"/>
    <m/>
  </r>
  <r>
    <s v="ORD0024"/>
    <x v="296"/>
    <s v="C024"/>
    <s v="Nisha Agarwal"/>
    <s v="P011"/>
    <x v="15"/>
    <x v="2"/>
    <s v="Footwear"/>
    <x v="4"/>
    <s v="Madhya Pradesh"/>
    <n v="6278.85"/>
    <n v="2251.96"/>
    <n v="2"/>
    <n v="0.05"/>
    <s v="Net Banking"/>
    <x v="0"/>
    <s v="Nisha Agarwal"/>
    <x v="387"/>
    <n v="0.64134196548731059"/>
    <n v="2024"/>
    <s v="Apr"/>
    <s v="Q2"/>
    <s v="Low"/>
    <s v="Profit"/>
    <s v="No"/>
    <s v="NISHA AGARWAL"/>
    <s v="nisha agarwal"/>
    <n v="13"/>
    <s v="ORD"/>
    <s v="0024"/>
    <s v="Nisha Agarwal-Central"/>
    <s v="0024"/>
    <s v="Vikas"/>
    <s v="Vikas"/>
    <m/>
  </r>
  <r>
    <s v="ORD0967"/>
    <x v="297"/>
    <s v="C024"/>
    <s v="Nisha Agarwal"/>
    <s v="P011"/>
    <x v="15"/>
    <x v="2"/>
    <s v="Footwear"/>
    <x v="0"/>
    <s v="Telangana"/>
    <n v="8851.43"/>
    <n v="2418.86"/>
    <n v="2"/>
    <n v="0.05"/>
    <s v="Credit Card"/>
    <x v="3"/>
    <s v="Nisha Agarwal"/>
    <x v="388"/>
    <n v="0.72672664190983827"/>
    <n v="2024"/>
    <s v="Sep"/>
    <s v="Q3"/>
    <s v="Low"/>
    <s v="Profit"/>
    <s v="No"/>
    <s v="NISHA AGARWAL"/>
    <s v="nisha agarwal"/>
    <n v="13"/>
    <s v="ORD"/>
    <s v="0967"/>
    <s v="Nisha Agarwal-South"/>
    <s v="0967"/>
    <s v="Vikas"/>
    <s v="Vikas"/>
    <m/>
  </r>
  <r>
    <s v="ORD0134"/>
    <x v="24"/>
    <s v="C024"/>
    <s v="Nisha Agarwal"/>
    <s v="P012"/>
    <x v="7"/>
    <x v="2"/>
    <s v="Clothing"/>
    <x v="4"/>
    <s v="Madhya Pradesh"/>
    <n v="15480.88"/>
    <n v="4104"/>
    <n v="5"/>
    <n v="0.2"/>
    <s v="Debit Card"/>
    <x v="0"/>
    <s v="Nisha Agarwal"/>
    <x v="389"/>
    <n v="0.73489879128318281"/>
    <n v="2024"/>
    <s v="May"/>
    <s v="Q2"/>
    <s v="Low"/>
    <s v="Profit"/>
    <s v="No"/>
    <s v="NISHA AGARWAL"/>
    <s v="nisha agarwal"/>
    <n v="13"/>
    <s v="ORD"/>
    <s v="0134"/>
    <s v="Nisha Agarwal-Central"/>
    <s v="0134"/>
    <s v="Pooja"/>
    <s v="Pooja"/>
    <m/>
  </r>
  <r>
    <s v="ORD0950"/>
    <x v="298"/>
    <s v="C024"/>
    <s v="Nisha Agarwal"/>
    <s v="P013"/>
    <x v="16"/>
    <x v="2"/>
    <s v="Bags"/>
    <x v="4"/>
    <s v="Chhattisgarh"/>
    <n v="5135.05"/>
    <n v="2541.16"/>
    <n v="4"/>
    <n v="0.05"/>
    <s v="Debit Card"/>
    <x v="2"/>
    <s v="Nisha Agarwal"/>
    <x v="390"/>
    <n v="0.50513432196375896"/>
    <n v="2024"/>
    <s v="Jul"/>
    <s v="Q3"/>
    <s v="Low"/>
    <s v="Profit"/>
    <s v="No"/>
    <s v="NISHA AGARWAL"/>
    <s v="nisha agarwal"/>
    <n v="13"/>
    <s v="ORD"/>
    <s v="0950"/>
    <s v="Nisha Agarwal-Central"/>
    <s v="0950"/>
    <s v="Aditya"/>
    <s v="Aditya"/>
    <m/>
  </r>
  <r>
    <s v="ORD0794"/>
    <x v="299"/>
    <s v="C024"/>
    <s v="Nisha Agarwal"/>
    <s v="P014"/>
    <x v="19"/>
    <x v="2"/>
    <s v="Clothing"/>
    <x v="4"/>
    <s v="Chhattisgarh"/>
    <n v="3979.4"/>
    <n v="1075.3599999999999"/>
    <n v="4"/>
    <n v="0.05"/>
    <s v="Debit Card"/>
    <x v="0"/>
    <s v="Nisha Agarwal"/>
    <x v="391"/>
    <n v="0.72976830677991655"/>
    <n v="2024"/>
    <s v="Dec"/>
    <s v="Q4"/>
    <s v="Low"/>
    <s v="Profit"/>
    <s v="No"/>
    <s v="NISHA AGARWAL"/>
    <s v="nisha agarwal"/>
    <n v="13"/>
    <s v="ORD"/>
    <s v="0794"/>
    <s v="Nisha Agarwal-Central"/>
    <s v="0794"/>
    <s v="Kavya"/>
    <s v="Kavya"/>
    <m/>
  </r>
  <r>
    <s v="ORD0964"/>
    <x v="300"/>
    <s v="C024"/>
    <s v="Nisha Agarwal"/>
    <s v="P014"/>
    <x v="19"/>
    <x v="2"/>
    <s v="Clothing"/>
    <x v="4"/>
    <s v="Madhya Pradesh"/>
    <n v="1984.41"/>
    <n v="1144.8499999999999"/>
    <n v="5"/>
    <n v="0.15"/>
    <s v="Debit Card"/>
    <x v="0"/>
    <s v="Nisha Agarwal"/>
    <x v="392"/>
    <n v="0.42307789216946101"/>
    <n v="2024"/>
    <s v="Sep"/>
    <s v="Q3"/>
    <s v="Low"/>
    <s v="Profit"/>
    <s v="No"/>
    <s v="NISHA AGARWAL"/>
    <s v="nisha agarwal"/>
    <n v="13"/>
    <s v="ORD"/>
    <s v="0964"/>
    <s v="Nisha Agarwal-Central"/>
    <s v="0964"/>
    <s v="Kavya"/>
    <s v="Kavya"/>
    <m/>
  </r>
  <r>
    <s v="ORD0982"/>
    <x v="207"/>
    <s v="C024"/>
    <s v="Nisha Agarwal"/>
    <s v="P014"/>
    <x v="19"/>
    <x v="2"/>
    <s v="Clothing"/>
    <x v="4"/>
    <s v="Madhya Pradesh"/>
    <n v="909.17"/>
    <n v="256.81"/>
    <n v="1"/>
    <n v="0.1"/>
    <s v="Credit Card"/>
    <x v="4"/>
    <s v="Nisha Agarwal"/>
    <x v="393"/>
    <n v="0.71753357457901157"/>
    <n v="2024"/>
    <s v="Apr"/>
    <s v="Q2"/>
    <s v="Low"/>
    <s v="Profit"/>
    <s v="No"/>
    <s v="NISHA AGARWAL"/>
    <s v="nisha agarwal"/>
    <n v="13"/>
    <s v="ORD"/>
    <s v="0982"/>
    <s v="Nisha Agarwal-Central"/>
    <s v="0982"/>
    <s v="Kavya"/>
    <s v="Kavya"/>
    <m/>
  </r>
  <r>
    <s v="ORD0038"/>
    <x v="111"/>
    <s v="C024"/>
    <s v="Nisha Agarwal"/>
    <s v="P015"/>
    <x v="17"/>
    <x v="2"/>
    <s v="Clothing"/>
    <x v="1"/>
    <s v="Rajasthan"/>
    <n v="2960.2"/>
    <n v="2024.36"/>
    <n v="4"/>
    <n v="0.05"/>
    <s v="Cash on Delivery"/>
    <x v="0"/>
    <s v="Nisha Agarwal"/>
    <x v="394"/>
    <n v="0.31614080129720962"/>
    <n v="2025"/>
    <s v="Dec"/>
    <s v="Q4"/>
    <s v="Low"/>
    <s v="Profit"/>
    <s v="No"/>
    <s v="NISHA AGARWAL"/>
    <s v="nisha agarwal"/>
    <n v="13"/>
    <s v="ORD"/>
    <s v="0038"/>
    <s v="Nisha Agarwal-West"/>
    <s v="0038"/>
    <s v="Manish"/>
    <s v="Manish"/>
    <m/>
  </r>
  <r>
    <s v="ORD0698"/>
    <x v="83"/>
    <s v="C024"/>
    <s v="Nisha Agarwal"/>
    <s v="P015"/>
    <x v="17"/>
    <x v="2"/>
    <s v="Clothing"/>
    <x v="2"/>
    <s v="West Bengal"/>
    <n v="4847.42"/>
    <n v="1475.73"/>
    <n v="3"/>
    <n v="0.1"/>
    <s v="Credit Card"/>
    <x v="0"/>
    <s v="Nisha Agarwal"/>
    <x v="395"/>
    <n v="0.69556382570522046"/>
    <n v="2025"/>
    <s v="Aug"/>
    <s v="Q3"/>
    <s v="Low"/>
    <s v="Profit"/>
    <s v="No"/>
    <s v="NISHA AGARWAL"/>
    <s v="nisha agarwal"/>
    <n v="13"/>
    <s v="ORD"/>
    <s v="0698"/>
    <s v="Nisha Agarwal-East"/>
    <s v="0698"/>
    <s v="Manish"/>
    <s v="Manish"/>
    <m/>
  </r>
  <r>
    <s v="ORD0827"/>
    <x v="301"/>
    <s v="C024"/>
    <s v="Nisha Agarwal"/>
    <s v="P015"/>
    <x v="17"/>
    <x v="2"/>
    <s v="Clothing"/>
    <x v="3"/>
    <s v="Punjab"/>
    <n v="4557.6000000000004"/>
    <n v="1818.12"/>
    <n v="4"/>
    <n v="0.1"/>
    <s v="Debit Card"/>
    <x v="2"/>
    <s v="Nisha Agarwal"/>
    <x v="396"/>
    <n v="0.6010795155344919"/>
    <n v="2024"/>
    <s v="Jul"/>
    <s v="Q3"/>
    <s v="Low"/>
    <s v="Profit"/>
    <s v="No"/>
    <s v="NISHA AGARWAL"/>
    <s v="nisha agarwal"/>
    <n v="13"/>
    <s v="ORD"/>
    <s v="0827"/>
    <s v="Nisha Agarwal-North"/>
    <s v="0827"/>
    <s v="Manish"/>
    <s v="Manish"/>
    <m/>
  </r>
  <r>
    <s v="ORD0078"/>
    <x v="302"/>
    <s v="C024"/>
    <s v="Nisha Agarwal"/>
    <s v="P016"/>
    <x v="8"/>
    <x v="3"/>
    <s v="Kitchen"/>
    <x v="0"/>
    <s v="Tamil Nadu"/>
    <n v="25802.47"/>
    <n v="9174.2000000000007"/>
    <n v="5"/>
    <n v="0.05"/>
    <s v="Debit Card"/>
    <x v="0"/>
    <s v="Nisha Agarwal"/>
    <x v="397"/>
    <n v="0.6444448922913194"/>
    <n v="2025"/>
    <s v="Aug"/>
    <s v="Q3"/>
    <s v="Medium"/>
    <s v="Profit"/>
    <s v="No"/>
    <s v="NISHA AGARWAL"/>
    <s v="nisha agarwal"/>
    <n v="13"/>
    <s v="ORD"/>
    <s v="0078"/>
    <s v="Nisha Agarwal-South"/>
    <s v="0078"/>
    <s v="Rahul"/>
    <s v="Rahul"/>
    <m/>
  </r>
  <r>
    <s v="ORD0727"/>
    <x v="52"/>
    <s v="C024"/>
    <s v="Nisha Agarwal"/>
    <s v="P016"/>
    <x v="8"/>
    <x v="3"/>
    <s v="Kitchen"/>
    <x v="3"/>
    <s v="Delhi"/>
    <n v="8409.56"/>
    <n v="8310.4"/>
    <n v="5"/>
    <n v="0.2"/>
    <s v="Credit Card"/>
    <x v="2"/>
    <s v="Nisha Agarwal"/>
    <x v="398"/>
    <n v="1.1791342234314264E-2"/>
    <n v="2024"/>
    <s v="May"/>
    <s v="Q2"/>
    <s v="Low"/>
    <s v="Profit"/>
    <s v="No"/>
    <s v="NISHA AGARWAL"/>
    <s v="nisha agarwal"/>
    <n v="13"/>
    <s v="ORD"/>
    <s v="0727"/>
    <s v="Nisha Agarwal-North"/>
    <s v="0727"/>
    <s v="Rahul"/>
    <s v="Rahul"/>
    <m/>
  </r>
  <r>
    <s v="ORD0759"/>
    <x v="215"/>
    <s v="C024"/>
    <s v="Nisha Agarwal"/>
    <s v="P016"/>
    <x v="8"/>
    <x v="3"/>
    <s v="Kitchen"/>
    <x v="0"/>
    <s v="Tamil Nadu"/>
    <n v="19766.580000000002"/>
    <n v="9168.5499999999993"/>
    <n v="5"/>
    <n v="0.15"/>
    <s v="Debit Card"/>
    <x v="2"/>
    <s v="Nisha Agarwal"/>
    <x v="399"/>
    <n v="0.5361590118270334"/>
    <n v="2025"/>
    <s v="Dec"/>
    <s v="Q4"/>
    <s v="Low"/>
    <s v="Profit"/>
    <s v="No"/>
    <s v="NISHA AGARWAL"/>
    <s v="nisha agarwal"/>
    <n v="13"/>
    <s v="ORD"/>
    <s v="0759"/>
    <s v="Nisha Agarwal-South"/>
    <s v="0759"/>
    <s v="Rahul"/>
    <s v="Rahul"/>
    <m/>
  </r>
  <r>
    <s v="ORD0814"/>
    <x v="124"/>
    <s v="C024"/>
    <s v="Nisha Agarwal"/>
    <s v="P017"/>
    <x v="9"/>
    <x v="3"/>
    <s v="Kitchen"/>
    <x v="4"/>
    <s v="Chhattisgarh"/>
    <n v="43934.92"/>
    <n v="32345.35"/>
    <n v="5"/>
    <n v="0.2"/>
    <s v="UPI"/>
    <x v="0"/>
    <s v="Nisha Agarwal"/>
    <x v="400"/>
    <n v="0.26378948681367803"/>
    <n v="2024"/>
    <s v="Oct"/>
    <s v="Q4"/>
    <s v="Medium"/>
    <s v="Profit"/>
    <s v="No"/>
    <s v="NISHA AGARWAL"/>
    <s v="nisha agarwal"/>
    <n v="13"/>
    <s v="ORD"/>
    <s v="0814"/>
    <s v="Nisha Agarwal-Central"/>
    <s v="0814"/>
    <s v="Priya"/>
    <s v="Priya"/>
    <m/>
  </r>
  <r>
    <s v="ORD0258"/>
    <x v="303"/>
    <s v="C024"/>
    <s v="Nisha Agarwal"/>
    <s v="P018"/>
    <x v="10"/>
    <x v="3"/>
    <s v="Cooling"/>
    <x v="1"/>
    <s v="Gujarat"/>
    <n v="50830"/>
    <n v="30196.799999999999"/>
    <n v="5"/>
    <n v="0.2"/>
    <s v="UPI"/>
    <x v="0"/>
    <s v="Nisha Agarwal"/>
    <x v="401"/>
    <n v="0.40592563446783397"/>
    <n v="2024"/>
    <s v="Jul"/>
    <s v="Q3"/>
    <s v="High"/>
    <s v="Profit"/>
    <s v="Yes"/>
    <s v="NISHA AGARWAL"/>
    <s v="nisha agarwal"/>
    <n v="13"/>
    <s v="ORD"/>
    <s v="0258"/>
    <s v="Nisha Agarwal-West"/>
    <s v="0258"/>
    <s v="Amit"/>
    <s v="Amit"/>
    <m/>
  </r>
  <r>
    <s v="ORD0011"/>
    <x v="145"/>
    <s v="C024"/>
    <s v="Nisha Agarwal"/>
    <s v="P019"/>
    <x v="18"/>
    <x v="3"/>
    <s v="Cleaning"/>
    <x v="1"/>
    <s v="Maharashtra"/>
    <n v="34148.36"/>
    <n v="13613.6"/>
    <n v="4"/>
    <n v="0.05"/>
    <s v="Cash on Delivery"/>
    <x v="2"/>
    <s v="Nisha Agarwal"/>
    <x v="402"/>
    <n v="0.60133956652676734"/>
    <n v="2025"/>
    <s v="Aug"/>
    <s v="Q3"/>
    <s v="Medium"/>
    <s v="Profit"/>
    <s v="No"/>
    <s v="NISHA AGARWAL"/>
    <s v="nisha agarwal"/>
    <n v="13"/>
    <s v="ORD"/>
    <s v="0011"/>
    <s v="Nisha Agarwal-West"/>
    <s v="0011"/>
    <s v="Neha"/>
    <s v="Neha"/>
    <m/>
  </r>
  <r>
    <s v="ORD0022"/>
    <x v="304"/>
    <s v="C024"/>
    <s v="Nisha Agarwal"/>
    <s v="P019"/>
    <x v="18"/>
    <x v="3"/>
    <s v="Cleaning"/>
    <x v="2"/>
    <s v="West Bengal"/>
    <n v="15241.95"/>
    <n v="7398.46"/>
    <n v="2"/>
    <n v="0.05"/>
    <s v="UPI"/>
    <x v="0"/>
    <s v="Nisha Agarwal"/>
    <x v="403"/>
    <n v="0.51459885382119741"/>
    <n v="2025"/>
    <s v="Apr"/>
    <s v="Q2"/>
    <s v="Low"/>
    <s v="Profit"/>
    <s v="No"/>
    <s v="NISHA AGARWAL"/>
    <s v="nisha agarwal"/>
    <n v="13"/>
    <s v="ORD"/>
    <s v="0022"/>
    <s v="Nisha Agarwal-East"/>
    <s v="0022"/>
    <s v="Neha"/>
    <s v="Neha"/>
    <m/>
  </r>
  <r>
    <s v="ORD0620"/>
    <x v="305"/>
    <s v="C024"/>
    <s v="Nisha Agarwal"/>
    <s v="P019"/>
    <x v="18"/>
    <x v="3"/>
    <s v="Cleaning"/>
    <x v="2"/>
    <s v="West Bengal"/>
    <n v="13864.91"/>
    <n v="6571.62"/>
    <n v="2"/>
    <n v="0.15"/>
    <s v="Net Banking"/>
    <x v="0"/>
    <s v="Nisha Agarwal"/>
    <x v="404"/>
    <n v="0.52602505173131309"/>
    <n v="2024"/>
    <s v="Jan"/>
    <s v="Q1"/>
    <s v="Low"/>
    <s v="Profit"/>
    <s v="No"/>
    <s v="NISHA AGARWAL"/>
    <s v="nisha agarwal"/>
    <n v="13"/>
    <s v="ORD"/>
    <s v="0620"/>
    <s v="Nisha Agarwal-East"/>
    <s v="0620"/>
    <s v="Neha"/>
    <s v="Neha"/>
    <m/>
  </r>
  <r>
    <s v="ORD0684"/>
    <x v="306"/>
    <s v="C024"/>
    <s v="Nisha Agarwal"/>
    <s v="P019"/>
    <x v="18"/>
    <x v="3"/>
    <s v="Cleaning"/>
    <x v="0"/>
    <s v="Karnataka"/>
    <n v="6403.59"/>
    <n v="3664.82"/>
    <n v="1"/>
    <n v="0"/>
    <s v="Net Banking"/>
    <x v="0"/>
    <s v="Nisha Agarwal"/>
    <x v="405"/>
    <n v="0.42769290351193628"/>
    <n v="2024"/>
    <s v="Mar"/>
    <s v="Q1"/>
    <s v="Low"/>
    <s v="Profit"/>
    <s v="No"/>
    <s v="NISHA AGARWAL"/>
    <s v="nisha agarwal"/>
    <n v="13"/>
    <s v="ORD"/>
    <s v="0684"/>
    <s v="Nisha Agarwal-South"/>
    <s v="0684"/>
    <s v="Neha"/>
    <s v="Neha"/>
    <m/>
  </r>
  <r>
    <s v="ORD0615"/>
    <x v="307"/>
    <s v="C024"/>
    <s v="Nisha Agarwal"/>
    <s v="P020"/>
    <x v="11"/>
    <x v="3"/>
    <s v="Kitchen"/>
    <x v="4"/>
    <s v="Madhya Pradesh"/>
    <n v="4366.87"/>
    <n v="1478.13"/>
    <n v="3"/>
    <n v="0.1"/>
    <s v="Cash on Delivery"/>
    <x v="1"/>
    <s v="Nisha Agarwal"/>
    <x v="406"/>
    <n v="0.66151270818687069"/>
    <n v="2025"/>
    <s v="Dec"/>
    <s v="Q4"/>
    <s v="Low"/>
    <s v="Profit"/>
    <s v="No"/>
    <s v="NISHA AGARWAL"/>
    <s v="nisha agarwal"/>
    <n v="13"/>
    <s v="ORD"/>
    <s v="0615"/>
    <s v="Nisha Agarwal-Central"/>
    <s v="0615"/>
    <s v="Simran"/>
    <s v="Simran"/>
    <m/>
  </r>
  <r>
    <s v="ORD0474"/>
    <x v="308"/>
    <s v="C017"/>
    <s v="Nikhil Joshi"/>
    <s v="P001"/>
    <x v="12"/>
    <x v="0"/>
    <s v="Computers"/>
    <x v="4"/>
    <s v="Chhattisgarh"/>
    <n v="301960.05"/>
    <n v="235446.45"/>
    <n v="5"/>
    <n v="0"/>
    <s v="Cash on Delivery"/>
    <x v="4"/>
    <s v="Nikhil Joshi"/>
    <x v="407"/>
    <n v="0.22027284735182678"/>
    <n v="2025"/>
    <s v="Aug"/>
    <s v="Q3"/>
    <s v="High"/>
    <s v="Profit"/>
    <s v="Yes"/>
    <s v="NIKHIL JOSHI"/>
    <s v="nikhil joshi"/>
    <n v="12"/>
    <s v="ORD"/>
    <s v="0474"/>
    <s v="Nikhil Joshi-Central"/>
    <s v="0474"/>
    <s v="Rahul"/>
    <s v="Rahul"/>
    <m/>
  </r>
  <r>
    <s v="ORD0494"/>
    <x v="309"/>
    <s v="C017"/>
    <s v="Nikhil Joshi"/>
    <s v="P001"/>
    <x v="12"/>
    <x v="0"/>
    <s v="Computers"/>
    <x v="1"/>
    <s v="Maharashtra"/>
    <n v="103159.33"/>
    <n v="99605.119999999995"/>
    <n v="2"/>
    <n v="0.1"/>
    <s v="UPI"/>
    <x v="0"/>
    <s v="Nikhil Joshi"/>
    <x v="408"/>
    <n v="3.445359716857415E-2"/>
    <n v="2025"/>
    <s v="Nov"/>
    <s v="Q4"/>
    <s v="High"/>
    <s v="Profit"/>
    <s v="Yes"/>
    <s v="NIKHIL JOSHI"/>
    <s v="nikhil joshi"/>
    <n v="12"/>
    <s v="ORD"/>
    <s v="0494"/>
    <s v="Nikhil Joshi-West"/>
    <s v="0494"/>
    <s v="Rahul"/>
    <s v="Rahul"/>
    <m/>
  </r>
  <r>
    <s v="ORD0718"/>
    <x v="310"/>
    <s v="C017"/>
    <s v="Nikhil Joshi"/>
    <s v="P001"/>
    <x v="12"/>
    <x v="0"/>
    <s v="Computers"/>
    <x v="0"/>
    <s v="Tamil Nadu"/>
    <n v="251118.43"/>
    <n v="260722.65"/>
    <n v="5"/>
    <n v="0.15"/>
    <s v="Net Banking"/>
    <x v="0"/>
    <s v="Nikhil Joshi"/>
    <x v="409"/>
    <n v="-3.8245779093155373E-2"/>
    <n v="2025"/>
    <s v="Mar"/>
    <s v="Q1"/>
    <s v="High"/>
    <s v="Loss"/>
    <s v="Yes"/>
    <s v="NIKHIL JOSHI"/>
    <s v="nikhil joshi"/>
    <n v="12"/>
    <s v="ORD"/>
    <s v="0718"/>
    <s v="Nikhil Joshi-South"/>
    <s v="0718"/>
    <s v="Rahul"/>
    <s v="Rahul"/>
    <m/>
  </r>
  <r>
    <s v="ORD0837"/>
    <x v="311"/>
    <s v="C017"/>
    <s v="Nikhil Joshi"/>
    <s v="P001"/>
    <x v="12"/>
    <x v="0"/>
    <s v="Computers"/>
    <x v="1"/>
    <s v="Maharashtra"/>
    <n v="144765.07999999999"/>
    <n v="145533.75"/>
    <n v="3"/>
    <n v="0.15"/>
    <s v="Net Banking"/>
    <x v="0"/>
    <s v="Nikhil Joshi"/>
    <x v="410"/>
    <n v="-5.3097749816462154E-3"/>
    <n v="2025"/>
    <s v="Aug"/>
    <s v="Q3"/>
    <s v="High"/>
    <s v="Loss"/>
    <s v="Yes"/>
    <s v="NIKHIL JOSHI"/>
    <s v="nikhil joshi"/>
    <n v="12"/>
    <s v="ORD"/>
    <s v="0837"/>
    <s v="Nikhil Joshi-West"/>
    <s v="0837"/>
    <s v="Rahul"/>
    <s v="Rahul"/>
    <m/>
  </r>
  <r>
    <s v="ORD0209"/>
    <x v="312"/>
    <s v="C017"/>
    <s v="Nikhil Joshi"/>
    <s v="P002"/>
    <x v="0"/>
    <x v="0"/>
    <s v="Phones"/>
    <x v="3"/>
    <s v="Delhi"/>
    <n v="51345.36"/>
    <n v="37537.86"/>
    <n v="2"/>
    <n v="0.2"/>
    <s v="Net Banking"/>
    <x v="0"/>
    <s v="Nikhil Joshi"/>
    <x v="411"/>
    <n v="0.26891426995545459"/>
    <n v="2024"/>
    <s v="Feb"/>
    <s v="Q1"/>
    <s v="High"/>
    <s v="Profit"/>
    <s v="Yes"/>
    <s v="NIKHIL JOSHI"/>
    <s v="nikhil joshi"/>
    <n v="12"/>
    <s v="ORD"/>
    <s v="0209"/>
    <s v="Nikhil Joshi-North"/>
    <s v="0209"/>
    <s v="Priya"/>
    <s v="Priya"/>
    <m/>
  </r>
  <r>
    <s v="ORD0600"/>
    <x v="42"/>
    <s v="C017"/>
    <s v="Nikhil Joshi"/>
    <s v="P002"/>
    <x v="0"/>
    <x v="0"/>
    <s v="Phones"/>
    <x v="0"/>
    <s v="Karnataka"/>
    <n v="88846.49"/>
    <n v="70531.759999999995"/>
    <n v="4"/>
    <n v="0.1"/>
    <s v="Net Banking"/>
    <x v="0"/>
    <s v="Nikhil Joshi"/>
    <x v="412"/>
    <n v="0.20613903824450475"/>
    <n v="2024"/>
    <s v="Oct"/>
    <s v="Q4"/>
    <s v="High"/>
    <s v="Profit"/>
    <s v="Yes"/>
    <s v="NIKHIL JOSHI"/>
    <s v="nikhil joshi"/>
    <n v="12"/>
    <s v="ORD"/>
    <s v="0600"/>
    <s v="Nikhil Joshi-South"/>
    <s v="0600"/>
    <s v="Priya"/>
    <s v="Priya"/>
    <m/>
  </r>
  <r>
    <s v="ORD0662"/>
    <x v="80"/>
    <s v="C017"/>
    <s v="Nikhil Joshi"/>
    <s v="P002"/>
    <x v="0"/>
    <x v="0"/>
    <s v="Phones"/>
    <x v="0"/>
    <s v="Telangana"/>
    <n v="55002.45"/>
    <n v="36687.919999999998"/>
    <n v="2"/>
    <n v="0.15"/>
    <s v="Net Banking"/>
    <x v="3"/>
    <s v="Nikhil Joshi"/>
    <x v="413"/>
    <n v="0.33297662195047673"/>
    <n v="2024"/>
    <s v="Mar"/>
    <s v="Q1"/>
    <s v="High"/>
    <s v="Profit"/>
    <s v="Yes"/>
    <s v="NIKHIL JOSHI"/>
    <s v="nikhil joshi"/>
    <n v="12"/>
    <s v="ORD"/>
    <s v="0662"/>
    <s v="Nikhil Joshi-South"/>
    <s v="0662"/>
    <s v="Priya"/>
    <s v="Priya"/>
    <m/>
  </r>
  <r>
    <s v="ORD0153"/>
    <x v="313"/>
    <s v="C017"/>
    <s v="Nikhil Joshi"/>
    <s v="P003"/>
    <x v="1"/>
    <x v="0"/>
    <s v="Accessories"/>
    <x v="0"/>
    <s v="Tamil Nadu"/>
    <n v="13209.91"/>
    <n v="6534.16"/>
    <n v="4"/>
    <n v="0.1"/>
    <s v="UPI"/>
    <x v="0"/>
    <s v="Nikhil Joshi"/>
    <x v="414"/>
    <n v="0.50535923409016414"/>
    <n v="2025"/>
    <s v="Apr"/>
    <s v="Q2"/>
    <s v="Low"/>
    <s v="Profit"/>
    <s v="No"/>
    <s v="NIKHIL JOSHI"/>
    <s v="nikhil joshi"/>
    <n v="12"/>
    <s v="ORD"/>
    <s v="0153"/>
    <s v="Nikhil Joshi-South"/>
    <s v="0153"/>
    <s v="Amit"/>
    <s v="Amit"/>
    <m/>
  </r>
  <r>
    <s v="ORD0015"/>
    <x v="314"/>
    <s v="C017"/>
    <s v="Nikhil Joshi"/>
    <s v="P004"/>
    <x v="13"/>
    <x v="0"/>
    <s v="Wearables"/>
    <x v="4"/>
    <s v="Chhattisgarh"/>
    <n v="17736.18"/>
    <n v="9615"/>
    <n v="3"/>
    <n v="0.05"/>
    <s v="Credit Card"/>
    <x v="1"/>
    <s v="Nikhil Joshi"/>
    <x v="415"/>
    <n v="0.45788777515789758"/>
    <n v="2025"/>
    <s v="Oct"/>
    <s v="Q4"/>
    <s v="Low"/>
    <s v="Profit"/>
    <s v="No"/>
    <s v="NIKHIL JOSHI"/>
    <s v="nikhil joshi"/>
    <n v="12"/>
    <s v="ORD"/>
    <s v="0015"/>
    <s v="Nikhil Joshi-Central"/>
    <s v="0015"/>
    <s v="Neha"/>
    <s v="Neha"/>
    <m/>
  </r>
  <r>
    <s v="ORD0506"/>
    <x v="154"/>
    <s v="C017"/>
    <s v="Nikhil Joshi"/>
    <s v="P004"/>
    <x v="13"/>
    <x v="0"/>
    <s v="Wearables"/>
    <x v="1"/>
    <s v="Rajasthan"/>
    <n v="34804.68"/>
    <n v="14382.75"/>
    <n v="5"/>
    <n v="0.2"/>
    <s v="Debit Card"/>
    <x v="4"/>
    <s v="Nikhil Joshi"/>
    <x v="416"/>
    <n v="0.58675816010950255"/>
    <n v="2024"/>
    <s v="Mar"/>
    <s v="Q1"/>
    <s v="Medium"/>
    <s v="Profit"/>
    <s v="No"/>
    <s v="NIKHIL JOSHI"/>
    <s v="nikhil joshi"/>
    <n v="12"/>
    <s v="ORD"/>
    <s v="0506"/>
    <s v="Nikhil Joshi-West"/>
    <s v="0506"/>
    <s v="Neha"/>
    <s v="Neha"/>
    <m/>
  </r>
  <r>
    <s v="ORD0560"/>
    <x v="315"/>
    <s v="C017"/>
    <s v="Nikhil Joshi"/>
    <s v="P004"/>
    <x v="13"/>
    <x v="0"/>
    <s v="Wearables"/>
    <x v="3"/>
    <s v="Uttar Pradesh"/>
    <n v="21133.65"/>
    <n v="14656"/>
    <n v="5"/>
    <n v="0.05"/>
    <s v="Cash on Delivery"/>
    <x v="0"/>
    <s v="Nikhil Joshi"/>
    <x v="417"/>
    <n v="0.30650881414237491"/>
    <n v="2024"/>
    <s v="Aug"/>
    <s v="Q3"/>
    <s v="Medium"/>
    <s v="Profit"/>
    <s v="No"/>
    <s v="NIKHIL JOSHI"/>
    <s v="nikhil joshi"/>
    <n v="12"/>
    <s v="ORD"/>
    <s v="0560"/>
    <s v="Nikhil Joshi-North"/>
    <s v="0560"/>
    <s v="Neha"/>
    <s v="Neha"/>
    <m/>
  </r>
  <r>
    <s v="ORD0846"/>
    <x v="174"/>
    <s v="C017"/>
    <s v="Nikhil Joshi"/>
    <s v="P004"/>
    <x v="13"/>
    <x v="0"/>
    <s v="Wearables"/>
    <x v="3"/>
    <s v="Punjab"/>
    <n v="8073.06"/>
    <n v="3222.52"/>
    <n v="1"/>
    <n v="0.05"/>
    <s v="Debit Card"/>
    <x v="2"/>
    <s v="Nikhil Joshi"/>
    <x v="418"/>
    <n v="0.60083041622383593"/>
    <n v="2025"/>
    <s v="Oct"/>
    <s v="Q4"/>
    <s v="Low"/>
    <s v="Profit"/>
    <s v="No"/>
    <s v="NIKHIL JOSHI"/>
    <s v="nikhil joshi"/>
    <n v="12"/>
    <s v="ORD"/>
    <s v="0846"/>
    <s v="Nikhil Joshi-North"/>
    <s v="0846"/>
    <s v="Neha"/>
    <s v="Neha"/>
    <m/>
  </r>
  <r>
    <s v="ORD0482"/>
    <x v="121"/>
    <s v="C017"/>
    <s v="Nikhil Joshi"/>
    <s v="P005"/>
    <x v="14"/>
    <x v="0"/>
    <s v="Computers"/>
    <x v="1"/>
    <s v="Gujarat"/>
    <n v="25631.15"/>
    <n v="14646.68"/>
    <n v="2"/>
    <n v="0.05"/>
    <s v="Credit Card"/>
    <x v="0"/>
    <s v="Nikhil Joshi"/>
    <x v="419"/>
    <n v="0.42855938964892332"/>
    <n v="2024"/>
    <s v="Jun"/>
    <s v="Q2"/>
    <s v="Medium"/>
    <s v="Profit"/>
    <s v="No"/>
    <s v="NIKHIL JOSHI"/>
    <s v="nikhil joshi"/>
    <n v="12"/>
    <s v="ORD"/>
    <s v="0482"/>
    <s v="Nikhil Joshi-West"/>
    <s v="0482"/>
    <s v="Simran"/>
    <s v="Simran"/>
    <m/>
  </r>
  <r>
    <s v="ORD0197"/>
    <x v="316"/>
    <s v="C017"/>
    <s v="Nikhil Joshi"/>
    <s v="P006"/>
    <x v="2"/>
    <x v="1"/>
    <s v="Chairs"/>
    <x v="2"/>
    <s v="West Bengal"/>
    <n v="14019.04"/>
    <n v="8408.16"/>
    <n v="2"/>
    <n v="0.2"/>
    <s v="Debit Card"/>
    <x v="0"/>
    <s v="Nikhil Joshi"/>
    <x v="420"/>
    <n v="0.40023282621349254"/>
    <n v="2025"/>
    <s v="Aug"/>
    <s v="Q3"/>
    <s v="Low"/>
    <s v="Profit"/>
    <s v="No"/>
    <s v="NIKHIL JOSHI"/>
    <s v="nikhil joshi"/>
    <n v="12"/>
    <s v="ORD"/>
    <s v="0197"/>
    <s v="Nikhil Joshi-East"/>
    <s v="0197"/>
    <s v="Karan"/>
    <s v="Karan"/>
    <m/>
  </r>
  <r>
    <s v="ORD0074"/>
    <x v="317"/>
    <s v="C017"/>
    <s v="Nikhil Joshi"/>
    <s v="P007"/>
    <x v="3"/>
    <x v="1"/>
    <s v="Tables"/>
    <x v="3"/>
    <s v="Uttar Pradesh"/>
    <n v="52846.03"/>
    <n v="27936.04"/>
    <n v="4"/>
    <n v="0.15"/>
    <s v="Net Banking"/>
    <x v="2"/>
    <s v="Nikhil Joshi"/>
    <x v="421"/>
    <n v="0.471369183266936"/>
    <n v="2024"/>
    <s v="Sep"/>
    <s v="Q3"/>
    <s v="High"/>
    <s v="Profit"/>
    <s v="Yes"/>
    <s v="NIKHIL JOSHI"/>
    <s v="nikhil joshi"/>
    <n v="12"/>
    <s v="ORD"/>
    <s v="0074"/>
    <s v="Nikhil Joshi-North"/>
    <s v="0074"/>
    <s v="Rohan"/>
    <s v="Rohan"/>
    <m/>
  </r>
  <r>
    <s v="ORD0614"/>
    <x v="195"/>
    <s v="C017"/>
    <s v="Nikhil Joshi"/>
    <s v="P007"/>
    <x v="3"/>
    <x v="1"/>
    <s v="Tables"/>
    <x v="2"/>
    <s v="Bihar"/>
    <n v="54580.36"/>
    <n v="31907.3"/>
    <n v="5"/>
    <n v="0.2"/>
    <s v="UPI"/>
    <x v="2"/>
    <s v="Nikhil Joshi"/>
    <x v="422"/>
    <n v="0.41540693392275174"/>
    <n v="2024"/>
    <s v="Aug"/>
    <s v="Q3"/>
    <s v="High"/>
    <s v="Profit"/>
    <s v="Yes"/>
    <s v="NIKHIL JOSHI"/>
    <s v="nikhil joshi"/>
    <n v="12"/>
    <s v="ORD"/>
    <s v="0614"/>
    <s v="Nikhil Joshi-East"/>
    <s v="0614"/>
    <s v="Rohan"/>
    <s v="Rohan"/>
    <m/>
  </r>
  <r>
    <s v="ORD0751"/>
    <x v="292"/>
    <s v="C017"/>
    <s v="Nikhil Joshi"/>
    <s v="P007"/>
    <x v="3"/>
    <x v="1"/>
    <s v="Tables"/>
    <x v="2"/>
    <s v="Bihar"/>
    <n v="46502.46"/>
    <n v="19621.439999999999"/>
    <n v="3"/>
    <n v="0"/>
    <s v="UPI"/>
    <x v="0"/>
    <s v="Nikhil Joshi"/>
    <x v="423"/>
    <n v="0.57805587059265251"/>
    <n v="2024"/>
    <s v="Jul"/>
    <s v="Q3"/>
    <s v="Medium"/>
    <s v="Profit"/>
    <s v="No"/>
    <s v="NIKHIL JOSHI"/>
    <s v="nikhil joshi"/>
    <n v="12"/>
    <s v="ORD"/>
    <s v="0751"/>
    <s v="Nikhil Joshi-East"/>
    <s v="0751"/>
    <s v="Rohan"/>
    <s v="Rohan"/>
    <m/>
  </r>
  <r>
    <s v="ORD0780"/>
    <x v="153"/>
    <s v="C017"/>
    <s v="Nikhil Joshi"/>
    <s v="P007"/>
    <x v="3"/>
    <x v="1"/>
    <s v="Tables"/>
    <x v="0"/>
    <s v="Telangana"/>
    <n v="27762.77"/>
    <n v="13273.04"/>
    <n v="2"/>
    <n v="0.1"/>
    <s v="Net Banking"/>
    <x v="3"/>
    <s v="Nikhil Joshi"/>
    <x v="424"/>
    <n v="0.52191225875516023"/>
    <n v="2025"/>
    <s v="Apr"/>
    <s v="Q2"/>
    <s v="Medium"/>
    <s v="Profit"/>
    <s v="No"/>
    <s v="NIKHIL JOSHI"/>
    <s v="nikhil joshi"/>
    <n v="12"/>
    <s v="ORD"/>
    <s v="0780"/>
    <s v="Nikhil Joshi-South"/>
    <s v="0780"/>
    <s v="Rohan"/>
    <s v="Rohan"/>
    <m/>
  </r>
  <r>
    <s v="ORD0981"/>
    <x v="121"/>
    <s v="C017"/>
    <s v="Nikhil Joshi"/>
    <s v="P007"/>
    <x v="3"/>
    <x v="1"/>
    <s v="Tables"/>
    <x v="1"/>
    <s v="Maharashtra"/>
    <n v="34913.760000000002"/>
    <n v="26616.080000000002"/>
    <n v="4"/>
    <n v="0.2"/>
    <s v="Net Banking"/>
    <x v="4"/>
    <s v="Nikhil Joshi"/>
    <x v="425"/>
    <n v="0.23766217101795967"/>
    <n v="2024"/>
    <s v="Jun"/>
    <s v="Q2"/>
    <s v="Medium"/>
    <s v="Profit"/>
    <s v="No"/>
    <s v="NIKHIL JOSHI"/>
    <s v="nikhil joshi"/>
    <n v="12"/>
    <s v="ORD"/>
    <s v="0981"/>
    <s v="Nikhil Joshi-West"/>
    <s v="0981"/>
    <s v="Rohan"/>
    <s v="Rohan"/>
    <m/>
  </r>
  <r>
    <s v="ORD0963"/>
    <x v="318"/>
    <s v="C017"/>
    <s v="Nikhil Joshi"/>
    <s v="P008"/>
    <x v="4"/>
    <x v="1"/>
    <s v="Storage"/>
    <x v="1"/>
    <s v="Rajasthan"/>
    <n v="7882.24"/>
    <n v="3786.08"/>
    <n v="1"/>
    <n v="0"/>
    <s v="Debit Card"/>
    <x v="0"/>
    <s v="Nikhil Joshi"/>
    <x v="426"/>
    <n v="0.5196695355634946"/>
    <n v="2025"/>
    <s v="Aug"/>
    <s v="Q3"/>
    <s v="Low"/>
    <s v="Profit"/>
    <s v="No"/>
    <s v="NIKHIL JOSHI"/>
    <s v="nikhil joshi"/>
    <n v="12"/>
    <s v="ORD"/>
    <s v="0963"/>
    <s v="Nikhil Joshi-West"/>
    <s v="0963"/>
    <s v="Anjali"/>
    <s v="Anjali"/>
    <m/>
  </r>
  <r>
    <s v="ORD0448"/>
    <x v="277"/>
    <s v="C017"/>
    <s v="Nikhil Joshi"/>
    <s v="P010"/>
    <x v="6"/>
    <x v="1"/>
    <s v="Bedroom"/>
    <x v="2"/>
    <s v="Bihar"/>
    <n v="24366.57"/>
    <n v="19535.349999999999"/>
    <n v="1"/>
    <n v="0.1"/>
    <s v="Cash on Delivery"/>
    <x v="0"/>
    <s v="Nikhil Joshi"/>
    <x v="427"/>
    <n v="0.19827246920678623"/>
    <n v="2025"/>
    <s v="Nov"/>
    <s v="Q4"/>
    <s v="Medium"/>
    <s v="Profit"/>
    <s v="No"/>
    <s v="NIKHIL JOSHI"/>
    <s v="nikhil joshi"/>
    <n v="12"/>
    <s v="ORD"/>
    <s v="0448"/>
    <s v="Nikhil Joshi-East"/>
    <s v="0448"/>
    <s v="Sneha"/>
    <s v="Sneha"/>
    <m/>
  </r>
  <r>
    <s v="ORD0626"/>
    <x v="319"/>
    <s v="C017"/>
    <s v="Nikhil Joshi"/>
    <s v="P010"/>
    <x v="6"/>
    <x v="1"/>
    <s v="Bedroom"/>
    <x v="3"/>
    <s v="Punjab"/>
    <n v="102107.34"/>
    <n v="57077.4"/>
    <n v="3"/>
    <n v="0"/>
    <s v="Net Banking"/>
    <x v="0"/>
    <s v="Nikhil Joshi"/>
    <x v="428"/>
    <n v="0.44100590613759988"/>
    <n v="2024"/>
    <s v="Apr"/>
    <s v="Q2"/>
    <s v="High"/>
    <s v="Profit"/>
    <s v="Yes"/>
    <s v="NIKHIL JOSHI"/>
    <s v="nikhil joshi"/>
    <n v="12"/>
    <s v="ORD"/>
    <s v="0626"/>
    <s v="Nikhil Joshi-North"/>
    <s v="0626"/>
    <s v="Sneha"/>
    <s v="Sneha"/>
    <m/>
  </r>
  <r>
    <s v="ORD0229"/>
    <x v="96"/>
    <s v="C017"/>
    <s v="Nikhil Joshi"/>
    <s v="P011"/>
    <x v="15"/>
    <x v="2"/>
    <s v="Footwear"/>
    <x v="3"/>
    <s v="Uttar Pradesh"/>
    <n v="1672.27"/>
    <n v="1124.3499999999999"/>
    <n v="1"/>
    <n v="0.1"/>
    <s v="Credit Card"/>
    <x v="0"/>
    <s v="Nikhil Joshi"/>
    <x v="429"/>
    <n v="0.3276504392233312"/>
    <n v="2025"/>
    <s v="Feb"/>
    <s v="Q1"/>
    <s v="Low"/>
    <s v="Profit"/>
    <s v="No"/>
    <s v="NIKHIL JOSHI"/>
    <s v="nikhil joshi"/>
    <n v="12"/>
    <s v="ORD"/>
    <s v="0229"/>
    <s v="Nikhil Joshi-North"/>
    <s v="0229"/>
    <s v="Vikas"/>
    <s v="Vikas"/>
    <m/>
  </r>
  <r>
    <s v="ORD0668"/>
    <x v="320"/>
    <s v="C017"/>
    <s v="Nikhil Joshi"/>
    <s v="P011"/>
    <x v="15"/>
    <x v="2"/>
    <s v="Footwear"/>
    <x v="2"/>
    <s v="Odisha"/>
    <n v="2765.34"/>
    <n v="2310.36"/>
    <n v="2"/>
    <n v="0"/>
    <s v="UPI"/>
    <x v="0"/>
    <s v="Nikhil Joshi"/>
    <x v="430"/>
    <n v="0.16452949727700752"/>
    <n v="2025"/>
    <s v="Dec"/>
    <s v="Q4"/>
    <s v="Low"/>
    <s v="Profit"/>
    <s v="No"/>
    <s v="NIKHIL JOSHI"/>
    <s v="nikhil joshi"/>
    <n v="12"/>
    <s v="ORD"/>
    <s v="0668"/>
    <s v="Nikhil Joshi-East"/>
    <s v="0668"/>
    <s v="Vikas"/>
    <s v="Vikas"/>
    <m/>
  </r>
  <r>
    <s v="ORD0944"/>
    <x v="37"/>
    <s v="C017"/>
    <s v="Nikhil Joshi"/>
    <s v="P011"/>
    <x v="15"/>
    <x v="2"/>
    <s v="Footwear"/>
    <x v="2"/>
    <s v="West Bengal"/>
    <n v="5947.56"/>
    <n v="4764.2"/>
    <n v="4"/>
    <n v="0"/>
    <s v="Debit Card"/>
    <x v="2"/>
    <s v="Nikhil Joshi"/>
    <x v="431"/>
    <n v="0.19896562624000438"/>
    <n v="2025"/>
    <s v="May"/>
    <s v="Q2"/>
    <s v="Low"/>
    <s v="Profit"/>
    <s v="No"/>
    <s v="NIKHIL JOSHI"/>
    <s v="nikhil joshi"/>
    <n v="12"/>
    <s v="ORD"/>
    <s v="0944"/>
    <s v="Nikhil Joshi-East"/>
    <s v="0944"/>
    <s v="Vikas"/>
    <s v="Vikas"/>
    <m/>
  </r>
  <r>
    <s v="ORD0968"/>
    <x v="321"/>
    <s v="C017"/>
    <s v="Nikhil Joshi"/>
    <s v="P011"/>
    <x v="15"/>
    <x v="2"/>
    <s v="Footwear"/>
    <x v="3"/>
    <s v="Punjab"/>
    <n v="2984.37"/>
    <n v="1095.51"/>
    <n v="1"/>
    <n v="0.05"/>
    <s v="UPI"/>
    <x v="0"/>
    <s v="Nikhil Joshi"/>
    <x v="432"/>
    <n v="0.63291750017591653"/>
    <n v="2025"/>
    <s v="Mar"/>
    <s v="Q1"/>
    <s v="Low"/>
    <s v="Profit"/>
    <s v="No"/>
    <s v="NIKHIL JOSHI"/>
    <s v="nikhil joshi"/>
    <n v="12"/>
    <s v="ORD"/>
    <s v="0968"/>
    <s v="Nikhil Joshi-North"/>
    <s v="0968"/>
    <s v="Vikas"/>
    <s v="Vikas"/>
    <m/>
  </r>
  <r>
    <s v="ORD0161"/>
    <x v="322"/>
    <s v="C017"/>
    <s v="Nikhil Joshi"/>
    <s v="P012"/>
    <x v="7"/>
    <x v="2"/>
    <s v="Clothing"/>
    <x v="3"/>
    <s v="Delhi"/>
    <n v="4204.59"/>
    <n v="2527.35"/>
    <n v="3"/>
    <n v="0.15"/>
    <s v="Credit Card"/>
    <x v="0"/>
    <s v="Nikhil Joshi"/>
    <x v="433"/>
    <n v="0.39890690887815461"/>
    <n v="2025"/>
    <s v="Jan"/>
    <s v="Q1"/>
    <s v="Low"/>
    <s v="Profit"/>
    <s v="No"/>
    <s v="NIKHIL JOSHI"/>
    <s v="nikhil joshi"/>
    <n v="12"/>
    <s v="ORD"/>
    <s v="0161"/>
    <s v="Nikhil Joshi-North"/>
    <s v="0161"/>
    <s v="Pooja"/>
    <s v="Pooja"/>
    <m/>
  </r>
  <r>
    <s v="ORD0103"/>
    <x v="323"/>
    <s v="C017"/>
    <s v="Nikhil Joshi"/>
    <s v="P015"/>
    <x v="17"/>
    <x v="2"/>
    <s v="Clothing"/>
    <x v="3"/>
    <s v="Delhi"/>
    <n v="8607.7199999999993"/>
    <n v="2148.36"/>
    <n v="4"/>
    <n v="0"/>
    <s v="Net Banking"/>
    <x v="4"/>
    <s v="Nikhil Joshi"/>
    <x v="434"/>
    <n v="0.75041474397401398"/>
    <n v="2024"/>
    <s v="May"/>
    <s v="Q2"/>
    <s v="Low"/>
    <s v="Profit"/>
    <s v="No"/>
    <s v="NIKHIL JOSHI"/>
    <s v="nikhil joshi"/>
    <n v="12"/>
    <s v="ORD"/>
    <s v="0103"/>
    <s v="Nikhil Joshi-North"/>
    <s v="0103"/>
    <s v="Manish"/>
    <s v="Manish"/>
    <m/>
  </r>
  <r>
    <s v="ORD0234"/>
    <x v="324"/>
    <s v="C017"/>
    <s v="Nikhil Joshi"/>
    <s v="P015"/>
    <x v="17"/>
    <x v="2"/>
    <s v="Clothing"/>
    <x v="1"/>
    <s v="Rajasthan"/>
    <n v="4508.01"/>
    <n v="1373.43"/>
    <n v="3"/>
    <n v="0"/>
    <s v="Cash on Delivery"/>
    <x v="0"/>
    <s v="Nikhil Joshi"/>
    <x v="435"/>
    <n v="0.69533563590142877"/>
    <n v="2025"/>
    <s v="Dec"/>
    <s v="Q4"/>
    <s v="Low"/>
    <s v="Profit"/>
    <s v="No"/>
    <s v="NIKHIL JOSHI"/>
    <s v="nikhil joshi"/>
    <n v="12"/>
    <s v="ORD"/>
    <s v="0234"/>
    <s v="Nikhil Joshi-West"/>
    <s v="0234"/>
    <s v="Manish"/>
    <s v="Manish"/>
    <m/>
  </r>
  <r>
    <s v="ORD0923"/>
    <x v="286"/>
    <s v="C017"/>
    <s v="Nikhil Joshi"/>
    <s v="P015"/>
    <x v="17"/>
    <x v="2"/>
    <s v="Clothing"/>
    <x v="3"/>
    <s v="Punjab"/>
    <n v="3501.86"/>
    <n v="1507.65"/>
    <n v="3"/>
    <n v="0.15"/>
    <s v="Net Banking"/>
    <x v="4"/>
    <s v="Nikhil Joshi"/>
    <x v="436"/>
    <n v="0.56947165220768392"/>
    <n v="2024"/>
    <s v="Nov"/>
    <s v="Q4"/>
    <s v="Low"/>
    <s v="Profit"/>
    <s v="No"/>
    <s v="NIKHIL JOSHI"/>
    <s v="nikhil joshi"/>
    <n v="12"/>
    <s v="ORD"/>
    <s v="0923"/>
    <s v="Nikhil Joshi-North"/>
    <s v="0923"/>
    <s v="Manish"/>
    <s v="Manish"/>
    <m/>
  </r>
  <r>
    <s v="ORD0943"/>
    <x v="149"/>
    <s v="C017"/>
    <s v="Nikhil Joshi"/>
    <s v="P015"/>
    <x v="17"/>
    <x v="2"/>
    <s v="Clothing"/>
    <x v="0"/>
    <s v="Tamil Nadu"/>
    <n v="1116.19"/>
    <n v="549.11"/>
    <n v="1"/>
    <n v="0.15"/>
    <s v="Cash on Delivery"/>
    <x v="0"/>
    <s v="Nikhil Joshi"/>
    <x v="437"/>
    <n v="0.50804970479936218"/>
    <n v="2024"/>
    <s v="Jul"/>
    <s v="Q3"/>
    <s v="Low"/>
    <s v="Profit"/>
    <s v="No"/>
    <s v="NIKHIL JOSHI"/>
    <s v="nikhil joshi"/>
    <n v="12"/>
    <s v="ORD"/>
    <s v="0943"/>
    <s v="Nikhil Joshi-South"/>
    <s v="0943"/>
    <s v="Manish"/>
    <s v="Manish"/>
    <m/>
  </r>
  <r>
    <s v="ORD0254"/>
    <x v="13"/>
    <s v="C017"/>
    <s v="Nikhil Joshi"/>
    <s v="P016"/>
    <x v="8"/>
    <x v="3"/>
    <s v="Kitchen"/>
    <x v="1"/>
    <s v="Gujarat"/>
    <n v="11900.42"/>
    <n v="7576.76"/>
    <n v="4"/>
    <n v="0.05"/>
    <s v="Debit Card"/>
    <x v="1"/>
    <s v="Nikhil Joshi"/>
    <x v="438"/>
    <n v="0.36331995005218304"/>
    <n v="2024"/>
    <s v="Apr"/>
    <s v="Q2"/>
    <s v="Low"/>
    <s v="Profit"/>
    <s v="No"/>
    <s v="NIKHIL JOSHI"/>
    <s v="nikhil joshi"/>
    <n v="12"/>
    <s v="ORD"/>
    <s v="0254"/>
    <s v="Nikhil Joshi-West"/>
    <s v="0254"/>
    <s v="Rahul"/>
    <s v="Rahul"/>
    <m/>
  </r>
  <r>
    <s v="ORD0752"/>
    <x v="234"/>
    <s v="C017"/>
    <s v="Nikhil Joshi"/>
    <s v="P016"/>
    <x v="8"/>
    <x v="3"/>
    <s v="Kitchen"/>
    <x v="0"/>
    <s v="Telangana"/>
    <n v="21812.799999999999"/>
    <n v="8433.25"/>
    <n v="5"/>
    <n v="0"/>
    <s v="Credit Card"/>
    <x v="1"/>
    <s v="Nikhil Joshi"/>
    <x v="439"/>
    <n v="0.61338067556663978"/>
    <n v="2025"/>
    <s v="Dec"/>
    <s v="Q4"/>
    <s v="Medium"/>
    <s v="Profit"/>
    <s v="No"/>
    <s v="NIKHIL JOSHI"/>
    <s v="nikhil joshi"/>
    <n v="12"/>
    <s v="ORD"/>
    <s v="0752"/>
    <s v="Nikhil Joshi-South"/>
    <s v="0752"/>
    <s v="Rahul"/>
    <s v="Rahul"/>
    <m/>
  </r>
  <r>
    <s v="ORD0211"/>
    <x v="325"/>
    <s v="C017"/>
    <s v="Nikhil Joshi"/>
    <s v="P017"/>
    <x v="9"/>
    <x v="3"/>
    <s v="Kitchen"/>
    <x v="1"/>
    <s v="Rajasthan"/>
    <n v="56963.93"/>
    <n v="28798.75"/>
    <n v="5"/>
    <n v="0.1"/>
    <s v="Debit Card"/>
    <x v="0"/>
    <s v="Nikhil Joshi"/>
    <x v="440"/>
    <n v="0.49443884928585513"/>
    <n v="2025"/>
    <s v="May"/>
    <s v="Q2"/>
    <s v="High"/>
    <s v="Profit"/>
    <s v="Yes"/>
    <s v="NIKHIL JOSHI"/>
    <s v="nikhil joshi"/>
    <n v="12"/>
    <s v="ORD"/>
    <s v="0211"/>
    <s v="Nikhil Joshi-West"/>
    <s v="0211"/>
    <s v="Priya"/>
    <s v="Priya"/>
    <m/>
  </r>
  <r>
    <s v="ORD0715"/>
    <x v="326"/>
    <s v="C017"/>
    <s v="Nikhil Joshi"/>
    <s v="P017"/>
    <x v="9"/>
    <x v="3"/>
    <s v="Kitchen"/>
    <x v="4"/>
    <s v="Chhattisgarh"/>
    <n v="37305.86"/>
    <n v="25007.16"/>
    <n v="4"/>
    <n v="0.2"/>
    <s v="Debit Card"/>
    <x v="2"/>
    <s v="Nikhil Joshi"/>
    <x v="441"/>
    <n v="0.32967206760546469"/>
    <n v="2024"/>
    <s v="May"/>
    <s v="Q2"/>
    <s v="Medium"/>
    <s v="Profit"/>
    <s v="No"/>
    <s v="NIKHIL JOSHI"/>
    <s v="nikhil joshi"/>
    <n v="12"/>
    <s v="ORD"/>
    <s v="0715"/>
    <s v="Nikhil Joshi-Central"/>
    <s v="0715"/>
    <s v="Priya"/>
    <s v="Priya"/>
    <m/>
  </r>
  <r>
    <s v="ORD0145"/>
    <x v="327"/>
    <s v="C017"/>
    <s v="Nikhil Joshi"/>
    <s v="P018"/>
    <x v="10"/>
    <x v="3"/>
    <s v="Cooling"/>
    <x v="4"/>
    <s v="Chhattisgarh"/>
    <n v="36163.410000000003"/>
    <n v="15087.84"/>
    <n v="3"/>
    <n v="0"/>
    <s v="Net Banking"/>
    <x v="0"/>
    <s v="Nikhil Joshi"/>
    <x v="442"/>
    <n v="0.58278713207631694"/>
    <n v="2025"/>
    <s v="Nov"/>
    <s v="Q4"/>
    <s v="Medium"/>
    <s v="Profit"/>
    <s v="No"/>
    <s v="NIKHIL JOSHI"/>
    <s v="nikhil joshi"/>
    <n v="12"/>
    <s v="ORD"/>
    <s v="0145"/>
    <s v="Nikhil Joshi-Central"/>
    <s v="0145"/>
    <s v="Amit"/>
    <s v="Amit"/>
    <m/>
  </r>
  <r>
    <s v="ORD0412"/>
    <x v="328"/>
    <s v="C017"/>
    <s v="Nikhil Joshi"/>
    <s v="P019"/>
    <x v="18"/>
    <x v="3"/>
    <s v="Cleaning"/>
    <x v="0"/>
    <s v="Tamil Nadu"/>
    <n v="4891.38"/>
    <n v="3726.69"/>
    <n v="1"/>
    <n v="0.1"/>
    <s v="Net Banking"/>
    <x v="1"/>
    <s v="Nikhil Joshi"/>
    <x v="443"/>
    <n v="0.23811071722090699"/>
    <n v="2024"/>
    <s v="Jun"/>
    <s v="Q2"/>
    <s v="Low"/>
    <s v="Profit"/>
    <s v="No"/>
    <s v="NIKHIL JOSHI"/>
    <s v="nikhil joshi"/>
    <n v="12"/>
    <s v="ORD"/>
    <s v="0412"/>
    <s v="Nikhil Joshi-South"/>
    <s v="0412"/>
    <s v="Neha"/>
    <s v="Neha"/>
    <m/>
  </r>
  <r>
    <s v="ORD0051"/>
    <x v="131"/>
    <s v="C017"/>
    <s v="Nikhil Joshi"/>
    <s v="P020"/>
    <x v="11"/>
    <x v="3"/>
    <s v="Kitchen"/>
    <x v="0"/>
    <s v="Telangana"/>
    <n v="1652.18"/>
    <n v="1034.56"/>
    <n v="2"/>
    <n v="0.05"/>
    <s v="Credit Card"/>
    <x v="0"/>
    <s v="Nikhil Joshi"/>
    <x v="444"/>
    <n v="0.37382125434274721"/>
    <n v="2024"/>
    <s v="Apr"/>
    <s v="Q2"/>
    <s v="Low"/>
    <s v="Profit"/>
    <s v="No"/>
    <s v="NIKHIL JOSHI"/>
    <s v="nikhil joshi"/>
    <n v="12"/>
    <s v="ORD"/>
    <s v="0051"/>
    <s v="Nikhil Joshi-South"/>
    <s v="0051"/>
    <s v="Simran"/>
    <s v="Simran"/>
    <m/>
  </r>
  <r>
    <s v="ORD0275"/>
    <x v="329"/>
    <s v="C004"/>
    <s v="Neha Verma"/>
    <s v="P001"/>
    <x v="12"/>
    <x v="0"/>
    <s v="Computers"/>
    <x v="3"/>
    <s v="Uttar Pradesh"/>
    <n v="272169.03999999998"/>
    <n v="220467.1"/>
    <n v="5"/>
    <n v="0.1"/>
    <s v="Net Banking"/>
    <x v="0"/>
    <s v="Neha Verma"/>
    <x v="445"/>
    <n v="0.18996260559246553"/>
    <n v="2024"/>
    <s v="Dec"/>
    <s v="Q4"/>
    <s v="High"/>
    <s v="Profit"/>
    <s v="Yes"/>
    <s v="NEHA VERMA"/>
    <s v="neha verma"/>
    <n v="10"/>
    <s v="ORD"/>
    <s v="0275"/>
    <s v="Neha Verma-North"/>
    <s v="0275"/>
    <s v="Rahul"/>
    <s v="Rahul"/>
    <m/>
  </r>
  <r>
    <s v="ORD0832"/>
    <x v="4"/>
    <s v="C004"/>
    <s v="Neha Verma"/>
    <s v="P001"/>
    <x v="12"/>
    <x v="0"/>
    <s v="Computers"/>
    <x v="2"/>
    <s v="Bihar"/>
    <n v="57998"/>
    <n v="45208.6"/>
    <n v="1"/>
    <n v="0.05"/>
    <s v="Net Banking"/>
    <x v="0"/>
    <s v="Neha Verma"/>
    <x v="446"/>
    <n v="0.22051450050001728"/>
    <n v="2024"/>
    <s v="Jul"/>
    <s v="Q3"/>
    <s v="High"/>
    <s v="Profit"/>
    <s v="No"/>
    <s v="NEHA VERMA"/>
    <s v="neha verma"/>
    <n v="10"/>
    <s v="ORD"/>
    <s v="0832"/>
    <s v="Neha Verma-East"/>
    <s v="0832"/>
    <s v="Rahul"/>
    <s v="Rahul"/>
    <m/>
  </r>
  <r>
    <s v="ORD0567"/>
    <x v="330"/>
    <s v="C004"/>
    <s v="Neha Verma"/>
    <s v="P002"/>
    <x v="0"/>
    <x v="0"/>
    <s v="Phones"/>
    <x v="1"/>
    <s v="Gujarat"/>
    <n v="40972.019999999997"/>
    <n v="33396.54"/>
    <n v="2"/>
    <n v="0.2"/>
    <s v="Credit Card"/>
    <x v="0"/>
    <s v="Neha Verma"/>
    <x v="447"/>
    <n v="0.18489398374793325"/>
    <n v="2024"/>
    <s v="Dec"/>
    <s v="Q4"/>
    <s v="Medium"/>
    <s v="Profit"/>
    <s v="No"/>
    <s v="NEHA VERMA"/>
    <s v="neha verma"/>
    <n v="10"/>
    <s v="ORD"/>
    <s v="0567"/>
    <s v="Neha Verma-West"/>
    <s v="0567"/>
    <s v="Priya"/>
    <s v="Priya"/>
    <m/>
  </r>
  <r>
    <s v="ORD0371"/>
    <x v="331"/>
    <s v="C004"/>
    <s v="Neha Verma"/>
    <s v="P003"/>
    <x v="1"/>
    <x v="0"/>
    <s v="Accessories"/>
    <x v="0"/>
    <s v="Telangana"/>
    <n v="9409.24"/>
    <n v="6711.72"/>
    <n v="4"/>
    <n v="0"/>
    <s v="Debit Card"/>
    <x v="2"/>
    <s v="Neha Verma"/>
    <x v="448"/>
    <n v="0.28668840416441704"/>
    <n v="2024"/>
    <s v="Jun"/>
    <s v="Q2"/>
    <s v="Low"/>
    <s v="Profit"/>
    <s v="No"/>
    <s v="NEHA VERMA"/>
    <s v="neha verma"/>
    <n v="10"/>
    <s v="ORD"/>
    <s v="0371"/>
    <s v="Neha Verma-South"/>
    <s v="0371"/>
    <s v="Amit"/>
    <s v="Amit"/>
    <m/>
  </r>
  <r>
    <s v="ORD0435"/>
    <x v="280"/>
    <s v="C004"/>
    <s v="Neha Verma"/>
    <s v="P004"/>
    <x v="13"/>
    <x v="0"/>
    <s v="Wearables"/>
    <x v="4"/>
    <s v="Madhya Pradesh"/>
    <n v="9653.36"/>
    <n v="5402.64"/>
    <n v="2"/>
    <n v="0.1"/>
    <s v="Cash on Delivery"/>
    <x v="1"/>
    <s v="Neha Verma"/>
    <x v="449"/>
    <n v="0.44033580017734758"/>
    <n v="2025"/>
    <s v="Nov"/>
    <s v="Q4"/>
    <s v="Low"/>
    <s v="Profit"/>
    <s v="No"/>
    <s v="NEHA VERMA"/>
    <s v="neha verma"/>
    <n v="10"/>
    <s v="ORD"/>
    <s v="0435"/>
    <s v="Neha Verma-Central"/>
    <s v="0435"/>
    <s v="Neha"/>
    <s v="Neha"/>
    <m/>
  </r>
  <r>
    <s v="ORD0695"/>
    <x v="332"/>
    <s v="C004"/>
    <s v="Neha Verma"/>
    <s v="P005"/>
    <x v="14"/>
    <x v="0"/>
    <s v="Computers"/>
    <x v="2"/>
    <s v="Odisha"/>
    <n v="54711.199999999997"/>
    <n v="29928.48"/>
    <n v="4"/>
    <n v="0"/>
    <s v="UPI"/>
    <x v="1"/>
    <s v="Neha Verma"/>
    <x v="450"/>
    <n v="0.45297343139978652"/>
    <n v="2025"/>
    <s v="Apr"/>
    <s v="Q2"/>
    <s v="High"/>
    <s v="Profit"/>
    <s v="Yes"/>
    <s v="NEHA VERMA"/>
    <s v="neha verma"/>
    <n v="10"/>
    <s v="ORD"/>
    <s v="0695"/>
    <s v="Neha Verma-East"/>
    <s v="0695"/>
    <s v="Simran"/>
    <s v="Simran"/>
    <m/>
  </r>
  <r>
    <s v="ORD0919"/>
    <x v="204"/>
    <s v="C004"/>
    <s v="Neha Verma"/>
    <s v="P005"/>
    <x v="14"/>
    <x v="0"/>
    <s v="Computers"/>
    <x v="3"/>
    <s v="Punjab"/>
    <n v="24926.85"/>
    <n v="16104.18"/>
    <n v="2"/>
    <n v="0.1"/>
    <s v="Cash on Delivery"/>
    <x v="3"/>
    <s v="Neha Verma"/>
    <x v="451"/>
    <n v="0.35394243556646743"/>
    <n v="2024"/>
    <s v="Jul"/>
    <s v="Q3"/>
    <s v="Medium"/>
    <s v="Profit"/>
    <s v="No"/>
    <s v="NEHA VERMA"/>
    <s v="neha verma"/>
    <n v="10"/>
    <s v="ORD"/>
    <s v="0919"/>
    <s v="Neha Verma-North"/>
    <s v="0919"/>
    <s v="Simran"/>
    <s v="Simran"/>
    <m/>
  </r>
  <r>
    <s v="ORD0422"/>
    <x v="333"/>
    <s v="C004"/>
    <s v="Neha Verma"/>
    <s v="P006"/>
    <x v="2"/>
    <x v="1"/>
    <s v="Chairs"/>
    <x v="4"/>
    <s v="Chhattisgarh"/>
    <n v="23137.5"/>
    <n v="13122.57"/>
    <n v="3"/>
    <n v="0.15"/>
    <s v="UPI"/>
    <x v="0"/>
    <s v="Neha Verma"/>
    <x v="452"/>
    <n v="0.43284408427876825"/>
    <n v="2024"/>
    <s v="Feb"/>
    <s v="Q1"/>
    <s v="Medium"/>
    <s v="Profit"/>
    <s v="No"/>
    <s v="NEHA VERMA"/>
    <s v="neha verma"/>
    <n v="10"/>
    <s v="ORD"/>
    <s v="0422"/>
    <s v="Neha Verma-Central"/>
    <s v="0422"/>
    <s v="Karan"/>
    <s v="Karan"/>
    <m/>
  </r>
  <r>
    <s v="ORD0957"/>
    <x v="328"/>
    <s v="C004"/>
    <s v="Neha Verma"/>
    <s v="P006"/>
    <x v="2"/>
    <x v="1"/>
    <s v="Chairs"/>
    <x v="2"/>
    <s v="Bihar"/>
    <n v="5113.62"/>
    <n v="4424.1099999999997"/>
    <n v="1"/>
    <n v="0.1"/>
    <s v="Debit Card"/>
    <x v="0"/>
    <s v="Neha Verma"/>
    <x v="453"/>
    <n v="0.13483794259252746"/>
    <n v="2024"/>
    <s v="Jun"/>
    <s v="Q2"/>
    <s v="Low"/>
    <s v="Profit"/>
    <s v="No"/>
    <s v="NEHA VERMA"/>
    <s v="neha verma"/>
    <n v="10"/>
    <s v="ORD"/>
    <s v="0957"/>
    <s v="Neha Verma-East"/>
    <s v="0957"/>
    <s v="Karan"/>
    <s v="Karan"/>
    <m/>
  </r>
  <r>
    <s v="ORD0191"/>
    <x v="52"/>
    <s v="C004"/>
    <s v="Neha Verma"/>
    <s v="P007"/>
    <x v="3"/>
    <x v="1"/>
    <s v="Tables"/>
    <x v="4"/>
    <s v="Madhya Pradesh"/>
    <n v="12971.28"/>
    <n v="14813.04"/>
    <n v="2"/>
    <n v="0.2"/>
    <s v="Cash on Delivery"/>
    <x v="1"/>
    <s v="Neha Verma"/>
    <x v="454"/>
    <n v="-0.14198752937258313"/>
    <n v="2024"/>
    <s v="May"/>
    <s v="Q2"/>
    <s v="Low"/>
    <s v="Loss"/>
    <s v="No"/>
    <s v="NEHA VERMA"/>
    <s v="neha verma"/>
    <n v="10"/>
    <s v="ORD"/>
    <s v="0191"/>
    <s v="Neha Verma-Central"/>
    <s v="0191"/>
    <s v="Rohan"/>
    <s v="Rohan"/>
    <m/>
  </r>
  <r>
    <s v="ORD0469"/>
    <x v="316"/>
    <s v="C004"/>
    <s v="Neha Verma"/>
    <s v="P007"/>
    <x v="3"/>
    <x v="1"/>
    <s v="Tables"/>
    <x v="2"/>
    <s v="Bihar"/>
    <n v="43580.41"/>
    <n v="30528.639999999999"/>
    <n v="4"/>
    <n v="0.05"/>
    <s v="UPI"/>
    <x v="4"/>
    <s v="Neha Verma"/>
    <x v="455"/>
    <n v="0.29948708605540891"/>
    <n v="2025"/>
    <s v="Aug"/>
    <s v="Q3"/>
    <s v="Medium"/>
    <s v="Profit"/>
    <s v="No"/>
    <s v="NEHA VERMA"/>
    <s v="neha verma"/>
    <n v="10"/>
    <s v="ORD"/>
    <s v="0469"/>
    <s v="Neha Verma-East"/>
    <s v="0469"/>
    <s v="Rohan"/>
    <s v="Rohan"/>
    <m/>
  </r>
  <r>
    <s v="ORD0989"/>
    <x v="72"/>
    <s v="C004"/>
    <s v="Neha Verma"/>
    <s v="P007"/>
    <x v="3"/>
    <x v="1"/>
    <s v="Tables"/>
    <x v="1"/>
    <s v="Rajasthan"/>
    <n v="64320.73"/>
    <n v="28576.720000000001"/>
    <n v="4"/>
    <n v="0.1"/>
    <s v="Net Banking"/>
    <x v="2"/>
    <s v="Neha Verma"/>
    <x v="456"/>
    <n v="0.55571524141594786"/>
    <n v="2024"/>
    <s v="Jan"/>
    <s v="Q1"/>
    <s v="High"/>
    <s v="Profit"/>
    <s v="Yes"/>
    <s v="NEHA VERMA"/>
    <s v="neha verma"/>
    <n v="10"/>
    <s v="ORD"/>
    <s v="0989"/>
    <s v="Neha Verma-West"/>
    <s v="0989"/>
    <s v="Rohan"/>
    <s v="Rohan"/>
    <m/>
  </r>
  <r>
    <s v="ORD0148"/>
    <x v="302"/>
    <s v="C004"/>
    <s v="Neha Verma"/>
    <s v="P008"/>
    <x v="4"/>
    <x v="1"/>
    <s v="Storage"/>
    <x v="1"/>
    <s v="Maharashtra"/>
    <n v="23992.67"/>
    <n v="16076.68"/>
    <n v="4"/>
    <n v="0.1"/>
    <s v="Debit Card"/>
    <x v="0"/>
    <s v="Neha Verma"/>
    <x v="457"/>
    <n v="0.32993368391262823"/>
    <n v="2025"/>
    <s v="Aug"/>
    <s v="Q3"/>
    <s v="Medium"/>
    <s v="Profit"/>
    <s v="No"/>
    <s v="NEHA VERMA"/>
    <s v="neha verma"/>
    <n v="10"/>
    <s v="ORD"/>
    <s v="0148"/>
    <s v="Neha Verma-West"/>
    <s v="0148"/>
    <s v="Anjali"/>
    <s v="Anjali"/>
    <m/>
  </r>
  <r>
    <s v="ORD0286"/>
    <x v="277"/>
    <s v="C004"/>
    <s v="Neha Verma"/>
    <s v="P008"/>
    <x v="4"/>
    <x v="1"/>
    <s v="Storage"/>
    <x v="2"/>
    <s v="Odisha"/>
    <n v="18868.75"/>
    <n v="11199.21"/>
    <n v="3"/>
    <n v="0.2"/>
    <s v="Net Banking"/>
    <x v="1"/>
    <s v="Neha Verma"/>
    <x v="458"/>
    <n v="0.40646783703212991"/>
    <n v="2025"/>
    <s v="Nov"/>
    <s v="Q4"/>
    <s v="Low"/>
    <s v="Profit"/>
    <s v="No"/>
    <s v="NEHA VERMA"/>
    <s v="neha verma"/>
    <n v="10"/>
    <s v="ORD"/>
    <s v="0286"/>
    <s v="Neha Verma-East"/>
    <s v="0286"/>
    <s v="Anjali"/>
    <s v="Anjali"/>
    <m/>
  </r>
  <r>
    <s v="ORD0045"/>
    <x v="316"/>
    <s v="C004"/>
    <s v="Neha Verma"/>
    <s v="P009"/>
    <x v="5"/>
    <x v="1"/>
    <s v="Seating"/>
    <x v="3"/>
    <s v="Punjab"/>
    <n v="71063.240000000005"/>
    <n v="43567.26"/>
    <n v="3"/>
    <n v="0.1"/>
    <s v="Debit Card"/>
    <x v="3"/>
    <s v="Neha Verma"/>
    <x v="459"/>
    <n v="0.38692269026855519"/>
    <n v="2025"/>
    <s v="Aug"/>
    <s v="Q3"/>
    <s v="High"/>
    <s v="Profit"/>
    <s v="Yes"/>
    <s v="NEHA VERMA"/>
    <s v="neha verma"/>
    <n v="10"/>
    <s v="ORD"/>
    <s v="0045"/>
    <s v="Neha Verma-North"/>
    <s v="0045"/>
    <s v="Arjun"/>
    <s v="Arjun"/>
    <m/>
  </r>
  <r>
    <s v="ORD0137"/>
    <x v="334"/>
    <s v="C004"/>
    <s v="Neha Verma"/>
    <s v="P009"/>
    <x v="5"/>
    <x v="1"/>
    <s v="Seating"/>
    <x v="2"/>
    <s v="West Bengal"/>
    <n v="101253.18"/>
    <n v="68418"/>
    <n v="4"/>
    <n v="0.2"/>
    <s v="Cash on Delivery"/>
    <x v="0"/>
    <s v="Neha Verma"/>
    <x v="460"/>
    <n v="0.32428788903222588"/>
    <n v="2024"/>
    <s v="Aug"/>
    <s v="Q3"/>
    <s v="High"/>
    <s v="Profit"/>
    <s v="Yes"/>
    <s v="NEHA VERMA"/>
    <s v="neha verma"/>
    <n v="10"/>
    <s v="ORD"/>
    <s v="0137"/>
    <s v="Neha Verma-East"/>
    <s v="0137"/>
    <s v="Arjun"/>
    <s v="Arjun"/>
    <m/>
  </r>
  <r>
    <s v="ORD0880"/>
    <x v="335"/>
    <s v="C004"/>
    <s v="Neha Verma"/>
    <s v="P009"/>
    <x v="5"/>
    <x v="1"/>
    <s v="Seating"/>
    <x v="3"/>
    <s v="Delhi"/>
    <n v="75366.600000000006"/>
    <n v="64679.96"/>
    <n v="4"/>
    <n v="0"/>
    <s v="Net Banking"/>
    <x v="0"/>
    <s v="Neha Verma"/>
    <x v="461"/>
    <n v="0.14179543723612323"/>
    <n v="2024"/>
    <s v="Nov"/>
    <s v="Q4"/>
    <s v="High"/>
    <s v="Profit"/>
    <s v="Yes"/>
    <s v="NEHA VERMA"/>
    <s v="neha verma"/>
    <n v="10"/>
    <s v="ORD"/>
    <s v="0880"/>
    <s v="Neha Verma-North"/>
    <s v="0880"/>
    <s v="Arjun"/>
    <s v="Arjun"/>
    <m/>
  </r>
  <r>
    <s v="ORD0172"/>
    <x v="336"/>
    <s v="C004"/>
    <s v="Neha Verma"/>
    <s v="P010"/>
    <x v="6"/>
    <x v="1"/>
    <s v="Bedroom"/>
    <x v="0"/>
    <s v="Karnataka"/>
    <n v="22119.75"/>
    <n v="16371.9"/>
    <n v="1"/>
    <n v="0.2"/>
    <s v="Net Banking"/>
    <x v="0"/>
    <s v="Neha Verma"/>
    <x v="462"/>
    <n v="0.25985149018411152"/>
    <n v="2024"/>
    <s v="Nov"/>
    <s v="Q4"/>
    <s v="Medium"/>
    <s v="Profit"/>
    <s v="No"/>
    <s v="NEHA VERMA"/>
    <s v="neha verma"/>
    <n v="10"/>
    <s v="ORD"/>
    <s v="0172"/>
    <s v="Neha Verma-South"/>
    <s v="0172"/>
    <s v="Sneha"/>
    <s v="Sneha"/>
    <m/>
  </r>
  <r>
    <s v="ORD0540"/>
    <x v="337"/>
    <s v="C004"/>
    <s v="Neha Verma"/>
    <s v="P010"/>
    <x v="6"/>
    <x v="1"/>
    <s v="Bedroom"/>
    <x v="0"/>
    <s v="Tamil Nadu"/>
    <n v="92390.69"/>
    <n v="75270.36"/>
    <n v="4"/>
    <n v="0.05"/>
    <s v="UPI"/>
    <x v="2"/>
    <s v="Neha Verma"/>
    <x v="463"/>
    <n v="0.18530362745423809"/>
    <n v="2024"/>
    <s v="May"/>
    <s v="Q2"/>
    <s v="High"/>
    <s v="Profit"/>
    <s v="Yes"/>
    <s v="NEHA VERMA"/>
    <s v="neha verma"/>
    <n v="10"/>
    <s v="ORD"/>
    <s v="0540"/>
    <s v="Neha Verma-South"/>
    <s v="0540"/>
    <s v="Sneha"/>
    <s v="Sneha"/>
    <m/>
  </r>
  <r>
    <s v="ORD0648"/>
    <x v="338"/>
    <s v="C004"/>
    <s v="Neha Verma"/>
    <s v="P010"/>
    <x v="6"/>
    <x v="1"/>
    <s v="Bedroom"/>
    <x v="4"/>
    <s v="Chhattisgarh"/>
    <n v="55239.34"/>
    <n v="35508.36"/>
    <n v="2"/>
    <n v="0.1"/>
    <s v="Net Banking"/>
    <x v="3"/>
    <s v="Neha Verma"/>
    <x v="464"/>
    <n v="0.35719072675379532"/>
    <n v="2024"/>
    <s v="Feb"/>
    <s v="Q1"/>
    <s v="High"/>
    <s v="Profit"/>
    <s v="Yes"/>
    <s v="NEHA VERMA"/>
    <s v="neha verma"/>
    <n v="10"/>
    <s v="ORD"/>
    <s v="0648"/>
    <s v="Neha Verma-Central"/>
    <s v="0648"/>
    <s v="Sneha"/>
    <s v="Sneha"/>
    <m/>
  </r>
  <r>
    <s v="ORD0681"/>
    <x v="80"/>
    <s v="C004"/>
    <s v="Neha Verma"/>
    <s v="P012"/>
    <x v="7"/>
    <x v="2"/>
    <s v="Clothing"/>
    <x v="1"/>
    <s v="Gujarat"/>
    <n v="5421.5"/>
    <n v="3769.44"/>
    <n v="4"/>
    <n v="0.05"/>
    <s v="UPI"/>
    <x v="0"/>
    <s v="Neha Verma"/>
    <x v="465"/>
    <n v="0.30472378493036983"/>
    <n v="2024"/>
    <s v="Mar"/>
    <s v="Q1"/>
    <s v="Low"/>
    <s v="Profit"/>
    <s v="No"/>
    <s v="NEHA VERMA"/>
    <s v="neha verma"/>
    <n v="10"/>
    <s v="ORD"/>
    <s v="0681"/>
    <s v="Neha Verma-West"/>
    <s v="0681"/>
    <s v="Pooja"/>
    <s v="Pooja"/>
    <m/>
  </r>
  <r>
    <s v="ORD0866"/>
    <x v="339"/>
    <s v="C004"/>
    <s v="Neha Verma"/>
    <s v="P012"/>
    <x v="7"/>
    <x v="2"/>
    <s v="Clothing"/>
    <x v="2"/>
    <s v="West Bengal"/>
    <n v="1224.25"/>
    <n v="904.1"/>
    <n v="1"/>
    <n v="0.1"/>
    <s v="Debit Card"/>
    <x v="4"/>
    <s v="Neha Verma"/>
    <x v="466"/>
    <n v="0.26150704512967121"/>
    <n v="2024"/>
    <s v="Oct"/>
    <s v="Q4"/>
    <s v="Low"/>
    <s v="Profit"/>
    <s v="No"/>
    <s v="NEHA VERMA"/>
    <s v="neha verma"/>
    <n v="10"/>
    <s v="ORD"/>
    <s v="0866"/>
    <s v="Neha Verma-East"/>
    <s v="0866"/>
    <s v="Pooja"/>
    <s v="Pooja"/>
    <m/>
  </r>
  <r>
    <s v="ORD0634"/>
    <x v="340"/>
    <s v="C004"/>
    <s v="Neha Verma"/>
    <s v="P013"/>
    <x v="16"/>
    <x v="2"/>
    <s v="Bags"/>
    <x v="3"/>
    <s v="Delhi"/>
    <n v="7520.93"/>
    <n v="2739.48"/>
    <n v="4"/>
    <n v="0.2"/>
    <s v="Net Banking"/>
    <x v="1"/>
    <s v="Neha Verma"/>
    <x v="467"/>
    <n v="0.63575249337515449"/>
    <n v="2024"/>
    <s v="Mar"/>
    <s v="Q1"/>
    <s v="Low"/>
    <s v="Profit"/>
    <s v="No"/>
    <s v="NEHA VERMA"/>
    <s v="neha verma"/>
    <n v="10"/>
    <s v="ORD"/>
    <s v="0634"/>
    <s v="Neha Verma-North"/>
    <s v="0634"/>
    <s v="Aditya"/>
    <s v="Aditya"/>
    <m/>
  </r>
  <r>
    <s v="ORD0070"/>
    <x v="341"/>
    <s v="C004"/>
    <s v="Neha Verma"/>
    <s v="P014"/>
    <x v="19"/>
    <x v="2"/>
    <s v="Clothing"/>
    <x v="0"/>
    <s v="Telangana"/>
    <n v="2304.5100000000002"/>
    <n v="1041.48"/>
    <n v="4"/>
    <n v="0.2"/>
    <s v="Debit Card"/>
    <x v="2"/>
    <s v="Neha Verma"/>
    <x v="468"/>
    <n v="0.54806878685707594"/>
    <n v="2025"/>
    <s v="Oct"/>
    <s v="Q4"/>
    <s v="Low"/>
    <s v="Profit"/>
    <s v="No"/>
    <s v="NEHA VERMA"/>
    <s v="neha verma"/>
    <n v="10"/>
    <s v="ORD"/>
    <s v="0070"/>
    <s v="Neha Verma-South"/>
    <s v="0070"/>
    <s v="Kavya"/>
    <s v="Kavya"/>
    <m/>
  </r>
  <r>
    <s v="ORD0206"/>
    <x v="70"/>
    <s v="C004"/>
    <s v="Neha Verma"/>
    <s v="P014"/>
    <x v="19"/>
    <x v="2"/>
    <s v="Clothing"/>
    <x v="3"/>
    <s v="Punjab"/>
    <n v="1685.68"/>
    <n v="789.57"/>
    <n v="3"/>
    <n v="0.15"/>
    <s v="UPI"/>
    <x v="0"/>
    <s v="Neha Verma"/>
    <x v="469"/>
    <n v="0.53160149019980063"/>
    <n v="2024"/>
    <s v="Sep"/>
    <s v="Q3"/>
    <s v="Low"/>
    <s v="Profit"/>
    <s v="No"/>
    <s v="NEHA VERMA"/>
    <s v="neha verma"/>
    <n v="10"/>
    <s v="ORD"/>
    <s v="0206"/>
    <s v="Neha Verma-North"/>
    <s v="0206"/>
    <s v="Kavya"/>
    <s v="Kavya"/>
    <m/>
  </r>
  <r>
    <s v="ORD0384"/>
    <x v="189"/>
    <s v="C004"/>
    <s v="Neha Verma"/>
    <s v="P014"/>
    <x v="19"/>
    <x v="2"/>
    <s v="Clothing"/>
    <x v="3"/>
    <s v="Punjab"/>
    <n v="4973.1000000000004"/>
    <n v="1272"/>
    <n v="5"/>
    <n v="0"/>
    <s v="UPI"/>
    <x v="0"/>
    <s v="Neha Verma"/>
    <x v="470"/>
    <n v="0.74422392471496657"/>
    <n v="2024"/>
    <s v="May"/>
    <s v="Q2"/>
    <s v="Low"/>
    <s v="Profit"/>
    <s v="No"/>
    <s v="NEHA VERMA"/>
    <s v="neha verma"/>
    <n v="10"/>
    <s v="ORD"/>
    <s v="0384"/>
    <s v="Neha Verma-North"/>
    <s v="0384"/>
    <s v="Kavya"/>
    <s v="Kavya"/>
    <m/>
  </r>
  <r>
    <s v="ORD0427"/>
    <x v="342"/>
    <s v="C004"/>
    <s v="Neha Verma"/>
    <s v="P014"/>
    <x v="19"/>
    <x v="2"/>
    <s v="Clothing"/>
    <x v="1"/>
    <s v="Gujarat"/>
    <n v="493.68"/>
    <n v="238.08"/>
    <n v="1"/>
    <n v="0.2"/>
    <s v="Cash on Delivery"/>
    <x v="0"/>
    <s v="Neha Verma"/>
    <x v="471"/>
    <n v="0.51774428779776371"/>
    <n v="2024"/>
    <s v="Feb"/>
    <s v="Q1"/>
    <s v="Low"/>
    <s v="Profit"/>
    <s v="No"/>
    <s v="NEHA VERMA"/>
    <s v="neha verma"/>
    <n v="10"/>
    <s v="ORD"/>
    <s v="0427"/>
    <s v="Neha Verma-West"/>
    <s v="0427"/>
    <s v="Kavya"/>
    <s v="Kavya"/>
    <m/>
  </r>
  <r>
    <s v="ORD0381"/>
    <x v="328"/>
    <s v="C004"/>
    <s v="Neha Verma"/>
    <s v="P015"/>
    <x v="17"/>
    <x v="2"/>
    <s v="Clothing"/>
    <x v="3"/>
    <s v="Punjab"/>
    <n v="1363.23"/>
    <n v="1061.7"/>
    <n v="2"/>
    <n v="0.15"/>
    <s v="UPI"/>
    <x v="3"/>
    <s v="Neha Verma"/>
    <x v="472"/>
    <n v="0.22118791399837148"/>
    <n v="2024"/>
    <s v="Jun"/>
    <s v="Q2"/>
    <s v="Low"/>
    <s v="Profit"/>
    <s v="No"/>
    <s v="NEHA VERMA"/>
    <s v="neha verma"/>
    <n v="10"/>
    <s v="ORD"/>
    <s v="0381"/>
    <s v="Neha Verma-North"/>
    <s v="0381"/>
    <s v="Manish"/>
    <s v="Manish"/>
    <m/>
  </r>
  <r>
    <s v="ORD0604"/>
    <x v="322"/>
    <s v="C004"/>
    <s v="Neha Verma"/>
    <s v="P015"/>
    <x v="17"/>
    <x v="2"/>
    <s v="Clothing"/>
    <x v="2"/>
    <s v="Odisha"/>
    <n v="971.63"/>
    <n v="502.38"/>
    <n v="1"/>
    <n v="0.2"/>
    <s v="Cash on Delivery"/>
    <x v="0"/>
    <s v="Neha Verma"/>
    <x v="473"/>
    <n v="0.48295132920967859"/>
    <n v="2025"/>
    <s v="Jan"/>
    <s v="Q1"/>
    <s v="Low"/>
    <s v="Profit"/>
    <s v="No"/>
    <s v="NEHA VERMA"/>
    <s v="neha verma"/>
    <n v="10"/>
    <s v="ORD"/>
    <s v="0604"/>
    <s v="Neha Verma-East"/>
    <s v="0604"/>
    <s v="Manish"/>
    <s v="Manish"/>
    <m/>
  </r>
  <r>
    <s v="ORD0826"/>
    <x v="115"/>
    <s v="C004"/>
    <s v="Neha Verma"/>
    <s v="P015"/>
    <x v="17"/>
    <x v="2"/>
    <s v="Clothing"/>
    <x v="2"/>
    <s v="Odisha"/>
    <n v="3688.58"/>
    <n v="1456.65"/>
    <n v="3"/>
    <n v="0.2"/>
    <s v="UPI"/>
    <x v="0"/>
    <s v="Neha Verma"/>
    <x v="474"/>
    <n v="0.60509193239674886"/>
    <n v="2025"/>
    <s v="Aug"/>
    <s v="Q3"/>
    <s v="Low"/>
    <s v="Profit"/>
    <s v="No"/>
    <s v="NEHA VERMA"/>
    <s v="neha verma"/>
    <n v="10"/>
    <s v="ORD"/>
    <s v="0826"/>
    <s v="Neha Verma-East"/>
    <s v="0826"/>
    <s v="Manish"/>
    <s v="Manish"/>
    <m/>
  </r>
  <r>
    <s v="ORD0173"/>
    <x v="343"/>
    <s v="C004"/>
    <s v="Neha Verma"/>
    <s v="P016"/>
    <x v="8"/>
    <x v="3"/>
    <s v="Kitchen"/>
    <x v="2"/>
    <s v="West Bengal"/>
    <n v="3818.5"/>
    <n v="1847.5"/>
    <n v="1"/>
    <n v="0.05"/>
    <s v="Debit Card"/>
    <x v="3"/>
    <s v="Neha Verma"/>
    <x v="475"/>
    <n v="0.51617127144166552"/>
    <n v="2025"/>
    <s v="Jul"/>
    <s v="Q3"/>
    <s v="Low"/>
    <s v="Profit"/>
    <s v="No"/>
    <s v="NEHA VERMA"/>
    <s v="neha verma"/>
    <n v="10"/>
    <s v="ORD"/>
    <s v="0173"/>
    <s v="Neha Verma-East"/>
    <s v="0173"/>
    <s v="Rahul"/>
    <s v="Rahul"/>
    <m/>
  </r>
  <r>
    <s v="ORD0997"/>
    <x v="199"/>
    <s v="C004"/>
    <s v="Neha Verma"/>
    <s v="P016"/>
    <x v="8"/>
    <x v="3"/>
    <s v="Kitchen"/>
    <x v="2"/>
    <s v="Odisha"/>
    <n v="5219.58"/>
    <n v="3415.22"/>
    <n v="2"/>
    <n v="0"/>
    <s v="UPI"/>
    <x v="3"/>
    <s v="Neha Verma"/>
    <x v="476"/>
    <n v="0.34569064943922695"/>
    <n v="2025"/>
    <s v="Jul"/>
    <s v="Q3"/>
    <s v="Low"/>
    <s v="Profit"/>
    <s v="No"/>
    <s v="NEHA VERMA"/>
    <s v="neha verma"/>
    <n v="10"/>
    <s v="ORD"/>
    <s v="0997"/>
    <s v="Neha Verma-East"/>
    <s v="0997"/>
    <s v="Rahul"/>
    <s v="Rahul"/>
    <m/>
  </r>
  <r>
    <s v="ORD0195"/>
    <x v="262"/>
    <s v="C004"/>
    <s v="Neha Verma"/>
    <s v="P017"/>
    <x v="9"/>
    <x v="3"/>
    <s v="Kitchen"/>
    <x v="3"/>
    <s v="Punjab"/>
    <n v="25697.29"/>
    <n v="11188.72"/>
    <n v="2"/>
    <n v="0.05"/>
    <s v="Debit Card"/>
    <x v="4"/>
    <s v="Neha Verma"/>
    <x v="477"/>
    <n v="0.56459533281525021"/>
    <n v="2024"/>
    <s v="Nov"/>
    <s v="Q4"/>
    <s v="Medium"/>
    <s v="Profit"/>
    <s v="No"/>
    <s v="NEHA VERMA"/>
    <s v="neha verma"/>
    <n v="10"/>
    <s v="ORD"/>
    <s v="0195"/>
    <s v="Neha Verma-North"/>
    <s v="0195"/>
    <s v="Priya"/>
    <s v="Priya"/>
    <m/>
  </r>
  <r>
    <s v="ORD0754"/>
    <x v="344"/>
    <s v="C004"/>
    <s v="Neha Verma"/>
    <s v="P017"/>
    <x v="9"/>
    <x v="3"/>
    <s v="Kitchen"/>
    <x v="3"/>
    <s v="Punjab"/>
    <n v="32327.759999999998"/>
    <n v="18737.04"/>
    <n v="3"/>
    <n v="0"/>
    <s v="UPI"/>
    <x v="1"/>
    <s v="Neha Verma"/>
    <x v="478"/>
    <n v="0.42040401190803195"/>
    <n v="2025"/>
    <s v="May"/>
    <s v="Q2"/>
    <s v="Medium"/>
    <s v="Profit"/>
    <s v="No"/>
    <s v="NEHA VERMA"/>
    <s v="neha verma"/>
    <n v="10"/>
    <s v="ORD"/>
    <s v="0754"/>
    <s v="Neha Verma-North"/>
    <s v="0754"/>
    <s v="Priya"/>
    <s v="Priya"/>
    <m/>
  </r>
  <r>
    <s v="ORD0158"/>
    <x v="345"/>
    <s v="C004"/>
    <s v="Neha Verma"/>
    <s v="P018"/>
    <x v="10"/>
    <x v="3"/>
    <s v="Cooling"/>
    <x v="2"/>
    <s v="Odisha"/>
    <n v="28763.3"/>
    <n v="15681.6"/>
    <n v="3"/>
    <n v="0.2"/>
    <s v="Credit Card"/>
    <x v="1"/>
    <s v="Neha Verma"/>
    <x v="479"/>
    <n v="0.45480525530797922"/>
    <n v="2025"/>
    <s v="Jan"/>
    <s v="Q1"/>
    <s v="Medium"/>
    <s v="Profit"/>
    <s v="No"/>
    <s v="NEHA VERMA"/>
    <s v="neha verma"/>
    <n v="10"/>
    <s v="ORD"/>
    <s v="0158"/>
    <s v="Neha Verma-East"/>
    <s v="0158"/>
    <s v="Amit"/>
    <s v="Amit"/>
    <m/>
  </r>
  <r>
    <s v="ORD0243"/>
    <x v="346"/>
    <s v="C020"/>
    <s v="Meera Reddy"/>
    <s v="P001"/>
    <x v="12"/>
    <x v="0"/>
    <s v="Computers"/>
    <x v="0"/>
    <s v="Karnataka"/>
    <n v="43309.919999999998"/>
    <n v="44168.61"/>
    <n v="1"/>
    <n v="0.2"/>
    <s v="UPI"/>
    <x v="0"/>
    <s v="Meera Reddy"/>
    <x v="480"/>
    <n v="-1.9826635560629122E-2"/>
    <n v="2024"/>
    <s v="Jul"/>
    <s v="Q3"/>
    <s v="Medium"/>
    <s v="Loss"/>
    <s v="No"/>
    <s v="MEERA REDDY"/>
    <s v="meera reddy"/>
    <n v="11"/>
    <s v="ORD"/>
    <s v="0243"/>
    <s v="Meera Reddy-South"/>
    <s v="0243"/>
    <s v="Rahul"/>
    <s v="Rahul"/>
    <m/>
  </r>
  <r>
    <s v="ORD0817"/>
    <x v="110"/>
    <s v="C020"/>
    <s v="Meera Reddy"/>
    <s v="P001"/>
    <x v="12"/>
    <x v="0"/>
    <s v="Computers"/>
    <x v="0"/>
    <s v="Telangana"/>
    <n v="229648.2"/>
    <n v="261643"/>
    <n v="5"/>
    <n v="0.2"/>
    <s v="Credit Card"/>
    <x v="0"/>
    <s v="Meera Reddy"/>
    <x v="481"/>
    <n v="-0.13932092653023184"/>
    <n v="2024"/>
    <s v="Feb"/>
    <s v="Q1"/>
    <s v="High"/>
    <s v="Loss"/>
    <s v="Yes"/>
    <s v="MEERA REDDY"/>
    <s v="meera reddy"/>
    <n v="11"/>
    <s v="ORD"/>
    <s v="0817"/>
    <s v="Meera Reddy-South"/>
    <s v="0817"/>
    <s v="Rahul"/>
    <s v="Rahul"/>
    <m/>
  </r>
  <r>
    <s v="ORD0389"/>
    <x v="321"/>
    <s v="C020"/>
    <s v="Meera Reddy"/>
    <s v="P003"/>
    <x v="1"/>
    <x v="0"/>
    <s v="Accessories"/>
    <x v="0"/>
    <s v="Karnataka"/>
    <n v="6530.97"/>
    <n v="3897.68"/>
    <n v="2"/>
    <n v="0.15"/>
    <s v="Cash on Delivery"/>
    <x v="1"/>
    <s v="Meera Reddy"/>
    <x v="482"/>
    <n v="0.40320044342570865"/>
    <n v="2025"/>
    <s v="Mar"/>
    <s v="Q1"/>
    <s v="Low"/>
    <s v="Profit"/>
    <s v="No"/>
    <s v="MEERA REDDY"/>
    <s v="meera reddy"/>
    <n v="11"/>
    <s v="ORD"/>
    <s v="0389"/>
    <s v="Meera Reddy-South"/>
    <s v="0389"/>
    <s v="Amit"/>
    <s v="Amit"/>
    <m/>
  </r>
  <r>
    <s v="ORD0470"/>
    <x v="335"/>
    <s v="C020"/>
    <s v="Meera Reddy"/>
    <s v="P003"/>
    <x v="1"/>
    <x v="0"/>
    <s v="Accessories"/>
    <x v="0"/>
    <s v="Karnataka"/>
    <n v="17206.849999999999"/>
    <n v="7128.92"/>
    <n v="4"/>
    <n v="0.1"/>
    <s v="Cash on Delivery"/>
    <x v="0"/>
    <s v="Meera Reddy"/>
    <x v="483"/>
    <n v="0.58569290718521982"/>
    <n v="2024"/>
    <s v="Nov"/>
    <s v="Q4"/>
    <s v="Low"/>
    <s v="Profit"/>
    <s v="No"/>
    <s v="MEERA REDDY"/>
    <s v="meera reddy"/>
    <n v="11"/>
    <s v="ORD"/>
    <s v="0470"/>
    <s v="Meera Reddy-South"/>
    <s v="0470"/>
    <s v="Amit"/>
    <s v="Amit"/>
    <m/>
  </r>
  <r>
    <s v="ORD0084"/>
    <x v="347"/>
    <s v="C020"/>
    <s v="Meera Reddy"/>
    <s v="P004"/>
    <x v="13"/>
    <x v="0"/>
    <s v="Wearables"/>
    <x v="4"/>
    <s v="Madhya Pradesh"/>
    <n v="7254.01"/>
    <n v="5717.58"/>
    <n v="2"/>
    <n v="0.05"/>
    <s v="Credit Card"/>
    <x v="0"/>
    <s v="Meera Reddy"/>
    <x v="484"/>
    <n v="0.2118042296605602"/>
    <n v="2024"/>
    <s v="Jul"/>
    <s v="Q3"/>
    <s v="Low"/>
    <s v="Profit"/>
    <s v="No"/>
    <s v="MEERA REDDY"/>
    <s v="meera reddy"/>
    <n v="11"/>
    <s v="ORD"/>
    <s v="0084"/>
    <s v="Meera Reddy-Central"/>
    <s v="0084"/>
    <s v="Neha"/>
    <s v="Neha"/>
    <m/>
  </r>
  <r>
    <s v="ORD0186"/>
    <x v="36"/>
    <s v="C020"/>
    <s v="Meera Reddy"/>
    <s v="P005"/>
    <x v="14"/>
    <x v="0"/>
    <s v="Computers"/>
    <x v="2"/>
    <s v="Odisha"/>
    <n v="34397.06"/>
    <n v="23385.66"/>
    <n v="3"/>
    <n v="0.2"/>
    <s v="Credit Card"/>
    <x v="1"/>
    <s v="Meera Reddy"/>
    <x v="485"/>
    <n v="0.32012619683193849"/>
    <n v="2025"/>
    <s v="Apr"/>
    <s v="Q2"/>
    <s v="Medium"/>
    <s v="Profit"/>
    <s v="No"/>
    <s v="MEERA REDDY"/>
    <s v="meera reddy"/>
    <n v="11"/>
    <s v="ORD"/>
    <s v="0186"/>
    <s v="Meera Reddy-East"/>
    <s v="0186"/>
    <s v="Simran"/>
    <s v="Simran"/>
    <m/>
  </r>
  <r>
    <s v="ORD0319"/>
    <x v="348"/>
    <s v="C020"/>
    <s v="Meera Reddy"/>
    <s v="P006"/>
    <x v="2"/>
    <x v="1"/>
    <s v="Chairs"/>
    <x v="1"/>
    <s v="Gujarat"/>
    <n v="10101.719999999999"/>
    <n v="9230.5400000000009"/>
    <n v="2"/>
    <n v="0.15"/>
    <s v="Cash on Delivery"/>
    <x v="2"/>
    <s v="Meera Reddy"/>
    <x v="486"/>
    <n v="8.6240758999457379E-2"/>
    <n v="2024"/>
    <s v="Dec"/>
    <s v="Q4"/>
    <s v="Low"/>
    <s v="Profit"/>
    <s v="No"/>
    <s v="MEERA REDDY"/>
    <s v="meera reddy"/>
    <n v="11"/>
    <s v="ORD"/>
    <s v="0319"/>
    <s v="Meera Reddy-West"/>
    <s v="0319"/>
    <s v="Karan"/>
    <s v="Karan"/>
    <m/>
  </r>
  <r>
    <s v="ORD0652"/>
    <x v="349"/>
    <s v="C020"/>
    <s v="Meera Reddy"/>
    <s v="P006"/>
    <x v="2"/>
    <x v="1"/>
    <s v="Chairs"/>
    <x v="1"/>
    <s v="Gujarat"/>
    <n v="27800.17"/>
    <n v="18187.400000000001"/>
    <n v="4"/>
    <n v="0.1"/>
    <s v="Credit Card"/>
    <x v="0"/>
    <s v="Meera Reddy"/>
    <x v="487"/>
    <n v="0.34578097903717847"/>
    <n v="2025"/>
    <s v="Jun"/>
    <s v="Q2"/>
    <s v="Medium"/>
    <s v="Profit"/>
    <s v="No"/>
    <s v="MEERA REDDY"/>
    <s v="meera reddy"/>
    <n v="11"/>
    <s v="ORD"/>
    <s v="0652"/>
    <s v="Meera Reddy-West"/>
    <s v="0652"/>
    <s v="Karan"/>
    <s v="Karan"/>
    <m/>
  </r>
  <r>
    <s v="ORD0036"/>
    <x v="151"/>
    <s v="C020"/>
    <s v="Meera Reddy"/>
    <s v="P007"/>
    <x v="3"/>
    <x v="1"/>
    <s v="Tables"/>
    <x v="2"/>
    <s v="Bihar"/>
    <n v="26408.94"/>
    <n v="14525"/>
    <n v="2"/>
    <n v="0.2"/>
    <s v="Net Banking"/>
    <x v="4"/>
    <s v="Meera Reddy"/>
    <x v="488"/>
    <n v="0.44999685712489784"/>
    <n v="2024"/>
    <s v="Dec"/>
    <s v="Q4"/>
    <s v="Medium"/>
    <s v="Profit"/>
    <s v="No"/>
    <s v="MEERA REDDY"/>
    <s v="meera reddy"/>
    <n v="11"/>
    <s v="ORD"/>
    <s v="0036"/>
    <s v="Meera Reddy-East"/>
    <s v="0036"/>
    <s v="Rohan"/>
    <s v="Rohan"/>
    <m/>
  </r>
  <r>
    <s v="ORD0437"/>
    <x v="350"/>
    <s v="C020"/>
    <s v="Meera Reddy"/>
    <s v="P007"/>
    <x v="3"/>
    <x v="1"/>
    <s v="Tables"/>
    <x v="0"/>
    <s v="Karnataka"/>
    <n v="61626.39"/>
    <n v="26407.32"/>
    <n v="4"/>
    <n v="0.05"/>
    <s v="Debit Card"/>
    <x v="0"/>
    <s v="Meera Reddy"/>
    <x v="489"/>
    <n v="0.57149331641850187"/>
    <n v="2024"/>
    <s v="May"/>
    <s v="Q2"/>
    <s v="High"/>
    <s v="Profit"/>
    <s v="Yes"/>
    <s v="MEERA REDDY"/>
    <s v="meera reddy"/>
    <n v="11"/>
    <s v="ORD"/>
    <s v="0437"/>
    <s v="Meera Reddy-South"/>
    <s v="0437"/>
    <s v="Rohan"/>
    <s v="Rohan"/>
    <m/>
  </r>
  <r>
    <s v="ORD0958"/>
    <x v="85"/>
    <s v="C020"/>
    <s v="Meera Reddy"/>
    <s v="P007"/>
    <x v="3"/>
    <x v="1"/>
    <s v="Tables"/>
    <x v="1"/>
    <s v="Rajasthan"/>
    <n v="36043.199999999997"/>
    <n v="25876.52"/>
    <n v="4"/>
    <n v="0.1"/>
    <s v="Debit Card"/>
    <x v="0"/>
    <s v="Meera Reddy"/>
    <x v="490"/>
    <n v="0.28206929462422864"/>
    <n v="2025"/>
    <s v="Feb"/>
    <s v="Q1"/>
    <s v="Medium"/>
    <s v="Profit"/>
    <s v="No"/>
    <s v="MEERA REDDY"/>
    <s v="meera reddy"/>
    <n v="11"/>
    <s v="ORD"/>
    <s v="0958"/>
    <s v="Meera Reddy-West"/>
    <s v="0958"/>
    <s v="Rohan"/>
    <s v="Rohan"/>
    <m/>
  </r>
  <r>
    <s v="ORD0138"/>
    <x v="67"/>
    <s v="C020"/>
    <s v="Meera Reddy"/>
    <s v="P009"/>
    <x v="5"/>
    <x v="1"/>
    <s v="Seating"/>
    <x v="3"/>
    <s v="Delhi"/>
    <n v="60130.35"/>
    <n v="49945.919999999998"/>
    <n v="3"/>
    <n v="0.1"/>
    <s v="Debit Card"/>
    <x v="0"/>
    <s v="Meera Reddy"/>
    <x v="491"/>
    <n v="0.16937253816084558"/>
    <n v="2024"/>
    <s v="Jul"/>
    <s v="Q3"/>
    <s v="High"/>
    <s v="Profit"/>
    <s v="Yes"/>
    <s v="MEERA REDDY"/>
    <s v="meera reddy"/>
    <n v="11"/>
    <s v="ORD"/>
    <s v="0138"/>
    <s v="Meera Reddy-North"/>
    <s v="0138"/>
    <s v="Arjun"/>
    <s v="Arjun"/>
    <m/>
  </r>
  <r>
    <s v="ORD0912"/>
    <x v="351"/>
    <s v="C020"/>
    <s v="Meera Reddy"/>
    <s v="P010"/>
    <x v="6"/>
    <x v="1"/>
    <s v="Bedroom"/>
    <x v="1"/>
    <s v="Maharashtra"/>
    <n v="71579.44"/>
    <n v="33154.9"/>
    <n v="2"/>
    <n v="0"/>
    <s v="Net Banking"/>
    <x v="0"/>
    <s v="Meera Reddy"/>
    <x v="492"/>
    <n v="0.53680973195655068"/>
    <n v="2024"/>
    <s v="Dec"/>
    <s v="Q4"/>
    <s v="High"/>
    <s v="Profit"/>
    <s v="Yes"/>
    <s v="MEERA REDDY"/>
    <s v="meera reddy"/>
    <n v="11"/>
    <s v="ORD"/>
    <s v="0912"/>
    <s v="Meera Reddy-West"/>
    <s v="0912"/>
    <s v="Sneha"/>
    <s v="Sneha"/>
    <m/>
  </r>
  <r>
    <s v="ORD0716"/>
    <x v="78"/>
    <s v="C020"/>
    <s v="Meera Reddy"/>
    <s v="P012"/>
    <x v="7"/>
    <x v="2"/>
    <s v="Clothing"/>
    <x v="4"/>
    <s v="Madhya Pradesh"/>
    <n v="3652.87"/>
    <n v="843.9"/>
    <n v="1"/>
    <n v="0"/>
    <s v="UPI"/>
    <x v="3"/>
    <s v="Meera Reddy"/>
    <x v="493"/>
    <n v="0.76897617489809378"/>
    <n v="2025"/>
    <s v="Nov"/>
    <s v="Q4"/>
    <s v="Low"/>
    <s v="Profit"/>
    <s v="No"/>
    <s v="MEERA REDDY"/>
    <s v="meera reddy"/>
    <n v="11"/>
    <s v="ORD"/>
    <s v="0716"/>
    <s v="Meera Reddy-Central"/>
    <s v="0716"/>
    <s v="Pooja"/>
    <s v="Pooja"/>
    <m/>
  </r>
  <r>
    <s v="ORD0295"/>
    <x v="352"/>
    <s v="C020"/>
    <s v="Meera Reddy"/>
    <s v="P013"/>
    <x v="16"/>
    <x v="2"/>
    <s v="Bags"/>
    <x v="2"/>
    <s v="West Bengal"/>
    <n v="6691.07"/>
    <n v="3229.95"/>
    <n v="5"/>
    <n v="0.15"/>
    <s v="Cash on Delivery"/>
    <x v="0"/>
    <s v="Meera Reddy"/>
    <x v="494"/>
    <n v="0.51727451663186907"/>
    <n v="2025"/>
    <s v="Feb"/>
    <s v="Q1"/>
    <s v="Low"/>
    <s v="Profit"/>
    <s v="No"/>
    <s v="MEERA REDDY"/>
    <s v="meera reddy"/>
    <n v="11"/>
    <s v="ORD"/>
    <s v="0295"/>
    <s v="Meera Reddy-East"/>
    <s v="0295"/>
    <s v="Aditya"/>
    <s v="Aditya"/>
    <m/>
  </r>
  <r>
    <s v="ORD0185"/>
    <x v="254"/>
    <s v="C020"/>
    <s v="Meera Reddy"/>
    <s v="P015"/>
    <x v="17"/>
    <x v="2"/>
    <s v="Clothing"/>
    <x v="3"/>
    <s v="Delhi"/>
    <n v="1469.03"/>
    <n v="473.6"/>
    <n v="1"/>
    <n v="0.1"/>
    <s v="Net Banking"/>
    <x v="0"/>
    <s v="Meera Reddy"/>
    <x v="495"/>
    <n v="0.67761039597557571"/>
    <n v="2024"/>
    <s v="May"/>
    <s v="Q2"/>
    <s v="Low"/>
    <s v="Profit"/>
    <s v="No"/>
    <s v="MEERA REDDY"/>
    <s v="meera reddy"/>
    <n v="11"/>
    <s v="ORD"/>
    <s v="0185"/>
    <s v="Meera Reddy-North"/>
    <s v="0185"/>
    <s v="Manish"/>
    <s v="Manish"/>
    <m/>
  </r>
  <r>
    <s v="ORD0578"/>
    <x v="353"/>
    <s v="C020"/>
    <s v="Meera Reddy"/>
    <s v="P015"/>
    <x v="17"/>
    <x v="2"/>
    <s v="Clothing"/>
    <x v="2"/>
    <s v="West Bengal"/>
    <n v="7254.5"/>
    <n v="1817.96"/>
    <n v="4"/>
    <n v="0.05"/>
    <s v="Debit Card"/>
    <x v="0"/>
    <s v="Meera Reddy"/>
    <x v="496"/>
    <n v="0.7494024398649114"/>
    <n v="2024"/>
    <s v="May"/>
    <s v="Q2"/>
    <s v="Low"/>
    <s v="Profit"/>
    <s v="No"/>
    <s v="MEERA REDDY"/>
    <s v="meera reddy"/>
    <n v="11"/>
    <s v="ORD"/>
    <s v="0578"/>
    <s v="Meera Reddy-East"/>
    <s v="0578"/>
    <s v="Manish"/>
    <s v="Manish"/>
    <m/>
  </r>
  <r>
    <s v="ORD0608"/>
    <x v="354"/>
    <s v="C020"/>
    <s v="Meera Reddy"/>
    <s v="P016"/>
    <x v="8"/>
    <x v="3"/>
    <s v="Kitchen"/>
    <x v="0"/>
    <s v="Karnataka"/>
    <n v="15286.48"/>
    <n v="9287.0499999999993"/>
    <n v="5"/>
    <n v="0.15"/>
    <s v="UPI"/>
    <x v="0"/>
    <s v="Meera Reddy"/>
    <x v="497"/>
    <n v="0.39246641476651267"/>
    <n v="2024"/>
    <s v="Aug"/>
    <s v="Q3"/>
    <s v="Low"/>
    <s v="Profit"/>
    <s v="No"/>
    <s v="MEERA REDDY"/>
    <s v="meera reddy"/>
    <n v="11"/>
    <s v="ORD"/>
    <s v="0608"/>
    <s v="Meera Reddy-South"/>
    <s v="0608"/>
    <s v="Rahul"/>
    <s v="Rahul"/>
    <m/>
  </r>
  <r>
    <s v="ORD0046"/>
    <x v="355"/>
    <s v="C020"/>
    <s v="Meera Reddy"/>
    <s v="P017"/>
    <x v="9"/>
    <x v="3"/>
    <s v="Kitchen"/>
    <x v="3"/>
    <s v="Uttar Pradesh"/>
    <n v="29933.3"/>
    <n v="28140.45"/>
    <n v="5"/>
    <n v="0.15"/>
    <s v="UPI"/>
    <x v="0"/>
    <s v="Meera Reddy"/>
    <x v="498"/>
    <n v="5.9894832845025392E-2"/>
    <n v="2025"/>
    <s v="Jan"/>
    <s v="Q1"/>
    <s v="Medium"/>
    <s v="Profit"/>
    <s v="No"/>
    <s v="MEERA REDDY"/>
    <s v="meera reddy"/>
    <n v="11"/>
    <s v="ORD"/>
    <s v="0046"/>
    <s v="Meera Reddy-North"/>
    <s v="0046"/>
    <s v="Priya"/>
    <s v="Priya"/>
    <m/>
  </r>
  <r>
    <s v="ORD0131"/>
    <x v="356"/>
    <s v="C020"/>
    <s v="Meera Reddy"/>
    <s v="P017"/>
    <x v="9"/>
    <x v="3"/>
    <s v="Kitchen"/>
    <x v="0"/>
    <s v="Tamil Nadu"/>
    <n v="37210.1"/>
    <n v="30632.55"/>
    <n v="5"/>
    <n v="0"/>
    <s v="Cash on Delivery"/>
    <x v="0"/>
    <s v="Meera Reddy"/>
    <x v="499"/>
    <n v="0.1767678667888557"/>
    <n v="2025"/>
    <s v="Apr"/>
    <s v="Q2"/>
    <s v="Medium"/>
    <s v="Profit"/>
    <s v="No"/>
    <s v="MEERA REDDY"/>
    <s v="meera reddy"/>
    <n v="11"/>
    <s v="ORD"/>
    <s v="0131"/>
    <s v="Meera Reddy-South"/>
    <s v="0131"/>
    <s v="Priya"/>
    <s v="Priya"/>
    <m/>
  </r>
  <r>
    <s v="ORD0210"/>
    <x v="357"/>
    <s v="C020"/>
    <s v="Meera Reddy"/>
    <s v="P017"/>
    <x v="9"/>
    <x v="3"/>
    <s v="Kitchen"/>
    <x v="3"/>
    <s v="Punjab"/>
    <n v="38322.839999999997"/>
    <n v="28911.200000000001"/>
    <n v="5"/>
    <n v="0.2"/>
    <s v="Debit Card"/>
    <x v="1"/>
    <s v="Meera Reddy"/>
    <x v="500"/>
    <n v="0.24558827059789923"/>
    <n v="2024"/>
    <s v="Dec"/>
    <s v="Q4"/>
    <s v="Medium"/>
    <s v="Profit"/>
    <s v="No"/>
    <s v="MEERA REDDY"/>
    <s v="meera reddy"/>
    <n v="11"/>
    <s v="ORD"/>
    <s v="0210"/>
    <s v="Meera Reddy-North"/>
    <s v="0210"/>
    <s v="Priya"/>
    <s v="Priya"/>
    <m/>
  </r>
  <r>
    <s v="ORD0647"/>
    <x v="358"/>
    <s v="C020"/>
    <s v="Meera Reddy"/>
    <s v="P017"/>
    <x v="9"/>
    <x v="3"/>
    <s v="Kitchen"/>
    <x v="1"/>
    <s v="Maharashtra"/>
    <n v="39839.49"/>
    <n v="16424.669999999998"/>
    <n v="3"/>
    <n v="0"/>
    <s v="UPI"/>
    <x v="1"/>
    <s v="Meera Reddy"/>
    <x v="501"/>
    <n v="0.58772890918031329"/>
    <n v="2024"/>
    <s v="May"/>
    <s v="Q2"/>
    <s v="Medium"/>
    <s v="Profit"/>
    <s v="No"/>
    <s v="MEERA REDDY"/>
    <s v="meera reddy"/>
    <n v="11"/>
    <s v="ORD"/>
    <s v="0647"/>
    <s v="Meera Reddy-West"/>
    <s v="0647"/>
    <s v="Priya"/>
    <s v="Priya"/>
    <m/>
  </r>
  <r>
    <s v="ORD0778"/>
    <x v="46"/>
    <s v="C020"/>
    <s v="Meera Reddy"/>
    <s v="P017"/>
    <x v="9"/>
    <x v="3"/>
    <s v="Kitchen"/>
    <x v="1"/>
    <s v="Gujarat"/>
    <n v="27421.72"/>
    <n v="28083.599999999999"/>
    <n v="5"/>
    <n v="0.2"/>
    <s v="Credit Card"/>
    <x v="2"/>
    <s v="Meera Reddy"/>
    <x v="502"/>
    <n v="-2.413707090583659E-2"/>
    <n v="2025"/>
    <s v="Nov"/>
    <s v="Q4"/>
    <s v="Medium"/>
    <s v="Loss"/>
    <s v="No"/>
    <s v="MEERA REDDY"/>
    <s v="meera reddy"/>
    <n v="11"/>
    <s v="ORD"/>
    <s v="0778"/>
    <s v="Meera Reddy-West"/>
    <s v="0778"/>
    <s v="Priya"/>
    <s v="Priya"/>
    <m/>
  </r>
  <r>
    <s v="ORD0873"/>
    <x v="359"/>
    <s v="C020"/>
    <s v="Meera Reddy"/>
    <s v="P018"/>
    <x v="10"/>
    <x v="3"/>
    <s v="Cooling"/>
    <x v="2"/>
    <s v="West Bengal"/>
    <n v="45175.28"/>
    <n v="27619.65"/>
    <n v="5"/>
    <n v="0.2"/>
    <s v="UPI"/>
    <x v="0"/>
    <s v="Meera Reddy"/>
    <x v="503"/>
    <n v="0.38861142642613389"/>
    <n v="2024"/>
    <s v="Feb"/>
    <s v="Q1"/>
    <s v="Medium"/>
    <s v="Profit"/>
    <s v="No"/>
    <s v="MEERA REDDY"/>
    <s v="meera reddy"/>
    <n v="11"/>
    <s v="ORD"/>
    <s v="0873"/>
    <s v="Meera Reddy-East"/>
    <s v="0873"/>
    <s v="Amit"/>
    <s v="Amit"/>
    <m/>
  </r>
  <r>
    <s v="ORD0033"/>
    <x v="285"/>
    <s v="C020"/>
    <s v="Meera Reddy"/>
    <s v="P019"/>
    <x v="18"/>
    <x v="3"/>
    <s v="Cleaning"/>
    <x v="3"/>
    <s v="Uttar Pradesh"/>
    <n v="23702.49"/>
    <n v="16496.05"/>
    <n v="5"/>
    <n v="0.1"/>
    <s v="UPI"/>
    <x v="0"/>
    <s v="Meera Reddy"/>
    <x v="504"/>
    <n v="0.30403725515758057"/>
    <n v="2024"/>
    <s v="Mar"/>
    <s v="Q1"/>
    <s v="Medium"/>
    <s v="Profit"/>
    <s v="No"/>
    <s v="MEERA REDDY"/>
    <s v="meera reddy"/>
    <n v="11"/>
    <s v="ORD"/>
    <s v="0033"/>
    <s v="Meera Reddy-North"/>
    <s v="0033"/>
    <s v="Neha"/>
    <s v="Neha"/>
    <m/>
  </r>
  <r>
    <s v="ORD0486"/>
    <x v="360"/>
    <s v="C020"/>
    <s v="Meera Reddy"/>
    <s v="P019"/>
    <x v="18"/>
    <x v="3"/>
    <s v="Cleaning"/>
    <x v="2"/>
    <s v="Odisha"/>
    <n v="12048.7"/>
    <n v="11439.24"/>
    <n v="3"/>
    <n v="0.2"/>
    <s v="Net Banking"/>
    <x v="2"/>
    <s v="Meera Reddy"/>
    <x v="505"/>
    <n v="5.058305045357598E-2"/>
    <n v="2024"/>
    <s v="Jan"/>
    <s v="Q1"/>
    <s v="Low"/>
    <s v="Profit"/>
    <s v="No"/>
    <s v="MEERA REDDY"/>
    <s v="meera reddy"/>
    <n v="11"/>
    <s v="ORD"/>
    <s v="0486"/>
    <s v="Meera Reddy-East"/>
    <s v="0486"/>
    <s v="Neha"/>
    <s v="Neha"/>
    <m/>
  </r>
  <r>
    <s v="ORD0639"/>
    <x v="361"/>
    <s v="C020"/>
    <s v="Meera Reddy"/>
    <s v="P019"/>
    <x v="18"/>
    <x v="3"/>
    <s v="Cleaning"/>
    <x v="3"/>
    <s v="Punjab"/>
    <n v="7548.51"/>
    <n v="3433.98"/>
    <n v="1"/>
    <n v="0"/>
    <s v="Debit Card"/>
    <x v="0"/>
    <s v="Meera Reddy"/>
    <x v="506"/>
    <n v="0.54507843269731382"/>
    <n v="2025"/>
    <s v="Jun"/>
    <s v="Q2"/>
    <s v="Low"/>
    <s v="Profit"/>
    <s v="No"/>
    <s v="MEERA REDDY"/>
    <s v="meera reddy"/>
    <n v="11"/>
    <s v="ORD"/>
    <s v="0639"/>
    <s v="Meera Reddy-North"/>
    <s v="0639"/>
    <s v="Neha"/>
    <s v="Neha"/>
    <m/>
  </r>
  <r>
    <s v="ORD0980"/>
    <x v="191"/>
    <s v="C020"/>
    <s v="Meera Reddy"/>
    <s v="P019"/>
    <x v="18"/>
    <x v="3"/>
    <s v="Cleaning"/>
    <x v="2"/>
    <s v="Odisha"/>
    <n v="3730.57"/>
    <n v="3231.71"/>
    <n v="1"/>
    <n v="0.15"/>
    <s v="Net Banking"/>
    <x v="0"/>
    <s v="Meera Reddy"/>
    <x v="507"/>
    <n v="0.13372219258719178"/>
    <n v="2024"/>
    <s v="Jun"/>
    <s v="Q2"/>
    <s v="Low"/>
    <s v="Profit"/>
    <s v="No"/>
    <s v="MEERA REDDY"/>
    <s v="meera reddy"/>
    <n v="11"/>
    <s v="ORD"/>
    <s v="0980"/>
    <s v="Meera Reddy-East"/>
    <s v="0980"/>
    <s v="Neha"/>
    <s v="Neha"/>
    <m/>
  </r>
  <r>
    <s v="ORD0154"/>
    <x v="362"/>
    <s v="C020"/>
    <s v="Meera Reddy"/>
    <s v="P020"/>
    <x v="11"/>
    <x v="3"/>
    <s v="Kitchen"/>
    <x v="1"/>
    <s v="Rajasthan"/>
    <n v="6980.32"/>
    <n v="2032.12"/>
    <n v="4"/>
    <n v="0"/>
    <s v="Net Banking"/>
    <x v="0"/>
    <s v="Meera Reddy"/>
    <x v="508"/>
    <n v="0.7088786760492356"/>
    <n v="2025"/>
    <s v="Jan"/>
    <s v="Q1"/>
    <s v="Low"/>
    <s v="Profit"/>
    <s v="No"/>
    <s v="MEERA REDDY"/>
    <s v="meera reddy"/>
    <n v="11"/>
    <s v="ORD"/>
    <s v="0154"/>
    <s v="Meera Reddy-West"/>
    <s v="0154"/>
    <s v="Simran"/>
    <s v="Simran"/>
    <m/>
  </r>
  <r>
    <s v="ORD0831"/>
    <x v="363"/>
    <s v="C020"/>
    <s v="Meera Reddy"/>
    <s v="P020"/>
    <x v="11"/>
    <x v="3"/>
    <s v="Kitchen"/>
    <x v="0"/>
    <s v="Telangana"/>
    <n v="2679.61"/>
    <n v="2121.84"/>
    <n v="4"/>
    <n v="0.05"/>
    <s v="UPI"/>
    <x v="0"/>
    <s v="Meera Reddy"/>
    <x v="509"/>
    <n v="0.20815342531189238"/>
    <n v="2025"/>
    <s v="Dec"/>
    <s v="Q4"/>
    <s v="Low"/>
    <s v="Profit"/>
    <s v="No"/>
    <s v="MEERA REDDY"/>
    <s v="meera reddy"/>
    <n v="11"/>
    <s v="ORD"/>
    <s v="0831"/>
    <s v="Meera Reddy-South"/>
    <s v="0831"/>
    <s v="Simran"/>
    <s v="Simran"/>
    <m/>
  </r>
  <r>
    <s v="ORD0129"/>
    <x v="364"/>
    <s v="C015"/>
    <s v="Manish Tiwari"/>
    <s v="P001"/>
    <x v="12"/>
    <x v="0"/>
    <s v="Computers"/>
    <x v="3"/>
    <s v="Delhi"/>
    <n v="186909.87"/>
    <n v="189168.92"/>
    <n v="4"/>
    <n v="0.15"/>
    <s v="UPI"/>
    <x v="0"/>
    <s v="Manish Tiwari"/>
    <x v="510"/>
    <n v="-1.2086306624685029E-2"/>
    <n v="2025"/>
    <s v="May"/>
    <s v="Q2"/>
    <s v="High"/>
    <s v="Loss"/>
    <s v="Yes"/>
    <s v="MANISH TIWARI"/>
    <s v="manish tiwari"/>
    <n v="13"/>
    <s v="ORD"/>
    <s v="0129"/>
    <s v="Manish Tiwari-North"/>
    <s v="0129"/>
    <s v="Rahul"/>
    <s v="Rahul"/>
    <m/>
  </r>
  <r>
    <s v="ORD0553"/>
    <x v="172"/>
    <s v="C015"/>
    <s v="Manish Tiwari"/>
    <s v="P001"/>
    <x v="12"/>
    <x v="0"/>
    <s v="Computers"/>
    <x v="4"/>
    <s v="Madhya Pradesh"/>
    <n v="279227.05"/>
    <n v="234194.1"/>
    <n v="5"/>
    <n v="0"/>
    <s v="Cash on Delivery"/>
    <x v="1"/>
    <s v="Manish Tiwari"/>
    <x v="511"/>
    <n v="0.16127717568910313"/>
    <n v="2025"/>
    <s v="Oct"/>
    <s v="Q4"/>
    <s v="High"/>
    <s v="Profit"/>
    <s v="Yes"/>
    <s v="MANISH TIWARI"/>
    <s v="manish tiwari"/>
    <n v="13"/>
    <s v="ORD"/>
    <s v="0553"/>
    <s v="Manish Tiwari-Central"/>
    <s v="0553"/>
    <s v="Rahul"/>
    <s v="Rahul"/>
    <m/>
  </r>
  <r>
    <s v="ORD0583"/>
    <x v="365"/>
    <s v="C015"/>
    <s v="Manish Tiwari"/>
    <s v="P001"/>
    <x v="12"/>
    <x v="0"/>
    <s v="Computers"/>
    <x v="3"/>
    <s v="Uttar Pradesh"/>
    <n v="172855.76"/>
    <n v="148693.85999999999"/>
    <n v="3"/>
    <n v="0.1"/>
    <s v="UPI"/>
    <x v="0"/>
    <s v="Manish Tiwari"/>
    <x v="512"/>
    <n v="0.13978070502249981"/>
    <n v="2025"/>
    <s v="Feb"/>
    <s v="Q1"/>
    <s v="High"/>
    <s v="Profit"/>
    <s v="Yes"/>
    <s v="MANISH TIWARI"/>
    <s v="manish tiwari"/>
    <n v="13"/>
    <s v="ORD"/>
    <s v="0583"/>
    <s v="Manish Tiwari-North"/>
    <s v="0583"/>
    <s v="Rahul"/>
    <s v="Rahul"/>
    <m/>
  </r>
  <r>
    <s v="ORD0351"/>
    <x v="366"/>
    <s v="C015"/>
    <s v="Manish Tiwari"/>
    <s v="P002"/>
    <x v="0"/>
    <x v="0"/>
    <s v="Phones"/>
    <x v="3"/>
    <s v="Punjab"/>
    <n v="104087.12"/>
    <n v="76632.28"/>
    <n v="4"/>
    <n v="0"/>
    <s v="Net Banking"/>
    <x v="3"/>
    <s v="Manish Tiwari"/>
    <x v="513"/>
    <n v="0.26376788982152638"/>
    <n v="2025"/>
    <s v="Aug"/>
    <s v="Q3"/>
    <s v="High"/>
    <s v="Profit"/>
    <s v="Yes"/>
    <s v="MANISH TIWARI"/>
    <s v="manish tiwari"/>
    <n v="13"/>
    <s v="ORD"/>
    <s v="0351"/>
    <s v="Manish Tiwari-North"/>
    <s v="0351"/>
    <s v="Priya"/>
    <s v="Priya"/>
    <m/>
  </r>
  <r>
    <s v="ORD0954"/>
    <x v="341"/>
    <s v="C015"/>
    <s v="Manish Tiwari"/>
    <s v="P002"/>
    <x v="0"/>
    <x v="0"/>
    <s v="Phones"/>
    <x v="4"/>
    <s v="Chhattisgarh"/>
    <n v="153957.65"/>
    <n v="92538.2"/>
    <n v="5"/>
    <n v="0"/>
    <s v="Net Banking"/>
    <x v="4"/>
    <s v="Manish Tiwari"/>
    <x v="514"/>
    <n v="0.39893730516151682"/>
    <n v="2025"/>
    <s v="Oct"/>
    <s v="Q4"/>
    <s v="High"/>
    <s v="Profit"/>
    <s v="Yes"/>
    <s v="MANISH TIWARI"/>
    <s v="manish tiwari"/>
    <n v="13"/>
    <s v="ORD"/>
    <s v="0954"/>
    <s v="Manish Tiwari-Central"/>
    <s v="0954"/>
    <s v="Priya"/>
    <s v="Priya"/>
    <m/>
  </r>
  <r>
    <s v="ORD0955"/>
    <x v="163"/>
    <s v="C015"/>
    <s v="Manish Tiwari"/>
    <s v="P002"/>
    <x v="0"/>
    <x v="0"/>
    <s v="Phones"/>
    <x v="2"/>
    <s v="West Bengal"/>
    <n v="29966.78"/>
    <n v="18980.669999999998"/>
    <n v="1"/>
    <n v="0.05"/>
    <s v="Debit Card"/>
    <x v="0"/>
    <s v="Manish Tiwari"/>
    <x v="515"/>
    <n v="0.36660962572555345"/>
    <n v="2024"/>
    <s v="Jan"/>
    <s v="Q1"/>
    <s v="Medium"/>
    <s v="Profit"/>
    <s v="No"/>
    <s v="MANISH TIWARI"/>
    <s v="manish tiwari"/>
    <n v="13"/>
    <s v="ORD"/>
    <s v="0955"/>
    <s v="Manish Tiwari-East"/>
    <s v="0955"/>
    <s v="Priya"/>
    <s v="Priya"/>
    <m/>
  </r>
  <r>
    <s v="ORD0089"/>
    <x v="333"/>
    <s v="C015"/>
    <s v="Manish Tiwari"/>
    <s v="P003"/>
    <x v="1"/>
    <x v="0"/>
    <s v="Accessories"/>
    <x v="2"/>
    <s v="West Bengal"/>
    <n v="18892.2"/>
    <n v="7537.72"/>
    <n v="4"/>
    <n v="0"/>
    <s v="UPI"/>
    <x v="0"/>
    <s v="Manish Tiwari"/>
    <x v="516"/>
    <n v="0.60101417516223621"/>
    <n v="2024"/>
    <s v="Feb"/>
    <s v="Q1"/>
    <s v="Low"/>
    <s v="Profit"/>
    <s v="No"/>
    <s v="MANISH TIWARI"/>
    <s v="manish tiwari"/>
    <n v="13"/>
    <s v="ORD"/>
    <s v="0089"/>
    <s v="Manish Tiwari-East"/>
    <s v="0089"/>
    <s v="Amit"/>
    <s v="Amit"/>
    <m/>
  </r>
  <r>
    <s v="ORD0093"/>
    <x v="5"/>
    <s v="C015"/>
    <s v="Manish Tiwari"/>
    <s v="P003"/>
    <x v="1"/>
    <x v="0"/>
    <s v="Accessories"/>
    <x v="0"/>
    <s v="Telangana"/>
    <n v="13152.24"/>
    <n v="4985.1899999999996"/>
    <n v="3"/>
    <n v="0.2"/>
    <s v="UPI"/>
    <x v="2"/>
    <s v="Manish Tiwari"/>
    <x v="517"/>
    <n v="0.62096266491487384"/>
    <n v="2024"/>
    <s v="Sep"/>
    <s v="Q3"/>
    <s v="Low"/>
    <s v="Profit"/>
    <s v="No"/>
    <s v="MANISH TIWARI"/>
    <s v="manish tiwari"/>
    <n v="13"/>
    <s v="ORD"/>
    <s v="0093"/>
    <s v="Manish Tiwari-South"/>
    <s v="0093"/>
    <s v="Amit"/>
    <s v="Amit"/>
    <m/>
  </r>
  <r>
    <s v="ORD0146"/>
    <x v="367"/>
    <s v="C015"/>
    <s v="Manish Tiwari"/>
    <s v="P003"/>
    <x v="1"/>
    <x v="0"/>
    <s v="Accessories"/>
    <x v="4"/>
    <s v="Chhattisgarh"/>
    <n v="16275.08"/>
    <n v="8872.7000000000007"/>
    <n v="5"/>
    <n v="0.15"/>
    <s v="Debit Card"/>
    <x v="0"/>
    <s v="Manish Tiwari"/>
    <x v="518"/>
    <n v="0.45482910068644822"/>
    <n v="2024"/>
    <s v="Nov"/>
    <s v="Q4"/>
    <s v="Low"/>
    <s v="Profit"/>
    <s v="No"/>
    <s v="MANISH TIWARI"/>
    <s v="manish tiwari"/>
    <n v="13"/>
    <s v="ORD"/>
    <s v="0146"/>
    <s v="Manish Tiwari-Central"/>
    <s v="0146"/>
    <s v="Amit"/>
    <s v="Amit"/>
    <m/>
  </r>
  <r>
    <s v="ORD0674"/>
    <x v="368"/>
    <s v="C015"/>
    <s v="Manish Tiwari"/>
    <s v="P003"/>
    <x v="1"/>
    <x v="0"/>
    <s v="Accessories"/>
    <x v="1"/>
    <s v="Gujarat"/>
    <n v="24551.75"/>
    <n v="8806.75"/>
    <n v="5"/>
    <n v="0"/>
    <s v="Credit Card"/>
    <x v="3"/>
    <s v="Manish Tiwari"/>
    <x v="519"/>
    <n v="0.64129848177828463"/>
    <n v="2024"/>
    <s v="Jul"/>
    <s v="Q3"/>
    <s v="Medium"/>
    <s v="Profit"/>
    <s v="No"/>
    <s v="MANISH TIWARI"/>
    <s v="manish tiwari"/>
    <n v="13"/>
    <s v="ORD"/>
    <s v="0674"/>
    <s v="Manish Tiwari-West"/>
    <s v="0674"/>
    <s v="Amit"/>
    <s v="Amit"/>
    <m/>
  </r>
  <r>
    <s v="ORD0882"/>
    <x v="369"/>
    <s v="C015"/>
    <s v="Manish Tiwari"/>
    <s v="P003"/>
    <x v="1"/>
    <x v="0"/>
    <s v="Accessories"/>
    <x v="4"/>
    <s v="Chhattisgarh"/>
    <n v="28602.54"/>
    <n v="8466.2000000000007"/>
    <n v="5"/>
    <n v="0.1"/>
    <s v="Cash on Delivery"/>
    <x v="0"/>
    <s v="Manish Tiwari"/>
    <x v="520"/>
    <n v="0.70400530861944433"/>
    <n v="2025"/>
    <s v="Oct"/>
    <s v="Q4"/>
    <s v="Medium"/>
    <s v="Profit"/>
    <s v="No"/>
    <s v="MANISH TIWARI"/>
    <s v="manish tiwari"/>
    <n v="13"/>
    <s v="ORD"/>
    <s v="0882"/>
    <s v="Manish Tiwari-Central"/>
    <s v="0882"/>
    <s v="Amit"/>
    <s v="Amit"/>
    <m/>
  </r>
  <r>
    <s v="ORD0088"/>
    <x v="293"/>
    <s v="C015"/>
    <s v="Manish Tiwari"/>
    <s v="P004"/>
    <x v="13"/>
    <x v="0"/>
    <s v="Wearables"/>
    <x v="1"/>
    <s v="Gujarat"/>
    <n v="20824.060000000001"/>
    <n v="9359.52"/>
    <n v="3"/>
    <n v="0.2"/>
    <s v="Cash on Delivery"/>
    <x v="2"/>
    <s v="Manish Tiwari"/>
    <x v="521"/>
    <n v="0.55054297769022953"/>
    <n v="2025"/>
    <s v="Dec"/>
    <s v="Q4"/>
    <s v="Medium"/>
    <s v="Profit"/>
    <s v="No"/>
    <s v="MANISH TIWARI"/>
    <s v="manish tiwari"/>
    <n v="13"/>
    <s v="ORD"/>
    <s v="0088"/>
    <s v="Manish Tiwari-West"/>
    <s v="0088"/>
    <s v="Neha"/>
    <s v="Neha"/>
    <m/>
  </r>
  <r>
    <s v="ORD0279"/>
    <x v="262"/>
    <s v="C015"/>
    <s v="Manish Tiwari"/>
    <s v="P004"/>
    <x v="13"/>
    <x v="0"/>
    <s v="Wearables"/>
    <x v="3"/>
    <s v="Punjab"/>
    <n v="4186.97"/>
    <n v="3269.29"/>
    <n v="1"/>
    <n v="0.2"/>
    <s v="Net Banking"/>
    <x v="1"/>
    <s v="Manish Tiwari"/>
    <x v="522"/>
    <n v="0.21917520307047822"/>
    <n v="2024"/>
    <s v="Nov"/>
    <s v="Q4"/>
    <s v="Low"/>
    <s v="Profit"/>
    <s v="No"/>
    <s v="MANISH TIWARI"/>
    <s v="manish tiwari"/>
    <n v="13"/>
    <s v="ORD"/>
    <s v="0279"/>
    <s v="Manish Tiwari-North"/>
    <s v="0279"/>
    <s v="Neha"/>
    <s v="Neha"/>
    <m/>
  </r>
  <r>
    <s v="ORD0405"/>
    <x v="359"/>
    <s v="C015"/>
    <s v="Manish Tiwari"/>
    <s v="P004"/>
    <x v="13"/>
    <x v="0"/>
    <s v="Wearables"/>
    <x v="1"/>
    <s v="Gujarat"/>
    <n v="29157.08"/>
    <n v="15240.95"/>
    <n v="5"/>
    <n v="0.15"/>
    <s v="Credit Card"/>
    <x v="0"/>
    <s v="Manish Tiwari"/>
    <x v="523"/>
    <n v="0.47728133269861045"/>
    <n v="2024"/>
    <s v="Feb"/>
    <s v="Q1"/>
    <s v="Medium"/>
    <s v="Profit"/>
    <s v="No"/>
    <s v="MANISH TIWARI"/>
    <s v="manish tiwari"/>
    <n v="13"/>
    <s v="ORD"/>
    <s v="0405"/>
    <s v="Manish Tiwari-West"/>
    <s v="0405"/>
    <s v="Neha"/>
    <s v="Neha"/>
    <m/>
  </r>
  <r>
    <s v="ORD0452"/>
    <x v="132"/>
    <s v="C015"/>
    <s v="Manish Tiwari"/>
    <s v="P005"/>
    <x v="14"/>
    <x v="0"/>
    <s v="Computers"/>
    <x v="3"/>
    <s v="Delhi"/>
    <n v="34575.769999999997"/>
    <n v="24465.03"/>
    <n v="3"/>
    <n v="0.2"/>
    <s v="Debit Card"/>
    <x v="2"/>
    <s v="Manish Tiwari"/>
    <x v="524"/>
    <n v="0.29242269948001154"/>
    <n v="2024"/>
    <s v="Jun"/>
    <s v="Q2"/>
    <s v="Medium"/>
    <s v="Profit"/>
    <s v="No"/>
    <s v="MANISH TIWARI"/>
    <s v="manish tiwari"/>
    <n v="13"/>
    <s v="ORD"/>
    <s v="0452"/>
    <s v="Manish Tiwari-North"/>
    <s v="0452"/>
    <s v="Simran"/>
    <s v="Simran"/>
    <m/>
  </r>
  <r>
    <s v="ORD0525"/>
    <x v="328"/>
    <s v="C015"/>
    <s v="Manish Tiwari"/>
    <s v="P005"/>
    <x v="14"/>
    <x v="0"/>
    <s v="Computers"/>
    <x v="4"/>
    <s v="Chhattisgarh"/>
    <n v="33840.18"/>
    <n v="23624.73"/>
    <n v="3"/>
    <n v="0.15"/>
    <s v="UPI"/>
    <x v="0"/>
    <s v="Manish Tiwari"/>
    <x v="525"/>
    <n v="0.3018733942904559"/>
    <n v="2024"/>
    <s v="Jun"/>
    <s v="Q2"/>
    <s v="Medium"/>
    <s v="Profit"/>
    <s v="No"/>
    <s v="MANISH TIWARI"/>
    <s v="manish tiwari"/>
    <n v="13"/>
    <s v="ORD"/>
    <s v="0525"/>
    <s v="Manish Tiwari-Central"/>
    <s v="0525"/>
    <s v="Simran"/>
    <s v="Simran"/>
    <m/>
  </r>
  <r>
    <s v="ORD0709"/>
    <x v="324"/>
    <s v="C015"/>
    <s v="Manish Tiwari"/>
    <s v="P005"/>
    <x v="14"/>
    <x v="0"/>
    <s v="Computers"/>
    <x v="4"/>
    <s v="Chhattisgarh"/>
    <n v="51325.45"/>
    <n v="29983.64"/>
    <n v="4"/>
    <n v="0.15"/>
    <s v="UPI"/>
    <x v="0"/>
    <s v="Manish Tiwari"/>
    <x v="526"/>
    <n v="0.41581340251278848"/>
    <n v="2025"/>
    <s v="Dec"/>
    <s v="Q4"/>
    <s v="High"/>
    <s v="Profit"/>
    <s v="Yes"/>
    <s v="MANISH TIWARI"/>
    <s v="manish tiwari"/>
    <n v="13"/>
    <s v="ORD"/>
    <s v="0709"/>
    <s v="Manish Tiwari-Central"/>
    <s v="0709"/>
    <s v="Simran"/>
    <s v="Simran"/>
    <m/>
  </r>
  <r>
    <s v="ORD0063"/>
    <x v="62"/>
    <s v="C015"/>
    <s v="Manish Tiwari"/>
    <s v="P006"/>
    <x v="2"/>
    <x v="1"/>
    <s v="Chairs"/>
    <x v="3"/>
    <s v="Delhi"/>
    <n v="27900.04"/>
    <n v="17378.48"/>
    <n v="4"/>
    <n v="0.1"/>
    <s v="Net Banking"/>
    <x v="4"/>
    <s v="Manish Tiwari"/>
    <x v="527"/>
    <n v="0.37711630520959832"/>
    <n v="2024"/>
    <s v="Sep"/>
    <s v="Q3"/>
    <s v="Medium"/>
    <s v="Profit"/>
    <s v="No"/>
    <s v="MANISH TIWARI"/>
    <s v="manish tiwari"/>
    <n v="13"/>
    <s v="ORD"/>
    <s v="0063"/>
    <s v="Manish Tiwari-North"/>
    <s v="0063"/>
    <s v="Karan"/>
    <s v="Karan"/>
    <m/>
  </r>
  <r>
    <s v="ORD0763"/>
    <x v="31"/>
    <s v="C015"/>
    <s v="Manish Tiwari"/>
    <s v="P007"/>
    <x v="3"/>
    <x v="1"/>
    <s v="Tables"/>
    <x v="0"/>
    <s v="Tamil Nadu"/>
    <n v="37794.67"/>
    <n v="27945.4"/>
    <n v="4"/>
    <n v="0.1"/>
    <s v="Cash on Delivery"/>
    <x v="0"/>
    <s v="Manish Tiwari"/>
    <x v="528"/>
    <n v="0.26059944431317955"/>
    <n v="2025"/>
    <s v="Nov"/>
    <s v="Q4"/>
    <s v="Medium"/>
    <s v="Profit"/>
    <s v="No"/>
    <s v="MANISH TIWARI"/>
    <s v="manish tiwari"/>
    <n v="13"/>
    <s v="ORD"/>
    <s v="0763"/>
    <s v="Manish Tiwari-South"/>
    <s v="0763"/>
    <s v="Rohan"/>
    <s v="Rohan"/>
    <m/>
  </r>
  <r>
    <s v="ORD0292"/>
    <x v="370"/>
    <s v="C015"/>
    <s v="Manish Tiwari"/>
    <s v="P008"/>
    <x v="4"/>
    <x v="1"/>
    <s v="Storage"/>
    <x v="4"/>
    <s v="Madhya Pradesh"/>
    <n v="13784.18"/>
    <n v="7498.22"/>
    <n v="2"/>
    <n v="0.15"/>
    <s v="UPI"/>
    <x v="0"/>
    <s v="Manish Tiwari"/>
    <x v="529"/>
    <n v="0.45602712674965068"/>
    <n v="2025"/>
    <s v="Feb"/>
    <s v="Q1"/>
    <s v="Low"/>
    <s v="Profit"/>
    <s v="No"/>
    <s v="MANISH TIWARI"/>
    <s v="manish tiwari"/>
    <n v="13"/>
    <s v="ORD"/>
    <s v="0292"/>
    <s v="Manish Tiwari-Central"/>
    <s v="0292"/>
    <s v="Anjali"/>
    <s v="Anjali"/>
    <m/>
  </r>
  <r>
    <s v="ORD0456"/>
    <x v="371"/>
    <s v="C015"/>
    <s v="Manish Tiwari"/>
    <s v="P008"/>
    <x v="4"/>
    <x v="1"/>
    <s v="Storage"/>
    <x v="2"/>
    <s v="Odisha"/>
    <n v="21150.54"/>
    <n v="18975.3"/>
    <n v="5"/>
    <n v="0.1"/>
    <s v="Net Banking"/>
    <x v="0"/>
    <s v="Manish Tiwari"/>
    <x v="530"/>
    <n v="0.10284560110522008"/>
    <n v="2025"/>
    <s v="Sep"/>
    <s v="Q3"/>
    <s v="Medium"/>
    <s v="Profit"/>
    <s v="No"/>
    <s v="MANISH TIWARI"/>
    <s v="manish tiwari"/>
    <n v="13"/>
    <s v="ORD"/>
    <s v="0456"/>
    <s v="Manish Tiwari-East"/>
    <s v="0456"/>
    <s v="Anjali"/>
    <s v="Anjali"/>
    <m/>
  </r>
  <r>
    <s v="ORD0109"/>
    <x v="61"/>
    <s v="C015"/>
    <s v="Manish Tiwari"/>
    <s v="P009"/>
    <x v="5"/>
    <x v="1"/>
    <s v="Seating"/>
    <x v="1"/>
    <s v="Gujarat"/>
    <n v="22023.69"/>
    <n v="17276.509999999998"/>
    <n v="1"/>
    <n v="0.1"/>
    <s v="Cash on Delivery"/>
    <x v="0"/>
    <s v="Manish Tiwari"/>
    <x v="531"/>
    <n v="0.21554880222160777"/>
    <n v="2024"/>
    <s v="Sep"/>
    <s v="Q3"/>
    <s v="Medium"/>
    <s v="Profit"/>
    <s v="No"/>
    <s v="MANISH TIWARI"/>
    <s v="manish tiwari"/>
    <n v="13"/>
    <s v="ORD"/>
    <s v="0109"/>
    <s v="Manish Tiwari-West"/>
    <s v="0109"/>
    <s v="Arjun"/>
    <s v="Arjun"/>
    <m/>
  </r>
  <r>
    <s v="ORD0974"/>
    <x v="188"/>
    <s v="C015"/>
    <s v="Manish Tiwari"/>
    <s v="P010"/>
    <x v="6"/>
    <x v="1"/>
    <s v="Bedroom"/>
    <x v="1"/>
    <s v="Gujarat"/>
    <n v="103457.74"/>
    <n v="72894.84"/>
    <n v="4"/>
    <n v="0.1"/>
    <s v="Credit Card"/>
    <x v="2"/>
    <s v="Manish Tiwari"/>
    <x v="532"/>
    <n v="0.29541434019339691"/>
    <n v="2024"/>
    <s v="Oct"/>
    <s v="Q4"/>
    <s v="High"/>
    <s v="Profit"/>
    <s v="Yes"/>
    <s v="MANISH TIWARI"/>
    <s v="manish tiwari"/>
    <n v="13"/>
    <s v="ORD"/>
    <s v="0974"/>
    <s v="Manish Tiwari-West"/>
    <s v="0974"/>
    <s v="Sneha"/>
    <s v="Sneha"/>
    <m/>
  </r>
  <r>
    <s v="ORD0280"/>
    <x v="372"/>
    <s v="C015"/>
    <s v="Manish Tiwari"/>
    <s v="P011"/>
    <x v="15"/>
    <x v="2"/>
    <s v="Footwear"/>
    <x v="1"/>
    <s v="Maharashtra"/>
    <n v="11952.66"/>
    <n v="5563.35"/>
    <n v="5"/>
    <n v="0.05"/>
    <s v="Net Banking"/>
    <x v="1"/>
    <s v="Manish Tiwari"/>
    <x v="533"/>
    <n v="0.53455130489782188"/>
    <n v="2025"/>
    <s v="Oct"/>
    <s v="Q4"/>
    <s v="Low"/>
    <s v="Profit"/>
    <s v="No"/>
    <s v="MANISH TIWARI"/>
    <s v="manish tiwari"/>
    <n v="13"/>
    <s v="ORD"/>
    <s v="0280"/>
    <s v="Manish Tiwari-West"/>
    <s v="0280"/>
    <s v="Vikas"/>
    <s v="Vikas"/>
    <m/>
  </r>
  <r>
    <s v="ORD0432"/>
    <x v="373"/>
    <s v="C015"/>
    <s v="Manish Tiwari"/>
    <s v="P011"/>
    <x v="15"/>
    <x v="2"/>
    <s v="Footwear"/>
    <x v="3"/>
    <s v="Uttar Pradesh"/>
    <n v="2281.21"/>
    <n v="1104.6300000000001"/>
    <n v="1"/>
    <n v="0.2"/>
    <s v="Cash on Delivery"/>
    <x v="0"/>
    <s v="Manish Tiwari"/>
    <x v="534"/>
    <n v="0.51577013953121364"/>
    <n v="2025"/>
    <s v="May"/>
    <s v="Q2"/>
    <s v="Low"/>
    <s v="Profit"/>
    <s v="No"/>
    <s v="MANISH TIWARI"/>
    <s v="manish tiwari"/>
    <n v="13"/>
    <s v="ORD"/>
    <s v="0432"/>
    <s v="Manish Tiwari-North"/>
    <s v="0432"/>
    <s v="Vikas"/>
    <s v="Vikas"/>
    <m/>
  </r>
  <r>
    <s v="ORD0522"/>
    <x v="374"/>
    <s v="C015"/>
    <s v="Manish Tiwari"/>
    <s v="P011"/>
    <x v="15"/>
    <x v="2"/>
    <s v="Footwear"/>
    <x v="0"/>
    <s v="Tamil Nadu"/>
    <n v="12827.21"/>
    <n v="3643.44"/>
    <n v="3"/>
    <n v="0.1"/>
    <s v="Debit Card"/>
    <x v="0"/>
    <s v="Manish Tiwari"/>
    <x v="535"/>
    <n v="0.71596005678553631"/>
    <n v="2025"/>
    <s v="Jan"/>
    <s v="Q1"/>
    <s v="Low"/>
    <s v="Profit"/>
    <s v="No"/>
    <s v="MANISH TIWARI"/>
    <s v="manish tiwari"/>
    <n v="13"/>
    <s v="ORD"/>
    <s v="0522"/>
    <s v="Manish Tiwari-South"/>
    <s v="0522"/>
    <s v="Vikas"/>
    <s v="Vikas"/>
    <m/>
  </r>
  <r>
    <s v="ORD0859"/>
    <x v="308"/>
    <s v="C015"/>
    <s v="Manish Tiwari"/>
    <s v="P011"/>
    <x v="15"/>
    <x v="2"/>
    <s v="Footwear"/>
    <x v="0"/>
    <s v="Karnataka"/>
    <n v="19086.560000000001"/>
    <n v="6257.6"/>
    <n v="5"/>
    <n v="0.2"/>
    <s v="Cash on Delivery"/>
    <x v="0"/>
    <s v="Manish Tiwari"/>
    <x v="536"/>
    <n v="0.67214626417751544"/>
    <n v="2025"/>
    <s v="Aug"/>
    <s v="Q3"/>
    <s v="Low"/>
    <s v="Profit"/>
    <s v="No"/>
    <s v="MANISH TIWARI"/>
    <s v="manish tiwari"/>
    <n v="13"/>
    <s v="ORD"/>
    <s v="0859"/>
    <s v="Manish Tiwari-South"/>
    <s v="0859"/>
    <s v="Vikas"/>
    <s v="Vikas"/>
    <m/>
  </r>
  <r>
    <s v="ORD0043"/>
    <x v="186"/>
    <s v="C015"/>
    <s v="Manish Tiwari"/>
    <s v="P012"/>
    <x v="7"/>
    <x v="2"/>
    <s v="Clothing"/>
    <x v="0"/>
    <s v="Tamil Nadu"/>
    <n v="2854.51"/>
    <n v="1628.52"/>
    <n v="2"/>
    <n v="0.1"/>
    <s v="Debit Card"/>
    <x v="0"/>
    <s v="Manish Tiwari"/>
    <x v="537"/>
    <n v="0.42949227713337845"/>
    <n v="2024"/>
    <s v="Aug"/>
    <s v="Q3"/>
    <s v="Low"/>
    <s v="Profit"/>
    <s v="No"/>
    <s v="MANISH TIWARI"/>
    <s v="manish tiwari"/>
    <n v="13"/>
    <s v="ORD"/>
    <s v="0043"/>
    <s v="Manish Tiwari-South"/>
    <s v="0043"/>
    <s v="Pooja"/>
    <s v="Pooja"/>
    <m/>
  </r>
  <r>
    <s v="ORD0250"/>
    <x v="343"/>
    <s v="C015"/>
    <s v="Manish Tiwari"/>
    <s v="P012"/>
    <x v="7"/>
    <x v="2"/>
    <s v="Clothing"/>
    <x v="3"/>
    <s v="Uttar Pradesh"/>
    <n v="3418.38"/>
    <n v="1638.56"/>
    <n v="2"/>
    <n v="0.2"/>
    <s v="Cash on Delivery"/>
    <x v="0"/>
    <s v="Manish Tiwari"/>
    <x v="538"/>
    <n v="0.52066183396813703"/>
    <n v="2025"/>
    <s v="Jul"/>
    <s v="Q3"/>
    <s v="Low"/>
    <s v="Profit"/>
    <s v="No"/>
    <s v="MANISH TIWARI"/>
    <s v="manish tiwari"/>
    <n v="13"/>
    <s v="ORD"/>
    <s v="0250"/>
    <s v="Manish Tiwari-North"/>
    <s v="0250"/>
    <s v="Pooja"/>
    <s v="Pooja"/>
    <m/>
  </r>
  <r>
    <s v="ORD0288"/>
    <x v="261"/>
    <s v="C015"/>
    <s v="Manish Tiwari"/>
    <s v="P012"/>
    <x v="7"/>
    <x v="2"/>
    <s v="Clothing"/>
    <x v="1"/>
    <s v="Maharashtra"/>
    <n v="7295.15"/>
    <n v="4671.3999999999996"/>
    <n v="5"/>
    <n v="0"/>
    <s v="Net Banking"/>
    <x v="0"/>
    <s v="Manish Tiwari"/>
    <x v="539"/>
    <n v="0.35965675825719828"/>
    <n v="2025"/>
    <s v="Apr"/>
    <s v="Q2"/>
    <s v="Low"/>
    <s v="Profit"/>
    <s v="No"/>
    <s v="MANISH TIWARI"/>
    <s v="manish tiwari"/>
    <n v="13"/>
    <s v="ORD"/>
    <s v="0288"/>
    <s v="Manish Tiwari-West"/>
    <s v="0288"/>
    <s v="Pooja"/>
    <s v="Pooja"/>
    <m/>
  </r>
  <r>
    <s v="ORD0338"/>
    <x v="375"/>
    <s v="C015"/>
    <s v="Manish Tiwari"/>
    <s v="P012"/>
    <x v="7"/>
    <x v="2"/>
    <s v="Clothing"/>
    <x v="2"/>
    <s v="West Bengal"/>
    <n v="5022.29"/>
    <n v="1883.68"/>
    <n v="2"/>
    <n v="0.05"/>
    <s v="Credit Card"/>
    <x v="0"/>
    <s v="Manish Tiwari"/>
    <x v="540"/>
    <n v="0.62493603515527774"/>
    <n v="2025"/>
    <s v="May"/>
    <s v="Q2"/>
    <s v="Low"/>
    <s v="Profit"/>
    <s v="No"/>
    <s v="MANISH TIWARI"/>
    <s v="manish tiwari"/>
    <n v="13"/>
    <s v="ORD"/>
    <s v="0338"/>
    <s v="Manish Tiwari-East"/>
    <s v="0338"/>
    <s v="Pooja"/>
    <s v="Pooja"/>
    <m/>
  </r>
  <r>
    <s v="ORD0527"/>
    <x v="318"/>
    <s v="C015"/>
    <s v="Manish Tiwari"/>
    <s v="P012"/>
    <x v="7"/>
    <x v="2"/>
    <s v="Clothing"/>
    <x v="2"/>
    <s v="Bihar"/>
    <n v="10671.63"/>
    <n v="4918.95"/>
    <n v="5"/>
    <n v="0.05"/>
    <s v="UPI"/>
    <x v="0"/>
    <s v="Manish Tiwari"/>
    <x v="541"/>
    <n v="0.53906291728630018"/>
    <n v="2025"/>
    <s v="Aug"/>
    <s v="Q3"/>
    <s v="Low"/>
    <s v="Profit"/>
    <s v="No"/>
    <s v="MANISH TIWARI"/>
    <s v="manish tiwari"/>
    <n v="13"/>
    <s v="ORD"/>
    <s v="0527"/>
    <s v="Manish Tiwari-East"/>
    <s v="0527"/>
    <s v="Pooja"/>
    <s v="Pooja"/>
    <m/>
  </r>
  <r>
    <s v="ORD0462"/>
    <x v="157"/>
    <s v="C015"/>
    <s v="Manish Tiwari"/>
    <s v="P013"/>
    <x v="16"/>
    <x v="2"/>
    <s v="Bags"/>
    <x v="1"/>
    <s v="Maharashtra"/>
    <n v="1060.27"/>
    <n v="684.53"/>
    <n v="1"/>
    <n v="0"/>
    <s v="Cash on Delivery"/>
    <x v="0"/>
    <s v="Manish Tiwari"/>
    <x v="542"/>
    <n v="0.35438143114489706"/>
    <n v="2024"/>
    <s v="Nov"/>
    <s v="Q4"/>
    <s v="Low"/>
    <s v="Profit"/>
    <s v="No"/>
    <s v="MANISH TIWARI"/>
    <s v="manish tiwari"/>
    <n v="13"/>
    <s v="ORD"/>
    <s v="0462"/>
    <s v="Manish Tiwari-West"/>
    <s v="0462"/>
    <s v="Aditya"/>
    <s v="Aditya"/>
    <m/>
  </r>
  <r>
    <s v="ORD0792"/>
    <x v="102"/>
    <s v="C015"/>
    <s v="Manish Tiwari"/>
    <s v="P013"/>
    <x v="16"/>
    <x v="2"/>
    <s v="Bags"/>
    <x v="3"/>
    <s v="Delhi"/>
    <n v="8150.74"/>
    <n v="2016.36"/>
    <n v="3"/>
    <n v="0.05"/>
    <s v="Debit Card"/>
    <x v="0"/>
    <s v="Manish Tiwari"/>
    <x v="543"/>
    <n v="0.75261632686111934"/>
    <n v="2025"/>
    <s v="Feb"/>
    <s v="Q1"/>
    <s v="Low"/>
    <s v="Profit"/>
    <s v="No"/>
    <s v="MANISH TIWARI"/>
    <s v="manish tiwari"/>
    <n v="13"/>
    <s v="ORD"/>
    <s v="0792"/>
    <s v="Manish Tiwari-North"/>
    <s v="0792"/>
    <s v="Aditya"/>
    <s v="Aditya"/>
    <m/>
  </r>
  <r>
    <s v="ORD0071"/>
    <x v="376"/>
    <s v="C015"/>
    <s v="Manish Tiwari"/>
    <s v="P014"/>
    <x v="19"/>
    <x v="2"/>
    <s v="Clothing"/>
    <x v="4"/>
    <s v="Chhattisgarh"/>
    <n v="1676.01"/>
    <n v="723.36"/>
    <n v="3"/>
    <n v="0"/>
    <s v="Debit Card"/>
    <x v="2"/>
    <s v="Manish Tiwari"/>
    <x v="544"/>
    <n v="0.56840352981187459"/>
    <n v="2025"/>
    <s v="Aug"/>
    <s v="Q3"/>
    <s v="Low"/>
    <s v="Profit"/>
    <s v="No"/>
    <s v="MANISH TIWARI"/>
    <s v="manish tiwari"/>
    <n v="13"/>
    <s v="ORD"/>
    <s v="0071"/>
    <s v="Manish Tiwari-Central"/>
    <s v="0071"/>
    <s v="Kavya"/>
    <s v="Kavya"/>
    <m/>
  </r>
  <r>
    <s v="ORD0369"/>
    <x v="29"/>
    <s v="C015"/>
    <s v="Manish Tiwari"/>
    <s v="P014"/>
    <x v="19"/>
    <x v="2"/>
    <s v="Clothing"/>
    <x v="3"/>
    <s v="Punjab"/>
    <n v="2205.0700000000002"/>
    <n v="1076.3599999999999"/>
    <n v="4"/>
    <n v="0.15"/>
    <s v="UPI"/>
    <x v="2"/>
    <s v="Manish Tiwari"/>
    <x v="545"/>
    <n v="0.51187037146213055"/>
    <n v="2025"/>
    <s v="Feb"/>
    <s v="Q1"/>
    <s v="Low"/>
    <s v="Profit"/>
    <s v="No"/>
    <s v="MANISH TIWARI"/>
    <s v="manish tiwari"/>
    <n v="13"/>
    <s v="ORD"/>
    <s v="0369"/>
    <s v="Manish Tiwari-North"/>
    <s v="0369"/>
    <s v="Kavya"/>
    <s v="Kavya"/>
    <m/>
  </r>
  <r>
    <s v="ORD0848"/>
    <x v="377"/>
    <s v="C015"/>
    <s v="Manish Tiwari"/>
    <s v="P014"/>
    <x v="19"/>
    <x v="2"/>
    <s v="Clothing"/>
    <x v="4"/>
    <s v="Madhya Pradesh"/>
    <n v="1354.7"/>
    <n v="533.48"/>
    <n v="2"/>
    <n v="0.1"/>
    <s v="Cash on Delivery"/>
    <x v="0"/>
    <s v="Manish Tiwari"/>
    <x v="546"/>
    <n v="0.6062006348268989"/>
    <n v="2024"/>
    <s v="Jan"/>
    <s v="Q1"/>
    <s v="Low"/>
    <s v="Profit"/>
    <s v="No"/>
    <s v="MANISH TIWARI"/>
    <s v="manish tiwari"/>
    <n v="13"/>
    <s v="ORD"/>
    <s v="0848"/>
    <s v="Manish Tiwari-Central"/>
    <s v="0848"/>
    <s v="Kavya"/>
    <s v="Kavya"/>
    <m/>
  </r>
  <r>
    <s v="ORD0050"/>
    <x v="378"/>
    <s v="C015"/>
    <s v="Manish Tiwari"/>
    <s v="P015"/>
    <x v="17"/>
    <x v="2"/>
    <s v="Clothing"/>
    <x v="1"/>
    <s v="Gujarat"/>
    <n v="3552.96"/>
    <n v="1002.24"/>
    <n v="2"/>
    <n v="0.05"/>
    <s v="UPI"/>
    <x v="4"/>
    <s v="Manish Tiwari"/>
    <x v="547"/>
    <n v="0.71791407727641188"/>
    <n v="2025"/>
    <s v="Nov"/>
    <s v="Q4"/>
    <s v="Low"/>
    <s v="Profit"/>
    <s v="No"/>
    <s v="MANISH TIWARI"/>
    <s v="manish tiwari"/>
    <n v="13"/>
    <s v="ORD"/>
    <s v="0050"/>
    <s v="Manish Tiwari-West"/>
    <s v="0050"/>
    <s v="Manish"/>
    <s v="Manish"/>
    <m/>
  </r>
  <r>
    <s v="ORD0122"/>
    <x v="322"/>
    <s v="C015"/>
    <s v="Manish Tiwari"/>
    <s v="P015"/>
    <x v="17"/>
    <x v="2"/>
    <s v="Clothing"/>
    <x v="0"/>
    <s v="Karnataka"/>
    <n v="1068.97"/>
    <n v="548.09"/>
    <n v="1"/>
    <n v="0.1"/>
    <s v="UPI"/>
    <x v="3"/>
    <s v="Manish Tiwari"/>
    <x v="548"/>
    <n v="0.48727279530763257"/>
    <n v="2025"/>
    <s v="Jan"/>
    <s v="Q1"/>
    <s v="Low"/>
    <s v="Profit"/>
    <s v="No"/>
    <s v="MANISH TIWARI"/>
    <s v="manish tiwari"/>
    <n v="13"/>
    <s v="ORD"/>
    <s v="0122"/>
    <s v="Manish Tiwari-South"/>
    <s v="0122"/>
    <s v="Manish"/>
    <s v="Manish"/>
    <m/>
  </r>
  <r>
    <s v="ORD0599"/>
    <x v="0"/>
    <s v="C015"/>
    <s v="Manish Tiwari"/>
    <s v="P015"/>
    <x v="17"/>
    <x v="2"/>
    <s v="Clothing"/>
    <x v="4"/>
    <s v="Chhattisgarh"/>
    <n v="2465.96"/>
    <n v="1003.74"/>
    <n v="2"/>
    <n v="0"/>
    <s v="Cash on Delivery"/>
    <x v="3"/>
    <s v="Manish Tiwari"/>
    <x v="549"/>
    <n v="0.59296176742526241"/>
    <n v="2024"/>
    <s v="Feb"/>
    <s v="Q1"/>
    <s v="Low"/>
    <s v="Profit"/>
    <s v="No"/>
    <s v="MANISH TIWARI"/>
    <s v="manish tiwari"/>
    <n v="13"/>
    <s v="ORD"/>
    <s v="0599"/>
    <s v="Manish Tiwari-Central"/>
    <s v="0599"/>
    <s v="Manish"/>
    <s v="Manish"/>
    <m/>
  </r>
  <r>
    <s v="ORD0865"/>
    <x v="17"/>
    <s v="C015"/>
    <s v="Manish Tiwari"/>
    <s v="P016"/>
    <x v="8"/>
    <x v="3"/>
    <s v="Kitchen"/>
    <x v="3"/>
    <s v="Delhi"/>
    <n v="21328.6"/>
    <n v="8764.7999999999993"/>
    <n v="5"/>
    <n v="0.2"/>
    <s v="Net Banking"/>
    <x v="0"/>
    <s v="Manish Tiwari"/>
    <x v="550"/>
    <n v="0.58905882242622587"/>
    <n v="2024"/>
    <s v="Jun"/>
    <s v="Q2"/>
    <s v="Medium"/>
    <s v="Profit"/>
    <s v="No"/>
    <s v="MANISH TIWARI"/>
    <s v="manish tiwari"/>
    <n v="13"/>
    <s v="ORD"/>
    <s v="0865"/>
    <s v="Manish Tiwari-North"/>
    <s v="0865"/>
    <s v="Rahul"/>
    <s v="Rahul"/>
    <m/>
  </r>
  <r>
    <s v="ORD0476"/>
    <x v="140"/>
    <s v="C015"/>
    <s v="Manish Tiwari"/>
    <s v="P017"/>
    <x v="9"/>
    <x v="3"/>
    <s v="Kitchen"/>
    <x v="1"/>
    <s v="Rajasthan"/>
    <n v="25829.02"/>
    <n v="23346.560000000001"/>
    <n v="4"/>
    <n v="0.05"/>
    <s v="Cash on Delivery"/>
    <x v="0"/>
    <s v="Manish Tiwari"/>
    <x v="551"/>
    <n v="9.6111273288727136E-2"/>
    <n v="2024"/>
    <s v="Apr"/>
    <s v="Q2"/>
    <s v="Medium"/>
    <s v="Profit"/>
    <s v="No"/>
    <s v="MANISH TIWARI"/>
    <s v="manish tiwari"/>
    <n v="13"/>
    <s v="ORD"/>
    <s v="0476"/>
    <s v="Manish Tiwari-West"/>
    <s v="0476"/>
    <s v="Priya"/>
    <s v="Priya"/>
    <m/>
  </r>
  <r>
    <s v="ORD0098"/>
    <x v="107"/>
    <s v="C015"/>
    <s v="Manish Tiwari"/>
    <s v="P018"/>
    <x v="10"/>
    <x v="3"/>
    <s v="Cooling"/>
    <x v="3"/>
    <s v="Punjab"/>
    <n v="18309.099999999999"/>
    <n v="11928.1"/>
    <n v="2"/>
    <n v="0.05"/>
    <s v="UPI"/>
    <x v="4"/>
    <s v="Manish Tiwari"/>
    <x v="552"/>
    <n v="0.34851521920793477"/>
    <n v="2025"/>
    <s v="Jan"/>
    <s v="Q1"/>
    <s v="Low"/>
    <s v="Profit"/>
    <s v="No"/>
    <s v="MANISH TIWARI"/>
    <s v="manish tiwari"/>
    <n v="13"/>
    <s v="ORD"/>
    <s v="0098"/>
    <s v="Manish Tiwari-North"/>
    <s v="0098"/>
    <s v="Amit"/>
    <s v="Amit"/>
    <m/>
  </r>
  <r>
    <s v="ORD0192"/>
    <x v="379"/>
    <s v="C015"/>
    <s v="Manish Tiwari"/>
    <s v="P018"/>
    <x v="10"/>
    <x v="3"/>
    <s v="Cooling"/>
    <x v="3"/>
    <s v="Punjab"/>
    <n v="7550.9"/>
    <n v="5022.32"/>
    <n v="1"/>
    <n v="0.15"/>
    <s v="Cash on Delivery"/>
    <x v="3"/>
    <s v="Manish Tiwari"/>
    <x v="553"/>
    <n v="0.33487133984028394"/>
    <n v="2025"/>
    <s v="Sep"/>
    <s v="Q3"/>
    <s v="Low"/>
    <s v="Profit"/>
    <s v="No"/>
    <s v="MANISH TIWARI"/>
    <s v="manish tiwari"/>
    <n v="13"/>
    <s v="ORD"/>
    <s v="0192"/>
    <s v="Manish Tiwari-North"/>
    <s v="0192"/>
    <s v="Amit"/>
    <s v="Amit"/>
    <m/>
  </r>
  <r>
    <s v="ORD0348"/>
    <x v="380"/>
    <s v="C015"/>
    <s v="Manish Tiwari"/>
    <s v="P018"/>
    <x v="10"/>
    <x v="3"/>
    <s v="Cooling"/>
    <x v="2"/>
    <s v="Bihar"/>
    <n v="13028.4"/>
    <n v="10108.4"/>
    <n v="2"/>
    <n v="0.05"/>
    <s v="UPI"/>
    <x v="0"/>
    <s v="Manish Tiwari"/>
    <x v="554"/>
    <n v="0.22412575604064966"/>
    <n v="2025"/>
    <s v="Jul"/>
    <s v="Q3"/>
    <s v="Low"/>
    <s v="Profit"/>
    <s v="No"/>
    <s v="MANISH TIWARI"/>
    <s v="manish tiwari"/>
    <n v="13"/>
    <s v="ORD"/>
    <s v="0348"/>
    <s v="Manish Tiwari-East"/>
    <s v="0348"/>
    <s v="Amit"/>
    <s v="Amit"/>
    <m/>
  </r>
  <r>
    <s v="ORD0151"/>
    <x v="83"/>
    <s v="C015"/>
    <s v="Manish Tiwari"/>
    <s v="P019"/>
    <x v="18"/>
    <x v="3"/>
    <s v="Cleaning"/>
    <x v="4"/>
    <s v="Madhya Pradesh"/>
    <n v="26882.560000000001"/>
    <n v="14507.16"/>
    <n v="4"/>
    <n v="0.2"/>
    <s v="Debit Card"/>
    <x v="1"/>
    <s v="Manish Tiwari"/>
    <x v="555"/>
    <n v="0.46035050233311114"/>
    <n v="2025"/>
    <s v="Aug"/>
    <s v="Q3"/>
    <s v="Medium"/>
    <s v="Profit"/>
    <s v="No"/>
    <s v="MANISH TIWARI"/>
    <s v="manish tiwari"/>
    <n v="13"/>
    <s v="ORD"/>
    <s v="0151"/>
    <s v="Manish Tiwari-Central"/>
    <s v="0151"/>
    <s v="Neha"/>
    <s v="Neha"/>
    <m/>
  </r>
  <r>
    <s v="ORD0293"/>
    <x v="381"/>
    <s v="C015"/>
    <s v="Manish Tiwari"/>
    <s v="P019"/>
    <x v="18"/>
    <x v="3"/>
    <s v="Cleaning"/>
    <x v="1"/>
    <s v="Maharashtra"/>
    <n v="4965.3900000000003"/>
    <n v="3643.31"/>
    <n v="1"/>
    <n v="0"/>
    <s v="Cash on Delivery"/>
    <x v="0"/>
    <s v="Manish Tiwari"/>
    <x v="556"/>
    <n v="0.26625904511025322"/>
    <n v="2025"/>
    <s v="Feb"/>
    <s v="Q1"/>
    <s v="Low"/>
    <s v="Profit"/>
    <s v="No"/>
    <s v="MANISH TIWARI"/>
    <s v="manish tiwari"/>
    <n v="13"/>
    <s v="ORD"/>
    <s v="0293"/>
    <s v="Manish Tiwari-West"/>
    <s v="0293"/>
    <s v="Neha"/>
    <s v="Neha"/>
    <m/>
  </r>
  <r>
    <s v="ORD0612"/>
    <x v="382"/>
    <s v="C015"/>
    <s v="Manish Tiwari"/>
    <s v="P019"/>
    <x v="18"/>
    <x v="3"/>
    <s v="Cleaning"/>
    <x v="0"/>
    <s v="Telangana"/>
    <n v="4725.95"/>
    <n v="3687.96"/>
    <n v="1"/>
    <n v="0.15"/>
    <s v="UPI"/>
    <x v="3"/>
    <s v="Manish Tiwari"/>
    <x v="557"/>
    <n v="0.21963626360837499"/>
    <n v="2024"/>
    <s v="Feb"/>
    <s v="Q1"/>
    <s v="Low"/>
    <s v="Profit"/>
    <s v="No"/>
    <s v="MANISH TIWARI"/>
    <s v="manish tiwari"/>
    <n v="13"/>
    <s v="ORD"/>
    <s v="0612"/>
    <s v="Manish Tiwari-South"/>
    <s v="0612"/>
    <s v="Neha"/>
    <s v="Neha"/>
    <m/>
  </r>
  <r>
    <s v="ORD0183"/>
    <x v="383"/>
    <s v="C015"/>
    <s v="Manish Tiwari"/>
    <s v="P020"/>
    <x v="11"/>
    <x v="3"/>
    <s v="Kitchen"/>
    <x v="2"/>
    <s v="Bihar"/>
    <n v="2043.72"/>
    <n v="1037.96"/>
    <n v="2"/>
    <n v="0"/>
    <s v="Debit Card"/>
    <x v="3"/>
    <s v="Manish Tiwari"/>
    <x v="558"/>
    <n v="0.49212220852171529"/>
    <n v="2025"/>
    <s v="Mar"/>
    <s v="Q1"/>
    <s v="Low"/>
    <s v="Profit"/>
    <s v="No"/>
    <s v="MANISH TIWARI"/>
    <s v="manish tiwari"/>
    <n v="13"/>
    <s v="ORD"/>
    <s v="0183"/>
    <s v="Manish Tiwari-East"/>
    <s v="0183"/>
    <s v="Simran"/>
    <s v="Simran"/>
    <m/>
  </r>
  <r>
    <s v="ORD0233"/>
    <x v="384"/>
    <s v="C015"/>
    <s v="Manish Tiwari"/>
    <s v="P020"/>
    <x v="11"/>
    <x v="3"/>
    <s v="Kitchen"/>
    <x v="0"/>
    <s v="Telangana"/>
    <n v="7166.9"/>
    <n v="2706.4"/>
    <n v="5"/>
    <n v="0.05"/>
    <s v="Credit Card"/>
    <x v="0"/>
    <s v="Manish Tiwari"/>
    <x v="559"/>
    <n v="0.62237508546233378"/>
    <n v="2025"/>
    <s v="Mar"/>
    <s v="Q1"/>
    <s v="Low"/>
    <s v="Profit"/>
    <s v="No"/>
    <s v="MANISH TIWARI"/>
    <s v="manish tiwari"/>
    <n v="13"/>
    <s v="ORD"/>
    <s v="0233"/>
    <s v="Manish Tiwari-South"/>
    <s v="0233"/>
    <s v="Simran"/>
    <s v="Simran"/>
    <m/>
  </r>
  <r>
    <s v="ORD0299"/>
    <x v="385"/>
    <s v="C015"/>
    <s v="Manish Tiwari"/>
    <s v="P020"/>
    <x v="11"/>
    <x v="3"/>
    <s v="Kitchen"/>
    <x v="3"/>
    <s v="Delhi"/>
    <n v="709.03"/>
    <n v="498.46"/>
    <n v="1"/>
    <n v="0.15"/>
    <s v="Cash on Delivery"/>
    <x v="2"/>
    <s v="Manish Tiwari"/>
    <x v="560"/>
    <n v="0.29698320240328335"/>
    <n v="2025"/>
    <s v="Jan"/>
    <s v="Q1"/>
    <s v="Low"/>
    <s v="Profit"/>
    <s v="No"/>
    <s v="MANISH TIWARI"/>
    <s v="manish tiwari"/>
    <n v="13"/>
    <s v="ORD"/>
    <s v="0299"/>
    <s v="Manish Tiwari-North"/>
    <s v="0299"/>
    <s v="Simran"/>
    <s v="Simran"/>
    <m/>
  </r>
  <r>
    <s v="ORD0745"/>
    <x v="386"/>
    <s v="C015"/>
    <s v="Manish Tiwari"/>
    <s v="P020"/>
    <x v="11"/>
    <x v="3"/>
    <s v="Kitchen"/>
    <x v="1"/>
    <s v="Rajasthan"/>
    <n v="1269.02"/>
    <n v="1041.98"/>
    <n v="2"/>
    <n v="0"/>
    <s v="Credit Card"/>
    <x v="0"/>
    <s v="Manish Tiwari"/>
    <x v="561"/>
    <n v="0.17890970985484861"/>
    <n v="2024"/>
    <s v="Dec"/>
    <s v="Q4"/>
    <s v="Low"/>
    <s v="Profit"/>
    <s v="No"/>
    <s v="MANISH TIWARI"/>
    <s v="manish tiwari"/>
    <n v="13"/>
    <s v="ORD"/>
    <s v="0745"/>
    <s v="Manish Tiwari-West"/>
    <s v="0745"/>
    <s v="Simran"/>
    <s v="Simran"/>
    <m/>
  </r>
  <r>
    <s v="ORD0993"/>
    <x v="280"/>
    <s v="C015"/>
    <s v="Manish Tiwari"/>
    <s v="P020"/>
    <x v="11"/>
    <x v="3"/>
    <s v="Kitchen"/>
    <x v="2"/>
    <s v="Odisha"/>
    <n v="5569.08"/>
    <n v="2005.96"/>
    <n v="4"/>
    <n v="0"/>
    <s v="Debit Card"/>
    <x v="0"/>
    <s v="Manish Tiwari"/>
    <x v="562"/>
    <n v="0.6398040609939164"/>
    <n v="2025"/>
    <s v="Nov"/>
    <s v="Q4"/>
    <s v="Low"/>
    <s v="Profit"/>
    <s v="No"/>
    <s v="MANISH TIWARI"/>
    <s v="manish tiwari"/>
    <n v="13"/>
    <s v="ORD"/>
    <s v="0993"/>
    <s v="Manish Tiwari-East"/>
    <s v="0993"/>
    <s v="Simran"/>
    <s v="Simran"/>
    <m/>
  </r>
  <r>
    <s v="ORD0339"/>
    <x v="387"/>
    <s v="C014"/>
    <s v="Kavya Nair"/>
    <s v="P001"/>
    <x v="12"/>
    <x v="0"/>
    <s v="Computers"/>
    <x v="0"/>
    <s v="Karnataka"/>
    <n v="184663.5"/>
    <n v="147915.12"/>
    <n v="3"/>
    <n v="0"/>
    <s v="Debit Card"/>
    <x v="0"/>
    <s v="Kavya Nair"/>
    <x v="563"/>
    <n v="0.19900186014020099"/>
    <n v="2025"/>
    <s v="Jul"/>
    <s v="Q3"/>
    <s v="High"/>
    <s v="Profit"/>
    <s v="Yes"/>
    <s v="KAVYA NAIR"/>
    <s v="kavya nair"/>
    <n v="10"/>
    <s v="ORD"/>
    <s v="0339"/>
    <s v="Kavya Nair-South"/>
    <s v="0339"/>
    <s v="Rahul"/>
    <s v="Rahul"/>
    <m/>
  </r>
  <r>
    <s v="ORD0445"/>
    <x v="97"/>
    <s v="C014"/>
    <s v="Kavya Nair"/>
    <s v="P001"/>
    <x v="12"/>
    <x v="0"/>
    <s v="Computers"/>
    <x v="1"/>
    <s v="Rajasthan"/>
    <n v="54356.45"/>
    <n v="46856.36"/>
    <n v="1"/>
    <n v="0"/>
    <s v="Credit Card"/>
    <x v="4"/>
    <s v="Kavya Nair"/>
    <x v="564"/>
    <n v="0.13797976137146553"/>
    <n v="2024"/>
    <s v="Apr"/>
    <s v="Q2"/>
    <s v="High"/>
    <s v="Profit"/>
    <s v="No"/>
    <s v="KAVYA NAIR"/>
    <s v="kavya nair"/>
    <n v="10"/>
    <s v="ORD"/>
    <s v="0445"/>
    <s v="Kavya Nair-West"/>
    <s v="0445"/>
    <s v="Rahul"/>
    <s v="Rahul"/>
    <m/>
  </r>
  <r>
    <s v="ORD0693"/>
    <x v="246"/>
    <s v="C014"/>
    <s v="Kavya Nair"/>
    <s v="P001"/>
    <x v="12"/>
    <x v="0"/>
    <s v="Computers"/>
    <x v="1"/>
    <s v="Rajasthan"/>
    <n v="119438.88"/>
    <n v="88656.16"/>
    <n v="2"/>
    <n v="0"/>
    <s v="Cash on Delivery"/>
    <x v="1"/>
    <s v="Kavya Nair"/>
    <x v="565"/>
    <n v="0.25772780186820238"/>
    <n v="2024"/>
    <s v="Aug"/>
    <s v="Q3"/>
    <s v="High"/>
    <s v="Profit"/>
    <s v="Yes"/>
    <s v="KAVYA NAIR"/>
    <s v="kavya nair"/>
    <n v="10"/>
    <s v="ORD"/>
    <s v="0693"/>
    <s v="Kavya Nair-West"/>
    <s v="0693"/>
    <s v="Rahul"/>
    <s v="Rahul"/>
    <m/>
  </r>
  <r>
    <s v="ORD0059"/>
    <x v="388"/>
    <s v="C014"/>
    <s v="Kavya Nair"/>
    <s v="P002"/>
    <x v="0"/>
    <x v="0"/>
    <s v="Phones"/>
    <x v="0"/>
    <s v="Karnataka"/>
    <n v="115310.96"/>
    <n v="77829.679999999993"/>
    <n v="4"/>
    <n v="0"/>
    <s v="Cash on Delivery"/>
    <x v="3"/>
    <s v="Kavya Nair"/>
    <x v="566"/>
    <n v="0.32504525155284469"/>
    <n v="2025"/>
    <s v="Mar"/>
    <s v="Q1"/>
    <s v="High"/>
    <s v="Profit"/>
    <s v="Yes"/>
    <s v="KAVYA NAIR"/>
    <s v="kavya nair"/>
    <n v="10"/>
    <s v="ORD"/>
    <s v="0059"/>
    <s v="Kavya Nair-South"/>
    <s v="0059"/>
    <s v="Priya"/>
    <s v="Priya"/>
    <m/>
  </r>
  <r>
    <s v="ORD0094"/>
    <x v="389"/>
    <s v="C014"/>
    <s v="Kavya Nair"/>
    <s v="P002"/>
    <x v="0"/>
    <x v="0"/>
    <s v="Phones"/>
    <x v="0"/>
    <s v="Karnataka"/>
    <n v="70271.98"/>
    <n v="55324.44"/>
    <n v="3"/>
    <n v="0.15"/>
    <s v="UPI"/>
    <x v="0"/>
    <s v="Kavya Nair"/>
    <x v="567"/>
    <n v="0.21270981691422378"/>
    <n v="2025"/>
    <s v="Jun"/>
    <s v="Q2"/>
    <s v="High"/>
    <s v="Profit"/>
    <s v="Yes"/>
    <s v="KAVYA NAIR"/>
    <s v="kavya nair"/>
    <n v="10"/>
    <s v="ORD"/>
    <s v="0094"/>
    <s v="Kavya Nair-South"/>
    <s v="0094"/>
    <s v="Priya"/>
    <s v="Priya"/>
    <m/>
  </r>
  <r>
    <s v="ORD0255"/>
    <x v="211"/>
    <s v="C014"/>
    <s v="Kavya Nair"/>
    <s v="P002"/>
    <x v="0"/>
    <x v="0"/>
    <s v="Phones"/>
    <x v="2"/>
    <s v="West Bengal"/>
    <n v="45393.82"/>
    <n v="32516.78"/>
    <n v="2"/>
    <n v="0.2"/>
    <s v="Cash on Delivery"/>
    <x v="3"/>
    <s v="Kavya Nair"/>
    <x v="568"/>
    <n v="0.28367385692589875"/>
    <n v="2024"/>
    <s v="Aug"/>
    <s v="Q3"/>
    <s v="Medium"/>
    <s v="Profit"/>
    <s v="No"/>
    <s v="KAVYA NAIR"/>
    <s v="kavya nair"/>
    <n v="10"/>
    <s v="ORD"/>
    <s v="0255"/>
    <s v="Kavya Nair-East"/>
    <s v="0255"/>
    <s v="Priya"/>
    <s v="Priya"/>
    <m/>
  </r>
  <r>
    <s v="ORD0618"/>
    <x v="390"/>
    <s v="C014"/>
    <s v="Kavya Nair"/>
    <s v="P002"/>
    <x v="0"/>
    <x v="0"/>
    <s v="Phones"/>
    <x v="0"/>
    <s v="Telangana"/>
    <n v="110727.67999999999"/>
    <n v="95508.800000000003"/>
    <n v="5"/>
    <n v="0.05"/>
    <s v="Debit Card"/>
    <x v="4"/>
    <s v="Kavya Nair"/>
    <x v="569"/>
    <n v="0.13744422352206775"/>
    <n v="2024"/>
    <s v="Dec"/>
    <s v="Q4"/>
    <s v="High"/>
    <s v="Profit"/>
    <s v="Yes"/>
    <s v="KAVYA NAIR"/>
    <s v="kavya nair"/>
    <n v="10"/>
    <s v="ORD"/>
    <s v="0618"/>
    <s v="Kavya Nair-South"/>
    <s v="0618"/>
    <s v="Priya"/>
    <s v="Priya"/>
    <m/>
  </r>
  <r>
    <s v="ORD0375"/>
    <x v="31"/>
    <s v="C014"/>
    <s v="Kavya Nair"/>
    <s v="P003"/>
    <x v="1"/>
    <x v="0"/>
    <s v="Accessories"/>
    <x v="0"/>
    <s v="Tamil Nadu"/>
    <n v="11641.73"/>
    <n v="8964.6"/>
    <n v="5"/>
    <n v="0.05"/>
    <s v="Credit Card"/>
    <x v="4"/>
    <s v="Kavya Nair"/>
    <x v="570"/>
    <n v="0.22995980837899516"/>
    <n v="2025"/>
    <s v="Nov"/>
    <s v="Q4"/>
    <s v="Low"/>
    <s v="Profit"/>
    <s v="No"/>
    <s v="KAVYA NAIR"/>
    <s v="kavya nair"/>
    <n v="10"/>
    <s v="ORD"/>
    <s v="0375"/>
    <s v="Kavya Nair-South"/>
    <s v="0375"/>
    <s v="Amit"/>
    <s v="Amit"/>
    <m/>
  </r>
  <r>
    <s v="ORD0815"/>
    <x v="391"/>
    <s v="C014"/>
    <s v="Kavya Nair"/>
    <s v="P003"/>
    <x v="1"/>
    <x v="0"/>
    <s v="Accessories"/>
    <x v="0"/>
    <s v="Karnataka"/>
    <n v="2132.41"/>
    <n v="1939.45"/>
    <n v="1"/>
    <n v="0"/>
    <s v="Net Banking"/>
    <x v="1"/>
    <s v="Kavya Nair"/>
    <x v="571"/>
    <n v="9.0489164841657949E-2"/>
    <n v="2025"/>
    <s v="May"/>
    <s v="Q2"/>
    <s v="Low"/>
    <s v="Profit"/>
    <s v="No"/>
    <s v="KAVYA NAIR"/>
    <s v="kavya nair"/>
    <n v="10"/>
    <s v="ORD"/>
    <s v="0815"/>
    <s v="Kavya Nair-South"/>
    <s v="0815"/>
    <s v="Amit"/>
    <s v="Amit"/>
    <m/>
  </r>
  <r>
    <s v="ORD0106"/>
    <x v="183"/>
    <s v="C014"/>
    <s v="Kavya Nair"/>
    <s v="P004"/>
    <x v="13"/>
    <x v="0"/>
    <s v="Wearables"/>
    <x v="4"/>
    <s v="Madhya Pradesh"/>
    <n v="7274.17"/>
    <n v="2966.21"/>
    <n v="1"/>
    <n v="0"/>
    <s v="UPI"/>
    <x v="1"/>
    <s v="Kavya Nair"/>
    <x v="572"/>
    <n v="0.5922270169655095"/>
    <n v="2025"/>
    <s v="Oct"/>
    <s v="Q4"/>
    <s v="Low"/>
    <s v="Profit"/>
    <s v="No"/>
    <s v="KAVYA NAIR"/>
    <s v="kavya nair"/>
    <n v="10"/>
    <s v="ORD"/>
    <s v="0106"/>
    <s v="Kavya Nair-Central"/>
    <s v="0106"/>
    <s v="Neha"/>
    <s v="Neha"/>
    <m/>
  </r>
  <r>
    <s v="ORD0121"/>
    <x v="325"/>
    <s v="C014"/>
    <s v="Kavya Nair"/>
    <s v="P004"/>
    <x v="13"/>
    <x v="0"/>
    <s v="Wearables"/>
    <x v="4"/>
    <s v="Chhattisgarh"/>
    <n v="43632.9"/>
    <n v="14724.35"/>
    <n v="5"/>
    <n v="0"/>
    <s v="Debit Card"/>
    <x v="0"/>
    <s v="Kavya Nair"/>
    <x v="573"/>
    <n v="0.66254019329450942"/>
    <n v="2025"/>
    <s v="May"/>
    <s v="Q2"/>
    <s v="Medium"/>
    <s v="Profit"/>
    <s v="No"/>
    <s v="KAVYA NAIR"/>
    <s v="kavya nair"/>
    <n v="10"/>
    <s v="ORD"/>
    <s v="0121"/>
    <s v="Kavya Nair-Central"/>
    <s v="0121"/>
    <s v="Neha"/>
    <s v="Neha"/>
    <m/>
  </r>
  <r>
    <s v="ORD0287"/>
    <x v="13"/>
    <s v="C014"/>
    <s v="Kavya Nair"/>
    <s v="P004"/>
    <x v="13"/>
    <x v="0"/>
    <s v="Wearables"/>
    <x v="3"/>
    <s v="Delhi"/>
    <n v="18173.400000000001"/>
    <n v="8499.6"/>
    <n v="3"/>
    <n v="0.2"/>
    <s v="Cash on Delivery"/>
    <x v="0"/>
    <s v="Kavya Nair"/>
    <x v="574"/>
    <n v="0.53230545742678859"/>
    <n v="2024"/>
    <s v="Apr"/>
    <s v="Q2"/>
    <s v="Low"/>
    <s v="Profit"/>
    <s v="No"/>
    <s v="KAVYA NAIR"/>
    <s v="kavya nair"/>
    <n v="10"/>
    <s v="ORD"/>
    <s v="0287"/>
    <s v="Kavya Nair-North"/>
    <s v="0287"/>
    <s v="Neha"/>
    <s v="Neha"/>
    <m/>
  </r>
  <r>
    <s v="ORD0303"/>
    <x v="26"/>
    <s v="C014"/>
    <s v="Kavya Nair"/>
    <s v="P004"/>
    <x v="13"/>
    <x v="0"/>
    <s v="Wearables"/>
    <x v="2"/>
    <s v="Bihar"/>
    <n v="15293.4"/>
    <n v="5757.26"/>
    <n v="2"/>
    <n v="0.15"/>
    <s v="Debit Card"/>
    <x v="1"/>
    <s v="Kavya Nair"/>
    <x v="575"/>
    <n v="0.6235461048556894"/>
    <n v="2025"/>
    <s v="Oct"/>
    <s v="Q4"/>
    <s v="Low"/>
    <s v="Profit"/>
    <s v="No"/>
    <s v="KAVYA NAIR"/>
    <s v="kavya nair"/>
    <n v="10"/>
    <s v="ORD"/>
    <s v="0303"/>
    <s v="Kavya Nair-East"/>
    <s v="0303"/>
    <s v="Neha"/>
    <s v="Neha"/>
    <m/>
  </r>
  <r>
    <s v="ORD0345"/>
    <x v="392"/>
    <s v="C014"/>
    <s v="Kavya Nair"/>
    <s v="P004"/>
    <x v="13"/>
    <x v="0"/>
    <s v="Wearables"/>
    <x v="1"/>
    <s v="Rajasthan"/>
    <n v="11946.54"/>
    <n v="5942.3"/>
    <n v="2"/>
    <n v="0"/>
    <s v="UPI"/>
    <x v="0"/>
    <s v="Kavya Nair"/>
    <x v="576"/>
    <n v="0.50259238239691162"/>
    <n v="2025"/>
    <s v="Jan"/>
    <s v="Q1"/>
    <s v="Low"/>
    <s v="Profit"/>
    <s v="No"/>
    <s v="KAVYA NAIR"/>
    <s v="kavya nair"/>
    <n v="10"/>
    <s v="ORD"/>
    <s v="0345"/>
    <s v="Kavya Nair-West"/>
    <s v="0345"/>
    <s v="Neha"/>
    <s v="Neha"/>
    <m/>
  </r>
  <r>
    <s v="ORD0417"/>
    <x v="393"/>
    <s v="C014"/>
    <s v="Kavya Nair"/>
    <s v="P004"/>
    <x v="13"/>
    <x v="0"/>
    <s v="Wearables"/>
    <x v="2"/>
    <s v="Odisha"/>
    <n v="18645.849999999999"/>
    <n v="9221.0400000000009"/>
    <n v="3"/>
    <n v="0.15"/>
    <s v="UPI"/>
    <x v="0"/>
    <s v="Kavya Nair"/>
    <x v="577"/>
    <n v="0.50546421857946933"/>
    <n v="2025"/>
    <s v="Jun"/>
    <s v="Q2"/>
    <s v="Low"/>
    <s v="Profit"/>
    <s v="No"/>
    <s v="KAVYA NAIR"/>
    <s v="kavya nair"/>
    <n v="10"/>
    <s v="ORD"/>
    <s v="0417"/>
    <s v="Kavya Nair-East"/>
    <s v="0417"/>
    <s v="Neha"/>
    <s v="Neha"/>
    <m/>
  </r>
  <r>
    <s v="ORD0523"/>
    <x v="98"/>
    <s v="C014"/>
    <s v="Kavya Nair"/>
    <s v="P004"/>
    <x v="13"/>
    <x v="0"/>
    <s v="Wearables"/>
    <x v="0"/>
    <s v="Telangana"/>
    <n v="26432.16"/>
    <n v="14096.85"/>
    <n v="5"/>
    <n v="0.2"/>
    <s v="Credit Card"/>
    <x v="4"/>
    <s v="Kavya Nair"/>
    <x v="578"/>
    <n v="0.46667809214229938"/>
    <n v="2025"/>
    <s v="Nov"/>
    <s v="Q4"/>
    <s v="Medium"/>
    <s v="Profit"/>
    <s v="No"/>
    <s v="KAVYA NAIR"/>
    <s v="kavya nair"/>
    <n v="10"/>
    <s v="ORD"/>
    <s v="0523"/>
    <s v="Kavya Nair-South"/>
    <s v="0523"/>
    <s v="Neha"/>
    <s v="Neha"/>
    <m/>
  </r>
  <r>
    <s v="ORD0669"/>
    <x v="394"/>
    <s v="C014"/>
    <s v="Kavya Nair"/>
    <s v="P004"/>
    <x v="13"/>
    <x v="0"/>
    <s v="Wearables"/>
    <x v="1"/>
    <s v="Rajasthan"/>
    <n v="26821.48"/>
    <n v="11643.64"/>
    <n v="4"/>
    <n v="0.1"/>
    <s v="Credit Card"/>
    <x v="0"/>
    <s v="Kavya Nair"/>
    <x v="579"/>
    <n v="0.56588376182074962"/>
    <n v="2024"/>
    <s v="Apr"/>
    <s v="Q2"/>
    <s v="Medium"/>
    <s v="Profit"/>
    <s v="No"/>
    <s v="KAVYA NAIR"/>
    <s v="kavya nair"/>
    <n v="10"/>
    <s v="ORD"/>
    <s v="0669"/>
    <s v="Kavya Nair-West"/>
    <s v="0669"/>
    <s v="Neha"/>
    <s v="Neha"/>
    <m/>
  </r>
  <r>
    <s v="ORD0317"/>
    <x v="395"/>
    <s v="C014"/>
    <s v="Kavya Nair"/>
    <s v="P005"/>
    <x v="14"/>
    <x v="0"/>
    <s v="Computers"/>
    <x v="1"/>
    <s v="Gujarat"/>
    <n v="28209.14"/>
    <n v="15625.82"/>
    <n v="2"/>
    <n v="0"/>
    <s v="UPI"/>
    <x v="1"/>
    <s v="Kavya Nair"/>
    <x v="580"/>
    <n v="0.44607244318685363"/>
    <n v="2024"/>
    <s v="Mar"/>
    <s v="Q1"/>
    <s v="Medium"/>
    <s v="Profit"/>
    <s v="No"/>
    <s v="KAVYA NAIR"/>
    <s v="kavya nair"/>
    <n v="10"/>
    <s v="ORD"/>
    <s v="0317"/>
    <s v="Kavya Nair-West"/>
    <s v="0317"/>
    <s v="Simran"/>
    <s v="Simran"/>
    <m/>
  </r>
  <r>
    <s v="ORD0413"/>
    <x v="325"/>
    <s v="C014"/>
    <s v="Kavya Nair"/>
    <s v="P005"/>
    <x v="14"/>
    <x v="0"/>
    <s v="Computers"/>
    <x v="0"/>
    <s v="Telangana"/>
    <n v="25807.99"/>
    <n v="25200.54"/>
    <n v="3"/>
    <n v="0.15"/>
    <s v="UPI"/>
    <x v="0"/>
    <s v="Kavya Nair"/>
    <x v="581"/>
    <n v="2.3537284383634706E-2"/>
    <n v="2025"/>
    <s v="May"/>
    <s v="Q2"/>
    <s v="Medium"/>
    <s v="Profit"/>
    <s v="No"/>
    <s v="KAVYA NAIR"/>
    <s v="kavya nair"/>
    <n v="10"/>
    <s v="ORD"/>
    <s v="0413"/>
    <s v="Kavya Nair-South"/>
    <s v="0413"/>
    <s v="Simran"/>
    <s v="Simran"/>
    <m/>
  </r>
  <r>
    <s v="ORD0538"/>
    <x v="396"/>
    <s v="C014"/>
    <s v="Kavya Nair"/>
    <s v="P007"/>
    <x v="3"/>
    <x v="1"/>
    <s v="Tables"/>
    <x v="4"/>
    <s v="Chhattisgarh"/>
    <n v="15234.07"/>
    <n v="12982.54"/>
    <n v="2"/>
    <n v="0.15"/>
    <s v="Cash on Delivery"/>
    <x v="2"/>
    <s v="Kavya Nair"/>
    <x v="582"/>
    <n v="0.14779569740719314"/>
    <n v="2024"/>
    <s v="Mar"/>
    <s v="Q1"/>
    <s v="Low"/>
    <s v="Profit"/>
    <s v="No"/>
    <s v="KAVYA NAIR"/>
    <s v="kavya nair"/>
    <n v="10"/>
    <s v="ORD"/>
    <s v="0538"/>
    <s v="Kavya Nair-Central"/>
    <s v="0538"/>
    <s v="Rohan"/>
    <s v="Rohan"/>
    <m/>
  </r>
  <r>
    <s v="ORD0886"/>
    <x v="175"/>
    <s v="C014"/>
    <s v="Kavya Nair"/>
    <s v="P007"/>
    <x v="3"/>
    <x v="1"/>
    <s v="Tables"/>
    <x v="2"/>
    <s v="West Bengal"/>
    <n v="47102.45"/>
    <n v="22612.5"/>
    <n v="3"/>
    <n v="0.1"/>
    <s v="Net Banking"/>
    <x v="4"/>
    <s v="Kavya Nair"/>
    <x v="583"/>
    <n v="0.51992943042240902"/>
    <n v="2025"/>
    <s v="May"/>
    <s v="Q2"/>
    <s v="Medium"/>
    <s v="Profit"/>
    <s v="No"/>
    <s v="KAVYA NAIR"/>
    <s v="kavya nair"/>
    <n v="10"/>
    <s v="ORD"/>
    <s v="0886"/>
    <s v="Kavya Nair-East"/>
    <s v="0886"/>
    <s v="Rohan"/>
    <s v="Rohan"/>
    <m/>
  </r>
  <r>
    <s v="ORD0142"/>
    <x v="170"/>
    <s v="C014"/>
    <s v="Kavya Nair"/>
    <s v="P009"/>
    <x v="5"/>
    <x v="1"/>
    <s v="Seating"/>
    <x v="0"/>
    <s v="Karnataka"/>
    <n v="15585.06"/>
    <n v="15504.55"/>
    <n v="1"/>
    <n v="0.2"/>
    <s v="Net Banking"/>
    <x v="4"/>
    <s v="Kavya Nair"/>
    <x v="584"/>
    <n v="5.1658447256539416E-3"/>
    <n v="2025"/>
    <s v="Jun"/>
    <s v="Q2"/>
    <s v="Low"/>
    <s v="Profit"/>
    <s v="No"/>
    <s v="KAVYA NAIR"/>
    <s v="kavya nair"/>
    <n v="10"/>
    <s v="ORD"/>
    <s v="0142"/>
    <s v="Kavya Nair-South"/>
    <s v="0142"/>
    <s v="Arjun"/>
    <s v="Arjun"/>
    <m/>
  </r>
  <r>
    <s v="ORD0589"/>
    <x v="60"/>
    <s v="C014"/>
    <s v="Kavya Nair"/>
    <s v="P010"/>
    <x v="6"/>
    <x v="1"/>
    <s v="Bedroom"/>
    <x v="2"/>
    <s v="West Bengal"/>
    <n v="90624.49"/>
    <n v="72608.160000000003"/>
    <n v="4"/>
    <n v="0.05"/>
    <s v="Cash on Delivery"/>
    <x v="0"/>
    <s v="Kavya Nair"/>
    <x v="585"/>
    <n v="0.19880200153402244"/>
    <n v="2024"/>
    <s v="Dec"/>
    <s v="Q4"/>
    <s v="High"/>
    <s v="Profit"/>
    <s v="Yes"/>
    <s v="KAVYA NAIR"/>
    <s v="kavya nair"/>
    <n v="10"/>
    <s v="ORD"/>
    <s v="0589"/>
    <s v="Kavya Nair-East"/>
    <s v="0589"/>
    <s v="Sneha"/>
    <s v="Sneha"/>
    <m/>
  </r>
  <r>
    <s v="ORD0601"/>
    <x v="397"/>
    <s v="C014"/>
    <s v="Kavya Nair"/>
    <s v="P010"/>
    <x v="6"/>
    <x v="1"/>
    <s v="Bedroom"/>
    <x v="2"/>
    <s v="West Bengal"/>
    <n v="120828.56"/>
    <n v="97266.15"/>
    <n v="5"/>
    <n v="0.15"/>
    <s v="UPI"/>
    <x v="0"/>
    <s v="Kavya Nair"/>
    <x v="586"/>
    <n v="0.19500695861971709"/>
    <n v="2024"/>
    <s v="Feb"/>
    <s v="Q1"/>
    <s v="High"/>
    <s v="Profit"/>
    <s v="Yes"/>
    <s v="KAVYA NAIR"/>
    <s v="kavya nair"/>
    <n v="10"/>
    <s v="ORD"/>
    <s v="0601"/>
    <s v="Kavya Nair-East"/>
    <s v="0601"/>
    <s v="Sneha"/>
    <s v="Sneha"/>
    <m/>
  </r>
  <r>
    <s v="ORD0266"/>
    <x v="398"/>
    <s v="C014"/>
    <s v="Kavya Nair"/>
    <s v="P011"/>
    <x v="15"/>
    <x v="2"/>
    <s v="Footwear"/>
    <x v="2"/>
    <s v="West Bengal"/>
    <n v="8736.1200000000008"/>
    <n v="6503"/>
    <n v="5"/>
    <n v="0.2"/>
    <s v="Net Banking"/>
    <x v="4"/>
    <s v="Kavya Nair"/>
    <x v="587"/>
    <n v="0.25561919936997207"/>
    <n v="2024"/>
    <s v="Apr"/>
    <s v="Q2"/>
    <s v="Low"/>
    <s v="Profit"/>
    <s v="No"/>
    <s v="KAVYA NAIR"/>
    <s v="kavya nair"/>
    <n v="10"/>
    <s v="ORD"/>
    <s v="0266"/>
    <s v="Kavya Nair-East"/>
    <s v="0266"/>
    <s v="Vikas"/>
    <s v="Vikas"/>
    <m/>
  </r>
  <r>
    <s v="ORD0687"/>
    <x v="158"/>
    <s v="C014"/>
    <s v="Kavya Nair"/>
    <s v="P011"/>
    <x v="15"/>
    <x v="2"/>
    <s v="Footwear"/>
    <x v="4"/>
    <s v="Madhya Pradesh"/>
    <n v="15717.5"/>
    <n v="4631.28"/>
    <n v="4"/>
    <n v="0.2"/>
    <s v="Cash on Delivery"/>
    <x v="0"/>
    <s v="Kavya Nair"/>
    <x v="588"/>
    <n v="0.70534245268013374"/>
    <n v="2025"/>
    <s v="Nov"/>
    <s v="Q4"/>
    <s v="Low"/>
    <s v="Profit"/>
    <s v="No"/>
    <s v="KAVYA NAIR"/>
    <s v="kavya nair"/>
    <n v="10"/>
    <s v="ORD"/>
    <s v="0687"/>
    <s v="Kavya Nair-Central"/>
    <s v="0687"/>
    <s v="Vikas"/>
    <s v="Vikas"/>
    <m/>
  </r>
  <r>
    <s v="ORD0135"/>
    <x v="263"/>
    <s v="C014"/>
    <s v="Kavya Nair"/>
    <s v="P012"/>
    <x v="7"/>
    <x v="2"/>
    <s v="Clothing"/>
    <x v="4"/>
    <s v="Chhattisgarh"/>
    <n v="11395.48"/>
    <n v="3865.04"/>
    <n v="4"/>
    <n v="0.1"/>
    <s v="Cash on Delivery"/>
    <x v="4"/>
    <s v="Kavya Nair"/>
    <x v="589"/>
    <n v="0.66082692435948287"/>
    <n v="2025"/>
    <s v="Nov"/>
    <s v="Q4"/>
    <s v="Low"/>
    <s v="Profit"/>
    <s v="No"/>
    <s v="KAVYA NAIR"/>
    <s v="kavya nair"/>
    <n v="10"/>
    <s v="ORD"/>
    <s v="0135"/>
    <s v="Kavya Nair-Central"/>
    <s v="0135"/>
    <s v="Pooja"/>
    <s v="Pooja"/>
    <m/>
  </r>
  <r>
    <s v="ORD0976"/>
    <x v="105"/>
    <s v="C014"/>
    <s v="Kavya Nair"/>
    <s v="P013"/>
    <x v="16"/>
    <x v="2"/>
    <s v="Bags"/>
    <x v="2"/>
    <s v="Bihar"/>
    <n v="7072.99"/>
    <n v="2794.16"/>
    <n v="4"/>
    <n v="0.2"/>
    <s v="UPI"/>
    <x v="3"/>
    <s v="Kavya Nair"/>
    <x v="590"/>
    <n v="0.60495349208750471"/>
    <n v="2025"/>
    <s v="Jan"/>
    <s v="Q1"/>
    <s v="Low"/>
    <s v="Profit"/>
    <s v="No"/>
    <s v="KAVYA NAIR"/>
    <s v="kavya nair"/>
    <n v="10"/>
    <s v="ORD"/>
    <s v="0976"/>
    <s v="Kavya Nair-East"/>
    <s v="0976"/>
    <s v="Aditya"/>
    <s v="Aditya"/>
    <m/>
  </r>
  <r>
    <s v="ORD0592"/>
    <x v="399"/>
    <s v="C014"/>
    <s v="Kavya Nair"/>
    <s v="P014"/>
    <x v="19"/>
    <x v="2"/>
    <s v="Clothing"/>
    <x v="0"/>
    <s v="Tamil Nadu"/>
    <n v="1452.76"/>
    <n v="697.8"/>
    <n v="3"/>
    <n v="0.05"/>
    <s v="Credit Card"/>
    <x v="0"/>
    <s v="Kavya Nair"/>
    <x v="591"/>
    <n v="0.51967289848288778"/>
    <n v="2025"/>
    <s v="Mar"/>
    <s v="Q1"/>
    <s v="Low"/>
    <s v="Profit"/>
    <s v="No"/>
    <s v="KAVYA NAIR"/>
    <s v="kavya nair"/>
    <n v="10"/>
    <s v="ORD"/>
    <s v="0592"/>
    <s v="Kavya Nair-South"/>
    <s v="0592"/>
    <s v="Kavya"/>
    <s v="Kavya"/>
    <m/>
  </r>
  <r>
    <s v="ORD0132"/>
    <x v="29"/>
    <s v="C014"/>
    <s v="Kavya Nair"/>
    <s v="P015"/>
    <x v="17"/>
    <x v="2"/>
    <s v="Clothing"/>
    <x v="0"/>
    <s v="Karnataka"/>
    <n v="3713.91"/>
    <n v="1598.22"/>
    <n v="3"/>
    <n v="0"/>
    <s v="Debit Card"/>
    <x v="3"/>
    <s v="Kavya Nair"/>
    <x v="592"/>
    <n v="0.56966647010832239"/>
    <n v="2025"/>
    <s v="Feb"/>
    <s v="Q1"/>
    <s v="Low"/>
    <s v="Profit"/>
    <s v="No"/>
    <s v="KAVYA NAIR"/>
    <s v="kavya nair"/>
    <n v="10"/>
    <s v="ORD"/>
    <s v="0132"/>
    <s v="Kavya Nair-South"/>
    <s v="0132"/>
    <s v="Manish"/>
    <s v="Manish"/>
    <m/>
  </r>
  <r>
    <s v="ORD0416"/>
    <x v="400"/>
    <s v="C014"/>
    <s v="Kavya Nair"/>
    <s v="P015"/>
    <x v="17"/>
    <x v="2"/>
    <s v="Clothing"/>
    <x v="1"/>
    <s v="Maharashtra"/>
    <n v="8184.2"/>
    <n v="2376.35"/>
    <n v="5"/>
    <n v="0.05"/>
    <s v="UPI"/>
    <x v="4"/>
    <s v="Kavya Nair"/>
    <x v="593"/>
    <n v="0.70964174873536823"/>
    <n v="2024"/>
    <s v="May"/>
    <s v="Q2"/>
    <s v="Low"/>
    <s v="Profit"/>
    <s v="No"/>
    <s v="KAVYA NAIR"/>
    <s v="kavya nair"/>
    <n v="10"/>
    <s v="ORD"/>
    <s v="0416"/>
    <s v="Kavya Nair-West"/>
    <s v="0416"/>
    <s v="Manish"/>
    <s v="Manish"/>
    <m/>
  </r>
  <r>
    <s v="ORD0744"/>
    <x v="401"/>
    <s v="C014"/>
    <s v="Kavya Nair"/>
    <s v="P015"/>
    <x v="17"/>
    <x v="2"/>
    <s v="Clothing"/>
    <x v="3"/>
    <s v="Uttar Pradesh"/>
    <n v="2461.0100000000002"/>
    <n v="1084.68"/>
    <n v="2"/>
    <n v="0.1"/>
    <s v="Debit Card"/>
    <x v="0"/>
    <s v="Kavya Nair"/>
    <x v="594"/>
    <n v="0.55925412737046987"/>
    <n v="2024"/>
    <s v="Apr"/>
    <s v="Q2"/>
    <s v="Low"/>
    <s v="Profit"/>
    <s v="No"/>
    <s v="KAVYA NAIR"/>
    <s v="kavya nair"/>
    <n v="10"/>
    <s v="ORD"/>
    <s v="0744"/>
    <s v="Kavya Nair-North"/>
    <s v="0744"/>
    <s v="Manish"/>
    <s v="Manish"/>
    <m/>
  </r>
  <r>
    <s v="ORD0927"/>
    <x v="402"/>
    <s v="C014"/>
    <s v="Kavya Nair"/>
    <s v="P015"/>
    <x v="17"/>
    <x v="2"/>
    <s v="Clothing"/>
    <x v="1"/>
    <s v="Gujarat"/>
    <n v="5025.8500000000004"/>
    <n v="1947"/>
    <n v="4"/>
    <n v="0.1"/>
    <s v="Net Banking"/>
    <x v="0"/>
    <s v="Kavya Nair"/>
    <x v="595"/>
    <n v="0.61260284330013837"/>
    <n v="2025"/>
    <s v="Mar"/>
    <s v="Q1"/>
    <s v="Low"/>
    <s v="Profit"/>
    <s v="No"/>
    <s v="KAVYA NAIR"/>
    <s v="kavya nair"/>
    <n v="10"/>
    <s v="ORD"/>
    <s v="0927"/>
    <s v="Kavya Nair-West"/>
    <s v="0927"/>
    <s v="Manish"/>
    <s v="Manish"/>
    <m/>
  </r>
  <r>
    <s v="ORD0970"/>
    <x v="34"/>
    <s v="C014"/>
    <s v="Kavya Nair"/>
    <s v="P015"/>
    <x v="17"/>
    <x v="2"/>
    <s v="Clothing"/>
    <x v="0"/>
    <s v="Tamil Nadu"/>
    <n v="1676.37"/>
    <n v="948.98"/>
    <n v="2"/>
    <n v="0.05"/>
    <s v="Debit Card"/>
    <x v="4"/>
    <s v="Kavya Nair"/>
    <x v="596"/>
    <n v="0.43390778885329606"/>
    <n v="2024"/>
    <s v="Jun"/>
    <s v="Q2"/>
    <s v="Low"/>
    <s v="Profit"/>
    <s v="No"/>
    <s v="KAVYA NAIR"/>
    <s v="kavya nair"/>
    <n v="10"/>
    <s v="ORD"/>
    <s v="0970"/>
    <s v="Kavya Nair-South"/>
    <s v="0970"/>
    <s v="Manish"/>
    <s v="Manish"/>
    <m/>
  </r>
  <r>
    <s v="ORD0300"/>
    <x v="403"/>
    <s v="C014"/>
    <s v="Kavya Nair"/>
    <s v="P016"/>
    <x v="8"/>
    <x v="3"/>
    <s v="Kitchen"/>
    <x v="1"/>
    <s v="Maharashtra"/>
    <n v="9216.08"/>
    <n v="7183.72"/>
    <n v="4"/>
    <n v="0"/>
    <s v="Credit Card"/>
    <x v="4"/>
    <s v="Kavya Nair"/>
    <x v="597"/>
    <n v="0.22052325934670702"/>
    <n v="2025"/>
    <s v="Dec"/>
    <s v="Q4"/>
    <s v="Low"/>
    <s v="Profit"/>
    <s v="No"/>
    <s v="KAVYA NAIR"/>
    <s v="kavya nair"/>
    <n v="10"/>
    <s v="ORD"/>
    <s v="0300"/>
    <s v="Kavya Nair-West"/>
    <s v="0300"/>
    <s v="Rahul"/>
    <s v="Rahul"/>
    <m/>
  </r>
  <r>
    <s v="ORD0691"/>
    <x v="254"/>
    <s v="C014"/>
    <s v="Kavya Nair"/>
    <s v="P016"/>
    <x v="8"/>
    <x v="3"/>
    <s v="Kitchen"/>
    <x v="2"/>
    <s v="Bihar"/>
    <n v="5031.9799999999996"/>
    <n v="3343.02"/>
    <n v="2"/>
    <n v="0.15"/>
    <s v="Net Banking"/>
    <x v="0"/>
    <s v="Kavya Nair"/>
    <x v="598"/>
    <n v="0.33564521321626867"/>
    <n v="2024"/>
    <s v="May"/>
    <s v="Q2"/>
    <s v="Low"/>
    <s v="Profit"/>
    <s v="No"/>
    <s v="KAVYA NAIR"/>
    <s v="kavya nair"/>
    <n v="10"/>
    <s v="ORD"/>
    <s v="0691"/>
    <s v="Kavya Nair-East"/>
    <s v="0691"/>
    <s v="Rahul"/>
    <s v="Rahul"/>
    <m/>
  </r>
  <r>
    <s v="ORD0215"/>
    <x v="379"/>
    <s v="C014"/>
    <s v="Kavya Nair"/>
    <s v="P017"/>
    <x v="9"/>
    <x v="3"/>
    <s v="Kitchen"/>
    <x v="4"/>
    <s v="Madhya Pradesh"/>
    <n v="48307.6"/>
    <n v="25789.52"/>
    <n v="4"/>
    <n v="0"/>
    <s v="Credit Card"/>
    <x v="0"/>
    <s v="Kavya Nair"/>
    <x v="599"/>
    <n v="0.4661394894385148"/>
    <n v="2025"/>
    <s v="Sep"/>
    <s v="Q3"/>
    <s v="Medium"/>
    <s v="Profit"/>
    <s v="No"/>
    <s v="KAVYA NAIR"/>
    <s v="kavya nair"/>
    <n v="10"/>
    <s v="ORD"/>
    <s v="0215"/>
    <s v="Kavya Nair-Central"/>
    <s v="0215"/>
    <s v="Priya"/>
    <s v="Priya"/>
    <m/>
  </r>
  <r>
    <s v="ORD0454"/>
    <x v="404"/>
    <s v="C014"/>
    <s v="Kavya Nair"/>
    <s v="P018"/>
    <x v="10"/>
    <x v="3"/>
    <s v="Cooling"/>
    <x v="1"/>
    <s v="Rajasthan"/>
    <n v="10982.19"/>
    <n v="5334.34"/>
    <n v="1"/>
    <n v="0.1"/>
    <s v="Debit Card"/>
    <x v="1"/>
    <s v="Kavya Nair"/>
    <x v="600"/>
    <n v="0.51427356474437247"/>
    <n v="2025"/>
    <s v="Feb"/>
    <s v="Q1"/>
    <s v="Low"/>
    <s v="Profit"/>
    <s v="No"/>
    <s v="KAVYA NAIR"/>
    <s v="kavya nair"/>
    <n v="10"/>
    <s v="ORD"/>
    <s v="0454"/>
    <s v="Kavya Nair-West"/>
    <s v="0454"/>
    <s v="Amit"/>
    <s v="Amit"/>
    <m/>
  </r>
  <r>
    <s v="ORD0496"/>
    <x v="405"/>
    <s v="C014"/>
    <s v="Kavya Nair"/>
    <s v="P018"/>
    <x v="10"/>
    <x v="3"/>
    <s v="Cooling"/>
    <x v="4"/>
    <s v="Madhya Pradesh"/>
    <n v="33946.28"/>
    <n v="20586.36"/>
    <n v="4"/>
    <n v="0.15"/>
    <s v="Debit Card"/>
    <x v="4"/>
    <s v="Kavya Nair"/>
    <x v="601"/>
    <n v="0.39356064935539326"/>
    <n v="2025"/>
    <s v="Jul"/>
    <s v="Q3"/>
    <s v="Medium"/>
    <s v="Profit"/>
    <s v="No"/>
    <s v="KAVYA NAIR"/>
    <s v="kavya nair"/>
    <n v="10"/>
    <s v="ORD"/>
    <s v="0496"/>
    <s v="Kavya Nair-Central"/>
    <s v="0496"/>
    <s v="Amit"/>
    <s v="Amit"/>
    <m/>
  </r>
  <r>
    <s v="ORD0212"/>
    <x v="406"/>
    <s v="C014"/>
    <s v="Kavya Nair"/>
    <s v="P019"/>
    <x v="18"/>
    <x v="3"/>
    <s v="Cleaning"/>
    <x v="0"/>
    <s v="Tamil Nadu"/>
    <n v="4215.1099999999997"/>
    <n v="3567.84"/>
    <n v="1"/>
    <n v="0.2"/>
    <s v="Cash on Delivery"/>
    <x v="0"/>
    <s v="Kavya Nair"/>
    <x v="602"/>
    <n v="0.1535594563368452"/>
    <n v="2025"/>
    <s v="Dec"/>
    <s v="Q4"/>
    <s v="Low"/>
    <s v="Profit"/>
    <s v="No"/>
    <s v="KAVYA NAIR"/>
    <s v="kavya nair"/>
    <n v="10"/>
    <s v="ORD"/>
    <s v="0212"/>
    <s v="Kavya Nair-South"/>
    <s v="0212"/>
    <s v="Neha"/>
    <s v="Neha"/>
    <m/>
  </r>
  <r>
    <s v="ORD0407"/>
    <x v="92"/>
    <s v="C014"/>
    <s v="Kavya Nair"/>
    <s v="P019"/>
    <x v="18"/>
    <x v="3"/>
    <s v="Cleaning"/>
    <x v="1"/>
    <s v="Gujarat"/>
    <n v="14508.63"/>
    <n v="11261.04"/>
    <n v="3"/>
    <n v="0"/>
    <s v="Net Banking"/>
    <x v="1"/>
    <s v="Kavya Nair"/>
    <x v="603"/>
    <n v="0.22383850163661204"/>
    <n v="2024"/>
    <s v="May"/>
    <s v="Q2"/>
    <s v="Low"/>
    <s v="Profit"/>
    <s v="No"/>
    <s v="KAVYA NAIR"/>
    <s v="kavya nair"/>
    <n v="10"/>
    <s v="ORD"/>
    <s v="0407"/>
    <s v="Kavya Nair-West"/>
    <s v="0407"/>
    <s v="Neha"/>
    <s v="Neha"/>
    <m/>
  </r>
  <r>
    <s v="ORD0495"/>
    <x v="407"/>
    <s v="C014"/>
    <s v="Kavya Nair"/>
    <s v="P019"/>
    <x v="18"/>
    <x v="3"/>
    <s v="Cleaning"/>
    <x v="0"/>
    <s v="Tamil Nadu"/>
    <n v="25998.61"/>
    <n v="17232.45"/>
    <n v="5"/>
    <n v="0.1"/>
    <s v="Net Banking"/>
    <x v="0"/>
    <s v="Kavya Nair"/>
    <x v="604"/>
    <n v="0.33717802605600838"/>
    <n v="2024"/>
    <s v="Sep"/>
    <s v="Q3"/>
    <s v="Medium"/>
    <s v="Profit"/>
    <s v="No"/>
    <s v="KAVYA NAIR"/>
    <s v="kavya nair"/>
    <n v="10"/>
    <s v="ORD"/>
    <s v="0495"/>
    <s v="Kavya Nair-South"/>
    <s v="0495"/>
    <s v="Neha"/>
    <s v="Neha"/>
    <m/>
  </r>
  <r>
    <s v="ORD0705"/>
    <x v="126"/>
    <s v="C014"/>
    <s v="Kavya Nair"/>
    <s v="P019"/>
    <x v="18"/>
    <x v="3"/>
    <s v="Cleaning"/>
    <x v="0"/>
    <s v="Karnataka"/>
    <n v="14421.3"/>
    <n v="7579.26"/>
    <n v="2"/>
    <n v="0.15"/>
    <s v="UPI"/>
    <x v="0"/>
    <s v="Kavya Nair"/>
    <x v="605"/>
    <n v="0.47443989099457051"/>
    <n v="2025"/>
    <s v="Aug"/>
    <s v="Q3"/>
    <s v="Low"/>
    <s v="Profit"/>
    <s v="No"/>
    <s v="KAVYA NAIR"/>
    <s v="kavya nair"/>
    <n v="10"/>
    <s v="ORD"/>
    <s v="0705"/>
    <s v="Kavya Nair-South"/>
    <s v="0705"/>
    <s v="Neha"/>
    <s v="Neha"/>
    <m/>
  </r>
  <r>
    <s v="ORD0441"/>
    <x v="214"/>
    <s v="C014"/>
    <s v="Kavya Nair"/>
    <s v="P020"/>
    <x v="11"/>
    <x v="3"/>
    <s v="Kitchen"/>
    <x v="2"/>
    <s v="Bihar"/>
    <n v="2730.86"/>
    <n v="1469.37"/>
    <n v="3"/>
    <n v="0.1"/>
    <s v="Net Banking"/>
    <x v="0"/>
    <s v="Kavya Nair"/>
    <x v="606"/>
    <n v="0.46193872992390683"/>
    <n v="2024"/>
    <s v="Sep"/>
    <s v="Q3"/>
    <s v="Low"/>
    <s v="Profit"/>
    <s v="No"/>
    <s v="KAVYA NAIR"/>
    <s v="kavya nair"/>
    <n v="10"/>
    <s v="ORD"/>
    <s v="0441"/>
    <s v="Kavya Nair-East"/>
    <s v="0441"/>
    <s v="Simran"/>
    <s v="Simran"/>
    <m/>
  </r>
  <r>
    <s v="ORD0653"/>
    <x v="408"/>
    <s v="C014"/>
    <s v="Kavya Nair"/>
    <s v="P020"/>
    <x v="11"/>
    <x v="3"/>
    <s v="Kitchen"/>
    <x v="3"/>
    <s v="Delhi"/>
    <n v="2829.12"/>
    <n v="2138.7199999999998"/>
    <n v="4"/>
    <n v="0.2"/>
    <s v="Debit Card"/>
    <x v="3"/>
    <s v="Kavya Nair"/>
    <x v="607"/>
    <n v="0.24403348037552317"/>
    <n v="2025"/>
    <s v="Aug"/>
    <s v="Q3"/>
    <s v="Low"/>
    <s v="Profit"/>
    <s v="No"/>
    <s v="KAVYA NAIR"/>
    <s v="kavya nair"/>
    <n v="10"/>
    <s v="ORD"/>
    <s v="0653"/>
    <s v="Kavya Nair-North"/>
    <s v="0653"/>
    <s v="Simran"/>
    <s v="Simran"/>
    <m/>
  </r>
  <r>
    <s v="ORD0085"/>
    <x v="220"/>
    <s v="C006"/>
    <s v="Karan Mehta"/>
    <s v="P001"/>
    <x v="12"/>
    <x v="0"/>
    <s v="Computers"/>
    <x v="1"/>
    <s v="Maharashtra"/>
    <n v="243570.91"/>
    <n v="238555.8"/>
    <n v="5"/>
    <n v="0.1"/>
    <s v="Debit Card"/>
    <x v="2"/>
    <s v="Karan Mehta"/>
    <x v="608"/>
    <n v="2.0589938264795313E-2"/>
    <n v="2025"/>
    <s v="Apr"/>
    <s v="Q2"/>
    <s v="High"/>
    <s v="Profit"/>
    <s v="Yes"/>
    <s v="KARAN MEHTA"/>
    <s v="karan mehta"/>
    <n v="11"/>
    <s v="ORD"/>
    <s v="0085"/>
    <s v="Karan Mehta-West"/>
    <s v="0085"/>
    <s v="Rahul"/>
    <s v="Rahul"/>
    <m/>
  </r>
  <r>
    <s v="ORD0771"/>
    <x v="409"/>
    <s v="C006"/>
    <s v="Karan Mehta"/>
    <s v="P001"/>
    <x v="12"/>
    <x v="0"/>
    <s v="Computers"/>
    <x v="1"/>
    <s v="Rajasthan"/>
    <n v="50771.41"/>
    <n v="47624.73"/>
    <n v="1"/>
    <n v="0.2"/>
    <s v="Cash on Delivery"/>
    <x v="3"/>
    <s v="Karan Mehta"/>
    <x v="609"/>
    <n v="6.1977400273106463E-2"/>
    <n v="2024"/>
    <s v="Nov"/>
    <s v="Q4"/>
    <s v="High"/>
    <s v="Profit"/>
    <s v="No"/>
    <s v="KARAN MEHTA"/>
    <s v="karan mehta"/>
    <n v="11"/>
    <s v="ORD"/>
    <s v="0771"/>
    <s v="Karan Mehta-West"/>
    <s v="0771"/>
    <s v="Rahul"/>
    <s v="Rahul"/>
    <m/>
  </r>
  <r>
    <s v="ORD0872"/>
    <x v="174"/>
    <s v="C006"/>
    <s v="Karan Mehta"/>
    <s v="P001"/>
    <x v="12"/>
    <x v="0"/>
    <s v="Computers"/>
    <x v="2"/>
    <s v="West Bengal"/>
    <n v="132363.14000000001"/>
    <n v="145758.09"/>
    <n v="3"/>
    <n v="0.2"/>
    <s v="UPI"/>
    <x v="0"/>
    <s v="Karan Mehta"/>
    <x v="610"/>
    <n v="-0.10119849075807646"/>
    <n v="2025"/>
    <s v="Oct"/>
    <s v="Q4"/>
    <s v="High"/>
    <s v="Loss"/>
    <s v="Yes"/>
    <s v="KARAN MEHTA"/>
    <s v="karan mehta"/>
    <n v="11"/>
    <s v="ORD"/>
    <s v="0872"/>
    <s v="Karan Mehta-East"/>
    <s v="0872"/>
    <s v="Rahul"/>
    <s v="Rahul"/>
    <m/>
  </r>
  <r>
    <s v="ORD0878"/>
    <x v="167"/>
    <s v="C006"/>
    <s v="Karan Mehta"/>
    <s v="P001"/>
    <x v="12"/>
    <x v="0"/>
    <s v="Computers"/>
    <x v="2"/>
    <s v="Bihar"/>
    <n v="146261.04"/>
    <n v="140830.26"/>
    <n v="3"/>
    <n v="0.15"/>
    <s v="Debit Card"/>
    <x v="4"/>
    <s v="Karan Mehta"/>
    <x v="611"/>
    <n v="3.7130735567038213E-2"/>
    <n v="2024"/>
    <s v="Feb"/>
    <s v="Q1"/>
    <s v="High"/>
    <s v="Profit"/>
    <s v="Yes"/>
    <s v="KARAN MEHTA"/>
    <s v="karan mehta"/>
    <n v="11"/>
    <s v="ORD"/>
    <s v="0878"/>
    <s v="Karan Mehta-East"/>
    <s v="0878"/>
    <s v="Rahul"/>
    <s v="Rahul"/>
    <m/>
  </r>
  <r>
    <s v="ORD0225"/>
    <x v="281"/>
    <s v="C006"/>
    <s v="Karan Mehta"/>
    <s v="P002"/>
    <x v="0"/>
    <x v="0"/>
    <s v="Phones"/>
    <x v="4"/>
    <s v="Chhattisgarh"/>
    <n v="112590.76"/>
    <n v="67482.880000000005"/>
    <n v="4"/>
    <n v="0.1"/>
    <s v="UPI"/>
    <x v="0"/>
    <s v="Karan Mehta"/>
    <x v="612"/>
    <n v="0.40063571824188765"/>
    <n v="2025"/>
    <s v="Feb"/>
    <s v="Q1"/>
    <s v="High"/>
    <s v="Profit"/>
    <s v="Yes"/>
    <s v="KARAN MEHTA"/>
    <s v="karan mehta"/>
    <n v="11"/>
    <s v="ORD"/>
    <s v="0225"/>
    <s v="Karan Mehta-Central"/>
    <s v="0225"/>
    <s v="Priya"/>
    <s v="Priya"/>
    <m/>
  </r>
  <r>
    <s v="ORD0606"/>
    <x v="410"/>
    <s v="C006"/>
    <s v="Karan Mehta"/>
    <s v="P002"/>
    <x v="0"/>
    <x v="0"/>
    <s v="Phones"/>
    <x v="1"/>
    <s v="Maharashtra"/>
    <n v="92936"/>
    <n v="56485.74"/>
    <n v="3"/>
    <n v="0.1"/>
    <s v="Credit Card"/>
    <x v="0"/>
    <s v="Karan Mehta"/>
    <x v="613"/>
    <n v="0.39220818627872944"/>
    <n v="2024"/>
    <s v="Nov"/>
    <s v="Q4"/>
    <s v="High"/>
    <s v="Profit"/>
    <s v="Yes"/>
    <s v="KARAN MEHTA"/>
    <s v="karan mehta"/>
    <n v="11"/>
    <s v="ORD"/>
    <s v="0606"/>
    <s v="Karan Mehta-West"/>
    <s v="0606"/>
    <s v="Priya"/>
    <s v="Priya"/>
    <m/>
  </r>
  <r>
    <s v="ORD0108"/>
    <x v="272"/>
    <s v="C006"/>
    <s v="Karan Mehta"/>
    <s v="P003"/>
    <x v="1"/>
    <x v="0"/>
    <s v="Accessories"/>
    <x v="2"/>
    <s v="West Bengal"/>
    <n v="16990.16"/>
    <n v="9329.65"/>
    <n v="5"/>
    <n v="0.2"/>
    <s v="Credit Card"/>
    <x v="0"/>
    <s v="Karan Mehta"/>
    <x v="614"/>
    <n v="0.45087921479256232"/>
    <n v="2025"/>
    <s v="Jan"/>
    <s v="Q1"/>
    <s v="Low"/>
    <s v="Profit"/>
    <s v="No"/>
    <s v="KARAN MEHTA"/>
    <s v="karan mehta"/>
    <n v="11"/>
    <s v="ORD"/>
    <s v="0108"/>
    <s v="Karan Mehta-East"/>
    <s v="0108"/>
    <s v="Amit"/>
    <s v="Amit"/>
    <m/>
  </r>
  <r>
    <s v="ORD0503"/>
    <x v="411"/>
    <s v="C006"/>
    <s v="Karan Mehta"/>
    <s v="P003"/>
    <x v="1"/>
    <x v="0"/>
    <s v="Accessories"/>
    <x v="0"/>
    <s v="Tamil Nadu"/>
    <n v="10927.01"/>
    <n v="5583.24"/>
    <n v="3"/>
    <n v="0.05"/>
    <s v="Cash on Delivery"/>
    <x v="0"/>
    <s v="Karan Mehta"/>
    <x v="615"/>
    <n v="0.48904229061746995"/>
    <n v="2025"/>
    <s v="Feb"/>
    <s v="Q1"/>
    <s v="Low"/>
    <s v="Profit"/>
    <s v="No"/>
    <s v="KARAN MEHTA"/>
    <s v="karan mehta"/>
    <n v="11"/>
    <s v="ORD"/>
    <s v="0503"/>
    <s v="Karan Mehta-South"/>
    <s v="0503"/>
    <s v="Amit"/>
    <s v="Amit"/>
    <m/>
  </r>
  <r>
    <s v="ORD0633"/>
    <x v="274"/>
    <s v="C006"/>
    <s v="Karan Mehta"/>
    <s v="P003"/>
    <x v="1"/>
    <x v="0"/>
    <s v="Accessories"/>
    <x v="0"/>
    <s v="Tamil Nadu"/>
    <n v="6730.38"/>
    <n v="5443.83"/>
    <n v="3"/>
    <n v="0"/>
    <s v="Net Banking"/>
    <x v="0"/>
    <s v="Karan Mehta"/>
    <x v="616"/>
    <n v="0.19115562568532538"/>
    <n v="2025"/>
    <s v="Sep"/>
    <s v="Q3"/>
    <s v="Low"/>
    <s v="Profit"/>
    <s v="No"/>
    <s v="KARAN MEHTA"/>
    <s v="karan mehta"/>
    <n v="11"/>
    <s v="ORD"/>
    <s v="0633"/>
    <s v="Karan Mehta-South"/>
    <s v="0633"/>
    <s v="Amit"/>
    <s v="Amit"/>
    <m/>
  </r>
  <r>
    <s v="ORD0642"/>
    <x v="412"/>
    <s v="C006"/>
    <s v="Karan Mehta"/>
    <s v="P003"/>
    <x v="1"/>
    <x v="0"/>
    <s v="Accessories"/>
    <x v="2"/>
    <s v="Bihar"/>
    <n v="10114.48"/>
    <n v="9606.15"/>
    <n v="5"/>
    <n v="0.2"/>
    <s v="Net Banking"/>
    <x v="1"/>
    <s v="Karan Mehta"/>
    <x v="617"/>
    <n v="5.0257650418014561E-2"/>
    <n v="2025"/>
    <s v="Dec"/>
    <s v="Q4"/>
    <s v="Low"/>
    <s v="Profit"/>
    <s v="No"/>
    <s v="KARAN MEHTA"/>
    <s v="karan mehta"/>
    <n v="11"/>
    <s v="ORD"/>
    <s v="0642"/>
    <s v="Karan Mehta-East"/>
    <s v="0642"/>
    <s v="Amit"/>
    <s v="Amit"/>
    <m/>
  </r>
  <r>
    <s v="ORD0673"/>
    <x v="413"/>
    <s v="C006"/>
    <s v="Karan Mehta"/>
    <s v="P003"/>
    <x v="1"/>
    <x v="0"/>
    <s v="Accessories"/>
    <x v="0"/>
    <s v="Tamil Nadu"/>
    <n v="23334.77"/>
    <n v="7039.56"/>
    <n v="4"/>
    <n v="0.1"/>
    <s v="Debit Card"/>
    <x v="0"/>
    <s v="Karan Mehta"/>
    <x v="618"/>
    <n v="0.69832314610343271"/>
    <n v="2024"/>
    <s v="Mar"/>
    <s v="Q1"/>
    <s v="Medium"/>
    <s v="Profit"/>
    <s v="No"/>
    <s v="KARAN MEHTA"/>
    <s v="karan mehta"/>
    <n v="11"/>
    <s v="ORD"/>
    <s v="0673"/>
    <s v="Karan Mehta-South"/>
    <s v="0673"/>
    <s v="Amit"/>
    <s v="Amit"/>
    <m/>
  </r>
  <r>
    <s v="ORD0126"/>
    <x v="414"/>
    <s v="C006"/>
    <s v="Karan Mehta"/>
    <s v="P004"/>
    <x v="13"/>
    <x v="0"/>
    <s v="Wearables"/>
    <x v="2"/>
    <s v="Odisha"/>
    <n v="14849.47"/>
    <n v="5417.84"/>
    <n v="2"/>
    <n v="0.05"/>
    <s v="Cash on Delivery"/>
    <x v="1"/>
    <s v="Karan Mehta"/>
    <x v="619"/>
    <n v="0.63514926795367099"/>
    <n v="2024"/>
    <s v="Jan"/>
    <s v="Q1"/>
    <s v="Low"/>
    <s v="Profit"/>
    <s v="No"/>
    <s v="KARAN MEHTA"/>
    <s v="karan mehta"/>
    <n v="11"/>
    <s v="ORD"/>
    <s v="0126"/>
    <s v="Karan Mehta-East"/>
    <s v="0126"/>
    <s v="Neha"/>
    <s v="Neha"/>
    <m/>
  </r>
  <r>
    <s v="ORD0139"/>
    <x v="415"/>
    <s v="C006"/>
    <s v="Karan Mehta"/>
    <s v="P005"/>
    <x v="14"/>
    <x v="0"/>
    <s v="Computers"/>
    <x v="2"/>
    <s v="West Bengal"/>
    <n v="56705.68"/>
    <n v="29245.360000000001"/>
    <n v="4"/>
    <n v="0"/>
    <s v="UPI"/>
    <x v="0"/>
    <s v="Karan Mehta"/>
    <x v="620"/>
    <n v="0.48426048325317672"/>
    <n v="2025"/>
    <s v="Nov"/>
    <s v="Q4"/>
    <s v="High"/>
    <s v="Profit"/>
    <s v="Yes"/>
    <s v="KARAN MEHTA"/>
    <s v="karan mehta"/>
    <n v="11"/>
    <s v="ORD"/>
    <s v="0139"/>
    <s v="Karan Mehta-East"/>
    <s v="0139"/>
    <s v="Simran"/>
    <s v="Simran"/>
    <m/>
  </r>
  <r>
    <s v="ORD0358"/>
    <x v="376"/>
    <s v="C006"/>
    <s v="Karan Mehta"/>
    <s v="P006"/>
    <x v="2"/>
    <x v="1"/>
    <s v="Chairs"/>
    <x v="0"/>
    <s v="Karnataka"/>
    <n v="22074.84"/>
    <n v="14326.77"/>
    <n v="3"/>
    <n v="0.2"/>
    <s v="UPI"/>
    <x v="1"/>
    <s v="Karan Mehta"/>
    <x v="621"/>
    <n v="0.3509909924601945"/>
    <n v="2025"/>
    <s v="Aug"/>
    <s v="Q3"/>
    <s v="Medium"/>
    <s v="Profit"/>
    <s v="No"/>
    <s v="KARAN MEHTA"/>
    <s v="karan mehta"/>
    <n v="11"/>
    <s v="ORD"/>
    <s v="0358"/>
    <s v="Karan Mehta-South"/>
    <s v="0358"/>
    <s v="Karan"/>
    <s v="Karan"/>
    <m/>
  </r>
  <r>
    <s v="ORD0115"/>
    <x v="114"/>
    <s v="C006"/>
    <s v="Karan Mehta"/>
    <s v="P007"/>
    <x v="3"/>
    <x v="1"/>
    <s v="Tables"/>
    <x v="3"/>
    <s v="Punjab"/>
    <n v="48794.94"/>
    <n v="21129.57"/>
    <n v="3"/>
    <n v="0.05"/>
    <s v="Debit Card"/>
    <x v="2"/>
    <s v="Karan Mehta"/>
    <x v="622"/>
    <n v="0.56697210817351151"/>
    <n v="2025"/>
    <s v="Jul"/>
    <s v="Q3"/>
    <s v="Medium"/>
    <s v="Profit"/>
    <s v="No"/>
    <s v="KARAN MEHTA"/>
    <s v="karan mehta"/>
    <n v="11"/>
    <s v="ORD"/>
    <s v="0115"/>
    <s v="Karan Mehta-North"/>
    <s v="0115"/>
    <s v="Rohan"/>
    <s v="Rohan"/>
    <m/>
  </r>
  <r>
    <s v="ORD0391"/>
    <x v="368"/>
    <s v="C006"/>
    <s v="Karan Mehta"/>
    <s v="P007"/>
    <x v="3"/>
    <x v="1"/>
    <s v="Tables"/>
    <x v="4"/>
    <s v="Chhattisgarh"/>
    <n v="11229.77"/>
    <n v="6649.29"/>
    <n v="1"/>
    <n v="0.1"/>
    <s v="Credit Card"/>
    <x v="4"/>
    <s v="Karan Mehta"/>
    <x v="623"/>
    <n v="0.40788724969433926"/>
    <n v="2024"/>
    <s v="Jul"/>
    <s v="Q3"/>
    <s v="Low"/>
    <s v="Profit"/>
    <s v="No"/>
    <s v="KARAN MEHTA"/>
    <s v="karan mehta"/>
    <n v="11"/>
    <s v="ORD"/>
    <s v="0391"/>
    <s v="Karan Mehta-Central"/>
    <s v="0391"/>
    <s v="Rohan"/>
    <s v="Rohan"/>
    <m/>
  </r>
  <r>
    <s v="ORD0585"/>
    <x v="30"/>
    <s v="C006"/>
    <s v="Karan Mehta"/>
    <s v="P007"/>
    <x v="3"/>
    <x v="1"/>
    <s v="Tables"/>
    <x v="1"/>
    <s v="Rajasthan"/>
    <n v="38277.019999999997"/>
    <n v="37984.449999999997"/>
    <n v="5"/>
    <n v="0.05"/>
    <s v="Cash on Delivery"/>
    <x v="4"/>
    <s v="Karan Mehta"/>
    <x v="624"/>
    <n v="7.6434894879486371E-3"/>
    <n v="2025"/>
    <s v="Apr"/>
    <s v="Q2"/>
    <s v="Medium"/>
    <s v="Profit"/>
    <s v="No"/>
    <s v="KARAN MEHTA"/>
    <s v="karan mehta"/>
    <n v="11"/>
    <s v="ORD"/>
    <s v="0585"/>
    <s v="Karan Mehta-West"/>
    <s v="0585"/>
    <s v="Rohan"/>
    <s v="Rohan"/>
    <m/>
  </r>
  <r>
    <s v="ORD0939"/>
    <x v="345"/>
    <s v="C006"/>
    <s v="Karan Mehta"/>
    <s v="P007"/>
    <x v="3"/>
    <x v="1"/>
    <s v="Tables"/>
    <x v="3"/>
    <s v="Uttar Pradesh"/>
    <n v="25914.31"/>
    <n v="19764.75"/>
    <n v="3"/>
    <n v="0.2"/>
    <s v="UPI"/>
    <x v="2"/>
    <s v="Karan Mehta"/>
    <x v="625"/>
    <n v="0.23730363648501546"/>
    <n v="2025"/>
    <s v="Jan"/>
    <s v="Q1"/>
    <s v="Medium"/>
    <s v="Profit"/>
    <s v="No"/>
    <s v="KARAN MEHTA"/>
    <s v="karan mehta"/>
    <n v="11"/>
    <s v="ORD"/>
    <s v="0939"/>
    <s v="Karan Mehta-North"/>
    <s v="0939"/>
    <s v="Rohan"/>
    <s v="Rohan"/>
    <m/>
  </r>
  <r>
    <s v="ORD0336"/>
    <x v="106"/>
    <s v="C006"/>
    <s v="Karan Mehta"/>
    <s v="P008"/>
    <x v="4"/>
    <x v="1"/>
    <s v="Storage"/>
    <x v="4"/>
    <s v="Madhya Pradesh"/>
    <n v="4131.3999999999996"/>
    <n v="4363.26"/>
    <n v="1"/>
    <n v="0.15"/>
    <s v="Debit Card"/>
    <x v="4"/>
    <s v="Karan Mehta"/>
    <x v="626"/>
    <n v="-5.6121411628019702E-2"/>
    <n v="2025"/>
    <s v="Jun"/>
    <s v="Q2"/>
    <s v="Low"/>
    <s v="Loss"/>
    <s v="No"/>
    <s v="KARAN MEHTA"/>
    <s v="karan mehta"/>
    <n v="11"/>
    <s v="ORD"/>
    <s v="0336"/>
    <s v="Karan Mehta-Central"/>
    <s v="0336"/>
    <s v="Anjali"/>
    <s v="Anjali"/>
    <m/>
  </r>
  <r>
    <s v="ORD0487"/>
    <x v="95"/>
    <s v="C006"/>
    <s v="Karan Mehta"/>
    <s v="P008"/>
    <x v="4"/>
    <x v="1"/>
    <s v="Storage"/>
    <x v="4"/>
    <s v="Chhattisgarh"/>
    <n v="36557"/>
    <n v="18570.849999999999"/>
    <n v="5"/>
    <n v="0.05"/>
    <s v="Cash on Delivery"/>
    <x v="4"/>
    <s v="Karan Mehta"/>
    <x v="627"/>
    <n v="0.49200289958147553"/>
    <n v="2025"/>
    <s v="Feb"/>
    <s v="Q1"/>
    <s v="Medium"/>
    <s v="Profit"/>
    <s v="No"/>
    <s v="KARAN MEHTA"/>
    <s v="karan mehta"/>
    <n v="11"/>
    <s v="ORD"/>
    <s v="0487"/>
    <s v="Karan Mehta-Central"/>
    <s v="0487"/>
    <s v="Anjali"/>
    <s v="Anjali"/>
    <m/>
  </r>
  <r>
    <s v="ORD0819"/>
    <x v="416"/>
    <s v="C006"/>
    <s v="Karan Mehta"/>
    <s v="P008"/>
    <x v="4"/>
    <x v="1"/>
    <s v="Storage"/>
    <x v="4"/>
    <s v="Madhya Pradesh"/>
    <n v="4784.9799999999996"/>
    <n v="3616.41"/>
    <n v="1"/>
    <n v="0.15"/>
    <s v="Net Banking"/>
    <x v="4"/>
    <s v="Karan Mehta"/>
    <x v="628"/>
    <n v="0.24421627676604704"/>
    <n v="2025"/>
    <s v="Feb"/>
    <s v="Q1"/>
    <s v="Low"/>
    <s v="Profit"/>
    <s v="No"/>
    <s v="KARAN MEHTA"/>
    <s v="karan mehta"/>
    <n v="11"/>
    <s v="ORD"/>
    <s v="0819"/>
    <s v="Karan Mehta-Central"/>
    <s v="0819"/>
    <s v="Anjali"/>
    <s v="Anjali"/>
    <m/>
  </r>
  <r>
    <s v="ORD0386"/>
    <x v="323"/>
    <s v="C006"/>
    <s v="Karan Mehta"/>
    <s v="P009"/>
    <x v="5"/>
    <x v="1"/>
    <s v="Seating"/>
    <x v="1"/>
    <s v="Maharashtra"/>
    <n v="138433.75"/>
    <n v="81738.5"/>
    <n v="5"/>
    <n v="0"/>
    <s v="Net Banking"/>
    <x v="1"/>
    <s v="Karan Mehta"/>
    <x v="629"/>
    <n v="0.40954788843038636"/>
    <n v="2024"/>
    <s v="May"/>
    <s v="Q2"/>
    <s v="High"/>
    <s v="Profit"/>
    <s v="Yes"/>
    <s v="KARAN MEHTA"/>
    <s v="karan mehta"/>
    <n v="11"/>
    <s v="ORD"/>
    <s v="0386"/>
    <s v="Karan Mehta-West"/>
    <s v="0386"/>
    <s v="Arjun"/>
    <s v="Arjun"/>
    <m/>
  </r>
  <r>
    <s v="ORD0917"/>
    <x v="417"/>
    <s v="C006"/>
    <s v="Karan Mehta"/>
    <s v="P009"/>
    <x v="5"/>
    <x v="1"/>
    <s v="Seating"/>
    <x v="3"/>
    <s v="Uttar Pradesh"/>
    <n v="58013.58"/>
    <n v="31225.1"/>
    <n v="2"/>
    <n v="0"/>
    <s v="Debit Card"/>
    <x v="0"/>
    <s v="Karan Mehta"/>
    <x v="630"/>
    <n v="0.46176222877471107"/>
    <n v="2024"/>
    <s v="Jan"/>
    <s v="Q1"/>
    <s v="High"/>
    <s v="Profit"/>
    <s v="Yes"/>
    <s v="KARAN MEHTA"/>
    <s v="karan mehta"/>
    <n v="11"/>
    <s v="ORD"/>
    <s v="0917"/>
    <s v="Karan Mehta-North"/>
    <s v="0917"/>
    <s v="Arjun"/>
    <s v="Arjun"/>
    <m/>
  </r>
  <r>
    <s v="ORD0949"/>
    <x v="144"/>
    <s v="C006"/>
    <s v="Karan Mehta"/>
    <s v="P009"/>
    <x v="5"/>
    <x v="1"/>
    <s v="Seating"/>
    <x v="0"/>
    <s v="Karnataka"/>
    <n v="16108"/>
    <n v="15878.94"/>
    <n v="1"/>
    <n v="0.15"/>
    <s v="Net Banking"/>
    <x v="1"/>
    <s v="Karan Mehta"/>
    <x v="631"/>
    <n v="1.4220263223243077E-2"/>
    <n v="2025"/>
    <s v="Jun"/>
    <s v="Q2"/>
    <s v="Low"/>
    <s v="Profit"/>
    <s v="No"/>
    <s v="KARAN MEHTA"/>
    <s v="karan mehta"/>
    <n v="11"/>
    <s v="ORD"/>
    <s v="0949"/>
    <s v="Karan Mehta-South"/>
    <s v="0949"/>
    <s v="Arjun"/>
    <s v="Arjun"/>
    <m/>
  </r>
  <r>
    <s v="ORD0717"/>
    <x v="296"/>
    <s v="C006"/>
    <s v="Karan Mehta"/>
    <s v="P010"/>
    <x v="6"/>
    <x v="1"/>
    <s v="Bedroom"/>
    <x v="3"/>
    <s v="Uttar Pradesh"/>
    <n v="55413.1"/>
    <n v="34386.78"/>
    <n v="2"/>
    <n v="0.15"/>
    <s v="Credit Card"/>
    <x v="0"/>
    <s v="Karan Mehta"/>
    <x v="632"/>
    <n v="0.37944673732384582"/>
    <n v="2024"/>
    <s v="Apr"/>
    <s v="Q2"/>
    <s v="High"/>
    <s v="Profit"/>
    <s v="Yes"/>
    <s v="KARAN MEHTA"/>
    <s v="karan mehta"/>
    <n v="11"/>
    <s v="ORD"/>
    <s v="0717"/>
    <s v="Karan Mehta-North"/>
    <s v="0717"/>
    <s v="Sneha"/>
    <s v="Sneha"/>
    <m/>
  </r>
  <r>
    <s v="ORD0488"/>
    <x v="210"/>
    <s v="C006"/>
    <s v="Karan Mehta"/>
    <s v="P011"/>
    <x v="15"/>
    <x v="2"/>
    <s v="Footwear"/>
    <x v="1"/>
    <s v="Gujarat"/>
    <n v="12952.01"/>
    <n v="5482.6"/>
    <n v="5"/>
    <n v="0.05"/>
    <s v="UPI"/>
    <x v="0"/>
    <s v="Karan Mehta"/>
    <x v="633"/>
    <n v="0.5766989061929384"/>
    <n v="2025"/>
    <s v="Sep"/>
    <s v="Q3"/>
    <s v="Low"/>
    <s v="Profit"/>
    <s v="No"/>
    <s v="KARAN MEHTA"/>
    <s v="karan mehta"/>
    <n v="11"/>
    <s v="ORD"/>
    <s v="0488"/>
    <s v="Karan Mehta-West"/>
    <s v="0488"/>
    <s v="Vikas"/>
    <s v="Vikas"/>
    <m/>
  </r>
  <r>
    <s v="ORD0526"/>
    <x v="418"/>
    <s v="C006"/>
    <s v="Karan Mehta"/>
    <s v="P011"/>
    <x v="15"/>
    <x v="2"/>
    <s v="Footwear"/>
    <x v="0"/>
    <s v="Karnataka"/>
    <n v="9459.2199999999993"/>
    <n v="3710.16"/>
    <n v="3"/>
    <n v="0.2"/>
    <s v="Net Banking"/>
    <x v="4"/>
    <s v="Karan Mehta"/>
    <x v="634"/>
    <n v="0.60777315677191146"/>
    <n v="2024"/>
    <s v="Nov"/>
    <s v="Q4"/>
    <s v="Low"/>
    <s v="Profit"/>
    <s v="No"/>
    <s v="KARAN MEHTA"/>
    <s v="karan mehta"/>
    <n v="11"/>
    <s v="ORD"/>
    <s v="0526"/>
    <s v="Karan Mehta-South"/>
    <s v="0526"/>
    <s v="Vikas"/>
    <s v="Vikas"/>
    <m/>
  </r>
  <r>
    <s v="ORD0297"/>
    <x v="419"/>
    <s v="C006"/>
    <s v="Karan Mehta"/>
    <s v="P012"/>
    <x v="7"/>
    <x v="2"/>
    <s v="Clothing"/>
    <x v="2"/>
    <s v="Bihar"/>
    <n v="11170.04"/>
    <n v="4399.6000000000004"/>
    <n v="5"/>
    <n v="0.2"/>
    <s v="Net Banking"/>
    <x v="3"/>
    <s v="Karan Mehta"/>
    <x v="635"/>
    <n v="0.60612495568502889"/>
    <n v="2024"/>
    <s v="May"/>
    <s v="Q2"/>
    <s v="Low"/>
    <s v="Profit"/>
    <s v="No"/>
    <s v="KARAN MEHTA"/>
    <s v="karan mehta"/>
    <n v="11"/>
    <s v="ORD"/>
    <s v="0297"/>
    <s v="Karan Mehta-East"/>
    <s v="0297"/>
    <s v="Pooja"/>
    <s v="Pooja"/>
    <m/>
  </r>
  <r>
    <s v="ORD0352"/>
    <x v="420"/>
    <s v="C006"/>
    <s v="Karan Mehta"/>
    <s v="P012"/>
    <x v="7"/>
    <x v="2"/>
    <s v="Clothing"/>
    <x v="0"/>
    <s v="Karnataka"/>
    <n v="10953.6"/>
    <n v="2581.11"/>
    <n v="3"/>
    <n v="0"/>
    <s v="Cash on Delivery"/>
    <x v="0"/>
    <s v="Karan Mehta"/>
    <x v="636"/>
    <n v="0.76435966257668708"/>
    <n v="2024"/>
    <s v="Jul"/>
    <s v="Q3"/>
    <s v="Low"/>
    <s v="Profit"/>
    <s v="No"/>
    <s v="KARAN MEHTA"/>
    <s v="karan mehta"/>
    <n v="11"/>
    <s v="ORD"/>
    <s v="0352"/>
    <s v="Karan Mehta-South"/>
    <s v="0352"/>
    <s v="Pooja"/>
    <s v="Pooja"/>
    <m/>
  </r>
  <r>
    <s v="ORD0377"/>
    <x v="90"/>
    <s v="C006"/>
    <s v="Karan Mehta"/>
    <s v="P012"/>
    <x v="7"/>
    <x v="2"/>
    <s v="Clothing"/>
    <x v="1"/>
    <s v="Maharashtra"/>
    <n v="3052.83"/>
    <n v="1780.48"/>
    <n v="2"/>
    <n v="0.15"/>
    <s v="Debit Card"/>
    <x v="0"/>
    <s v="Karan Mehta"/>
    <x v="637"/>
    <n v="0.41677721982553889"/>
    <n v="2025"/>
    <s v="Jan"/>
    <s v="Q1"/>
    <s v="Low"/>
    <s v="Profit"/>
    <s v="No"/>
    <s v="KARAN MEHTA"/>
    <s v="karan mehta"/>
    <n v="11"/>
    <s v="ORD"/>
    <s v="0377"/>
    <s v="Karan Mehta-West"/>
    <s v="0377"/>
    <s v="Pooja"/>
    <s v="Pooja"/>
    <m/>
  </r>
  <r>
    <s v="ORD0483"/>
    <x v="421"/>
    <s v="C006"/>
    <s v="Karan Mehta"/>
    <s v="P012"/>
    <x v="7"/>
    <x v="2"/>
    <s v="Clothing"/>
    <x v="2"/>
    <s v="West Bengal"/>
    <n v="3992.06"/>
    <n v="1769.26"/>
    <n v="2"/>
    <n v="0"/>
    <s v="Net Banking"/>
    <x v="2"/>
    <s v="Karan Mehta"/>
    <x v="638"/>
    <n v="0.55680525843799944"/>
    <n v="2024"/>
    <s v="May"/>
    <s v="Q2"/>
    <s v="Low"/>
    <s v="Profit"/>
    <s v="No"/>
    <s v="KARAN MEHTA"/>
    <s v="karan mehta"/>
    <n v="11"/>
    <s v="ORD"/>
    <s v="0483"/>
    <s v="Karan Mehta-East"/>
    <s v="0483"/>
    <s v="Pooja"/>
    <s v="Pooja"/>
    <m/>
  </r>
  <r>
    <s v="ORD0689"/>
    <x v="34"/>
    <s v="C006"/>
    <s v="Karan Mehta"/>
    <s v="P012"/>
    <x v="7"/>
    <x v="2"/>
    <s v="Clothing"/>
    <x v="1"/>
    <s v="Rajasthan"/>
    <n v="10447.34"/>
    <n v="3415.44"/>
    <n v="4"/>
    <n v="0.05"/>
    <s v="UPI"/>
    <x v="3"/>
    <s v="Karan Mehta"/>
    <x v="639"/>
    <n v="0.67308042047066519"/>
    <n v="2024"/>
    <s v="Jun"/>
    <s v="Q2"/>
    <s v="Low"/>
    <s v="Profit"/>
    <s v="No"/>
    <s v="KARAN MEHTA"/>
    <s v="karan mehta"/>
    <n v="11"/>
    <s v="ORD"/>
    <s v="0689"/>
    <s v="Karan Mehta-West"/>
    <s v="0689"/>
    <s v="Pooja"/>
    <s v="Pooja"/>
    <m/>
  </r>
  <r>
    <s v="ORD0281"/>
    <x v="42"/>
    <s v="C006"/>
    <s v="Karan Mehta"/>
    <s v="P013"/>
    <x v="16"/>
    <x v="2"/>
    <s v="Bags"/>
    <x v="0"/>
    <s v="Telangana"/>
    <n v="9073.2199999999993"/>
    <n v="3061.96"/>
    <n v="4"/>
    <n v="0.1"/>
    <s v="Net Banking"/>
    <x v="4"/>
    <s v="Karan Mehta"/>
    <x v="640"/>
    <n v="0.6625277464891185"/>
    <n v="2024"/>
    <s v="Oct"/>
    <s v="Q4"/>
    <s v="Low"/>
    <s v="Profit"/>
    <s v="No"/>
    <s v="KARAN MEHTA"/>
    <s v="karan mehta"/>
    <n v="11"/>
    <s v="ORD"/>
    <s v="0281"/>
    <s v="Karan Mehta-South"/>
    <s v="0281"/>
    <s v="Aditya"/>
    <s v="Aditya"/>
    <m/>
  </r>
  <r>
    <s v="ORD0499"/>
    <x v="422"/>
    <s v="C006"/>
    <s v="Karan Mehta"/>
    <s v="P013"/>
    <x v="16"/>
    <x v="2"/>
    <s v="Bags"/>
    <x v="2"/>
    <s v="Odisha"/>
    <n v="1470.14"/>
    <n v="745.26"/>
    <n v="1"/>
    <n v="0.2"/>
    <s v="Net Banking"/>
    <x v="0"/>
    <s v="Karan Mehta"/>
    <x v="641"/>
    <n v="0.49306868733590004"/>
    <n v="2024"/>
    <s v="Jan"/>
    <s v="Q1"/>
    <s v="Low"/>
    <s v="Profit"/>
    <s v="No"/>
    <s v="KARAN MEHTA"/>
    <s v="karan mehta"/>
    <n v="11"/>
    <s v="ORD"/>
    <s v="0499"/>
    <s v="Karan Mehta-East"/>
    <s v="0499"/>
    <s v="Aditya"/>
    <s v="Aditya"/>
    <m/>
  </r>
  <r>
    <s v="ORD0762"/>
    <x v="98"/>
    <s v="C006"/>
    <s v="Karan Mehta"/>
    <s v="P013"/>
    <x v="16"/>
    <x v="2"/>
    <s v="Bags"/>
    <x v="2"/>
    <s v="West Bengal"/>
    <n v="6504.99"/>
    <n v="1954.14"/>
    <n v="3"/>
    <n v="0"/>
    <s v="UPI"/>
    <x v="2"/>
    <s v="Karan Mehta"/>
    <x v="642"/>
    <n v="0.699593696531432"/>
    <n v="2025"/>
    <s v="Nov"/>
    <s v="Q4"/>
    <s v="Low"/>
    <s v="Profit"/>
    <s v="No"/>
    <s v="KARAN MEHTA"/>
    <s v="karan mehta"/>
    <n v="11"/>
    <s v="ORD"/>
    <s v="0762"/>
    <s v="Karan Mehta-East"/>
    <s v="0762"/>
    <s v="Aditya"/>
    <s v="Aditya"/>
    <m/>
  </r>
  <r>
    <s v="ORD0520"/>
    <x v="423"/>
    <s v="C006"/>
    <s v="Karan Mehta"/>
    <s v="P014"/>
    <x v="19"/>
    <x v="2"/>
    <s v="Clothing"/>
    <x v="1"/>
    <s v="Gujarat"/>
    <n v="2628.07"/>
    <n v="1258.5"/>
    <n v="5"/>
    <n v="0.15"/>
    <s v="Debit Card"/>
    <x v="4"/>
    <s v="Karan Mehta"/>
    <x v="643"/>
    <n v="0.52113147671104654"/>
    <n v="2024"/>
    <s v="May"/>
    <s v="Q2"/>
    <s v="Low"/>
    <s v="Profit"/>
    <s v="No"/>
    <s v="KARAN MEHTA"/>
    <s v="karan mehta"/>
    <n v="11"/>
    <s v="ORD"/>
    <s v="0520"/>
    <s v="Karan Mehta-West"/>
    <s v="0520"/>
    <s v="Kavya"/>
    <s v="Kavya"/>
    <m/>
  </r>
  <r>
    <s v="ORD0732"/>
    <x v="424"/>
    <s v="C006"/>
    <s v="Karan Mehta"/>
    <s v="P014"/>
    <x v="19"/>
    <x v="2"/>
    <s v="Clothing"/>
    <x v="2"/>
    <s v="Bihar"/>
    <n v="1630.67"/>
    <n v="533.55999999999995"/>
    <n v="2"/>
    <n v="0.05"/>
    <s v="Credit Card"/>
    <x v="4"/>
    <s v="Karan Mehta"/>
    <x v="644"/>
    <n v="0.67279707114253651"/>
    <n v="2025"/>
    <s v="Feb"/>
    <s v="Q1"/>
    <s v="Low"/>
    <s v="Profit"/>
    <s v="No"/>
    <s v="KARAN MEHTA"/>
    <s v="karan mehta"/>
    <n v="11"/>
    <s v="ORD"/>
    <s v="0732"/>
    <s v="Karan Mehta-East"/>
    <s v="0732"/>
    <s v="Kavya"/>
    <s v="Kavya"/>
    <m/>
  </r>
  <r>
    <s v="ORD0876"/>
    <x v="425"/>
    <s v="C006"/>
    <s v="Karan Mehta"/>
    <s v="P014"/>
    <x v="19"/>
    <x v="2"/>
    <s v="Clothing"/>
    <x v="3"/>
    <s v="Delhi"/>
    <n v="1282.1099999999999"/>
    <n v="732.3"/>
    <n v="3"/>
    <n v="0"/>
    <s v="Cash on Delivery"/>
    <x v="0"/>
    <s v="Karan Mehta"/>
    <x v="645"/>
    <n v="0.42883215948709547"/>
    <n v="2025"/>
    <s v="Jun"/>
    <s v="Q2"/>
    <s v="Low"/>
    <s v="Profit"/>
    <s v="No"/>
    <s v="KARAN MEHTA"/>
    <s v="karan mehta"/>
    <n v="11"/>
    <s v="ORD"/>
    <s v="0876"/>
    <s v="Karan Mehta-North"/>
    <s v="0876"/>
    <s v="Kavya"/>
    <s v="Kavya"/>
    <m/>
  </r>
  <r>
    <s v="ORD0313"/>
    <x v="426"/>
    <s v="C006"/>
    <s v="Karan Mehta"/>
    <s v="P015"/>
    <x v="17"/>
    <x v="2"/>
    <s v="Clothing"/>
    <x v="1"/>
    <s v="Gujarat"/>
    <n v="6466.65"/>
    <n v="1880.92"/>
    <n v="4"/>
    <n v="0.05"/>
    <s v="Debit Card"/>
    <x v="0"/>
    <s v="Karan Mehta"/>
    <x v="646"/>
    <n v="0.70913533282302266"/>
    <n v="2024"/>
    <s v="Jan"/>
    <s v="Q1"/>
    <s v="Low"/>
    <s v="Profit"/>
    <s v="No"/>
    <s v="KARAN MEHTA"/>
    <s v="karan mehta"/>
    <n v="11"/>
    <s v="ORD"/>
    <s v="0313"/>
    <s v="Karan Mehta-West"/>
    <s v="0313"/>
    <s v="Manish"/>
    <s v="Manish"/>
    <m/>
  </r>
  <r>
    <s v="ORD0793"/>
    <x v="427"/>
    <s v="C006"/>
    <s v="Karan Mehta"/>
    <s v="P015"/>
    <x v="17"/>
    <x v="2"/>
    <s v="Clothing"/>
    <x v="2"/>
    <s v="Odisha"/>
    <n v="4153.84"/>
    <n v="2115.7199999999998"/>
    <n v="4"/>
    <n v="0"/>
    <s v="Net Banking"/>
    <x v="2"/>
    <s v="Karan Mehta"/>
    <x v="647"/>
    <n v="0.4906592454211044"/>
    <n v="2024"/>
    <s v="Nov"/>
    <s v="Q4"/>
    <s v="Low"/>
    <s v="Profit"/>
    <s v="No"/>
    <s v="KARAN MEHTA"/>
    <s v="karan mehta"/>
    <n v="11"/>
    <s v="ORD"/>
    <s v="0793"/>
    <s v="Karan Mehta-East"/>
    <s v="0793"/>
    <s v="Manish"/>
    <s v="Manish"/>
    <m/>
  </r>
  <r>
    <s v="ORD0928"/>
    <x v="428"/>
    <s v="C006"/>
    <s v="Karan Mehta"/>
    <s v="P015"/>
    <x v="17"/>
    <x v="2"/>
    <s v="Clothing"/>
    <x v="0"/>
    <s v="Karnataka"/>
    <n v="585.5"/>
    <n v="485.91"/>
    <n v="1"/>
    <n v="0.2"/>
    <s v="Cash on Delivery"/>
    <x v="0"/>
    <s v="Karan Mehta"/>
    <x v="648"/>
    <n v="0.17009393680614854"/>
    <n v="2024"/>
    <s v="Sep"/>
    <s v="Q3"/>
    <s v="Low"/>
    <s v="Profit"/>
    <s v="No"/>
    <s v="KARAN MEHTA"/>
    <s v="karan mehta"/>
    <n v="11"/>
    <s v="ORD"/>
    <s v="0928"/>
    <s v="Karan Mehta-South"/>
    <s v="0928"/>
    <s v="Manish"/>
    <s v="Manish"/>
    <m/>
  </r>
  <r>
    <s v="ORD0298"/>
    <x v="74"/>
    <s v="C006"/>
    <s v="Karan Mehta"/>
    <s v="P016"/>
    <x v="8"/>
    <x v="3"/>
    <s v="Kitchen"/>
    <x v="2"/>
    <s v="Odisha"/>
    <n v="7071.63"/>
    <n v="3639.54"/>
    <n v="2"/>
    <n v="0.05"/>
    <s v="Credit Card"/>
    <x v="1"/>
    <s v="Karan Mehta"/>
    <x v="649"/>
    <n v="0.48533223599085362"/>
    <n v="2025"/>
    <s v="Jul"/>
    <s v="Q3"/>
    <s v="Low"/>
    <s v="Profit"/>
    <s v="No"/>
    <s v="KARAN MEHTA"/>
    <s v="karan mehta"/>
    <n v="11"/>
    <s v="ORD"/>
    <s v="0298"/>
    <s v="Karan Mehta-East"/>
    <s v="0298"/>
    <s v="Rahul"/>
    <s v="Rahul"/>
    <m/>
  </r>
  <r>
    <s v="ORD0360"/>
    <x v="140"/>
    <s v="C006"/>
    <s v="Karan Mehta"/>
    <s v="P016"/>
    <x v="8"/>
    <x v="3"/>
    <s v="Kitchen"/>
    <x v="3"/>
    <s v="Delhi"/>
    <n v="2222.66"/>
    <n v="1703.74"/>
    <n v="1"/>
    <n v="0.2"/>
    <s v="Net Banking"/>
    <x v="0"/>
    <s v="Karan Mehta"/>
    <x v="650"/>
    <n v="0.23346800680265983"/>
    <n v="2024"/>
    <s v="Apr"/>
    <s v="Q2"/>
    <s v="Low"/>
    <s v="Profit"/>
    <s v="No"/>
    <s v="KARAN MEHTA"/>
    <s v="karan mehta"/>
    <n v="11"/>
    <s v="ORD"/>
    <s v="0360"/>
    <s v="Karan Mehta-North"/>
    <s v="0360"/>
    <s v="Rahul"/>
    <s v="Rahul"/>
    <m/>
  </r>
  <r>
    <s v="ORD0393"/>
    <x v="40"/>
    <s v="C006"/>
    <s v="Karan Mehta"/>
    <s v="P016"/>
    <x v="8"/>
    <x v="3"/>
    <s v="Kitchen"/>
    <x v="2"/>
    <s v="West Bengal"/>
    <n v="13322.85"/>
    <n v="5231.79"/>
    <n v="3"/>
    <n v="0.1"/>
    <s v="UPI"/>
    <x v="4"/>
    <s v="Karan Mehta"/>
    <x v="651"/>
    <n v="0.60730699512491693"/>
    <n v="2025"/>
    <s v="Jul"/>
    <s v="Q3"/>
    <s v="Low"/>
    <s v="Profit"/>
    <s v="No"/>
    <s v="KARAN MEHTA"/>
    <s v="karan mehta"/>
    <n v="11"/>
    <s v="ORD"/>
    <s v="0393"/>
    <s v="Karan Mehta-East"/>
    <s v="0393"/>
    <s v="Rahul"/>
    <s v="Rahul"/>
    <m/>
  </r>
  <r>
    <s v="ORD0569"/>
    <x v="320"/>
    <s v="C006"/>
    <s v="Karan Mehta"/>
    <s v="P016"/>
    <x v="8"/>
    <x v="3"/>
    <s v="Kitchen"/>
    <x v="4"/>
    <s v="Chhattisgarh"/>
    <n v="10567.12"/>
    <n v="9575.15"/>
    <n v="5"/>
    <n v="0.1"/>
    <s v="UPI"/>
    <x v="3"/>
    <s v="Karan Mehta"/>
    <x v="652"/>
    <n v="9.3873259696114084E-2"/>
    <n v="2025"/>
    <s v="Dec"/>
    <s v="Q4"/>
    <s v="Low"/>
    <s v="Profit"/>
    <s v="No"/>
    <s v="KARAN MEHTA"/>
    <s v="karan mehta"/>
    <n v="11"/>
    <s v="ORD"/>
    <s v="0569"/>
    <s v="Karan Mehta-Central"/>
    <s v="0569"/>
    <s v="Rahul"/>
    <s v="Rahul"/>
    <m/>
  </r>
  <r>
    <s v="ORD0830"/>
    <x v="429"/>
    <s v="C006"/>
    <s v="Karan Mehta"/>
    <s v="P016"/>
    <x v="8"/>
    <x v="3"/>
    <s v="Kitchen"/>
    <x v="1"/>
    <s v="Gujarat"/>
    <n v="17218.75"/>
    <n v="7731.04"/>
    <n v="4"/>
    <n v="0.2"/>
    <s v="Net Banking"/>
    <x v="4"/>
    <s v="Karan Mehta"/>
    <x v="653"/>
    <n v="0.55101038112522682"/>
    <n v="2025"/>
    <s v="Dec"/>
    <s v="Q4"/>
    <s v="Low"/>
    <s v="Profit"/>
    <s v="No"/>
    <s v="KARAN MEHTA"/>
    <s v="karan mehta"/>
    <n v="11"/>
    <s v="ORD"/>
    <s v="0830"/>
    <s v="Karan Mehta-West"/>
    <s v="0830"/>
    <s v="Rahul"/>
    <s v="Rahul"/>
    <m/>
  </r>
  <r>
    <s v="ORD0868"/>
    <x v="326"/>
    <s v="C006"/>
    <s v="Karan Mehta"/>
    <s v="P016"/>
    <x v="8"/>
    <x v="3"/>
    <s v="Kitchen"/>
    <x v="3"/>
    <s v="Delhi"/>
    <n v="21456.42"/>
    <n v="8727.5499999999993"/>
    <n v="5"/>
    <n v="0.15"/>
    <s v="Net Banking"/>
    <x v="4"/>
    <s v="Karan Mehta"/>
    <x v="654"/>
    <n v="0.59324295478928912"/>
    <n v="2024"/>
    <s v="May"/>
    <s v="Q2"/>
    <s v="Medium"/>
    <s v="Profit"/>
    <s v="No"/>
    <s v="KARAN MEHTA"/>
    <s v="karan mehta"/>
    <n v="11"/>
    <s v="ORD"/>
    <s v="0868"/>
    <s v="Karan Mehta-North"/>
    <s v="0868"/>
    <s v="Rahul"/>
    <s v="Rahul"/>
    <m/>
  </r>
  <r>
    <s v="ORD0972"/>
    <x v="430"/>
    <s v="C006"/>
    <s v="Karan Mehta"/>
    <s v="P016"/>
    <x v="8"/>
    <x v="3"/>
    <s v="Kitchen"/>
    <x v="1"/>
    <s v="Gujarat"/>
    <n v="16748.830000000002"/>
    <n v="9196.9"/>
    <n v="5"/>
    <n v="0.05"/>
    <s v="Net Banking"/>
    <x v="0"/>
    <s v="Karan Mehta"/>
    <x v="655"/>
    <n v="0.45089298774899511"/>
    <n v="2025"/>
    <s v="Mar"/>
    <s v="Q1"/>
    <s v="Low"/>
    <s v="Profit"/>
    <s v="No"/>
    <s v="KARAN MEHTA"/>
    <s v="karan mehta"/>
    <n v="11"/>
    <s v="ORD"/>
    <s v="0972"/>
    <s v="Karan Mehta-West"/>
    <s v="0972"/>
    <s v="Rahul"/>
    <s v="Rahul"/>
    <m/>
  </r>
  <r>
    <s v="ORD0054"/>
    <x v="431"/>
    <s v="C006"/>
    <s v="Karan Mehta"/>
    <s v="P017"/>
    <x v="9"/>
    <x v="3"/>
    <s v="Kitchen"/>
    <x v="1"/>
    <s v="Gujarat"/>
    <n v="54807.53"/>
    <n v="28495.200000000001"/>
    <n v="5"/>
    <n v="0.15"/>
    <s v="Credit Card"/>
    <x v="2"/>
    <s v="Karan Mehta"/>
    <x v="656"/>
    <n v="0.48008603927234084"/>
    <n v="2024"/>
    <s v="Feb"/>
    <s v="Q1"/>
    <s v="High"/>
    <s v="Profit"/>
    <s v="Yes"/>
    <s v="KARAN MEHTA"/>
    <s v="karan mehta"/>
    <n v="11"/>
    <s v="ORD"/>
    <s v="0054"/>
    <s v="Karan Mehta-West"/>
    <s v="0054"/>
    <s v="Priya"/>
    <s v="Priya"/>
    <m/>
  </r>
  <r>
    <s v="ORD0808"/>
    <x v="432"/>
    <s v="C006"/>
    <s v="Karan Mehta"/>
    <s v="P017"/>
    <x v="9"/>
    <x v="3"/>
    <s v="Kitchen"/>
    <x v="1"/>
    <s v="Gujarat"/>
    <n v="28896.22"/>
    <n v="22233.200000000001"/>
    <n v="4"/>
    <n v="0.2"/>
    <s v="Net Banking"/>
    <x v="0"/>
    <s v="Karan Mehta"/>
    <x v="657"/>
    <n v="0.23058448475267701"/>
    <n v="2024"/>
    <s v="Dec"/>
    <s v="Q4"/>
    <s v="Medium"/>
    <s v="Profit"/>
    <s v="No"/>
    <s v="KARAN MEHTA"/>
    <s v="karan mehta"/>
    <n v="11"/>
    <s v="ORD"/>
    <s v="0808"/>
    <s v="Karan Mehta-West"/>
    <s v="0808"/>
    <s v="Priya"/>
    <s v="Priya"/>
    <m/>
  </r>
  <r>
    <s v="ORD0843"/>
    <x v="25"/>
    <s v="C006"/>
    <s v="Karan Mehta"/>
    <s v="P017"/>
    <x v="9"/>
    <x v="3"/>
    <s v="Kitchen"/>
    <x v="3"/>
    <s v="Delhi"/>
    <n v="33647.58"/>
    <n v="17750.22"/>
    <n v="3"/>
    <n v="0"/>
    <s v="Cash on Delivery"/>
    <x v="0"/>
    <s v="Karan Mehta"/>
    <x v="658"/>
    <n v="0.47246666773658014"/>
    <n v="2024"/>
    <s v="Mar"/>
    <s v="Q1"/>
    <s v="Medium"/>
    <s v="Profit"/>
    <s v="No"/>
    <s v="KARAN MEHTA"/>
    <s v="karan mehta"/>
    <n v="11"/>
    <s v="ORD"/>
    <s v="0843"/>
    <s v="Karan Mehta-North"/>
    <s v="0843"/>
    <s v="Priya"/>
    <s v="Priya"/>
    <m/>
  </r>
  <r>
    <s v="ORD0364"/>
    <x v="371"/>
    <s v="C006"/>
    <s v="Karan Mehta"/>
    <s v="P018"/>
    <x v="10"/>
    <x v="3"/>
    <s v="Cooling"/>
    <x v="2"/>
    <s v="Bihar"/>
    <n v="29037"/>
    <n v="15586.68"/>
    <n v="3"/>
    <n v="0.05"/>
    <s v="Net Banking"/>
    <x v="4"/>
    <s v="Karan Mehta"/>
    <x v="659"/>
    <n v="0.46321314185349727"/>
    <n v="2025"/>
    <s v="Sep"/>
    <s v="Q3"/>
    <s v="Medium"/>
    <s v="Profit"/>
    <s v="No"/>
    <s v="KARAN MEHTA"/>
    <s v="karan mehta"/>
    <n v="11"/>
    <s v="ORD"/>
    <s v="0364"/>
    <s v="Karan Mehta-East"/>
    <s v="0364"/>
    <s v="Amit"/>
    <s v="Amit"/>
    <m/>
  </r>
  <r>
    <s v="ORD0562"/>
    <x v="175"/>
    <s v="C006"/>
    <s v="Karan Mehta"/>
    <s v="P018"/>
    <x v="10"/>
    <x v="3"/>
    <s v="Cooling"/>
    <x v="1"/>
    <s v="Maharashtra"/>
    <n v="23548.51"/>
    <n v="17019.87"/>
    <n v="3"/>
    <n v="0.2"/>
    <s v="Net Banking"/>
    <x v="1"/>
    <s v="Karan Mehta"/>
    <x v="660"/>
    <n v="0.27724216946210184"/>
    <n v="2025"/>
    <s v="May"/>
    <s v="Q2"/>
    <s v="Medium"/>
    <s v="Profit"/>
    <s v="No"/>
    <s v="KARAN MEHTA"/>
    <s v="karan mehta"/>
    <n v="11"/>
    <s v="ORD"/>
    <s v="0562"/>
    <s v="Karan Mehta-West"/>
    <s v="0562"/>
    <s v="Amit"/>
    <s v="Amit"/>
    <m/>
  </r>
  <r>
    <s v="ORD0734"/>
    <x v="403"/>
    <s v="C006"/>
    <s v="Karan Mehta"/>
    <s v="P018"/>
    <x v="10"/>
    <x v="3"/>
    <s v="Cooling"/>
    <x v="1"/>
    <s v="Gujarat"/>
    <n v="33708.75"/>
    <n v="28903.85"/>
    <n v="5"/>
    <n v="0.05"/>
    <s v="Net Banking"/>
    <x v="4"/>
    <s v="Karan Mehta"/>
    <x v="661"/>
    <n v="0.14254162494901179"/>
    <n v="2025"/>
    <s v="Dec"/>
    <s v="Q4"/>
    <s v="Medium"/>
    <s v="Profit"/>
    <s v="No"/>
    <s v="KARAN MEHTA"/>
    <s v="karan mehta"/>
    <n v="11"/>
    <s v="ORD"/>
    <s v="0734"/>
    <s v="Karan Mehta-West"/>
    <s v="0734"/>
    <s v="Amit"/>
    <s v="Amit"/>
    <m/>
  </r>
  <r>
    <s v="ORD0468"/>
    <x v="397"/>
    <s v="C006"/>
    <s v="Karan Mehta"/>
    <s v="P019"/>
    <x v="18"/>
    <x v="3"/>
    <s v="Cleaning"/>
    <x v="4"/>
    <s v="Chhattisgarh"/>
    <n v="30205.35"/>
    <n v="17364.45"/>
    <n v="5"/>
    <n v="0.1"/>
    <s v="UPI"/>
    <x v="4"/>
    <s v="Karan Mehta"/>
    <x v="662"/>
    <n v="0.42512005323560226"/>
    <n v="2024"/>
    <s v="Feb"/>
    <s v="Q1"/>
    <s v="Medium"/>
    <s v="Profit"/>
    <s v="No"/>
    <s v="KARAN MEHTA"/>
    <s v="karan mehta"/>
    <n v="11"/>
    <s v="ORD"/>
    <s v="0468"/>
    <s v="Karan Mehta-Central"/>
    <s v="0468"/>
    <s v="Neha"/>
    <s v="Neha"/>
    <m/>
  </r>
  <r>
    <s v="ORD0602"/>
    <x v="101"/>
    <s v="C006"/>
    <s v="Karan Mehta"/>
    <s v="P019"/>
    <x v="18"/>
    <x v="3"/>
    <s v="Cleaning"/>
    <x v="2"/>
    <s v="Bihar"/>
    <n v="11126.36"/>
    <n v="6850.3"/>
    <n v="2"/>
    <n v="0"/>
    <s v="Credit Card"/>
    <x v="2"/>
    <s v="Karan Mehta"/>
    <x v="663"/>
    <n v="0.38431796202891155"/>
    <n v="2025"/>
    <s v="Jul"/>
    <s v="Q3"/>
    <s v="Low"/>
    <s v="Profit"/>
    <s v="No"/>
    <s v="KARAN MEHTA"/>
    <s v="karan mehta"/>
    <n v="11"/>
    <s v="ORD"/>
    <s v="0602"/>
    <s v="Karan Mehta-East"/>
    <s v="0602"/>
    <s v="Neha"/>
    <s v="Neha"/>
    <m/>
  </r>
  <r>
    <s v="ORD0305"/>
    <x v="346"/>
    <s v="C006"/>
    <s v="Karan Mehta"/>
    <s v="P020"/>
    <x v="11"/>
    <x v="3"/>
    <s v="Kitchen"/>
    <x v="3"/>
    <s v="Punjab"/>
    <n v="2054.54"/>
    <n v="1061.08"/>
    <n v="2"/>
    <n v="0.2"/>
    <s v="Debit Card"/>
    <x v="0"/>
    <s v="Karan Mehta"/>
    <x v="664"/>
    <n v="0.48354376162060608"/>
    <n v="2024"/>
    <s v="Jul"/>
    <s v="Q3"/>
    <s v="Low"/>
    <s v="Profit"/>
    <s v="No"/>
    <s v="KARAN MEHTA"/>
    <s v="karan mehta"/>
    <n v="11"/>
    <s v="ORD"/>
    <s v="0305"/>
    <s v="Karan Mehta-North"/>
    <s v="0305"/>
    <s v="Simran"/>
    <s v="Simran"/>
    <m/>
  </r>
  <r>
    <s v="ORD0366"/>
    <x v="379"/>
    <s v="C006"/>
    <s v="Karan Mehta"/>
    <s v="P020"/>
    <x v="11"/>
    <x v="3"/>
    <s v="Kitchen"/>
    <x v="0"/>
    <s v="Telangana"/>
    <n v="1232.3800000000001"/>
    <n v="1027.92"/>
    <n v="2"/>
    <n v="0.15"/>
    <s v="Credit Card"/>
    <x v="1"/>
    <s v="Karan Mehta"/>
    <x v="665"/>
    <n v="0.16590661971145265"/>
    <n v="2025"/>
    <s v="Sep"/>
    <s v="Q3"/>
    <s v="Low"/>
    <s v="Profit"/>
    <s v="No"/>
    <s v="KARAN MEHTA"/>
    <s v="karan mehta"/>
    <n v="11"/>
    <s v="ORD"/>
    <s v="0366"/>
    <s v="Karan Mehta-South"/>
    <s v="0366"/>
    <s v="Simran"/>
    <s v="Simran"/>
    <m/>
  </r>
  <r>
    <s v="ORD0473"/>
    <x v="196"/>
    <s v="C006"/>
    <s v="Karan Mehta"/>
    <s v="P020"/>
    <x v="11"/>
    <x v="3"/>
    <s v="Kitchen"/>
    <x v="3"/>
    <s v="Uttar Pradesh"/>
    <n v="1671.44"/>
    <n v="1078.26"/>
    <n v="2"/>
    <n v="0"/>
    <s v="UPI"/>
    <x v="0"/>
    <s v="Karan Mehta"/>
    <x v="666"/>
    <n v="0.35489159048485142"/>
    <n v="2024"/>
    <s v="Oct"/>
    <s v="Q4"/>
    <s v="Low"/>
    <s v="Profit"/>
    <s v="No"/>
    <s v="KARAN MEHTA"/>
    <s v="karan mehta"/>
    <n v="11"/>
    <s v="ORD"/>
    <s v="0473"/>
    <s v="Karan Mehta-North"/>
    <s v="0473"/>
    <s v="Simran"/>
    <s v="Simran"/>
    <m/>
  </r>
  <r>
    <s v="ORD0692"/>
    <x v="433"/>
    <s v="C006"/>
    <s v="Karan Mehta"/>
    <s v="P020"/>
    <x v="11"/>
    <x v="3"/>
    <s v="Kitchen"/>
    <x v="2"/>
    <s v="Bihar"/>
    <n v="5999.35"/>
    <n v="2340"/>
    <n v="5"/>
    <n v="0"/>
    <s v="Debit Card"/>
    <x v="1"/>
    <s v="Karan Mehta"/>
    <x v="667"/>
    <n v="0.60995774542242076"/>
    <n v="2024"/>
    <s v="Feb"/>
    <s v="Q1"/>
    <s v="Low"/>
    <s v="Profit"/>
    <s v="No"/>
    <s v="KARAN MEHTA"/>
    <s v="karan mehta"/>
    <n v="11"/>
    <s v="ORD"/>
    <s v="0692"/>
    <s v="Karan Mehta-East"/>
    <s v="0692"/>
    <s v="Simran"/>
    <s v="Simran"/>
    <m/>
  </r>
  <r>
    <s v="ORD0774"/>
    <x v="434"/>
    <s v="C006"/>
    <s v="Karan Mehta"/>
    <s v="P020"/>
    <x v="11"/>
    <x v="3"/>
    <s v="Kitchen"/>
    <x v="0"/>
    <s v="Tamil Nadu"/>
    <n v="5450.12"/>
    <n v="1880.72"/>
    <n v="4"/>
    <n v="0"/>
    <s v="Cash on Delivery"/>
    <x v="0"/>
    <s v="Karan Mehta"/>
    <x v="668"/>
    <n v="0.65492135952969832"/>
    <n v="2025"/>
    <s v="Jan"/>
    <s v="Q1"/>
    <s v="Low"/>
    <s v="Profit"/>
    <s v="No"/>
    <s v="KARAN MEHTA"/>
    <s v="karan mehta"/>
    <n v="11"/>
    <s v="ORD"/>
    <s v="0774"/>
    <s v="Karan Mehta-South"/>
    <s v="0774"/>
    <s v="Simran"/>
    <s v="Simran"/>
    <m/>
  </r>
  <r>
    <s v="ORD0411"/>
    <x v="214"/>
    <s v="C022"/>
    <s v="Ishita Bose"/>
    <s v="P001"/>
    <x v="12"/>
    <x v="0"/>
    <s v="Computers"/>
    <x v="2"/>
    <s v="Odisha"/>
    <n v="109497.93"/>
    <n v="99715.68"/>
    <n v="2"/>
    <n v="0.05"/>
    <s v="UPI"/>
    <x v="3"/>
    <s v="Ishita Bose"/>
    <x v="669"/>
    <n v="8.933730528056559E-2"/>
    <n v="2024"/>
    <s v="Sep"/>
    <s v="Q3"/>
    <s v="High"/>
    <s v="Profit"/>
    <s v="Yes"/>
    <s v="ISHITA BOSE"/>
    <s v="ishita bose"/>
    <n v="11"/>
    <s v="ORD"/>
    <s v="0411"/>
    <s v="Ishita Bose-East"/>
    <s v="0411"/>
    <s v="Rahul"/>
    <s v="Rahul"/>
    <m/>
  </r>
  <r>
    <s v="ORD0259"/>
    <x v="377"/>
    <s v="C022"/>
    <s v="Ishita Bose"/>
    <s v="P002"/>
    <x v="0"/>
    <x v="0"/>
    <s v="Phones"/>
    <x v="4"/>
    <s v="Madhya Pradesh"/>
    <n v="118078.44"/>
    <n v="66779.88"/>
    <n v="4"/>
    <n v="0"/>
    <s v="Credit Card"/>
    <x v="0"/>
    <s v="Ishita Bose"/>
    <x v="670"/>
    <n v="0.43444476400602849"/>
    <n v="2024"/>
    <s v="Jan"/>
    <s v="Q1"/>
    <s v="High"/>
    <s v="Profit"/>
    <s v="Yes"/>
    <s v="ISHITA BOSE"/>
    <s v="ishita bose"/>
    <n v="11"/>
    <s v="ORD"/>
    <s v="0259"/>
    <s v="Ishita Bose-Central"/>
    <s v="0259"/>
    <s v="Priya"/>
    <s v="Priya"/>
    <m/>
  </r>
  <r>
    <s v="ORD0711"/>
    <x v="435"/>
    <s v="C022"/>
    <s v="Ishita Bose"/>
    <s v="P003"/>
    <x v="1"/>
    <x v="0"/>
    <s v="Accessories"/>
    <x v="2"/>
    <s v="West Bengal"/>
    <n v="5486.81"/>
    <n v="1805.31"/>
    <n v="1"/>
    <n v="0.1"/>
    <s v="UPI"/>
    <x v="0"/>
    <s v="Ishita Bose"/>
    <x v="671"/>
    <n v="0.67097275101561749"/>
    <n v="2024"/>
    <s v="Dec"/>
    <s v="Q4"/>
    <s v="Low"/>
    <s v="Profit"/>
    <s v="No"/>
    <s v="ISHITA BOSE"/>
    <s v="ishita bose"/>
    <n v="11"/>
    <s v="ORD"/>
    <s v="0711"/>
    <s v="Ishita Bose-East"/>
    <s v="0711"/>
    <s v="Amit"/>
    <s v="Amit"/>
    <m/>
  </r>
  <r>
    <s v="ORD0035"/>
    <x v="70"/>
    <s v="C022"/>
    <s v="Ishita Bose"/>
    <s v="P004"/>
    <x v="13"/>
    <x v="0"/>
    <s v="Wearables"/>
    <x v="3"/>
    <s v="Punjab"/>
    <n v="7169.87"/>
    <n v="3233.83"/>
    <n v="1"/>
    <n v="0.05"/>
    <s v="Debit Card"/>
    <x v="4"/>
    <s v="Ishita Bose"/>
    <x v="672"/>
    <n v="0.5489695071179812"/>
    <n v="2024"/>
    <s v="Sep"/>
    <s v="Q3"/>
    <s v="Low"/>
    <s v="Profit"/>
    <s v="No"/>
    <s v="ISHITA BOSE"/>
    <s v="ishita bose"/>
    <n v="11"/>
    <s v="ORD"/>
    <s v="0035"/>
    <s v="Ishita Bose-North"/>
    <s v="0035"/>
    <s v="Neha"/>
    <s v="Neha"/>
    <m/>
  </r>
  <r>
    <s v="ORD0092"/>
    <x v="278"/>
    <s v="C022"/>
    <s v="Ishita Bose"/>
    <s v="P004"/>
    <x v="13"/>
    <x v="0"/>
    <s v="Wearables"/>
    <x v="4"/>
    <s v="Chhattisgarh"/>
    <n v="15693.85"/>
    <n v="8840.9699999999993"/>
    <n v="3"/>
    <n v="0.15"/>
    <s v="Cash on Delivery"/>
    <x v="0"/>
    <s v="Ishita Bose"/>
    <x v="673"/>
    <n v="0.43666022040480829"/>
    <n v="2024"/>
    <s v="Jun"/>
    <s v="Q2"/>
    <s v="Low"/>
    <s v="Profit"/>
    <s v="No"/>
    <s v="ISHITA BOSE"/>
    <s v="ishita bose"/>
    <n v="11"/>
    <s v="ORD"/>
    <s v="0092"/>
    <s v="Ishita Bose-Central"/>
    <s v="0092"/>
    <s v="Neha"/>
    <s v="Neha"/>
    <m/>
  </r>
  <r>
    <s v="ORD0645"/>
    <x v="436"/>
    <s v="C022"/>
    <s v="Ishita Bose"/>
    <s v="P005"/>
    <x v="14"/>
    <x v="0"/>
    <s v="Computers"/>
    <x v="1"/>
    <s v="Gujarat"/>
    <n v="37131.620000000003"/>
    <n v="23471.91"/>
    <n v="3"/>
    <n v="0.05"/>
    <s v="Credit Card"/>
    <x v="1"/>
    <s v="Ishita Bose"/>
    <x v="674"/>
    <n v="0.36787271872328764"/>
    <n v="2025"/>
    <s v="Jun"/>
    <s v="Q2"/>
    <s v="Medium"/>
    <s v="Profit"/>
    <s v="No"/>
    <s v="ISHITA BOSE"/>
    <s v="ishita bose"/>
    <n v="11"/>
    <s v="ORD"/>
    <s v="0645"/>
    <s v="Ishita Bose-West"/>
    <s v="0645"/>
    <s v="Simran"/>
    <s v="Simran"/>
    <m/>
  </r>
  <r>
    <s v="ORD0999"/>
    <x v="183"/>
    <s v="C022"/>
    <s v="Ishita Bose"/>
    <s v="P005"/>
    <x v="14"/>
    <x v="0"/>
    <s v="Computers"/>
    <x v="1"/>
    <s v="Rajasthan"/>
    <n v="52554.61"/>
    <n v="29378.84"/>
    <n v="4"/>
    <n v="0.05"/>
    <s v="Cash on Delivery"/>
    <x v="0"/>
    <s v="Ishita Bose"/>
    <x v="675"/>
    <n v="0.44098453018679046"/>
    <n v="2025"/>
    <s v="Oct"/>
    <s v="Q4"/>
    <s v="High"/>
    <s v="Profit"/>
    <s v="Yes"/>
    <s v="ISHITA BOSE"/>
    <s v="ishita bose"/>
    <n v="11"/>
    <s v="ORD"/>
    <s v="0999"/>
    <s v="Ishita Bose-West"/>
    <s v="0999"/>
    <s v="Simran"/>
    <s v="Simran"/>
    <m/>
  </r>
  <r>
    <s v="ORD0030"/>
    <x v="192"/>
    <s v="C022"/>
    <s v="Ishita Bose"/>
    <s v="P008"/>
    <x v="4"/>
    <x v="1"/>
    <s v="Storage"/>
    <x v="1"/>
    <s v="Maharashtra"/>
    <n v="31047"/>
    <n v="18984.849999999999"/>
    <n v="5"/>
    <n v="0.2"/>
    <s v="UPI"/>
    <x v="3"/>
    <s v="Ishita Bose"/>
    <x v="676"/>
    <n v="0.38851257770477021"/>
    <n v="2024"/>
    <s v="May"/>
    <s v="Q2"/>
    <s v="Medium"/>
    <s v="Profit"/>
    <s v="No"/>
    <s v="ISHITA BOSE"/>
    <s v="ishita bose"/>
    <n v="11"/>
    <s v="ORD"/>
    <s v="0030"/>
    <s v="Ishita Bose-West"/>
    <s v="0030"/>
    <s v="Anjali"/>
    <s v="Anjali"/>
    <m/>
  </r>
  <r>
    <s v="ORD0040"/>
    <x v="141"/>
    <s v="C022"/>
    <s v="Ishita Bose"/>
    <s v="P008"/>
    <x v="4"/>
    <x v="1"/>
    <s v="Storage"/>
    <x v="2"/>
    <s v="Odisha"/>
    <n v="23869.07"/>
    <n v="12672.27"/>
    <n v="3"/>
    <n v="0.15"/>
    <s v="Cash on Delivery"/>
    <x v="0"/>
    <s v="Ishita Bose"/>
    <x v="677"/>
    <n v="0.46909242798315975"/>
    <n v="2024"/>
    <s v="Apr"/>
    <s v="Q2"/>
    <s v="Medium"/>
    <s v="Profit"/>
    <s v="No"/>
    <s v="ISHITA BOSE"/>
    <s v="ishita bose"/>
    <n v="11"/>
    <s v="ORD"/>
    <s v="0040"/>
    <s v="Ishita Bose-East"/>
    <s v="0040"/>
    <s v="Anjali"/>
    <s v="Anjali"/>
    <m/>
  </r>
  <r>
    <s v="ORD0237"/>
    <x v="66"/>
    <s v="C022"/>
    <s v="Ishita Bose"/>
    <s v="P010"/>
    <x v="6"/>
    <x v="1"/>
    <s v="Bedroom"/>
    <x v="2"/>
    <s v="Bihar"/>
    <n v="76812.44"/>
    <n v="68464.2"/>
    <n v="4"/>
    <n v="0.05"/>
    <s v="Cash on Delivery"/>
    <x v="0"/>
    <s v="Ishita Bose"/>
    <x v="678"/>
    <n v="0.10868343721407632"/>
    <n v="2024"/>
    <s v="Jan"/>
    <s v="Q1"/>
    <s v="High"/>
    <s v="Profit"/>
    <s v="Yes"/>
    <s v="ISHITA BOSE"/>
    <s v="ishita bose"/>
    <n v="11"/>
    <s v="ORD"/>
    <s v="0237"/>
    <s v="Ishita Bose-East"/>
    <s v="0237"/>
    <s v="Sneha"/>
    <s v="Sneha"/>
    <m/>
  </r>
  <r>
    <s v="ORD0296"/>
    <x v="437"/>
    <s v="C022"/>
    <s v="Ishita Bose"/>
    <s v="P010"/>
    <x v="6"/>
    <x v="1"/>
    <s v="Bedroom"/>
    <x v="2"/>
    <s v="West Bengal"/>
    <n v="24459.87"/>
    <n v="18619.599999999999"/>
    <n v="1"/>
    <n v="0.05"/>
    <s v="Debit Card"/>
    <x v="0"/>
    <s v="Ishita Bose"/>
    <x v="679"/>
    <n v="0.23876946197996968"/>
    <n v="2025"/>
    <s v="Aug"/>
    <s v="Q3"/>
    <s v="Medium"/>
    <s v="Profit"/>
    <s v="No"/>
    <s v="ISHITA BOSE"/>
    <s v="ishita bose"/>
    <n v="11"/>
    <s v="ORD"/>
    <s v="0296"/>
    <s v="Ishita Bose-East"/>
    <s v="0296"/>
    <s v="Sneha"/>
    <s v="Sneha"/>
    <m/>
  </r>
  <r>
    <s v="ORD0322"/>
    <x v="389"/>
    <s v="C022"/>
    <s v="Ishita Bose"/>
    <s v="P010"/>
    <x v="6"/>
    <x v="1"/>
    <s v="Bedroom"/>
    <x v="0"/>
    <s v="Karnataka"/>
    <n v="150756.89000000001"/>
    <n v="90171.4"/>
    <n v="5"/>
    <n v="0.1"/>
    <s v="UPI"/>
    <x v="0"/>
    <s v="Ishita Bose"/>
    <x v="680"/>
    <n v="0.40187543003838838"/>
    <n v="2025"/>
    <s v="Jun"/>
    <s v="Q2"/>
    <s v="High"/>
    <s v="Profit"/>
    <s v="Yes"/>
    <s v="ISHITA BOSE"/>
    <s v="ishita bose"/>
    <n v="11"/>
    <s v="ORD"/>
    <s v="0322"/>
    <s v="Ishita Bose-South"/>
    <s v="0322"/>
    <s v="Sneha"/>
    <s v="Sneha"/>
    <m/>
  </r>
  <r>
    <s v="ORD0346"/>
    <x v="438"/>
    <s v="C022"/>
    <s v="Ishita Bose"/>
    <s v="P010"/>
    <x v="6"/>
    <x v="1"/>
    <s v="Bedroom"/>
    <x v="4"/>
    <s v="Chhattisgarh"/>
    <n v="157828.04999999999"/>
    <n v="81725.95"/>
    <n v="5"/>
    <n v="0.1"/>
    <s v="Credit Card"/>
    <x v="0"/>
    <s v="Ishita Bose"/>
    <x v="681"/>
    <n v="0.48218361691727163"/>
    <n v="2025"/>
    <s v="Dec"/>
    <s v="Q4"/>
    <s v="High"/>
    <s v="Profit"/>
    <s v="Yes"/>
    <s v="ISHITA BOSE"/>
    <s v="ishita bose"/>
    <n v="11"/>
    <s v="ORD"/>
    <s v="0346"/>
    <s v="Ishita Bose-Central"/>
    <s v="0346"/>
    <s v="Sneha"/>
    <s v="Sneha"/>
    <m/>
  </r>
  <r>
    <s v="ORD0659"/>
    <x v="439"/>
    <s v="C022"/>
    <s v="Ishita Bose"/>
    <s v="P010"/>
    <x v="6"/>
    <x v="1"/>
    <s v="Bedroom"/>
    <x v="4"/>
    <s v="Madhya Pradesh"/>
    <n v="17305.580000000002"/>
    <n v="17232.54"/>
    <n v="1"/>
    <n v="0.2"/>
    <s v="UPI"/>
    <x v="4"/>
    <s v="Ishita Bose"/>
    <x v="682"/>
    <n v="4.2206039901581376E-3"/>
    <n v="2025"/>
    <s v="Oct"/>
    <s v="Q4"/>
    <s v="Low"/>
    <s v="Profit"/>
    <s v="No"/>
    <s v="ISHITA BOSE"/>
    <s v="ishita bose"/>
    <n v="11"/>
    <s v="ORD"/>
    <s v="0659"/>
    <s v="Ishita Bose-Central"/>
    <s v="0659"/>
    <s v="Sneha"/>
    <s v="Sneha"/>
    <m/>
  </r>
  <r>
    <s v="ORD0400"/>
    <x v="159"/>
    <s v="C022"/>
    <s v="Ishita Bose"/>
    <s v="P011"/>
    <x v="15"/>
    <x v="2"/>
    <s v="Footwear"/>
    <x v="2"/>
    <s v="Odisha"/>
    <n v="4491.68"/>
    <n v="1237.3"/>
    <n v="1"/>
    <n v="0.1"/>
    <s v="Net Banking"/>
    <x v="3"/>
    <s v="Ishita Bose"/>
    <x v="683"/>
    <n v="0.72453514052648449"/>
    <n v="2024"/>
    <s v="May"/>
    <s v="Q2"/>
    <s v="Low"/>
    <s v="Profit"/>
    <s v="No"/>
    <s v="ISHITA BOSE"/>
    <s v="ishita bose"/>
    <n v="11"/>
    <s v="ORD"/>
    <s v="0400"/>
    <s v="Ishita Bose-East"/>
    <s v="0400"/>
    <s v="Vikas"/>
    <s v="Vikas"/>
    <m/>
  </r>
  <r>
    <s v="ORD0428"/>
    <x v="440"/>
    <s v="C022"/>
    <s v="Ishita Bose"/>
    <s v="P011"/>
    <x v="15"/>
    <x v="2"/>
    <s v="Footwear"/>
    <x v="1"/>
    <s v="Rajasthan"/>
    <n v="17875.29"/>
    <n v="5514.3"/>
    <n v="5"/>
    <n v="0.05"/>
    <s v="Net Banking"/>
    <x v="1"/>
    <s v="Ishita Bose"/>
    <x v="684"/>
    <n v="0.69151269713666186"/>
    <n v="2025"/>
    <s v="Jun"/>
    <s v="Q2"/>
    <s v="Low"/>
    <s v="Profit"/>
    <s v="No"/>
    <s v="ISHITA BOSE"/>
    <s v="ishita bose"/>
    <n v="11"/>
    <s v="ORD"/>
    <s v="0428"/>
    <s v="Ishita Bose-West"/>
    <s v="0428"/>
    <s v="Vikas"/>
    <s v="Vikas"/>
    <m/>
  </r>
  <r>
    <s v="ORD0666"/>
    <x v="441"/>
    <s v="C022"/>
    <s v="Ishita Bose"/>
    <s v="P011"/>
    <x v="15"/>
    <x v="2"/>
    <s v="Footwear"/>
    <x v="1"/>
    <s v="Rajasthan"/>
    <n v="2957.77"/>
    <n v="1103.3699999999999"/>
    <n v="1"/>
    <n v="0.1"/>
    <s v="Net Banking"/>
    <x v="4"/>
    <s v="Ishita Bose"/>
    <x v="685"/>
    <n v="0.62695882370840195"/>
    <n v="2025"/>
    <s v="Nov"/>
    <s v="Q4"/>
    <s v="Low"/>
    <s v="Profit"/>
    <s v="No"/>
    <s v="ISHITA BOSE"/>
    <s v="ishita bose"/>
    <n v="11"/>
    <s v="ORD"/>
    <s v="0666"/>
    <s v="Ishita Bose-West"/>
    <s v="0666"/>
    <s v="Vikas"/>
    <s v="Vikas"/>
    <m/>
  </r>
  <r>
    <s v="ORD0724"/>
    <x v="189"/>
    <s v="C022"/>
    <s v="Ishita Bose"/>
    <s v="P011"/>
    <x v="15"/>
    <x v="2"/>
    <s v="Footwear"/>
    <x v="0"/>
    <s v="Telangana"/>
    <n v="11784.72"/>
    <n v="3562.86"/>
    <n v="3"/>
    <n v="0.2"/>
    <s v="Debit Card"/>
    <x v="0"/>
    <s v="Ishita Bose"/>
    <x v="686"/>
    <n v="0.69767122171761398"/>
    <n v="2024"/>
    <s v="May"/>
    <s v="Q2"/>
    <s v="Low"/>
    <s v="Profit"/>
    <s v="No"/>
    <s v="ISHITA BOSE"/>
    <s v="ishita bose"/>
    <n v="11"/>
    <s v="ORD"/>
    <s v="0724"/>
    <s v="Ishita Bose-South"/>
    <s v="0724"/>
    <s v="Vikas"/>
    <s v="Vikas"/>
    <m/>
  </r>
  <r>
    <s v="ORD0402"/>
    <x v="216"/>
    <s v="C022"/>
    <s v="Ishita Bose"/>
    <s v="P012"/>
    <x v="7"/>
    <x v="2"/>
    <s v="Clothing"/>
    <x v="1"/>
    <s v="Rajasthan"/>
    <n v="6897.89"/>
    <n v="1922.62"/>
    <n v="2"/>
    <n v="0.05"/>
    <s v="Debit Card"/>
    <x v="0"/>
    <s v="Ishita Bose"/>
    <x v="687"/>
    <n v="0.7212741867440623"/>
    <n v="2024"/>
    <s v="Nov"/>
    <s v="Q4"/>
    <s v="Low"/>
    <s v="Profit"/>
    <s v="No"/>
    <s v="ISHITA BOSE"/>
    <s v="ishita bose"/>
    <n v="11"/>
    <s v="ORD"/>
    <s v="0402"/>
    <s v="Ishita Bose-West"/>
    <s v="0402"/>
    <s v="Pooja"/>
    <s v="Pooja"/>
    <m/>
  </r>
  <r>
    <s v="ORD0730"/>
    <x v="189"/>
    <s v="C022"/>
    <s v="Ishita Bose"/>
    <s v="P012"/>
    <x v="7"/>
    <x v="2"/>
    <s v="Clothing"/>
    <x v="1"/>
    <s v="Maharashtra"/>
    <n v="7644.64"/>
    <n v="3506.12"/>
    <n v="4"/>
    <n v="0.1"/>
    <s v="Debit Card"/>
    <x v="1"/>
    <s v="Ishita Bose"/>
    <x v="688"/>
    <n v="0.5413623139873166"/>
    <n v="2024"/>
    <s v="May"/>
    <s v="Q2"/>
    <s v="Low"/>
    <s v="Profit"/>
    <s v="No"/>
    <s v="ISHITA BOSE"/>
    <s v="ishita bose"/>
    <n v="11"/>
    <s v="ORD"/>
    <s v="0730"/>
    <s v="Ishita Bose-West"/>
    <s v="0730"/>
    <s v="Pooja"/>
    <s v="Pooja"/>
    <m/>
  </r>
  <r>
    <s v="ORD0742"/>
    <x v="442"/>
    <s v="C022"/>
    <s v="Ishita Bose"/>
    <s v="P012"/>
    <x v="7"/>
    <x v="2"/>
    <s v="Clothing"/>
    <x v="3"/>
    <s v="Uttar Pradesh"/>
    <n v="6830.5"/>
    <n v="4366.45"/>
    <n v="5"/>
    <n v="0.05"/>
    <s v="Cash on Delivery"/>
    <x v="4"/>
    <s v="Ishita Bose"/>
    <x v="689"/>
    <n v="0.360742258985433"/>
    <n v="2025"/>
    <s v="Jul"/>
    <s v="Q3"/>
    <s v="Low"/>
    <s v="Profit"/>
    <s v="No"/>
    <s v="ISHITA BOSE"/>
    <s v="ishita bose"/>
    <n v="11"/>
    <s v="ORD"/>
    <s v="0742"/>
    <s v="Ishita Bose-North"/>
    <s v="0742"/>
    <s v="Pooja"/>
    <s v="Pooja"/>
    <m/>
  </r>
  <r>
    <s v="ORD0277"/>
    <x v="52"/>
    <s v="C022"/>
    <s v="Ishita Bose"/>
    <s v="P013"/>
    <x v="16"/>
    <x v="2"/>
    <s v="Bags"/>
    <x v="3"/>
    <s v="Punjab"/>
    <n v="5654.61"/>
    <n v="2016.48"/>
    <n v="3"/>
    <n v="0"/>
    <s v="Credit Card"/>
    <x v="3"/>
    <s v="Ishita Bose"/>
    <x v="690"/>
    <n v="0.64339185195795989"/>
    <n v="2024"/>
    <s v="May"/>
    <s v="Q2"/>
    <s v="Low"/>
    <s v="Profit"/>
    <s v="No"/>
    <s v="ISHITA BOSE"/>
    <s v="ishita bose"/>
    <n v="11"/>
    <s v="ORD"/>
    <s v="0277"/>
    <s v="Ishita Bose-North"/>
    <s v="0277"/>
    <s v="Aditya"/>
    <s v="Aditya"/>
    <m/>
  </r>
  <r>
    <s v="ORD0406"/>
    <x v="178"/>
    <s v="C022"/>
    <s v="Ishita Bose"/>
    <s v="P013"/>
    <x v="16"/>
    <x v="2"/>
    <s v="Bags"/>
    <x v="1"/>
    <s v="Rajasthan"/>
    <n v="10181.450000000001"/>
    <n v="2550.2800000000002"/>
    <n v="4"/>
    <n v="0.05"/>
    <s v="Credit Card"/>
    <x v="1"/>
    <s v="Ishita Bose"/>
    <x v="691"/>
    <n v="0.74951701378487345"/>
    <n v="2024"/>
    <s v="Nov"/>
    <s v="Q4"/>
    <s v="Low"/>
    <s v="Profit"/>
    <s v="No"/>
    <s v="ISHITA BOSE"/>
    <s v="ishita bose"/>
    <n v="11"/>
    <s v="ORD"/>
    <s v="0406"/>
    <s v="Ishita Bose-West"/>
    <s v="0406"/>
    <s v="Aditya"/>
    <s v="Aditya"/>
    <m/>
  </r>
  <r>
    <s v="ORD0429"/>
    <x v="443"/>
    <s v="C022"/>
    <s v="Ishita Bose"/>
    <s v="P013"/>
    <x v="16"/>
    <x v="2"/>
    <s v="Bags"/>
    <x v="3"/>
    <s v="Punjab"/>
    <n v="10523.53"/>
    <n v="3188.2"/>
    <n v="5"/>
    <n v="0.05"/>
    <s v="Cash on Delivery"/>
    <x v="2"/>
    <s v="Ishita Bose"/>
    <x v="692"/>
    <n v="0.69704082185350358"/>
    <n v="2025"/>
    <s v="Jul"/>
    <s v="Q3"/>
    <s v="Low"/>
    <s v="Profit"/>
    <s v="No"/>
    <s v="ISHITA BOSE"/>
    <s v="ishita bose"/>
    <n v="11"/>
    <s v="ORD"/>
    <s v="0429"/>
    <s v="Ishita Bose-North"/>
    <s v="0429"/>
    <s v="Aditya"/>
    <s v="Aditya"/>
    <m/>
  </r>
  <r>
    <s v="ORD0665"/>
    <x v="63"/>
    <s v="C022"/>
    <s v="Ishita Bose"/>
    <s v="P013"/>
    <x v="16"/>
    <x v="2"/>
    <s v="Bags"/>
    <x v="1"/>
    <s v="Gujarat"/>
    <n v="3161.56"/>
    <n v="1408.52"/>
    <n v="2"/>
    <n v="0.1"/>
    <s v="Net Banking"/>
    <x v="3"/>
    <s v="Ishita Bose"/>
    <x v="693"/>
    <n v="0.55448576019433449"/>
    <n v="2024"/>
    <s v="Sep"/>
    <s v="Q3"/>
    <s v="Low"/>
    <s v="Profit"/>
    <s v="No"/>
    <s v="ISHITA BOSE"/>
    <s v="ishita bose"/>
    <n v="11"/>
    <s v="ORD"/>
    <s v="0665"/>
    <s v="Ishita Bose-West"/>
    <s v="0665"/>
    <s v="Aditya"/>
    <s v="Aditya"/>
    <m/>
  </r>
  <r>
    <s v="ORD0991"/>
    <x v="147"/>
    <s v="C022"/>
    <s v="Ishita Bose"/>
    <s v="P013"/>
    <x v="16"/>
    <x v="2"/>
    <s v="Bags"/>
    <x v="1"/>
    <s v="Maharashtra"/>
    <n v="2720.77"/>
    <n v="766.54"/>
    <n v="1"/>
    <n v="0"/>
    <s v="UPI"/>
    <x v="2"/>
    <s v="Ishita Bose"/>
    <x v="694"/>
    <n v="0.71826357979542554"/>
    <n v="2025"/>
    <s v="Sep"/>
    <s v="Q3"/>
    <s v="Low"/>
    <s v="Profit"/>
    <s v="No"/>
    <s v="ISHITA BOSE"/>
    <s v="ishita bose"/>
    <n v="11"/>
    <s v="ORD"/>
    <s v="0991"/>
    <s v="Ishita Bose-West"/>
    <s v="0991"/>
    <s v="Aditya"/>
    <s v="Aditya"/>
    <m/>
  </r>
  <r>
    <s v="ORD0023"/>
    <x v="50"/>
    <s v="C022"/>
    <s v="Ishita Bose"/>
    <s v="P014"/>
    <x v="19"/>
    <x v="2"/>
    <s v="Clothing"/>
    <x v="0"/>
    <s v="Telangana"/>
    <n v="3878.84"/>
    <n v="993.4"/>
    <n v="4"/>
    <n v="0"/>
    <s v="UPI"/>
    <x v="3"/>
    <s v="Ishita Bose"/>
    <x v="695"/>
    <n v="0.74389250394447826"/>
    <n v="2025"/>
    <s v="Mar"/>
    <s v="Q1"/>
    <s v="Low"/>
    <s v="Profit"/>
    <s v="No"/>
    <s v="ISHITA BOSE"/>
    <s v="ishita bose"/>
    <n v="11"/>
    <s v="ORD"/>
    <s v="0023"/>
    <s v="Ishita Bose-South"/>
    <s v="0023"/>
    <s v="Kavya"/>
    <s v="Kavya"/>
    <m/>
  </r>
  <r>
    <s v="ORD0048"/>
    <x v="444"/>
    <s v="C022"/>
    <s v="Ishita Bose"/>
    <s v="P014"/>
    <x v="19"/>
    <x v="2"/>
    <s v="Clothing"/>
    <x v="0"/>
    <s v="Telangana"/>
    <n v="1308.3"/>
    <n v="758.16"/>
    <n v="3"/>
    <n v="0.15"/>
    <s v="Credit Card"/>
    <x v="4"/>
    <s v="Ishita Bose"/>
    <x v="696"/>
    <n v="0.42049988534739741"/>
    <n v="2025"/>
    <s v="Feb"/>
    <s v="Q1"/>
    <s v="Low"/>
    <s v="Profit"/>
    <s v="No"/>
    <s v="ISHITA BOSE"/>
    <s v="ishita bose"/>
    <n v="11"/>
    <s v="ORD"/>
    <s v="0048"/>
    <s v="Ishita Bose-South"/>
    <s v="0048"/>
    <s v="Kavya"/>
    <s v="Kavya"/>
    <m/>
  </r>
  <r>
    <s v="ORD0651"/>
    <x v="80"/>
    <s v="C022"/>
    <s v="Ishita Bose"/>
    <s v="P014"/>
    <x v="19"/>
    <x v="2"/>
    <s v="Clothing"/>
    <x v="3"/>
    <s v="Punjab"/>
    <n v="1195.92"/>
    <n v="514.22"/>
    <n v="2"/>
    <n v="0.15"/>
    <s v="Cash on Delivery"/>
    <x v="3"/>
    <s v="Ishita Bose"/>
    <x v="697"/>
    <n v="0.57002140611412133"/>
    <n v="2024"/>
    <s v="Mar"/>
    <s v="Q1"/>
    <s v="Low"/>
    <s v="Profit"/>
    <s v="No"/>
    <s v="ISHITA BOSE"/>
    <s v="ishita bose"/>
    <n v="11"/>
    <s v="ORD"/>
    <s v="0651"/>
    <s v="Ishita Bose-North"/>
    <s v="0651"/>
    <s v="Kavya"/>
    <s v="Kavya"/>
    <m/>
  </r>
  <r>
    <s v="ORD0557"/>
    <x v="445"/>
    <s v="C022"/>
    <s v="Ishita Bose"/>
    <s v="P016"/>
    <x v="8"/>
    <x v="3"/>
    <s v="Kitchen"/>
    <x v="1"/>
    <s v="Rajasthan"/>
    <n v="13169.52"/>
    <n v="8560.7000000000007"/>
    <n v="5"/>
    <n v="0.2"/>
    <s v="UPI"/>
    <x v="0"/>
    <s v="Ishita Bose"/>
    <x v="698"/>
    <n v="0.34996112234918203"/>
    <n v="2025"/>
    <s v="Sep"/>
    <s v="Q3"/>
    <s v="Low"/>
    <s v="Profit"/>
    <s v="No"/>
    <s v="ISHITA BOSE"/>
    <s v="ishita bose"/>
    <n v="11"/>
    <s v="ORD"/>
    <s v="0557"/>
    <s v="Ishita Bose-West"/>
    <s v="0557"/>
    <s v="Rahul"/>
    <s v="Rahul"/>
    <m/>
  </r>
  <r>
    <s v="ORD0055"/>
    <x v="161"/>
    <s v="C022"/>
    <s v="Ishita Bose"/>
    <s v="P017"/>
    <x v="9"/>
    <x v="3"/>
    <s v="Kitchen"/>
    <x v="1"/>
    <s v="Rajasthan"/>
    <n v="31702.99"/>
    <n v="19620.150000000001"/>
    <n v="3"/>
    <n v="0.2"/>
    <s v="Cash on Delivery"/>
    <x v="3"/>
    <s v="Ishita Bose"/>
    <x v="699"/>
    <n v="0.38112619661426256"/>
    <n v="2025"/>
    <s v="Sep"/>
    <s v="Q3"/>
    <s v="Medium"/>
    <s v="Profit"/>
    <s v="No"/>
    <s v="ISHITA BOSE"/>
    <s v="ishita bose"/>
    <n v="11"/>
    <s v="ORD"/>
    <s v="0055"/>
    <s v="Ishita Bose-West"/>
    <s v="0055"/>
    <s v="Priya"/>
    <s v="Priya"/>
    <m/>
  </r>
  <r>
    <s v="ORD0194"/>
    <x v="55"/>
    <s v="C022"/>
    <s v="Ishita Bose"/>
    <s v="P017"/>
    <x v="9"/>
    <x v="3"/>
    <s v="Kitchen"/>
    <x v="0"/>
    <s v="Telangana"/>
    <n v="38212.28"/>
    <n v="30838.75"/>
    <n v="5"/>
    <n v="0.05"/>
    <s v="Net Banking"/>
    <x v="0"/>
    <s v="Ishita Bose"/>
    <x v="700"/>
    <n v="0.19296231473233211"/>
    <n v="2024"/>
    <s v="May"/>
    <s v="Q2"/>
    <s v="Medium"/>
    <s v="Profit"/>
    <s v="No"/>
    <s v="ISHITA BOSE"/>
    <s v="ishita bose"/>
    <n v="11"/>
    <s v="ORD"/>
    <s v="0194"/>
    <s v="Ishita Bose-South"/>
    <s v="0194"/>
    <s v="Priya"/>
    <s v="Priya"/>
    <m/>
  </r>
  <r>
    <s v="ORD0246"/>
    <x v="29"/>
    <s v="C022"/>
    <s v="Ishita Bose"/>
    <s v="P017"/>
    <x v="9"/>
    <x v="3"/>
    <s v="Kitchen"/>
    <x v="0"/>
    <s v="Karnataka"/>
    <n v="25854.98"/>
    <n v="17190.54"/>
    <n v="3"/>
    <n v="0.2"/>
    <s v="Credit Card"/>
    <x v="3"/>
    <s v="Ishita Bose"/>
    <x v="701"/>
    <n v="0.33511687110181476"/>
    <n v="2025"/>
    <s v="Feb"/>
    <s v="Q1"/>
    <s v="Medium"/>
    <s v="Profit"/>
    <s v="No"/>
    <s v="ISHITA BOSE"/>
    <s v="ishita bose"/>
    <n v="11"/>
    <s v="ORD"/>
    <s v="0246"/>
    <s v="Ishita Bose-South"/>
    <s v="0246"/>
    <s v="Priya"/>
    <s v="Priya"/>
    <m/>
  </r>
  <r>
    <s v="ORD0269"/>
    <x v="362"/>
    <s v="C022"/>
    <s v="Ishita Bose"/>
    <s v="P018"/>
    <x v="10"/>
    <x v="3"/>
    <s v="Cooling"/>
    <x v="0"/>
    <s v="Telangana"/>
    <n v="21749.759999999998"/>
    <n v="11639.1"/>
    <n v="2"/>
    <n v="0"/>
    <s v="Cash on Delivery"/>
    <x v="1"/>
    <s v="Ishita Bose"/>
    <x v="702"/>
    <n v="0.46486306055790955"/>
    <n v="2025"/>
    <s v="Jan"/>
    <s v="Q1"/>
    <s v="Medium"/>
    <s v="Profit"/>
    <s v="No"/>
    <s v="ISHITA BOSE"/>
    <s v="ishita bose"/>
    <n v="11"/>
    <s v="ORD"/>
    <s v="0269"/>
    <s v="Ishita Bose-South"/>
    <s v="0269"/>
    <s v="Amit"/>
    <s v="Amit"/>
    <m/>
  </r>
  <r>
    <s v="ORD0784"/>
    <x v="51"/>
    <s v="C022"/>
    <s v="Ishita Bose"/>
    <s v="P018"/>
    <x v="10"/>
    <x v="3"/>
    <s v="Cooling"/>
    <x v="3"/>
    <s v="Punjab"/>
    <n v="9483.16"/>
    <n v="6010.17"/>
    <n v="1"/>
    <n v="0"/>
    <s v="UPI"/>
    <x v="0"/>
    <s v="Ishita Bose"/>
    <x v="703"/>
    <n v="0.36622708042466856"/>
    <n v="2025"/>
    <s v="Oct"/>
    <s v="Q4"/>
    <s v="Low"/>
    <s v="Profit"/>
    <s v="No"/>
    <s v="ISHITA BOSE"/>
    <s v="ishita bose"/>
    <n v="11"/>
    <s v="ORD"/>
    <s v="0784"/>
    <s v="Ishita Bose-North"/>
    <s v="0784"/>
    <s v="Amit"/>
    <s v="Amit"/>
    <m/>
  </r>
  <r>
    <s v="ORD0874"/>
    <x v="360"/>
    <s v="C022"/>
    <s v="Ishita Bose"/>
    <s v="P018"/>
    <x v="10"/>
    <x v="3"/>
    <s v="Cooling"/>
    <x v="3"/>
    <s v="Punjab"/>
    <n v="18810.62"/>
    <n v="17446.29"/>
    <n v="3"/>
    <n v="0.2"/>
    <s v="Net Banking"/>
    <x v="0"/>
    <s v="Ishita Bose"/>
    <x v="704"/>
    <n v="7.2529773074996903E-2"/>
    <n v="2024"/>
    <s v="Jan"/>
    <s v="Q1"/>
    <s v="Low"/>
    <s v="Profit"/>
    <s v="No"/>
    <s v="ISHITA BOSE"/>
    <s v="ishita bose"/>
    <n v="11"/>
    <s v="ORD"/>
    <s v="0874"/>
    <s v="Ishita Bose-North"/>
    <s v="0874"/>
    <s v="Amit"/>
    <s v="Amit"/>
    <m/>
  </r>
  <r>
    <s v="ORD0031"/>
    <x v="440"/>
    <s v="C022"/>
    <s v="Ishita Bose"/>
    <s v="P019"/>
    <x v="18"/>
    <x v="3"/>
    <s v="Cleaning"/>
    <x v="2"/>
    <s v="West Bengal"/>
    <n v="13385.63"/>
    <n v="11412.87"/>
    <n v="3"/>
    <n v="0.1"/>
    <s v="Credit Card"/>
    <x v="4"/>
    <s v="Ishita Bose"/>
    <x v="705"/>
    <n v="0.14737894294104936"/>
    <n v="2025"/>
    <s v="Jun"/>
    <s v="Q2"/>
    <s v="Low"/>
    <s v="Profit"/>
    <s v="No"/>
    <s v="ISHITA BOSE"/>
    <s v="ishita bose"/>
    <n v="11"/>
    <s v="ORD"/>
    <s v="0031"/>
    <s v="Ishita Bose-East"/>
    <s v="0031"/>
    <s v="Neha"/>
    <s v="Neha"/>
    <m/>
  </r>
  <r>
    <s v="ORD0090"/>
    <x v="417"/>
    <s v="C022"/>
    <s v="Ishita Bose"/>
    <s v="P019"/>
    <x v="18"/>
    <x v="3"/>
    <s v="Cleaning"/>
    <x v="2"/>
    <s v="West Bengal"/>
    <n v="22220.28"/>
    <n v="10660.11"/>
    <n v="3"/>
    <n v="0.05"/>
    <s v="Net Banking"/>
    <x v="2"/>
    <s v="Ishita Bose"/>
    <x v="706"/>
    <n v="0.52025312012269864"/>
    <n v="2024"/>
    <s v="Jan"/>
    <s v="Q1"/>
    <s v="Medium"/>
    <s v="Profit"/>
    <s v="No"/>
    <s v="ISHITA BOSE"/>
    <s v="ishita bose"/>
    <n v="11"/>
    <s v="ORD"/>
    <s v="0090"/>
    <s v="Ishita Bose-East"/>
    <s v="0090"/>
    <s v="Neha"/>
    <s v="Neha"/>
    <m/>
  </r>
  <r>
    <s v="ORD0272"/>
    <x v="76"/>
    <s v="C022"/>
    <s v="Ishita Bose"/>
    <s v="P019"/>
    <x v="18"/>
    <x v="3"/>
    <s v="Cleaning"/>
    <x v="2"/>
    <s v="Odisha"/>
    <n v="5149.5"/>
    <n v="3690.52"/>
    <n v="1"/>
    <n v="0.05"/>
    <s v="UPI"/>
    <x v="0"/>
    <s v="Ishita Bose"/>
    <x v="707"/>
    <n v="0.28332459462083698"/>
    <n v="2025"/>
    <s v="Jan"/>
    <s v="Q1"/>
    <s v="Low"/>
    <s v="Profit"/>
    <s v="No"/>
    <s v="ISHITA BOSE"/>
    <s v="ishita bose"/>
    <n v="11"/>
    <s v="ORD"/>
    <s v="0272"/>
    <s v="Ishita Bose-East"/>
    <s v="0272"/>
    <s v="Neha"/>
    <s v="Neha"/>
    <m/>
  </r>
  <r>
    <s v="ORD0760"/>
    <x v="125"/>
    <s v="C022"/>
    <s v="Ishita Bose"/>
    <s v="P020"/>
    <x v="11"/>
    <x v="3"/>
    <s v="Kitchen"/>
    <x v="1"/>
    <s v="Maharashtra"/>
    <n v="7608"/>
    <n v="2389.4499999999998"/>
    <n v="5"/>
    <n v="0"/>
    <s v="UPI"/>
    <x v="4"/>
    <s v="Ishita Bose"/>
    <x v="708"/>
    <n v="0.68592928496319661"/>
    <n v="2025"/>
    <s v="May"/>
    <s v="Q2"/>
    <s v="Low"/>
    <s v="Profit"/>
    <s v="No"/>
    <s v="ISHITA BOSE"/>
    <s v="ishita bose"/>
    <n v="11"/>
    <s v="ORD"/>
    <s v="0760"/>
    <s v="Ishita Bose-West"/>
    <s v="0760"/>
    <s v="Simran"/>
    <s v="Simran"/>
    <m/>
  </r>
  <r>
    <s v="ORD0922"/>
    <x v="328"/>
    <s v="C022"/>
    <s v="Ishita Bose"/>
    <s v="P020"/>
    <x v="11"/>
    <x v="3"/>
    <s v="Kitchen"/>
    <x v="3"/>
    <s v="Uttar Pradesh"/>
    <n v="6635.64"/>
    <n v="2444.0500000000002"/>
    <n v="5"/>
    <n v="0.2"/>
    <s v="Debit Card"/>
    <x v="2"/>
    <s v="Ishita Bose"/>
    <x v="709"/>
    <n v="0.63167833095225179"/>
    <n v="2024"/>
    <s v="Jun"/>
    <s v="Q2"/>
    <s v="Low"/>
    <s v="Profit"/>
    <s v="No"/>
    <s v="ISHITA BOSE"/>
    <s v="ishita bose"/>
    <n v="11"/>
    <s v="ORD"/>
    <s v="0922"/>
    <s v="Ishita Bose-North"/>
    <s v="0922"/>
    <s v="Simran"/>
    <s v="Simran"/>
    <m/>
  </r>
  <r>
    <s v="ORD0934"/>
    <x v="52"/>
    <s v="C018"/>
    <s v="Divya Shah"/>
    <s v="P001"/>
    <x v="12"/>
    <x v="0"/>
    <s v="Computers"/>
    <x v="0"/>
    <s v="Telangana"/>
    <n v="285973.15000000002"/>
    <n v="257940"/>
    <n v="5"/>
    <n v="0"/>
    <s v="Net Banking"/>
    <x v="1"/>
    <s v="Divya Shah"/>
    <x v="710"/>
    <n v="9.8027209897153009E-2"/>
    <n v="2024"/>
    <s v="May"/>
    <s v="Q2"/>
    <s v="High"/>
    <s v="Profit"/>
    <s v="Yes"/>
    <s v="DIVYA SHAH"/>
    <s v="divya shah"/>
    <n v="10"/>
    <s v="ORD"/>
    <s v="0934"/>
    <s v="Divya Shah-South"/>
    <s v="0934"/>
    <s v="Rahul"/>
    <s v="Rahul"/>
    <m/>
  </r>
  <r>
    <s v="ORD0379"/>
    <x v="446"/>
    <s v="C018"/>
    <s v="Divya Shah"/>
    <s v="P002"/>
    <x v="0"/>
    <x v="0"/>
    <s v="Phones"/>
    <x v="4"/>
    <s v="Chhattisgarh"/>
    <n v="119454.88"/>
    <n v="88535.4"/>
    <n v="5"/>
    <n v="0.15"/>
    <s v="Cash on Delivery"/>
    <x v="0"/>
    <s v="Divya Shah"/>
    <x v="711"/>
    <n v="0.25883814876378436"/>
    <n v="2025"/>
    <s v="Jan"/>
    <s v="Q1"/>
    <s v="High"/>
    <s v="Profit"/>
    <s v="Yes"/>
    <s v="DIVYA SHAH"/>
    <s v="divya shah"/>
    <n v="10"/>
    <s v="ORD"/>
    <s v="0379"/>
    <s v="Divya Shah-Central"/>
    <s v="0379"/>
    <s v="Priya"/>
    <s v="Priya"/>
    <m/>
  </r>
  <r>
    <s v="ORD0529"/>
    <x v="281"/>
    <s v="C018"/>
    <s v="Divya Shah"/>
    <s v="P002"/>
    <x v="0"/>
    <x v="0"/>
    <s v="Phones"/>
    <x v="3"/>
    <s v="Delhi"/>
    <n v="96279.53"/>
    <n v="94769.95"/>
    <n v="5"/>
    <n v="0.1"/>
    <s v="Cash on Delivery"/>
    <x v="0"/>
    <s v="Divya Shah"/>
    <x v="712"/>
    <n v="1.5679137611078926E-2"/>
    <n v="2025"/>
    <s v="Feb"/>
    <s v="Q1"/>
    <s v="High"/>
    <s v="Profit"/>
    <s v="Yes"/>
    <s v="DIVYA SHAH"/>
    <s v="divya shah"/>
    <n v="10"/>
    <s v="ORD"/>
    <s v="0529"/>
    <s v="Divya Shah-North"/>
    <s v="0529"/>
    <s v="Priya"/>
    <s v="Priya"/>
    <m/>
  </r>
  <r>
    <s v="ORD0613"/>
    <x v="447"/>
    <s v="C018"/>
    <s v="Divya Shah"/>
    <s v="P003"/>
    <x v="1"/>
    <x v="0"/>
    <s v="Accessories"/>
    <x v="0"/>
    <s v="Tamil Nadu"/>
    <n v="10565.26"/>
    <n v="3327.86"/>
    <n v="2"/>
    <n v="0.1"/>
    <s v="Cash on Delivery"/>
    <x v="3"/>
    <s v="Divya Shah"/>
    <x v="713"/>
    <n v="0.68501863655035455"/>
    <n v="2025"/>
    <s v="Apr"/>
    <s v="Q2"/>
    <s v="Low"/>
    <s v="Profit"/>
    <s v="No"/>
    <s v="DIVYA SHAH"/>
    <s v="divya shah"/>
    <n v="10"/>
    <s v="ORD"/>
    <s v="0613"/>
    <s v="Divya Shah-South"/>
    <s v="0613"/>
    <s v="Amit"/>
    <s v="Amit"/>
    <m/>
  </r>
  <r>
    <s v="ORD0188"/>
    <x v="62"/>
    <s v="C018"/>
    <s v="Divya Shah"/>
    <s v="P004"/>
    <x v="13"/>
    <x v="0"/>
    <s v="Wearables"/>
    <x v="0"/>
    <s v="Tamil Nadu"/>
    <n v="23157.37"/>
    <n v="11314.96"/>
    <n v="4"/>
    <n v="0.15"/>
    <s v="Credit Card"/>
    <x v="0"/>
    <s v="Divya Shah"/>
    <x v="714"/>
    <n v="0.5113883830504069"/>
    <n v="2024"/>
    <s v="Sep"/>
    <s v="Q3"/>
    <s v="Medium"/>
    <s v="Profit"/>
    <s v="No"/>
    <s v="DIVYA SHAH"/>
    <s v="divya shah"/>
    <n v="10"/>
    <s v="ORD"/>
    <s v="0188"/>
    <s v="Divya Shah-South"/>
    <s v="0188"/>
    <s v="Neha"/>
    <s v="Neha"/>
    <m/>
  </r>
  <r>
    <s v="ORD0643"/>
    <x v="104"/>
    <s v="C018"/>
    <s v="Divya Shah"/>
    <s v="P004"/>
    <x v="13"/>
    <x v="0"/>
    <s v="Wearables"/>
    <x v="4"/>
    <s v="Chhattisgarh"/>
    <n v="9037.89"/>
    <n v="5769.64"/>
    <n v="2"/>
    <n v="0.2"/>
    <s v="UPI"/>
    <x v="3"/>
    <s v="Divya Shah"/>
    <x v="715"/>
    <n v="0.36161648349338166"/>
    <n v="2025"/>
    <s v="Mar"/>
    <s v="Q1"/>
    <s v="Low"/>
    <s v="Profit"/>
    <s v="No"/>
    <s v="DIVYA SHAH"/>
    <s v="divya shah"/>
    <n v="10"/>
    <s v="ORD"/>
    <s v="0643"/>
    <s v="Divya Shah-Central"/>
    <s v="0643"/>
    <s v="Neha"/>
    <s v="Neha"/>
    <m/>
  </r>
  <r>
    <s v="ORD0294"/>
    <x v="409"/>
    <s v="C018"/>
    <s v="Divya Shah"/>
    <s v="P006"/>
    <x v="2"/>
    <x v="1"/>
    <s v="Chairs"/>
    <x v="0"/>
    <s v="Telangana"/>
    <n v="11226.17"/>
    <n v="8923.6"/>
    <n v="2"/>
    <n v="0.15"/>
    <s v="Cash on Delivery"/>
    <x v="1"/>
    <s v="Divya Shah"/>
    <x v="716"/>
    <n v="0.20510735183949644"/>
    <n v="2024"/>
    <s v="Nov"/>
    <s v="Q4"/>
    <s v="Low"/>
    <s v="Profit"/>
    <s v="No"/>
    <s v="DIVYA SHAH"/>
    <s v="divya shah"/>
    <n v="10"/>
    <s v="ORD"/>
    <s v="0294"/>
    <s v="Divya Shah-South"/>
    <s v="0294"/>
    <s v="Karan"/>
    <s v="Karan"/>
    <m/>
  </r>
  <r>
    <s v="ORD0008"/>
    <x v="153"/>
    <s v="C018"/>
    <s v="Divya Shah"/>
    <s v="P008"/>
    <x v="4"/>
    <x v="1"/>
    <s v="Storage"/>
    <x v="3"/>
    <s v="Punjab"/>
    <n v="30682.11"/>
    <n v="15263.84"/>
    <n v="4"/>
    <n v="0.2"/>
    <s v="Credit Card"/>
    <x v="1"/>
    <s v="Divya Shah"/>
    <x v="717"/>
    <n v="0.50251661310125018"/>
    <n v="2025"/>
    <s v="Apr"/>
    <s v="Q2"/>
    <s v="Medium"/>
    <s v="Profit"/>
    <s v="No"/>
    <s v="DIVYA SHAH"/>
    <s v="divya shah"/>
    <n v="10"/>
    <s v="ORD"/>
    <s v="0008"/>
    <s v="Divya Shah-North"/>
    <s v="0008"/>
    <s v="Anjali"/>
    <s v="Anjali"/>
    <m/>
  </r>
  <r>
    <s v="ORD0221"/>
    <x v="448"/>
    <s v="C018"/>
    <s v="Divya Shah"/>
    <s v="P009"/>
    <x v="5"/>
    <x v="1"/>
    <s v="Seating"/>
    <x v="1"/>
    <s v="Rajasthan"/>
    <n v="63812.95"/>
    <n v="44517.81"/>
    <n v="3"/>
    <n v="0.2"/>
    <s v="Credit Card"/>
    <x v="0"/>
    <s v="Divya Shah"/>
    <x v="718"/>
    <n v="0.30237028690884843"/>
    <n v="2025"/>
    <s v="Dec"/>
    <s v="Q4"/>
    <s v="High"/>
    <s v="Profit"/>
    <s v="Yes"/>
    <s v="DIVYA SHAH"/>
    <s v="divya shah"/>
    <n v="10"/>
    <s v="ORD"/>
    <s v="0221"/>
    <s v="Divya Shah-West"/>
    <s v="0221"/>
    <s v="Arjun"/>
    <s v="Arjun"/>
    <m/>
  </r>
  <r>
    <s v="ORD0551"/>
    <x v="165"/>
    <s v="C018"/>
    <s v="Divya Shah"/>
    <s v="P010"/>
    <x v="6"/>
    <x v="1"/>
    <s v="Bedroom"/>
    <x v="1"/>
    <s v="Rajasthan"/>
    <n v="84561.91"/>
    <n v="67532.759999999995"/>
    <n v="4"/>
    <n v="0.1"/>
    <s v="Debit Card"/>
    <x v="2"/>
    <s v="Divya Shah"/>
    <x v="719"/>
    <n v="0.20138085811921713"/>
    <n v="2025"/>
    <s v="Dec"/>
    <s v="Q4"/>
    <s v="High"/>
    <s v="Profit"/>
    <s v="Yes"/>
    <s v="DIVYA SHAH"/>
    <s v="divya shah"/>
    <n v="10"/>
    <s v="ORD"/>
    <s v="0551"/>
    <s v="Divya Shah-West"/>
    <s v="0551"/>
    <s v="Sneha"/>
    <s v="Sneha"/>
    <m/>
  </r>
  <r>
    <s v="ORD0216"/>
    <x v="127"/>
    <s v="C018"/>
    <s v="Divya Shah"/>
    <s v="P011"/>
    <x v="15"/>
    <x v="2"/>
    <s v="Footwear"/>
    <x v="2"/>
    <s v="Odisha"/>
    <n v="20576.97"/>
    <n v="5852.2"/>
    <n v="5"/>
    <n v="0.15"/>
    <s v="Cash on Delivery"/>
    <x v="1"/>
    <s v="Divya Shah"/>
    <x v="720"/>
    <n v="0.71559466724206722"/>
    <n v="2025"/>
    <s v="May"/>
    <s v="Q2"/>
    <s v="Medium"/>
    <s v="Profit"/>
    <s v="No"/>
    <s v="DIVYA SHAH"/>
    <s v="divya shah"/>
    <n v="10"/>
    <s v="ORD"/>
    <s v="0216"/>
    <s v="Divya Shah-East"/>
    <s v="0216"/>
    <s v="Vikas"/>
    <s v="Vikas"/>
    <m/>
  </r>
  <r>
    <s v="ORD0253"/>
    <x v="449"/>
    <s v="C018"/>
    <s v="Divya Shah"/>
    <s v="P011"/>
    <x v="15"/>
    <x v="2"/>
    <s v="Footwear"/>
    <x v="4"/>
    <s v="Madhya Pradesh"/>
    <n v="13376.63"/>
    <n v="4767.6000000000004"/>
    <n v="4"/>
    <n v="0.1"/>
    <s v="Debit Card"/>
    <x v="1"/>
    <s v="Divya Shah"/>
    <x v="721"/>
    <n v="0.6435873609421805"/>
    <n v="2024"/>
    <s v="Oct"/>
    <s v="Q4"/>
    <s v="Low"/>
    <s v="Profit"/>
    <s v="No"/>
    <s v="DIVYA SHAH"/>
    <s v="divya shah"/>
    <n v="10"/>
    <s v="ORD"/>
    <s v="0253"/>
    <s v="Divya Shah-Central"/>
    <s v="0253"/>
    <s v="Vikas"/>
    <s v="Vikas"/>
    <m/>
  </r>
  <r>
    <s v="ORD0217"/>
    <x v="450"/>
    <s v="C018"/>
    <s v="Divya Shah"/>
    <s v="P012"/>
    <x v="7"/>
    <x v="2"/>
    <s v="Clothing"/>
    <x v="2"/>
    <s v="Odisha"/>
    <n v="4512.26"/>
    <n v="2759.43"/>
    <n v="3"/>
    <n v="0.05"/>
    <s v="Debit Card"/>
    <x v="4"/>
    <s v="Divya Shah"/>
    <x v="722"/>
    <n v="0.38845944161019097"/>
    <n v="2025"/>
    <s v="Nov"/>
    <s v="Q4"/>
    <s v="Low"/>
    <s v="Profit"/>
    <s v="No"/>
    <s v="DIVYA SHAH"/>
    <s v="divya shah"/>
    <n v="10"/>
    <s v="ORD"/>
    <s v="0217"/>
    <s v="Divya Shah-East"/>
    <s v="0217"/>
    <s v="Pooja"/>
    <s v="Pooja"/>
    <m/>
  </r>
  <r>
    <s v="ORD0383"/>
    <x v="409"/>
    <s v="C018"/>
    <s v="Divya Shah"/>
    <s v="P013"/>
    <x v="16"/>
    <x v="2"/>
    <s v="Bags"/>
    <x v="1"/>
    <s v="Rajasthan"/>
    <n v="8453.2800000000007"/>
    <n v="2108.2800000000002"/>
    <n v="3"/>
    <n v="0"/>
    <s v="Cash on Delivery"/>
    <x v="3"/>
    <s v="Divya Shah"/>
    <x v="723"/>
    <n v="0.75059621827267042"/>
    <n v="2024"/>
    <s v="Nov"/>
    <s v="Q4"/>
    <s v="Low"/>
    <s v="Profit"/>
    <s v="No"/>
    <s v="DIVYA SHAH"/>
    <s v="divya shah"/>
    <n v="10"/>
    <s v="ORD"/>
    <s v="0383"/>
    <s v="Divya Shah-West"/>
    <s v="0383"/>
    <s v="Aditya"/>
    <s v="Aditya"/>
    <m/>
  </r>
  <r>
    <s v="ORD0431"/>
    <x v="185"/>
    <s v="C018"/>
    <s v="Divya Shah"/>
    <s v="P013"/>
    <x v="16"/>
    <x v="2"/>
    <s v="Bags"/>
    <x v="1"/>
    <s v="Maharashtra"/>
    <n v="2178.35"/>
    <n v="694.27"/>
    <n v="1"/>
    <n v="0.15"/>
    <s v="UPI"/>
    <x v="2"/>
    <s v="Divya Shah"/>
    <x v="724"/>
    <n v="0.68128629467257329"/>
    <n v="2024"/>
    <s v="Aug"/>
    <s v="Q3"/>
    <s v="Low"/>
    <s v="Profit"/>
    <s v="No"/>
    <s v="DIVYA SHAH"/>
    <s v="divya shah"/>
    <n v="10"/>
    <s v="ORD"/>
    <s v="0431"/>
    <s v="Divya Shah-West"/>
    <s v="0431"/>
    <s v="Aditya"/>
    <s v="Aditya"/>
    <m/>
  </r>
  <r>
    <s v="ORD0249"/>
    <x v="405"/>
    <s v="C018"/>
    <s v="Divya Shah"/>
    <s v="P014"/>
    <x v="19"/>
    <x v="2"/>
    <s v="Clothing"/>
    <x v="1"/>
    <s v="Maharashtra"/>
    <n v="2643.04"/>
    <n v="1158.5"/>
    <n v="5"/>
    <n v="0.05"/>
    <s v="Debit Card"/>
    <x v="0"/>
    <s v="Divya Shah"/>
    <x v="725"/>
    <n v="0.56167897572492276"/>
    <n v="2025"/>
    <s v="Jul"/>
    <s v="Q3"/>
    <s v="Low"/>
    <s v="Profit"/>
    <s v="No"/>
    <s v="DIVYA SHAH"/>
    <s v="divya shah"/>
    <n v="10"/>
    <s v="ORD"/>
    <s v="0249"/>
    <s v="Divya Shah-West"/>
    <s v="0249"/>
    <s v="Kavya"/>
    <s v="Kavya"/>
    <m/>
  </r>
  <r>
    <s v="ORD0519"/>
    <x v="451"/>
    <s v="C018"/>
    <s v="Divya Shah"/>
    <s v="P014"/>
    <x v="19"/>
    <x v="2"/>
    <s v="Clothing"/>
    <x v="4"/>
    <s v="Chhattisgarh"/>
    <n v="2214.0300000000002"/>
    <n v="464.58"/>
    <n v="2"/>
    <n v="0.05"/>
    <s v="Net Banking"/>
    <x v="0"/>
    <s v="Divya Shah"/>
    <x v="726"/>
    <n v="0.7901654449126706"/>
    <n v="2025"/>
    <s v="Jan"/>
    <s v="Q1"/>
    <s v="Low"/>
    <s v="Profit"/>
    <s v="No"/>
    <s v="DIVYA SHAH"/>
    <s v="divya shah"/>
    <n v="10"/>
    <s v="ORD"/>
    <s v="0519"/>
    <s v="Divya Shah-Central"/>
    <s v="0519"/>
    <s v="Kavya"/>
    <s v="Kavya"/>
    <m/>
  </r>
  <r>
    <s v="ORD0536"/>
    <x v="221"/>
    <s v="C018"/>
    <s v="Divya Shah"/>
    <s v="P014"/>
    <x v="19"/>
    <x v="2"/>
    <s v="Clothing"/>
    <x v="1"/>
    <s v="Maharashtra"/>
    <n v="1528.45"/>
    <n v="521.5"/>
    <n v="2"/>
    <n v="0.15"/>
    <s v="Credit Card"/>
    <x v="4"/>
    <s v="Divya Shah"/>
    <x v="727"/>
    <n v="0.65880467139912979"/>
    <n v="2024"/>
    <s v="Sep"/>
    <s v="Q3"/>
    <s v="Low"/>
    <s v="Profit"/>
    <s v="No"/>
    <s v="DIVYA SHAH"/>
    <s v="divya shah"/>
    <n v="10"/>
    <s v="ORD"/>
    <s v="0536"/>
    <s v="Divya Shah-West"/>
    <s v="0536"/>
    <s v="Kavya"/>
    <s v="Kavya"/>
    <m/>
  </r>
  <r>
    <s v="ORD0783"/>
    <x v="452"/>
    <s v="C018"/>
    <s v="Divya Shah"/>
    <s v="P014"/>
    <x v="19"/>
    <x v="2"/>
    <s v="Clothing"/>
    <x v="1"/>
    <s v="Maharashtra"/>
    <n v="581.80999999999995"/>
    <n v="235.1"/>
    <n v="1"/>
    <n v="0"/>
    <s v="Debit Card"/>
    <x v="4"/>
    <s v="Divya Shah"/>
    <x v="728"/>
    <n v="0.595916192571458"/>
    <n v="2025"/>
    <s v="Oct"/>
    <s v="Q4"/>
    <s v="Low"/>
    <s v="Profit"/>
    <s v="No"/>
    <s v="DIVYA SHAH"/>
    <s v="divya shah"/>
    <n v="10"/>
    <s v="ORD"/>
    <s v="0783"/>
    <s v="Divya Shah-West"/>
    <s v="0783"/>
    <s v="Kavya"/>
    <s v="Kavya"/>
    <m/>
  </r>
  <r>
    <s v="ORD0056"/>
    <x v="44"/>
    <s v="C018"/>
    <s v="Divya Shah"/>
    <s v="P015"/>
    <x v="17"/>
    <x v="2"/>
    <s v="Clothing"/>
    <x v="3"/>
    <s v="Punjab"/>
    <n v="3584.09"/>
    <n v="1903.68"/>
    <n v="4"/>
    <n v="0.1"/>
    <s v="Cash on Delivery"/>
    <x v="2"/>
    <s v="Divya Shah"/>
    <x v="729"/>
    <n v="0.46885262367853486"/>
    <n v="2025"/>
    <s v="May"/>
    <s v="Q2"/>
    <s v="Low"/>
    <s v="Profit"/>
    <s v="No"/>
    <s v="DIVYA SHAH"/>
    <s v="divya shah"/>
    <n v="10"/>
    <s v="ORD"/>
    <s v="0056"/>
    <s v="Divya Shah-North"/>
    <s v="0056"/>
    <s v="Manish"/>
    <s v="Manish"/>
    <m/>
  </r>
  <r>
    <s v="ORD0811"/>
    <x v="453"/>
    <s v="C018"/>
    <s v="Divya Shah"/>
    <s v="P015"/>
    <x v="17"/>
    <x v="2"/>
    <s v="Clothing"/>
    <x v="3"/>
    <s v="Delhi"/>
    <n v="1518.15"/>
    <n v="910.92"/>
    <n v="2"/>
    <n v="0.15"/>
    <s v="Debit Card"/>
    <x v="0"/>
    <s v="Divya Shah"/>
    <x v="730"/>
    <n v="0.39998023910680769"/>
    <n v="2024"/>
    <s v="Jul"/>
    <s v="Q3"/>
    <s v="Low"/>
    <s v="Profit"/>
    <s v="No"/>
    <s v="DIVYA SHAH"/>
    <s v="divya shah"/>
    <n v="10"/>
    <s v="ORD"/>
    <s v="0811"/>
    <s v="Divya Shah-North"/>
    <s v="0811"/>
    <s v="Manish"/>
    <s v="Manish"/>
    <m/>
  </r>
  <r>
    <s v="ORD0247"/>
    <x v="454"/>
    <s v="C018"/>
    <s v="Divya Shah"/>
    <s v="P016"/>
    <x v="8"/>
    <x v="3"/>
    <s v="Kitchen"/>
    <x v="3"/>
    <s v="Delhi"/>
    <n v="10630"/>
    <n v="7611.56"/>
    <n v="4"/>
    <n v="0.15"/>
    <s v="Net Banking"/>
    <x v="0"/>
    <s v="Divya Shah"/>
    <x v="731"/>
    <n v="0.28395484477892752"/>
    <n v="2024"/>
    <s v="Dec"/>
    <s v="Q4"/>
    <s v="Low"/>
    <s v="Profit"/>
    <s v="No"/>
    <s v="DIVYA SHAH"/>
    <s v="divya shah"/>
    <n v="10"/>
    <s v="ORD"/>
    <s v="0247"/>
    <s v="Divya Shah-North"/>
    <s v="0247"/>
    <s v="Rahul"/>
    <s v="Rahul"/>
    <m/>
  </r>
  <r>
    <s v="ORD0735"/>
    <x v="134"/>
    <s v="C018"/>
    <s v="Divya Shah"/>
    <s v="P016"/>
    <x v="8"/>
    <x v="3"/>
    <s v="Kitchen"/>
    <x v="3"/>
    <s v="Delhi"/>
    <n v="16849.3"/>
    <n v="8647.0499999999993"/>
    <n v="5"/>
    <n v="0.15"/>
    <s v="Credit Card"/>
    <x v="0"/>
    <s v="Divya Shah"/>
    <x v="732"/>
    <n v="0.48680063860219713"/>
    <n v="2024"/>
    <s v="Nov"/>
    <s v="Q4"/>
    <s v="Low"/>
    <s v="Profit"/>
    <s v="No"/>
    <s v="DIVYA SHAH"/>
    <s v="divya shah"/>
    <n v="10"/>
    <s v="ORD"/>
    <s v="0735"/>
    <s v="Divya Shah-North"/>
    <s v="0735"/>
    <s v="Rahul"/>
    <s v="Rahul"/>
    <m/>
  </r>
  <r>
    <s v="ORD0076"/>
    <x v="11"/>
    <s v="C018"/>
    <s v="Divya Shah"/>
    <s v="P017"/>
    <x v="9"/>
    <x v="3"/>
    <s v="Kitchen"/>
    <x v="0"/>
    <s v="Telangana"/>
    <n v="53265.51"/>
    <n v="28984.75"/>
    <n v="5"/>
    <n v="0.1"/>
    <s v="Debit Card"/>
    <x v="4"/>
    <s v="Divya Shah"/>
    <x v="733"/>
    <n v="0.45584394104177356"/>
    <n v="2025"/>
    <s v="Mar"/>
    <s v="Q1"/>
    <s v="High"/>
    <s v="Profit"/>
    <s v="Yes"/>
    <s v="DIVYA SHAH"/>
    <s v="divya shah"/>
    <n v="10"/>
    <s v="ORD"/>
    <s v="0076"/>
    <s v="Divya Shah-South"/>
    <s v="0076"/>
    <s v="Priya"/>
    <s v="Priya"/>
    <m/>
  </r>
  <r>
    <s v="ORD0490"/>
    <x v="164"/>
    <s v="C018"/>
    <s v="Divya Shah"/>
    <s v="P017"/>
    <x v="9"/>
    <x v="3"/>
    <s v="Kitchen"/>
    <x v="4"/>
    <s v="Madhya Pradesh"/>
    <n v="6135.03"/>
    <n v="5978.69"/>
    <n v="1"/>
    <n v="0.2"/>
    <s v="Cash on Delivery"/>
    <x v="0"/>
    <s v="Divya Shah"/>
    <x v="734"/>
    <n v="2.5483167971468788E-2"/>
    <n v="2024"/>
    <s v="Apr"/>
    <s v="Q2"/>
    <s v="Low"/>
    <s v="Profit"/>
    <s v="No"/>
    <s v="DIVYA SHAH"/>
    <s v="divya shah"/>
    <n v="10"/>
    <s v="ORD"/>
    <s v="0490"/>
    <s v="Divya Shah-Central"/>
    <s v="0490"/>
    <s v="Priya"/>
    <s v="Priya"/>
    <m/>
  </r>
  <r>
    <s v="ORD0581"/>
    <x v="146"/>
    <s v="C018"/>
    <s v="Divya Shah"/>
    <s v="P017"/>
    <x v="9"/>
    <x v="3"/>
    <s v="Kitchen"/>
    <x v="4"/>
    <s v="Madhya Pradesh"/>
    <n v="57160.74"/>
    <n v="29898.15"/>
    <n v="5"/>
    <n v="0.05"/>
    <s v="UPI"/>
    <x v="3"/>
    <s v="Divya Shah"/>
    <x v="735"/>
    <n v="0.476946064729043"/>
    <n v="2024"/>
    <s v="Sep"/>
    <s v="Q3"/>
    <s v="High"/>
    <s v="Profit"/>
    <s v="Yes"/>
    <s v="DIVYA SHAH"/>
    <s v="divya shah"/>
    <n v="10"/>
    <s v="ORD"/>
    <s v="0581"/>
    <s v="Divya Shah-Central"/>
    <s v="0581"/>
    <s v="Priya"/>
    <s v="Priya"/>
    <m/>
  </r>
  <r>
    <s v="ORD0190"/>
    <x v="216"/>
    <s v="C018"/>
    <s v="Divya Shah"/>
    <s v="P018"/>
    <x v="10"/>
    <x v="3"/>
    <s v="Cooling"/>
    <x v="0"/>
    <s v="Tamil Nadu"/>
    <n v="23755.51"/>
    <n v="11465.98"/>
    <n v="2"/>
    <n v="0.05"/>
    <s v="Debit Card"/>
    <x v="0"/>
    <s v="Divya Shah"/>
    <x v="736"/>
    <n v="0.51733387327824154"/>
    <n v="2024"/>
    <s v="Nov"/>
    <s v="Q4"/>
    <s v="Medium"/>
    <s v="Profit"/>
    <s v="No"/>
    <s v="DIVYA SHAH"/>
    <s v="divya shah"/>
    <n v="10"/>
    <s v="ORD"/>
    <s v="0190"/>
    <s v="Divya Shah-South"/>
    <s v="0190"/>
    <s v="Amit"/>
    <s v="Amit"/>
    <m/>
  </r>
  <r>
    <s v="ORD0475"/>
    <x v="26"/>
    <s v="C018"/>
    <s v="Divya Shah"/>
    <s v="P018"/>
    <x v="10"/>
    <x v="3"/>
    <s v="Cooling"/>
    <x v="1"/>
    <s v="Gujarat"/>
    <n v="12299.87"/>
    <n v="10704.8"/>
    <n v="2"/>
    <n v="0.2"/>
    <s v="Debit Card"/>
    <x v="0"/>
    <s v="Divya Shah"/>
    <x v="737"/>
    <n v="0.12968185842614607"/>
    <n v="2025"/>
    <s v="Oct"/>
    <s v="Q4"/>
    <s v="Low"/>
    <s v="Profit"/>
    <s v="No"/>
    <s v="DIVYA SHAH"/>
    <s v="divya shah"/>
    <n v="10"/>
    <s v="ORD"/>
    <s v="0475"/>
    <s v="Divya Shah-West"/>
    <s v="0475"/>
    <s v="Amit"/>
    <s v="Amit"/>
    <m/>
  </r>
  <r>
    <s v="ORD0561"/>
    <x v="59"/>
    <s v="C018"/>
    <s v="Divya Shah"/>
    <s v="P018"/>
    <x v="10"/>
    <x v="3"/>
    <s v="Cooling"/>
    <x v="1"/>
    <s v="Maharashtra"/>
    <n v="39515.01"/>
    <n v="26718.799999999999"/>
    <n v="5"/>
    <n v="0.15"/>
    <s v="UPI"/>
    <x v="0"/>
    <s v="Divya Shah"/>
    <x v="738"/>
    <n v="0.32383162752584405"/>
    <n v="2024"/>
    <s v="Apr"/>
    <s v="Q2"/>
    <s v="Medium"/>
    <s v="Profit"/>
    <s v="No"/>
    <s v="DIVYA SHAH"/>
    <s v="divya shah"/>
    <n v="10"/>
    <s v="ORD"/>
    <s v="0561"/>
    <s v="Divya Shah-West"/>
    <s v="0561"/>
    <s v="Amit"/>
    <s v="Amit"/>
    <m/>
  </r>
  <r>
    <s v="ORD0521"/>
    <x v="21"/>
    <s v="C018"/>
    <s v="Divya Shah"/>
    <s v="P019"/>
    <x v="18"/>
    <x v="3"/>
    <s v="Cleaning"/>
    <x v="3"/>
    <s v="Delhi"/>
    <n v="3802.48"/>
    <n v="3633.38"/>
    <n v="1"/>
    <n v="0.1"/>
    <s v="Net Banking"/>
    <x v="0"/>
    <s v="Divya Shah"/>
    <x v="739"/>
    <n v="4.4470976836170052E-2"/>
    <n v="2025"/>
    <s v="Feb"/>
    <s v="Q1"/>
    <s v="Low"/>
    <s v="Profit"/>
    <s v="No"/>
    <s v="DIVYA SHAH"/>
    <s v="divya shah"/>
    <n v="10"/>
    <s v="ORD"/>
    <s v="0521"/>
    <s v="Divya Shah-North"/>
    <s v="0521"/>
    <s v="Neha"/>
    <s v="Neha"/>
    <m/>
  </r>
  <r>
    <s v="ORD0654"/>
    <x v="455"/>
    <s v="C018"/>
    <s v="Divya Shah"/>
    <s v="P019"/>
    <x v="18"/>
    <x v="3"/>
    <s v="Cleaning"/>
    <x v="0"/>
    <s v="Telangana"/>
    <n v="7500.8"/>
    <n v="3547.7"/>
    <n v="1"/>
    <n v="0"/>
    <s v="Cash on Delivery"/>
    <x v="2"/>
    <s v="Divya Shah"/>
    <x v="740"/>
    <n v="0.52702378412969286"/>
    <n v="2024"/>
    <s v="Feb"/>
    <s v="Q1"/>
    <s v="Low"/>
    <s v="Profit"/>
    <s v="No"/>
    <s v="DIVYA SHAH"/>
    <s v="divya shah"/>
    <n v="10"/>
    <s v="ORD"/>
    <s v="0654"/>
    <s v="Divya Shah-South"/>
    <s v="0654"/>
    <s v="Neha"/>
    <s v="Neha"/>
    <m/>
  </r>
  <r>
    <s v="ORD0857"/>
    <x v="317"/>
    <s v="C018"/>
    <s v="Divya Shah"/>
    <s v="P019"/>
    <x v="18"/>
    <x v="3"/>
    <s v="Cleaning"/>
    <x v="0"/>
    <s v="Tamil Nadu"/>
    <n v="26801.19"/>
    <n v="10975.68"/>
    <n v="3"/>
    <n v="0"/>
    <s v="UPI"/>
    <x v="1"/>
    <s v="Divya Shah"/>
    <x v="741"/>
    <n v="0.5904778854968753"/>
    <n v="2024"/>
    <s v="Sep"/>
    <s v="Q3"/>
    <s v="Medium"/>
    <s v="Profit"/>
    <s v="No"/>
    <s v="DIVYA SHAH"/>
    <s v="divya shah"/>
    <n v="10"/>
    <s v="ORD"/>
    <s v="0857"/>
    <s v="Divya Shah-South"/>
    <s v="0857"/>
    <s v="Neha"/>
    <s v="Neha"/>
    <m/>
  </r>
  <r>
    <s v="ORD0398"/>
    <x v="449"/>
    <s v="C018"/>
    <s v="Divya Shah"/>
    <s v="P020"/>
    <x v="11"/>
    <x v="3"/>
    <s v="Kitchen"/>
    <x v="2"/>
    <s v="West Bengal"/>
    <n v="3180.84"/>
    <n v="1555.32"/>
    <n v="3"/>
    <n v="0.1"/>
    <s v="Debit Card"/>
    <x v="1"/>
    <s v="Divya Shah"/>
    <x v="742"/>
    <n v="0.51103482099068176"/>
    <n v="2024"/>
    <s v="Oct"/>
    <s v="Q4"/>
    <s v="Low"/>
    <s v="Profit"/>
    <s v="No"/>
    <s v="DIVYA SHAH"/>
    <s v="divya shah"/>
    <n v="10"/>
    <s v="ORD"/>
    <s v="0398"/>
    <s v="Divya Shah-East"/>
    <s v="0398"/>
    <s v="Simran"/>
    <s v="Simran"/>
    <m/>
  </r>
  <r>
    <s v="ORD0875"/>
    <x v="456"/>
    <s v="C018"/>
    <s v="Divya Shah"/>
    <s v="P020"/>
    <x v="11"/>
    <x v="3"/>
    <s v="Kitchen"/>
    <x v="0"/>
    <s v="Telangana"/>
    <n v="8171.85"/>
    <n v="2272.5"/>
    <n v="5"/>
    <n v="0"/>
    <s v="Debit Card"/>
    <x v="3"/>
    <s v="Divya Shah"/>
    <x v="743"/>
    <n v="0.72191119513941149"/>
    <n v="2025"/>
    <s v="Feb"/>
    <s v="Q1"/>
    <s v="Low"/>
    <s v="Profit"/>
    <s v="No"/>
    <s v="DIVYA SHAH"/>
    <s v="divya shah"/>
    <n v="10"/>
    <s v="ORD"/>
    <s v="0875"/>
    <s v="Divya Shah-South"/>
    <s v="0875"/>
    <s v="Simran"/>
    <s v="Simran"/>
    <m/>
  </r>
  <r>
    <s v="ORD0009"/>
    <x v="243"/>
    <s v="C025"/>
    <s v="Deepak Soni"/>
    <s v="P002"/>
    <x v="0"/>
    <x v="0"/>
    <s v="Phones"/>
    <x v="0"/>
    <s v="Karnataka"/>
    <n v="50741.38"/>
    <n v="52932.57"/>
    <n v="3"/>
    <n v="0.2"/>
    <s v="Debit Card"/>
    <x v="0"/>
    <s v="Deepak Soni"/>
    <x v="744"/>
    <n v="-4.3183492447387173E-2"/>
    <n v="2024"/>
    <s v="Feb"/>
    <s v="Q1"/>
    <s v="High"/>
    <s v="Loss"/>
    <s v="Yes"/>
    <s v="DEEPAK SONI"/>
    <s v="deepak soni"/>
    <n v="11"/>
    <s v="ORD"/>
    <s v="0009"/>
    <s v="Deepak Soni-South"/>
    <s v="0009"/>
    <s v="Priya"/>
    <s v="Priya"/>
    <m/>
  </r>
  <r>
    <s v="ORD0065"/>
    <x v="338"/>
    <s v="C025"/>
    <s v="Deepak Soni"/>
    <s v="P002"/>
    <x v="0"/>
    <x v="0"/>
    <s v="Phones"/>
    <x v="4"/>
    <s v="Madhya Pradesh"/>
    <n v="38878.639999999999"/>
    <n v="33835.4"/>
    <n v="2"/>
    <n v="0.05"/>
    <s v="Credit Card"/>
    <x v="0"/>
    <s v="Deepak Soni"/>
    <x v="745"/>
    <n v="0.12971750040639277"/>
    <n v="2024"/>
    <s v="Feb"/>
    <s v="Q1"/>
    <s v="Medium"/>
    <s v="Profit"/>
    <s v="No"/>
    <s v="DEEPAK SONI"/>
    <s v="deepak soni"/>
    <n v="11"/>
    <s v="ORD"/>
    <s v="0065"/>
    <s v="Deepak Soni-Central"/>
    <s v="0065"/>
    <s v="Priya"/>
    <s v="Priya"/>
    <m/>
  </r>
  <r>
    <s v="ORD0180"/>
    <x v="251"/>
    <s v="C025"/>
    <s v="Deepak Soni"/>
    <s v="P002"/>
    <x v="0"/>
    <x v="0"/>
    <s v="Phones"/>
    <x v="4"/>
    <s v="Chhattisgarh"/>
    <n v="81656.710000000006"/>
    <n v="51550.74"/>
    <n v="3"/>
    <n v="0.15"/>
    <s v="Net Banking"/>
    <x v="2"/>
    <s v="Deepak Soni"/>
    <x v="746"/>
    <n v="0.36868948063178159"/>
    <n v="2025"/>
    <s v="Nov"/>
    <s v="Q4"/>
    <s v="High"/>
    <s v="Profit"/>
    <s v="Yes"/>
    <s v="DEEPAK SONI"/>
    <s v="deepak soni"/>
    <n v="11"/>
    <s v="ORD"/>
    <s v="0180"/>
    <s v="Deepak Soni-Central"/>
    <s v="0180"/>
    <s v="Priya"/>
    <s v="Priya"/>
    <m/>
  </r>
  <r>
    <s v="ORD0423"/>
    <x v="457"/>
    <s v="C025"/>
    <s v="Deepak Soni"/>
    <s v="P002"/>
    <x v="0"/>
    <x v="0"/>
    <s v="Phones"/>
    <x v="3"/>
    <s v="Delhi"/>
    <n v="53495.66"/>
    <n v="34766.36"/>
    <n v="2"/>
    <n v="0.2"/>
    <s v="Debit Card"/>
    <x v="0"/>
    <s v="Deepak Soni"/>
    <x v="747"/>
    <n v="0.3501087751791454"/>
    <n v="2024"/>
    <s v="May"/>
    <s v="Q2"/>
    <s v="High"/>
    <s v="Profit"/>
    <s v="Yes"/>
    <s v="DEEPAK SONI"/>
    <s v="deepak soni"/>
    <n v="11"/>
    <s v="ORD"/>
    <s v="0423"/>
    <s v="Deepak Soni-North"/>
    <s v="0423"/>
    <s v="Priya"/>
    <s v="Priya"/>
    <m/>
  </r>
  <r>
    <s v="ORD0764"/>
    <x v="421"/>
    <s v="C025"/>
    <s v="Deepak Soni"/>
    <s v="P002"/>
    <x v="0"/>
    <x v="0"/>
    <s v="Phones"/>
    <x v="1"/>
    <s v="Maharashtra"/>
    <n v="111576.61"/>
    <n v="71281.679999999993"/>
    <n v="4"/>
    <n v="0.15"/>
    <s v="Net Banking"/>
    <x v="0"/>
    <s v="Deepak Soni"/>
    <x v="748"/>
    <n v="0.36114137183411477"/>
    <n v="2024"/>
    <s v="May"/>
    <s v="Q2"/>
    <s v="High"/>
    <s v="Profit"/>
    <s v="Yes"/>
    <s v="DEEPAK SONI"/>
    <s v="deepak soni"/>
    <n v="11"/>
    <s v="ORD"/>
    <s v="0764"/>
    <s v="Deepak Soni-West"/>
    <s v="0764"/>
    <s v="Priya"/>
    <s v="Priya"/>
    <m/>
  </r>
  <r>
    <s v="ORD0548"/>
    <x v="458"/>
    <s v="C025"/>
    <s v="Deepak Soni"/>
    <s v="P003"/>
    <x v="1"/>
    <x v="0"/>
    <s v="Accessories"/>
    <x v="0"/>
    <s v="Karnataka"/>
    <n v="19160"/>
    <n v="6611.6"/>
    <n v="4"/>
    <n v="0"/>
    <s v="UPI"/>
    <x v="1"/>
    <s v="Deepak Soni"/>
    <x v="749"/>
    <n v="0.65492693110647182"/>
    <n v="2024"/>
    <s v="Jun"/>
    <s v="Q2"/>
    <s v="Low"/>
    <s v="Profit"/>
    <s v="No"/>
    <s v="DEEPAK SONI"/>
    <s v="deepak soni"/>
    <n v="11"/>
    <s v="ORD"/>
    <s v="0548"/>
    <s v="Deepak Soni-South"/>
    <s v="0548"/>
    <s v="Amit"/>
    <s v="Amit"/>
    <m/>
  </r>
  <r>
    <s v="ORD0579"/>
    <x v="397"/>
    <s v="C025"/>
    <s v="Deepak Soni"/>
    <s v="P003"/>
    <x v="1"/>
    <x v="0"/>
    <s v="Accessories"/>
    <x v="3"/>
    <s v="Uttar Pradesh"/>
    <n v="11108.63"/>
    <n v="3923.24"/>
    <n v="2"/>
    <n v="0.1"/>
    <s v="UPI"/>
    <x v="1"/>
    <s v="Deepak Soni"/>
    <x v="750"/>
    <n v="0.64682953703562007"/>
    <n v="2024"/>
    <s v="Feb"/>
    <s v="Q1"/>
    <s v="Low"/>
    <s v="Profit"/>
    <s v="No"/>
    <s v="DEEPAK SONI"/>
    <s v="deepak soni"/>
    <n v="11"/>
    <s v="ORD"/>
    <s v="0579"/>
    <s v="Deepak Soni-North"/>
    <s v="0579"/>
    <s v="Amit"/>
    <s v="Amit"/>
    <m/>
  </r>
  <r>
    <s v="ORD0512"/>
    <x v="256"/>
    <s v="C025"/>
    <s v="Deepak Soni"/>
    <s v="P004"/>
    <x v="13"/>
    <x v="0"/>
    <s v="Wearables"/>
    <x v="3"/>
    <s v="Uttar Pradesh"/>
    <n v="24545.09"/>
    <n v="12273.2"/>
    <n v="4"/>
    <n v="0.2"/>
    <s v="UPI"/>
    <x v="2"/>
    <s v="Deepak Soni"/>
    <x v="751"/>
    <n v="0.49997331441848447"/>
    <n v="2024"/>
    <s v="Mar"/>
    <s v="Q1"/>
    <s v="Medium"/>
    <s v="Profit"/>
    <s v="No"/>
    <s v="DEEPAK SONI"/>
    <s v="deepak soni"/>
    <n v="11"/>
    <s v="ORD"/>
    <s v="0512"/>
    <s v="Deepak Soni-North"/>
    <s v="0512"/>
    <s v="Neha"/>
    <s v="Neha"/>
    <m/>
  </r>
  <r>
    <s v="ORD0664"/>
    <x v="328"/>
    <s v="C025"/>
    <s v="Deepak Soni"/>
    <s v="P004"/>
    <x v="13"/>
    <x v="0"/>
    <s v="Wearables"/>
    <x v="3"/>
    <s v="Delhi"/>
    <n v="16191.07"/>
    <n v="11757"/>
    <n v="4"/>
    <n v="0.2"/>
    <s v="Credit Card"/>
    <x v="3"/>
    <s v="Deepak Soni"/>
    <x v="752"/>
    <n v="0.27385898523074753"/>
    <n v="2024"/>
    <s v="Jun"/>
    <s v="Q2"/>
    <s v="Low"/>
    <s v="Profit"/>
    <s v="No"/>
    <s v="DEEPAK SONI"/>
    <s v="deepak soni"/>
    <n v="11"/>
    <s v="ORD"/>
    <s v="0664"/>
    <s v="Deepak Soni-North"/>
    <s v="0664"/>
    <s v="Neha"/>
    <s v="Neha"/>
    <m/>
  </r>
  <r>
    <s v="ORD0542"/>
    <x v="459"/>
    <s v="C025"/>
    <s v="Deepak Soni"/>
    <s v="P005"/>
    <x v="14"/>
    <x v="0"/>
    <s v="Computers"/>
    <x v="3"/>
    <s v="Delhi"/>
    <n v="46625.35"/>
    <n v="29256.880000000001"/>
    <n v="4"/>
    <n v="0.05"/>
    <s v="Debit Card"/>
    <x v="3"/>
    <s v="Deepak Soni"/>
    <x v="753"/>
    <n v="0.37251130554515943"/>
    <n v="2024"/>
    <s v="Sep"/>
    <s v="Q3"/>
    <s v="Medium"/>
    <s v="Profit"/>
    <s v="No"/>
    <s v="DEEPAK SONI"/>
    <s v="deepak soni"/>
    <n v="11"/>
    <s v="ORD"/>
    <s v="0542"/>
    <s v="Deepak Soni-North"/>
    <s v="0542"/>
    <s v="Simran"/>
    <s v="Simran"/>
    <m/>
  </r>
  <r>
    <s v="ORD0016"/>
    <x v="150"/>
    <s v="C025"/>
    <s v="Deepak Soni"/>
    <s v="P006"/>
    <x v="2"/>
    <x v="1"/>
    <s v="Chairs"/>
    <x v="1"/>
    <s v="Rajasthan"/>
    <n v="7952.09"/>
    <n v="4589.05"/>
    <n v="1"/>
    <n v="0"/>
    <s v="Debit Card"/>
    <x v="4"/>
    <s v="Deepak Soni"/>
    <x v="754"/>
    <n v="0.42291271854317541"/>
    <n v="2025"/>
    <s v="Jun"/>
    <s v="Q2"/>
    <s v="Low"/>
    <s v="Profit"/>
    <s v="No"/>
    <s v="DEEPAK SONI"/>
    <s v="deepak soni"/>
    <n v="11"/>
    <s v="ORD"/>
    <s v="0016"/>
    <s v="Deepak Soni-West"/>
    <s v="0016"/>
    <s v="Karan"/>
    <s v="Karan"/>
    <m/>
  </r>
  <r>
    <s v="ORD0067"/>
    <x v="460"/>
    <s v="C025"/>
    <s v="Deepak Soni"/>
    <s v="P006"/>
    <x v="2"/>
    <x v="1"/>
    <s v="Chairs"/>
    <x v="0"/>
    <s v="Tamil Nadu"/>
    <n v="29321.9"/>
    <n v="20365.55"/>
    <n v="5"/>
    <n v="0.15"/>
    <s v="Net Banking"/>
    <x v="0"/>
    <s v="Deepak Soni"/>
    <x v="755"/>
    <n v="0.30544916939216088"/>
    <n v="2024"/>
    <s v="Apr"/>
    <s v="Q2"/>
    <s v="Medium"/>
    <s v="Profit"/>
    <s v="No"/>
    <s v="DEEPAK SONI"/>
    <s v="deepak soni"/>
    <n v="11"/>
    <s v="ORD"/>
    <s v="0067"/>
    <s v="Deepak Soni-South"/>
    <s v="0067"/>
    <s v="Karan"/>
    <s v="Karan"/>
    <m/>
  </r>
  <r>
    <s v="ORD0446"/>
    <x v="441"/>
    <s v="C025"/>
    <s v="Deepak Soni"/>
    <s v="P006"/>
    <x v="2"/>
    <x v="1"/>
    <s v="Chairs"/>
    <x v="0"/>
    <s v="Tamil Nadu"/>
    <n v="14606.24"/>
    <n v="12545.37"/>
    <n v="3"/>
    <n v="0.1"/>
    <s v="Credit Card"/>
    <x v="0"/>
    <s v="Deepak Soni"/>
    <x v="756"/>
    <n v="0.14109517576049682"/>
    <n v="2025"/>
    <s v="Nov"/>
    <s v="Q4"/>
    <s v="Low"/>
    <s v="Profit"/>
    <s v="No"/>
    <s v="DEEPAK SONI"/>
    <s v="deepak soni"/>
    <n v="11"/>
    <s v="ORD"/>
    <s v="0446"/>
    <s v="Deepak Soni-South"/>
    <s v="0446"/>
    <s v="Karan"/>
    <s v="Karan"/>
    <m/>
  </r>
  <r>
    <s v="ORD0690"/>
    <x v="461"/>
    <s v="C025"/>
    <s v="Deepak Soni"/>
    <s v="P006"/>
    <x v="2"/>
    <x v="1"/>
    <s v="Chairs"/>
    <x v="3"/>
    <s v="Delhi"/>
    <n v="6109.3"/>
    <n v="4055.71"/>
    <n v="1"/>
    <n v="0"/>
    <s v="Cash on Delivery"/>
    <x v="4"/>
    <s v="Deepak Soni"/>
    <x v="757"/>
    <n v="0.33614162015288168"/>
    <n v="2025"/>
    <s v="May"/>
    <s v="Q2"/>
    <s v="Low"/>
    <s v="Profit"/>
    <s v="No"/>
    <s v="DEEPAK SONI"/>
    <s v="deepak soni"/>
    <n v="11"/>
    <s v="ORD"/>
    <s v="0690"/>
    <s v="Deepak Soni-North"/>
    <s v="0690"/>
    <s v="Karan"/>
    <s v="Karan"/>
    <m/>
  </r>
  <r>
    <s v="ORD0741"/>
    <x v="462"/>
    <s v="C025"/>
    <s v="Deepak Soni"/>
    <s v="P006"/>
    <x v="2"/>
    <x v="1"/>
    <s v="Chairs"/>
    <x v="4"/>
    <s v="Madhya Pradesh"/>
    <n v="37262.39"/>
    <n v="23636.85"/>
    <n v="5"/>
    <n v="0.1"/>
    <s v="Debit Card"/>
    <x v="4"/>
    <s v="Deepak Soni"/>
    <x v="758"/>
    <n v="0.36566468227078297"/>
    <n v="2024"/>
    <s v="Apr"/>
    <s v="Q2"/>
    <s v="Medium"/>
    <s v="Profit"/>
    <s v="No"/>
    <s v="DEEPAK SONI"/>
    <s v="deepak soni"/>
    <n v="11"/>
    <s v="ORD"/>
    <s v="0741"/>
    <s v="Deepak Soni-Central"/>
    <s v="0741"/>
    <s v="Karan"/>
    <s v="Karan"/>
    <m/>
  </r>
  <r>
    <s v="ORD0450"/>
    <x v="463"/>
    <s v="C025"/>
    <s v="Deepak Soni"/>
    <s v="P007"/>
    <x v="3"/>
    <x v="1"/>
    <s v="Tables"/>
    <x v="0"/>
    <s v="Tamil Nadu"/>
    <n v="16333.54"/>
    <n v="15353.66"/>
    <n v="2"/>
    <n v="0.05"/>
    <s v="Cash on Delivery"/>
    <x v="0"/>
    <s v="Deepak Soni"/>
    <x v="759"/>
    <n v="5.9991893980117048E-2"/>
    <n v="2025"/>
    <s v="Apr"/>
    <s v="Q2"/>
    <s v="Low"/>
    <s v="Profit"/>
    <s v="No"/>
    <s v="DEEPAK SONI"/>
    <s v="deepak soni"/>
    <n v="11"/>
    <s v="ORD"/>
    <s v="0450"/>
    <s v="Deepak Soni-South"/>
    <s v="0450"/>
    <s v="Rohan"/>
    <s v="Rohan"/>
    <m/>
  </r>
  <r>
    <s v="ORD0044"/>
    <x v="212"/>
    <s v="C025"/>
    <s v="Deepak Soni"/>
    <s v="P009"/>
    <x v="5"/>
    <x v="1"/>
    <s v="Seating"/>
    <x v="0"/>
    <s v="Telangana"/>
    <n v="126938.36"/>
    <n v="78394.850000000006"/>
    <n v="5"/>
    <n v="0.2"/>
    <s v="Debit Card"/>
    <x v="0"/>
    <s v="Deepak Soni"/>
    <x v="760"/>
    <n v="0.38241797042280989"/>
    <n v="2025"/>
    <s v="Oct"/>
    <s v="Q4"/>
    <s v="High"/>
    <s v="Profit"/>
    <s v="Yes"/>
    <s v="DEEPAK SONI"/>
    <s v="deepak soni"/>
    <n v="11"/>
    <s v="ORD"/>
    <s v="0044"/>
    <s v="Deepak Soni-South"/>
    <s v="0044"/>
    <s v="Arjun"/>
    <s v="Arjun"/>
    <m/>
  </r>
  <r>
    <s v="ORD0356"/>
    <x v="218"/>
    <s v="C025"/>
    <s v="Deepak Soni"/>
    <s v="P009"/>
    <x v="5"/>
    <x v="1"/>
    <s v="Seating"/>
    <x v="3"/>
    <s v="Delhi"/>
    <n v="124177.16"/>
    <n v="77718.95"/>
    <n v="5"/>
    <n v="0.05"/>
    <s v="Credit Card"/>
    <x v="0"/>
    <s v="Deepak Soni"/>
    <x v="761"/>
    <n v="0.37412846291540253"/>
    <n v="2025"/>
    <s v="Apr"/>
    <s v="Q2"/>
    <s v="High"/>
    <s v="Profit"/>
    <s v="Yes"/>
    <s v="DEEPAK SONI"/>
    <s v="deepak soni"/>
    <n v="11"/>
    <s v="ORD"/>
    <s v="0356"/>
    <s v="Deepak Soni-North"/>
    <s v="0356"/>
    <s v="Arjun"/>
    <s v="Arjun"/>
    <m/>
  </r>
  <r>
    <s v="ORD0680"/>
    <x v="464"/>
    <s v="C025"/>
    <s v="Deepak Soni"/>
    <s v="P010"/>
    <x v="6"/>
    <x v="1"/>
    <s v="Bedroom"/>
    <x v="2"/>
    <s v="Odisha"/>
    <n v="71098.820000000007"/>
    <n v="36392.22"/>
    <n v="2"/>
    <n v="0.05"/>
    <s v="Debit Card"/>
    <x v="3"/>
    <s v="Deepak Soni"/>
    <x v="762"/>
    <n v="0.48814593547403462"/>
    <n v="2024"/>
    <s v="Jul"/>
    <s v="Q3"/>
    <s v="High"/>
    <s v="Profit"/>
    <s v="Yes"/>
    <s v="DEEPAK SONI"/>
    <s v="deepak soni"/>
    <n v="11"/>
    <s v="ORD"/>
    <s v="0680"/>
    <s v="Deepak Soni-East"/>
    <s v="0680"/>
    <s v="Sneha"/>
    <s v="Sneha"/>
    <m/>
  </r>
  <r>
    <s v="ORD0768"/>
    <x v="465"/>
    <s v="C025"/>
    <s v="Deepak Soni"/>
    <s v="P010"/>
    <x v="6"/>
    <x v="1"/>
    <s v="Bedroom"/>
    <x v="0"/>
    <s v="Telangana"/>
    <n v="20202.349999999999"/>
    <n v="18325.669999999998"/>
    <n v="1"/>
    <n v="0.1"/>
    <s v="Debit Card"/>
    <x v="0"/>
    <s v="Deepak Soni"/>
    <x v="763"/>
    <n v="9.2894143503107332E-2"/>
    <n v="2024"/>
    <s v="Mar"/>
    <s v="Q1"/>
    <s v="Medium"/>
    <s v="Profit"/>
    <s v="No"/>
    <s v="DEEPAK SONI"/>
    <s v="deepak soni"/>
    <n v="11"/>
    <s v="ORD"/>
    <s v="0768"/>
    <s v="Deepak Soni-South"/>
    <s v="0768"/>
    <s v="Sneha"/>
    <s v="Sneha"/>
    <m/>
  </r>
  <r>
    <s v="ORD0014"/>
    <x v="466"/>
    <s v="C025"/>
    <s v="Deepak Soni"/>
    <s v="P011"/>
    <x v="15"/>
    <x v="2"/>
    <s v="Footwear"/>
    <x v="3"/>
    <s v="Uttar Pradesh"/>
    <n v="4881.1000000000004"/>
    <n v="4471.84"/>
    <n v="4"/>
    <n v="0.1"/>
    <s v="Cash on Delivery"/>
    <x v="0"/>
    <s v="Deepak Soni"/>
    <x v="764"/>
    <n v="8.3845854418061541E-2"/>
    <n v="2024"/>
    <s v="Oct"/>
    <s v="Q4"/>
    <s v="Low"/>
    <s v="Profit"/>
    <s v="No"/>
    <s v="DEEPAK SONI"/>
    <s v="deepak soni"/>
    <n v="11"/>
    <s v="ORD"/>
    <s v="0014"/>
    <s v="Deepak Soni-North"/>
    <s v="0014"/>
    <s v="Vikas"/>
    <s v="Vikas"/>
    <m/>
  </r>
  <r>
    <s v="ORD0769"/>
    <x v="467"/>
    <s v="C025"/>
    <s v="Deepak Soni"/>
    <s v="P011"/>
    <x v="15"/>
    <x v="2"/>
    <s v="Footwear"/>
    <x v="1"/>
    <s v="Maharashtra"/>
    <n v="9541.91"/>
    <n v="4651.32"/>
    <n v="4"/>
    <n v="0.1"/>
    <s v="UPI"/>
    <x v="0"/>
    <s v="Deepak Soni"/>
    <x v="765"/>
    <n v="0.51253784619641141"/>
    <n v="2024"/>
    <s v="Apr"/>
    <s v="Q2"/>
    <s v="Low"/>
    <s v="Profit"/>
    <s v="No"/>
    <s v="DEEPAK SONI"/>
    <s v="deepak soni"/>
    <n v="11"/>
    <s v="ORD"/>
    <s v="0769"/>
    <s v="Deepak Soni-West"/>
    <s v="0769"/>
    <s v="Vikas"/>
    <s v="Vikas"/>
    <m/>
  </r>
  <r>
    <s v="ORD0990"/>
    <x v="468"/>
    <s v="C025"/>
    <s v="Deepak Soni"/>
    <s v="P011"/>
    <x v="15"/>
    <x v="2"/>
    <s v="Footwear"/>
    <x v="2"/>
    <s v="West Bengal"/>
    <n v="12415.68"/>
    <n v="3506.97"/>
    <n v="3"/>
    <n v="0.1"/>
    <s v="Credit Card"/>
    <x v="1"/>
    <s v="Deepak Soni"/>
    <x v="766"/>
    <n v="0.71753701770664202"/>
    <n v="2025"/>
    <s v="Mar"/>
    <s v="Q1"/>
    <s v="Low"/>
    <s v="Profit"/>
    <s v="No"/>
    <s v="DEEPAK SONI"/>
    <s v="deepak soni"/>
    <n v="11"/>
    <s v="ORD"/>
    <s v="0990"/>
    <s v="Deepak Soni-East"/>
    <s v="0990"/>
    <s v="Vikas"/>
    <s v="Vikas"/>
    <m/>
  </r>
  <r>
    <s v="ORD0128"/>
    <x v="181"/>
    <s v="C025"/>
    <s v="Deepak Soni"/>
    <s v="P012"/>
    <x v="7"/>
    <x v="2"/>
    <s v="Clothing"/>
    <x v="1"/>
    <s v="Rajasthan"/>
    <n v="1336.7"/>
    <n v="891.36"/>
    <n v="1"/>
    <n v="0.2"/>
    <s v="UPI"/>
    <x v="4"/>
    <s v="Deepak Soni"/>
    <x v="767"/>
    <n v="0.33316376150220695"/>
    <n v="2025"/>
    <s v="Aug"/>
    <s v="Q3"/>
    <s v="Low"/>
    <s v="Profit"/>
    <s v="No"/>
    <s v="DEEPAK SONI"/>
    <s v="deepak soni"/>
    <n v="11"/>
    <s v="ORD"/>
    <s v="0128"/>
    <s v="Deepak Soni-West"/>
    <s v="0128"/>
    <s v="Pooja"/>
    <s v="Pooja"/>
    <m/>
  </r>
  <r>
    <s v="ORD0166"/>
    <x v="425"/>
    <s v="C025"/>
    <s v="Deepak Soni"/>
    <s v="P013"/>
    <x v="16"/>
    <x v="2"/>
    <s v="Bags"/>
    <x v="1"/>
    <s v="Rajasthan"/>
    <n v="8310.91"/>
    <n v="3061.12"/>
    <n v="4"/>
    <n v="0.2"/>
    <s v="Credit Card"/>
    <x v="4"/>
    <s v="Deepak Soni"/>
    <x v="768"/>
    <n v="0.63167450977089157"/>
    <n v="2025"/>
    <s v="Jun"/>
    <s v="Q2"/>
    <s v="Low"/>
    <s v="Profit"/>
    <s v="No"/>
    <s v="DEEPAK SONI"/>
    <s v="deepak soni"/>
    <n v="11"/>
    <s v="ORD"/>
    <s v="0166"/>
    <s v="Deepak Soni-West"/>
    <s v="0166"/>
    <s v="Aditya"/>
    <s v="Aditya"/>
    <m/>
  </r>
  <r>
    <s v="ORD0308"/>
    <x v="128"/>
    <s v="C025"/>
    <s v="Deepak Soni"/>
    <s v="P013"/>
    <x v="16"/>
    <x v="2"/>
    <s v="Bags"/>
    <x v="1"/>
    <s v="Gujarat"/>
    <n v="9270.06"/>
    <n v="3592.7"/>
    <n v="5"/>
    <n v="0.15"/>
    <s v="Net Banking"/>
    <x v="0"/>
    <s v="Deepak Soni"/>
    <x v="769"/>
    <n v="0.61244048042838994"/>
    <n v="2024"/>
    <s v="May"/>
    <s v="Q2"/>
    <s v="Low"/>
    <s v="Profit"/>
    <s v="No"/>
    <s v="DEEPAK SONI"/>
    <s v="deepak soni"/>
    <n v="11"/>
    <s v="ORD"/>
    <s v="0308"/>
    <s v="Deepak Soni-West"/>
    <s v="0308"/>
    <s v="Aditya"/>
    <s v="Aditya"/>
    <m/>
  </r>
  <r>
    <s v="ORD0340"/>
    <x v="270"/>
    <s v="C025"/>
    <s v="Deepak Soni"/>
    <s v="P013"/>
    <x v="16"/>
    <x v="2"/>
    <s v="Bags"/>
    <x v="4"/>
    <s v="Chhattisgarh"/>
    <n v="2518.42"/>
    <n v="658.73"/>
    <n v="1"/>
    <n v="0.15"/>
    <s v="Net Banking"/>
    <x v="0"/>
    <s v="Deepak Soni"/>
    <x v="770"/>
    <n v="0.738435209377308"/>
    <n v="2024"/>
    <s v="Nov"/>
    <s v="Q4"/>
    <s v="Low"/>
    <s v="Profit"/>
    <s v="No"/>
    <s v="DEEPAK SONI"/>
    <s v="deepak soni"/>
    <n v="11"/>
    <s v="ORD"/>
    <s v="0340"/>
    <s v="Deepak Soni-Central"/>
    <s v="0340"/>
    <s v="Aditya"/>
    <s v="Aditya"/>
    <m/>
  </r>
  <r>
    <s v="ORD0492"/>
    <x v="302"/>
    <s v="C025"/>
    <s v="Deepak Soni"/>
    <s v="P013"/>
    <x v="16"/>
    <x v="2"/>
    <s v="Bags"/>
    <x v="0"/>
    <s v="Telangana"/>
    <n v="4651.8"/>
    <n v="3218.4"/>
    <n v="5"/>
    <n v="0.15"/>
    <s v="Credit Card"/>
    <x v="0"/>
    <s v="Deepak Soni"/>
    <x v="771"/>
    <n v="0.30813878498645686"/>
    <n v="2025"/>
    <s v="Aug"/>
    <s v="Q3"/>
    <s v="Low"/>
    <s v="Profit"/>
    <s v="No"/>
    <s v="DEEPAK SONI"/>
    <s v="deepak soni"/>
    <n v="11"/>
    <s v="ORD"/>
    <s v="0492"/>
    <s v="Deepak Soni-South"/>
    <s v="0492"/>
    <s v="Aditya"/>
    <s v="Aditya"/>
    <m/>
  </r>
  <r>
    <s v="ORD0973"/>
    <x v="469"/>
    <s v="C025"/>
    <s v="Deepak Soni"/>
    <s v="P013"/>
    <x v="16"/>
    <x v="2"/>
    <s v="Bags"/>
    <x v="1"/>
    <s v="Maharashtra"/>
    <n v="3238.06"/>
    <n v="2139.9899999999998"/>
    <n v="3"/>
    <n v="0.05"/>
    <s v="Debit Card"/>
    <x v="3"/>
    <s v="Deepak Soni"/>
    <x v="772"/>
    <n v="0.33911354329444177"/>
    <n v="2024"/>
    <s v="Mar"/>
    <s v="Q1"/>
    <s v="Low"/>
    <s v="Profit"/>
    <s v="No"/>
    <s v="DEEPAK SONI"/>
    <s v="deepak soni"/>
    <n v="11"/>
    <s v="ORD"/>
    <s v="0973"/>
    <s v="Deepak Soni-West"/>
    <s v="0973"/>
    <s v="Aditya"/>
    <s v="Aditya"/>
    <m/>
  </r>
  <r>
    <s v="ORD0064"/>
    <x v="470"/>
    <s v="C025"/>
    <s v="Deepak Soni"/>
    <s v="P014"/>
    <x v="19"/>
    <x v="2"/>
    <s v="Clothing"/>
    <x v="0"/>
    <s v="Tamil Nadu"/>
    <n v="2910.64"/>
    <n v="903.88"/>
    <n v="4"/>
    <n v="0.1"/>
    <s v="Credit Card"/>
    <x v="0"/>
    <s v="Deepak Soni"/>
    <x v="773"/>
    <n v="0.6894566143528571"/>
    <n v="2024"/>
    <s v="Mar"/>
    <s v="Q1"/>
    <s v="Low"/>
    <s v="Profit"/>
    <s v="No"/>
    <s v="DEEPAK SONI"/>
    <s v="deepak soni"/>
    <n v="11"/>
    <s v="ORD"/>
    <s v="0064"/>
    <s v="Deepak Soni-South"/>
    <s v="0064"/>
    <s v="Kavya"/>
    <s v="Kavya"/>
    <m/>
  </r>
  <r>
    <s v="ORD0099"/>
    <x v="265"/>
    <s v="C025"/>
    <s v="Deepak Soni"/>
    <s v="P014"/>
    <x v="19"/>
    <x v="2"/>
    <s v="Clothing"/>
    <x v="0"/>
    <s v="Telangana"/>
    <n v="1594.11"/>
    <n v="798.09"/>
    <n v="3"/>
    <n v="0.1"/>
    <s v="Cash on Delivery"/>
    <x v="2"/>
    <s v="Deepak Soni"/>
    <x v="774"/>
    <n v="0.49935073489282417"/>
    <n v="2025"/>
    <s v="Jun"/>
    <s v="Q2"/>
    <s v="Low"/>
    <s v="Profit"/>
    <s v="No"/>
    <s v="DEEPAK SONI"/>
    <s v="deepak soni"/>
    <n v="11"/>
    <s v="ORD"/>
    <s v="0099"/>
    <s v="Deepak Soni-South"/>
    <s v="0099"/>
    <s v="Kavya"/>
    <s v="Kavya"/>
    <m/>
  </r>
  <r>
    <s v="ORD0193"/>
    <x v="113"/>
    <s v="C025"/>
    <s v="Deepak Soni"/>
    <s v="P014"/>
    <x v="19"/>
    <x v="2"/>
    <s v="Clothing"/>
    <x v="4"/>
    <s v="Chhattisgarh"/>
    <n v="619.47"/>
    <n v="231.27"/>
    <n v="1"/>
    <n v="0"/>
    <s v="Net Banking"/>
    <x v="2"/>
    <s v="Deepak Soni"/>
    <x v="775"/>
    <n v="0.62666472952685359"/>
    <n v="2025"/>
    <s v="Aug"/>
    <s v="Q3"/>
    <s v="Low"/>
    <s v="Profit"/>
    <s v="No"/>
    <s v="DEEPAK SONI"/>
    <s v="deepak soni"/>
    <n v="11"/>
    <s v="ORD"/>
    <s v="0193"/>
    <s v="Deepak Soni-Central"/>
    <s v="0193"/>
    <s v="Kavya"/>
    <s v="Kavya"/>
    <m/>
  </r>
  <r>
    <s v="ORD0438"/>
    <x v="183"/>
    <s v="C025"/>
    <s v="Deepak Soni"/>
    <s v="P014"/>
    <x v="19"/>
    <x v="2"/>
    <s v="Clothing"/>
    <x v="3"/>
    <s v="Delhi"/>
    <n v="4708.96"/>
    <n v="1155.8"/>
    <n v="5"/>
    <n v="0.15"/>
    <s v="Cash on Delivery"/>
    <x v="0"/>
    <s v="Deepak Soni"/>
    <x v="776"/>
    <n v="0.75455302232340049"/>
    <n v="2025"/>
    <s v="Oct"/>
    <s v="Q4"/>
    <s v="Low"/>
    <s v="Profit"/>
    <s v="No"/>
    <s v="DEEPAK SONI"/>
    <s v="deepak soni"/>
    <n v="11"/>
    <s v="ORD"/>
    <s v="0438"/>
    <s v="Deepak Soni-North"/>
    <s v="0438"/>
    <s v="Kavya"/>
    <s v="Kavya"/>
    <m/>
  </r>
  <r>
    <s v="ORD0491"/>
    <x v="388"/>
    <s v="C025"/>
    <s v="Deepak Soni"/>
    <s v="P014"/>
    <x v="19"/>
    <x v="2"/>
    <s v="Clothing"/>
    <x v="1"/>
    <s v="Rajasthan"/>
    <n v="2404.65"/>
    <n v="806.22"/>
    <n v="3"/>
    <n v="0.15"/>
    <s v="Credit Card"/>
    <x v="2"/>
    <s v="Deepak Soni"/>
    <x v="777"/>
    <n v="0.66472459609506584"/>
    <n v="2025"/>
    <s v="Mar"/>
    <s v="Q1"/>
    <s v="Low"/>
    <s v="Profit"/>
    <s v="No"/>
    <s v="DEEPAK SONI"/>
    <s v="deepak soni"/>
    <n v="11"/>
    <s v="ORD"/>
    <s v="0491"/>
    <s v="Deepak Soni-West"/>
    <s v="0491"/>
    <s v="Kavya"/>
    <s v="Kavya"/>
    <m/>
  </r>
  <r>
    <s v="ORD0631"/>
    <x v="164"/>
    <s v="C025"/>
    <s v="Deepak Soni"/>
    <s v="P015"/>
    <x v="17"/>
    <x v="2"/>
    <s v="Clothing"/>
    <x v="2"/>
    <s v="Odisha"/>
    <n v="3113.46"/>
    <n v="1394.79"/>
    <n v="3"/>
    <n v="0"/>
    <s v="Cash on Delivery"/>
    <x v="0"/>
    <s v="Deepak Soni"/>
    <x v="778"/>
    <n v="0.55201287313792369"/>
    <n v="2024"/>
    <s v="Apr"/>
    <s v="Q2"/>
    <s v="Low"/>
    <s v="Profit"/>
    <s v="No"/>
    <s v="DEEPAK SONI"/>
    <s v="deepak soni"/>
    <n v="11"/>
    <s v="ORD"/>
    <s v="0631"/>
    <s v="Deepak Soni-East"/>
    <s v="0631"/>
    <s v="Manish"/>
    <s v="Manish"/>
    <m/>
  </r>
  <r>
    <s v="ORD0676"/>
    <x v="373"/>
    <s v="C025"/>
    <s v="Deepak Soni"/>
    <s v="P015"/>
    <x v="17"/>
    <x v="2"/>
    <s v="Clothing"/>
    <x v="3"/>
    <s v="Delhi"/>
    <n v="1202.78"/>
    <n v="1030.58"/>
    <n v="2"/>
    <n v="0"/>
    <s v="Net Banking"/>
    <x v="4"/>
    <s v="Deepak Soni"/>
    <x v="779"/>
    <n v="0.14316832670978902"/>
    <n v="2025"/>
    <s v="May"/>
    <s v="Q2"/>
    <s v="Low"/>
    <s v="Profit"/>
    <s v="No"/>
    <s v="DEEPAK SONI"/>
    <s v="deepak soni"/>
    <n v="11"/>
    <s v="ORD"/>
    <s v="0676"/>
    <s v="Deepak Soni-North"/>
    <s v="0676"/>
    <s v="Manish"/>
    <s v="Manish"/>
    <m/>
  </r>
  <r>
    <s v="ORD0828"/>
    <x v="428"/>
    <s v="C025"/>
    <s v="Deepak Soni"/>
    <s v="P015"/>
    <x v="17"/>
    <x v="2"/>
    <s v="Clothing"/>
    <x v="2"/>
    <s v="West Bengal"/>
    <n v="5683.33"/>
    <n v="1640.01"/>
    <n v="3"/>
    <n v="0.05"/>
    <s v="Credit Card"/>
    <x v="0"/>
    <s v="Deepak Soni"/>
    <x v="780"/>
    <n v="0.71143502136951398"/>
    <n v="2024"/>
    <s v="Sep"/>
    <s v="Q3"/>
    <s v="Low"/>
    <s v="Profit"/>
    <s v="No"/>
    <s v="DEEPAK SONI"/>
    <s v="deepak soni"/>
    <n v="11"/>
    <s v="ORD"/>
    <s v="0828"/>
    <s v="Deepak Soni-East"/>
    <s v="0828"/>
    <s v="Manish"/>
    <s v="Manish"/>
    <m/>
  </r>
  <r>
    <s v="ORD0870"/>
    <x v="463"/>
    <s v="C025"/>
    <s v="Deepak Soni"/>
    <s v="P015"/>
    <x v="17"/>
    <x v="2"/>
    <s v="Clothing"/>
    <x v="2"/>
    <s v="Odisha"/>
    <n v="1792.56"/>
    <n v="1073.26"/>
    <n v="2"/>
    <n v="0.2"/>
    <s v="Cash on Delivery"/>
    <x v="3"/>
    <s v="Deepak Soni"/>
    <x v="781"/>
    <n v="0.40126969250680589"/>
    <n v="2025"/>
    <s v="Apr"/>
    <s v="Q2"/>
    <s v="Low"/>
    <s v="Profit"/>
    <s v="No"/>
    <s v="DEEPAK SONI"/>
    <s v="deepak soni"/>
    <n v="11"/>
    <s v="ORD"/>
    <s v="0870"/>
    <s v="Deepak Soni-East"/>
    <s v="0870"/>
    <s v="Manish"/>
    <s v="Manish"/>
    <m/>
  </r>
  <r>
    <s v="ORD0171"/>
    <x v="282"/>
    <s v="C025"/>
    <s v="Deepak Soni"/>
    <s v="P016"/>
    <x v="8"/>
    <x v="3"/>
    <s v="Kitchen"/>
    <x v="1"/>
    <s v="Gujarat"/>
    <n v="1978.1"/>
    <n v="1946.11"/>
    <n v="1"/>
    <n v="0.05"/>
    <s v="Credit Card"/>
    <x v="3"/>
    <s v="Deepak Soni"/>
    <x v="782"/>
    <n v="1.6172084323340583E-2"/>
    <n v="2025"/>
    <s v="Sep"/>
    <s v="Q3"/>
    <s v="Low"/>
    <s v="Profit"/>
    <s v="No"/>
    <s v="DEEPAK SONI"/>
    <s v="deepak soni"/>
    <n v="11"/>
    <s v="ORD"/>
    <s v="0171"/>
    <s v="Deepak Soni-West"/>
    <s v="0171"/>
    <s v="Rahul"/>
    <s v="Rahul"/>
    <m/>
  </r>
  <r>
    <s v="ORD0083"/>
    <x v="220"/>
    <s v="C025"/>
    <s v="Deepak Soni"/>
    <s v="P017"/>
    <x v="9"/>
    <x v="3"/>
    <s v="Kitchen"/>
    <x v="1"/>
    <s v="Maharashtra"/>
    <n v="37415.160000000003"/>
    <n v="23027.279999999999"/>
    <n v="4"/>
    <n v="0.15"/>
    <s v="Debit Card"/>
    <x v="0"/>
    <s v="Deepak Soni"/>
    <x v="783"/>
    <n v="0.38454679867732766"/>
    <n v="2025"/>
    <s v="Apr"/>
    <s v="Q2"/>
    <s v="Medium"/>
    <s v="Profit"/>
    <s v="No"/>
    <s v="DEEPAK SONI"/>
    <s v="deepak soni"/>
    <n v="11"/>
    <s v="ORD"/>
    <s v="0083"/>
    <s v="Deepak Soni-West"/>
    <s v="0083"/>
    <s v="Priya"/>
    <s v="Priya"/>
    <m/>
  </r>
  <r>
    <s v="ORD0477"/>
    <x v="213"/>
    <s v="C025"/>
    <s v="Deepak Soni"/>
    <s v="P017"/>
    <x v="9"/>
    <x v="3"/>
    <s v="Kitchen"/>
    <x v="3"/>
    <s v="Punjab"/>
    <n v="25890.58"/>
    <n v="11229.94"/>
    <n v="2"/>
    <n v="0.05"/>
    <s v="Net Banking"/>
    <x v="1"/>
    <s v="Deepak Soni"/>
    <x v="784"/>
    <n v="0.56625382668136448"/>
    <n v="2025"/>
    <s v="Apr"/>
    <s v="Q2"/>
    <s v="Medium"/>
    <s v="Profit"/>
    <s v="No"/>
    <s v="DEEPAK SONI"/>
    <s v="deepak soni"/>
    <n v="11"/>
    <s v="ORD"/>
    <s v="0477"/>
    <s v="Deepak Soni-North"/>
    <s v="0477"/>
    <s v="Priya"/>
    <s v="Priya"/>
    <m/>
  </r>
  <r>
    <s v="ORD0847"/>
    <x v="471"/>
    <s v="C025"/>
    <s v="Deepak Soni"/>
    <s v="P017"/>
    <x v="9"/>
    <x v="3"/>
    <s v="Kitchen"/>
    <x v="1"/>
    <s v="Gujarat"/>
    <n v="17396.29"/>
    <n v="12353.02"/>
    <n v="2"/>
    <n v="0.05"/>
    <s v="UPI"/>
    <x v="0"/>
    <s v="Deepak Soni"/>
    <x v="785"/>
    <n v="0.28990491650806005"/>
    <n v="2024"/>
    <s v="Apr"/>
    <s v="Q2"/>
    <s v="Low"/>
    <s v="Profit"/>
    <s v="No"/>
    <s v="DEEPAK SONI"/>
    <s v="deepak soni"/>
    <n v="11"/>
    <s v="ORD"/>
    <s v="0847"/>
    <s v="Deepak Soni-West"/>
    <s v="0847"/>
    <s v="Priya"/>
    <s v="Priya"/>
    <m/>
  </r>
  <r>
    <s v="ORD0415"/>
    <x v="179"/>
    <s v="C025"/>
    <s v="Deepak Soni"/>
    <s v="P018"/>
    <x v="10"/>
    <x v="3"/>
    <s v="Cooling"/>
    <x v="2"/>
    <s v="West Bengal"/>
    <n v="53439.35"/>
    <n v="30220.75"/>
    <n v="5"/>
    <n v="0"/>
    <s v="UPI"/>
    <x v="0"/>
    <s v="Deepak Soni"/>
    <x v="786"/>
    <n v="0.43448507513658008"/>
    <n v="2024"/>
    <s v="Feb"/>
    <s v="Q1"/>
    <s v="High"/>
    <s v="Profit"/>
    <s v="Yes"/>
    <s v="DEEPAK SONI"/>
    <s v="deepak soni"/>
    <n v="11"/>
    <s v="ORD"/>
    <s v="0415"/>
    <s v="Deepak Soni-East"/>
    <s v="0415"/>
    <s v="Amit"/>
    <s v="Amit"/>
    <m/>
  </r>
  <r>
    <s v="ORD0555"/>
    <x v="274"/>
    <s v="C025"/>
    <s v="Deepak Soni"/>
    <s v="P018"/>
    <x v="10"/>
    <x v="3"/>
    <s v="Cooling"/>
    <x v="3"/>
    <s v="Punjab"/>
    <n v="31631.34"/>
    <n v="15914.58"/>
    <n v="3"/>
    <n v="0"/>
    <s v="UPI"/>
    <x v="0"/>
    <s v="Deepak Soni"/>
    <x v="787"/>
    <n v="0.49687303794274917"/>
    <n v="2025"/>
    <s v="Sep"/>
    <s v="Q3"/>
    <s v="Medium"/>
    <s v="Profit"/>
    <s v="No"/>
    <s v="DEEPAK SONI"/>
    <s v="deepak soni"/>
    <n v="11"/>
    <s v="ORD"/>
    <s v="0555"/>
    <s v="Deepak Soni-North"/>
    <s v="0555"/>
    <s v="Amit"/>
    <s v="Amit"/>
    <m/>
  </r>
  <r>
    <s v="ORD0694"/>
    <x v="472"/>
    <s v="C025"/>
    <s v="Deepak Soni"/>
    <s v="P018"/>
    <x v="10"/>
    <x v="3"/>
    <s v="Cooling"/>
    <x v="1"/>
    <s v="Rajasthan"/>
    <n v="38411.279999999999"/>
    <n v="23189.439999999999"/>
    <n v="4"/>
    <n v="0.1"/>
    <s v="UPI"/>
    <x v="0"/>
    <s v="Deepak Soni"/>
    <x v="788"/>
    <n v="0.3962856744164735"/>
    <n v="2024"/>
    <s v="Aug"/>
    <s v="Q3"/>
    <s v="Medium"/>
    <s v="Profit"/>
    <s v="No"/>
    <s v="DEEPAK SONI"/>
    <s v="deepak soni"/>
    <n v="11"/>
    <s v="ORD"/>
    <s v="0694"/>
    <s v="Deepak Soni-West"/>
    <s v="0694"/>
    <s v="Amit"/>
    <s v="Amit"/>
    <m/>
  </r>
  <r>
    <s v="ORD0948"/>
    <x v="473"/>
    <s v="C025"/>
    <s v="Deepak Soni"/>
    <s v="P018"/>
    <x v="10"/>
    <x v="3"/>
    <s v="Cooling"/>
    <x v="3"/>
    <s v="Uttar Pradesh"/>
    <n v="8649.0499999999993"/>
    <n v="5780.94"/>
    <n v="1"/>
    <n v="0.1"/>
    <s v="Net Banking"/>
    <x v="2"/>
    <s v="Deepak Soni"/>
    <x v="789"/>
    <n v="0.33160982998132743"/>
    <n v="2025"/>
    <s v="Jan"/>
    <s v="Q1"/>
    <s v="Low"/>
    <s v="Profit"/>
    <s v="No"/>
    <s v="DEEPAK SONI"/>
    <s v="deepak soni"/>
    <n v="11"/>
    <s v="ORD"/>
    <s v="0948"/>
    <s v="Deepak Soni-North"/>
    <s v="0948"/>
    <s v="Amit"/>
    <s v="Amit"/>
    <m/>
  </r>
  <r>
    <s v="ORD0463"/>
    <x v="257"/>
    <s v="C025"/>
    <s v="Deepak Soni"/>
    <s v="P019"/>
    <x v="18"/>
    <x v="3"/>
    <s v="Cleaning"/>
    <x v="3"/>
    <s v="Delhi"/>
    <n v="5826.97"/>
    <n v="3400.39"/>
    <n v="1"/>
    <n v="0.1"/>
    <s v="Debit Card"/>
    <x v="0"/>
    <s v="Deepak Soni"/>
    <x v="790"/>
    <n v="0.41643941877167728"/>
    <n v="2025"/>
    <s v="Dec"/>
    <s v="Q4"/>
    <s v="Low"/>
    <s v="Profit"/>
    <s v="No"/>
    <s v="DEEPAK SONI"/>
    <s v="deepak soni"/>
    <n v="11"/>
    <s v="ORD"/>
    <s v="0463"/>
    <s v="Deepak Soni-North"/>
    <s v="0463"/>
    <s v="Neha"/>
    <s v="Neha"/>
    <m/>
  </r>
  <r>
    <s v="ORD0163"/>
    <x v="474"/>
    <s v="C025"/>
    <s v="Deepak Soni"/>
    <s v="P020"/>
    <x v="11"/>
    <x v="3"/>
    <s v="Kitchen"/>
    <x v="3"/>
    <s v="Punjab"/>
    <n v="2614.46"/>
    <n v="1861.72"/>
    <n v="4"/>
    <n v="0.2"/>
    <s v="Credit Card"/>
    <x v="2"/>
    <s v="Deepak Soni"/>
    <x v="791"/>
    <n v="0.28791413905739616"/>
    <n v="2025"/>
    <s v="Sep"/>
    <s v="Q3"/>
    <s v="Low"/>
    <s v="Profit"/>
    <s v="No"/>
    <s v="DEEPAK SONI"/>
    <s v="deepak soni"/>
    <n v="11"/>
    <s v="ORD"/>
    <s v="0163"/>
    <s v="Deepak Soni-North"/>
    <s v="0163"/>
    <s v="Simran"/>
    <s v="Simran"/>
    <m/>
  </r>
  <r>
    <s v="ORD0554"/>
    <x v="276"/>
    <s v="C025"/>
    <s v="Deepak Soni"/>
    <s v="P020"/>
    <x v="11"/>
    <x v="3"/>
    <s v="Kitchen"/>
    <x v="0"/>
    <s v="Karnataka"/>
    <n v="1059.74"/>
    <n v="515.83000000000004"/>
    <n v="1"/>
    <n v="0.15"/>
    <s v="Credit Card"/>
    <x v="2"/>
    <s v="Deepak Soni"/>
    <x v="792"/>
    <n v="0.51324853265895409"/>
    <n v="2024"/>
    <s v="Nov"/>
    <s v="Q4"/>
    <s v="Low"/>
    <s v="Profit"/>
    <s v="No"/>
    <s v="DEEPAK SONI"/>
    <s v="deepak soni"/>
    <n v="11"/>
    <s v="ORD"/>
    <s v="0554"/>
    <s v="Deepak Soni-South"/>
    <s v="0554"/>
    <s v="Simran"/>
    <s v="Simran"/>
    <m/>
  </r>
  <r>
    <s v="ORD0593"/>
    <x v="475"/>
    <s v="C025"/>
    <s v="Deepak Soni"/>
    <s v="P020"/>
    <x v="11"/>
    <x v="3"/>
    <s v="Kitchen"/>
    <x v="2"/>
    <s v="West Bengal"/>
    <n v="4166.18"/>
    <n v="2533.5"/>
    <n v="5"/>
    <n v="0.05"/>
    <s v="Credit Card"/>
    <x v="0"/>
    <s v="Deepak Soni"/>
    <x v="793"/>
    <n v="0.39188897263200345"/>
    <n v="2024"/>
    <s v="Sep"/>
    <s v="Q3"/>
    <s v="Low"/>
    <s v="Profit"/>
    <s v="No"/>
    <s v="DEEPAK SONI"/>
    <s v="deepak soni"/>
    <n v="11"/>
    <s v="ORD"/>
    <s v="0593"/>
    <s v="Deepak Soni-East"/>
    <s v="0593"/>
    <s v="Simran"/>
    <s v="Simran"/>
    <m/>
  </r>
  <r>
    <s v="ORD0772"/>
    <x v="120"/>
    <s v="C009"/>
    <s v="Arjun Rao"/>
    <s v="P001"/>
    <x v="12"/>
    <x v="0"/>
    <s v="Computers"/>
    <x v="2"/>
    <s v="Bihar"/>
    <n v="229270.48"/>
    <n v="217067.35"/>
    <n v="5"/>
    <n v="0.2"/>
    <s v="Net Banking"/>
    <x v="1"/>
    <s v="Arjun Rao"/>
    <x v="794"/>
    <n v="5.3225910287272936E-2"/>
    <n v="2025"/>
    <s v="Apr"/>
    <s v="Q2"/>
    <s v="High"/>
    <s v="Profit"/>
    <s v="Yes"/>
    <s v="ARJUN RAO"/>
    <s v="arjun rao"/>
    <n v="9"/>
    <s v="ORD"/>
    <s v="0772"/>
    <s v="Arjun Rao-East"/>
    <s v="0772"/>
    <s v="Rahul"/>
    <s v="Rahul"/>
    <m/>
  </r>
  <r>
    <s v="ORD0184"/>
    <x v="46"/>
    <s v="C009"/>
    <s v="Arjun Rao"/>
    <s v="P002"/>
    <x v="0"/>
    <x v="0"/>
    <s v="Phones"/>
    <x v="3"/>
    <s v="Uttar Pradesh"/>
    <n v="121783.39"/>
    <n v="70031.679999999993"/>
    <n v="4"/>
    <n v="0.05"/>
    <s v="UPI"/>
    <x v="0"/>
    <s v="Arjun Rao"/>
    <x v="795"/>
    <n v="0.42494883743998263"/>
    <n v="2025"/>
    <s v="Nov"/>
    <s v="Q4"/>
    <s v="High"/>
    <s v="Profit"/>
    <s v="Yes"/>
    <s v="ARJUN RAO"/>
    <s v="arjun rao"/>
    <n v="9"/>
    <s v="ORD"/>
    <s v="0184"/>
    <s v="Arjun Rao-North"/>
    <s v="0184"/>
    <s v="Priya"/>
    <s v="Priya"/>
    <m/>
  </r>
  <r>
    <s v="ORD0314"/>
    <x v="374"/>
    <s v="C009"/>
    <s v="Arjun Rao"/>
    <s v="P003"/>
    <x v="1"/>
    <x v="0"/>
    <s v="Accessories"/>
    <x v="2"/>
    <s v="Odisha"/>
    <n v="14237.63"/>
    <n v="4949.01"/>
    <n v="3"/>
    <n v="0.05"/>
    <s v="UPI"/>
    <x v="3"/>
    <s v="Arjun Rao"/>
    <x v="796"/>
    <n v="0.65239931084035752"/>
    <n v="2025"/>
    <s v="Jan"/>
    <s v="Q1"/>
    <s v="Low"/>
    <s v="Profit"/>
    <s v="No"/>
    <s v="ARJUN RAO"/>
    <s v="arjun rao"/>
    <n v="9"/>
    <s v="ORD"/>
    <s v="0314"/>
    <s v="Arjun Rao-East"/>
    <s v="0314"/>
    <s v="Amit"/>
    <s v="Amit"/>
    <m/>
  </r>
  <r>
    <s v="ORD0327"/>
    <x v="256"/>
    <s v="C009"/>
    <s v="Arjun Rao"/>
    <s v="P003"/>
    <x v="1"/>
    <x v="0"/>
    <s v="Accessories"/>
    <x v="0"/>
    <s v="Tamil Nadu"/>
    <n v="30327.89"/>
    <n v="9757.65"/>
    <n v="5"/>
    <n v="0.05"/>
    <s v="Cash on Delivery"/>
    <x v="1"/>
    <s v="Arjun Rao"/>
    <x v="797"/>
    <n v="0.6782614946176605"/>
    <n v="2024"/>
    <s v="Mar"/>
    <s v="Q1"/>
    <s v="Medium"/>
    <s v="Profit"/>
    <s v="No"/>
    <s v="ARJUN RAO"/>
    <s v="arjun rao"/>
    <n v="9"/>
    <s v="ORD"/>
    <s v="0327"/>
    <s v="Arjun Rao-South"/>
    <s v="0327"/>
    <s v="Amit"/>
    <s v="Amit"/>
    <m/>
  </r>
  <r>
    <s v="ORD0574"/>
    <x v="23"/>
    <s v="C009"/>
    <s v="Arjun Rao"/>
    <s v="P003"/>
    <x v="1"/>
    <x v="0"/>
    <s v="Accessories"/>
    <x v="1"/>
    <s v="Maharashtra"/>
    <n v="9882.2800000000007"/>
    <n v="7594.32"/>
    <n v="4"/>
    <n v="0.05"/>
    <s v="Net Banking"/>
    <x v="0"/>
    <s v="Arjun Rao"/>
    <x v="798"/>
    <n v="0.23152147075371279"/>
    <n v="2025"/>
    <s v="May"/>
    <s v="Q2"/>
    <s v="Low"/>
    <s v="Profit"/>
    <s v="No"/>
    <s v="ARJUN RAO"/>
    <s v="arjun rao"/>
    <n v="9"/>
    <s v="ORD"/>
    <s v="0574"/>
    <s v="Arjun Rao-West"/>
    <s v="0574"/>
    <s v="Amit"/>
    <s v="Amit"/>
    <m/>
  </r>
  <r>
    <s v="ORD0809"/>
    <x v="476"/>
    <s v="C009"/>
    <s v="Arjun Rao"/>
    <s v="P004"/>
    <x v="13"/>
    <x v="0"/>
    <s v="Wearables"/>
    <x v="0"/>
    <s v="Telangana"/>
    <n v="15929.68"/>
    <n v="5999.06"/>
    <n v="2"/>
    <n v="0.1"/>
    <s v="Debit Card"/>
    <x v="3"/>
    <s v="Arjun Rao"/>
    <x v="799"/>
    <n v="0.62340360886094381"/>
    <n v="2024"/>
    <s v="Feb"/>
    <s v="Q1"/>
    <s v="Low"/>
    <s v="Profit"/>
    <s v="No"/>
    <s v="ARJUN RAO"/>
    <s v="arjun rao"/>
    <n v="9"/>
    <s v="ORD"/>
    <s v="0809"/>
    <s v="Arjun Rao-South"/>
    <s v="0809"/>
    <s v="Neha"/>
    <s v="Neha"/>
    <m/>
  </r>
  <r>
    <s v="ORD0961"/>
    <x v="477"/>
    <s v="C009"/>
    <s v="Arjun Rao"/>
    <s v="P004"/>
    <x v="13"/>
    <x v="0"/>
    <s v="Wearables"/>
    <x v="2"/>
    <s v="West Bengal"/>
    <n v="33607.769999999997"/>
    <n v="12426.96"/>
    <n v="4"/>
    <n v="0.05"/>
    <s v="Debit Card"/>
    <x v="0"/>
    <s v="Arjun Rao"/>
    <x v="800"/>
    <n v="0.63023550803876605"/>
    <n v="2024"/>
    <s v="Nov"/>
    <s v="Q4"/>
    <s v="Medium"/>
    <s v="Profit"/>
    <s v="No"/>
    <s v="ARJUN RAO"/>
    <s v="arjun rao"/>
    <n v="9"/>
    <s v="ORD"/>
    <s v="0961"/>
    <s v="Arjun Rao-East"/>
    <s v="0961"/>
    <s v="Neha"/>
    <s v="Neha"/>
    <m/>
  </r>
  <r>
    <s v="ORD0273"/>
    <x v="412"/>
    <s v="C009"/>
    <s v="Arjun Rao"/>
    <s v="P005"/>
    <x v="14"/>
    <x v="0"/>
    <s v="Computers"/>
    <x v="1"/>
    <s v="Maharashtra"/>
    <n v="22378.82"/>
    <n v="16766.900000000001"/>
    <n v="2"/>
    <n v="0"/>
    <s v="UPI"/>
    <x v="0"/>
    <s v="Arjun Rao"/>
    <x v="801"/>
    <n v="0.25076925414297974"/>
    <n v="2025"/>
    <s v="Dec"/>
    <s v="Q4"/>
    <s v="Medium"/>
    <s v="Profit"/>
    <s v="No"/>
    <s v="ARJUN RAO"/>
    <s v="arjun rao"/>
    <n v="9"/>
    <s v="ORD"/>
    <s v="0273"/>
    <s v="Arjun Rao-West"/>
    <s v="0273"/>
    <s v="Simran"/>
    <s v="Simran"/>
    <m/>
  </r>
  <r>
    <s v="ORD0660"/>
    <x v="196"/>
    <s v="C009"/>
    <s v="Arjun Rao"/>
    <s v="P005"/>
    <x v="14"/>
    <x v="0"/>
    <s v="Computers"/>
    <x v="2"/>
    <s v="West Bengal"/>
    <n v="27179.97"/>
    <n v="25717.71"/>
    <n v="3"/>
    <n v="0"/>
    <s v="Cash on Delivery"/>
    <x v="0"/>
    <s v="Arjun Rao"/>
    <x v="802"/>
    <n v="5.3799176378781947E-2"/>
    <n v="2024"/>
    <s v="Oct"/>
    <s v="Q4"/>
    <s v="Medium"/>
    <s v="Profit"/>
    <s v="No"/>
    <s v="ARJUN RAO"/>
    <s v="arjun rao"/>
    <n v="9"/>
    <s v="ORD"/>
    <s v="0660"/>
    <s v="Arjun Rao-East"/>
    <s v="0660"/>
    <s v="Simran"/>
    <s v="Simran"/>
    <m/>
  </r>
  <r>
    <s v="ORD0702"/>
    <x v="478"/>
    <s v="C009"/>
    <s v="Arjun Rao"/>
    <s v="P005"/>
    <x v="14"/>
    <x v="0"/>
    <s v="Computers"/>
    <x v="3"/>
    <s v="Uttar Pradesh"/>
    <n v="54388.6"/>
    <n v="31476.639999999999"/>
    <n v="4"/>
    <n v="0.05"/>
    <s v="Debit Card"/>
    <x v="0"/>
    <s v="Arjun Rao"/>
    <x v="803"/>
    <n v="0.42126401488547233"/>
    <n v="2025"/>
    <s v="Apr"/>
    <s v="Q2"/>
    <s v="High"/>
    <s v="Profit"/>
    <s v="Yes"/>
    <s v="ARJUN RAO"/>
    <s v="arjun rao"/>
    <n v="9"/>
    <s v="ORD"/>
    <s v="0702"/>
    <s v="Arjun Rao-North"/>
    <s v="0702"/>
    <s v="Simran"/>
    <s v="Simran"/>
    <m/>
  </r>
  <r>
    <s v="ORD0042"/>
    <x v="479"/>
    <s v="C009"/>
    <s v="Arjun Rao"/>
    <s v="P006"/>
    <x v="2"/>
    <x v="1"/>
    <s v="Chairs"/>
    <x v="4"/>
    <s v="Madhya Pradesh"/>
    <n v="4480.18"/>
    <n v="4394.29"/>
    <n v="1"/>
    <n v="0.15"/>
    <s v="Credit Card"/>
    <x v="0"/>
    <s v="Arjun Rao"/>
    <x v="804"/>
    <n v="1.9171104732399216E-2"/>
    <n v="2025"/>
    <s v="Dec"/>
    <s v="Q4"/>
    <s v="Low"/>
    <s v="Profit"/>
    <s v="No"/>
    <s v="ARJUN RAO"/>
    <s v="arjun rao"/>
    <n v="9"/>
    <s v="ORD"/>
    <s v="0042"/>
    <s v="Arjun Rao-Central"/>
    <s v="0042"/>
    <s v="Karan"/>
    <s v="Karan"/>
    <m/>
  </r>
  <r>
    <s v="ORD0091"/>
    <x v="152"/>
    <s v="C009"/>
    <s v="Arjun Rao"/>
    <s v="P006"/>
    <x v="2"/>
    <x v="1"/>
    <s v="Chairs"/>
    <x v="2"/>
    <s v="West Bengal"/>
    <n v="26660.28"/>
    <n v="19688.599999999999"/>
    <n v="4"/>
    <n v="0.15"/>
    <s v="Debit Card"/>
    <x v="1"/>
    <s v="Arjun Rao"/>
    <x v="805"/>
    <n v="0.26150062940074148"/>
    <n v="2025"/>
    <s v="Mar"/>
    <s v="Q1"/>
    <s v="Medium"/>
    <s v="Profit"/>
    <s v="No"/>
    <s v="ARJUN RAO"/>
    <s v="arjun rao"/>
    <n v="9"/>
    <s v="ORD"/>
    <s v="0091"/>
    <s v="Arjun Rao-East"/>
    <s v="0091"/>
    <s v="Karan"/>
    <s v="Karan"/>
    <m/>
  </r>
  <r>
    <s v="ORD0739"/>
    <x v="167"/>
    <s v="C009"/>
    <s v="Arjun Rao"/>
    <s v="P006"/>
    <x v="2"/>
    <x v="1"/>
    <s v="Chairs"/>
    <x v="2"/>
    <s v="West Bengal"/>
    <n v="19522.060000000001"/>
    <n v="8675.42"/>
    <n v="2"/>
    <n v="0.05"/>
    <s v="Debit Card"/>
    <x v="0"/>
    <s v="Arjun Rao"/>
    <x v="806"/>
    <n v="0.55560939777871809"/>
    <n v="2024"/>
    <s v="Feb"/>
    <s v="Q1"/>
    <s v="Low"/>
    <s v="Profit"/>
    <s v="No"/>
    <s v="ARJUN RAO"/>
    <s v="arjun rao"/>
    <n v="9"/>
    <s v="ORD"/>
    <s v="0739"/>
    <s v="Arjun Rao-East"/>
    <s v="0739"/>
    <s v="Karan"/>
    <s v="Karan"/>
    <m/>
  </r>
  <r>
    <s v="ORD0952"/>
    <x v="480"/>
    <s v="C009"/>
    <s v="Arjun Rao"/>
    <s v="P006"/>
    <x v="2"/>
    <x v="1"/>
    <s v="Chairs"/>
    <x v="3"/>
    <s v="Punjab"/>
    <n v="27172.400000000001"/>
    <n v="20702.3"/>
    <n v="5"/>
    <n v="0.2"/>
    <s v="Net Banking"/>
    <x v="0"/>
    <s v="Arjun Rao"/>
    <x v="807"/>
    <n v="0.23811293812839507"/>
    <n v="2024"/>
    <s v="Jan"/>
    <s v="Q1"/>
    <s v="Medium"/>
    <s v="Profit"/>
    <s v="No"/>
    <s v="ARJUN RAO"/>
    <s v="arjun rao"/>
    <n v="9"/>
    <s v="ORD"/>
    <s v="0952"/>
    <s v="Arjun Rao-North"/>
    <s v="0952"/>
    <s v="Karan"/>
    <s v="Karan"/>
    <m/>
  </r>
  <r>
    <s v="ORD0123"/>
    <x v="227"/>
    <s v="C009"/>
    <s v="Arjun Rao"/>
    <s v="P007"/>
    <x v="3"/>
    <x v="1"/>
    <s v="Tables"/>
    <x v="3"/>
    <s v="Uttar Pradesh"/>
    <n v="11487.78"/>
    <n v="7227.88"/>
    <n v="1"/>
    <n v="0.2"/>
    <s v="UPI"/>
    <x v="0"/>
    <s v="Arjun Rao"/>
    <x v="808"/>
    <n v="0.37082012364442912"/>
    <n v="2025"/>
    <s v="Apr"/>
    <s v="Q2"/>
    <s v="Low"/>
    <s v="Profit"/>
    <s v="No"/>
    <s v="ARJUN RAO"/>
    <s v="arjun rao"/>
    <n v="9"/>
    <s v="ORD"/>
    <s v="0123"/>
    <s v="Arjun Rao-North"/>
    <s v="0123"/>
    <s v="Rohan"/>
    <s v="Rohan"/>
    <m/>
  </r>
  <r>
    <s v="ORD0505"/>
    <x v="298"/>
    <s v="C009"/>
    <s v="Arjun Rao"/>
    <s v="P008"/>
    <x v="4"/>
    <x v="1"/>
    <s v="Storage"/>
    <x v="2"/>
    <s v="West Bengal"/>
    <n v="27552.560000000001"/>
    <n v="17375.080000000002"/>
    <n v="4"/>
    <n v="0.1"/>
    <s v="Credit Card"/>
    <x v="3"/>
    <s v="Arjun Rao"/>
    <x v="809"/>
    <n v="0.36938418789397426"/>
    <n v="2024"/>
    <s v="Jul"/>
    <s v="Q3"/>
    <s v="Medium"/>
    <s v="Profit"/>
    <s v="No"/>
    <s v="ARJUN RAO"/>
    <s v="arjun rao"/>
    <n v="9"/>
    <s v="ORD"/>
    <s v="0505"/>
    <s v="Arjun Rao-East"/>
    <s v="0505"/>
    <s v="Anjali"/>
    <s v="Anjali"/>
    <m/>
  </r>
  <r>
    <s v="ORD0929"/>
    <x v="421"/>
    <s v="C009"/>
    <s v="Arjun Rao"/>
    <s v="P008"/>
    <x v="4"/>
    <x v="1"/>
    <s v="Storage"/>
    <x v="3"/>
    <s v="Uttar Pradesh"/>
    <n v="6744.65"/>
    <n v="3888.19"/>
    <n v="1"/>
    <n v="0.1"/>
    <s v="Credit Card"/>
    <x v="1"/>
    <s v="Arjun Rao"/>
    <x v="810"/>
    <n v="0.4235149340588466"/>
    <n v="2024"/>
    <s v="May"/>
    <s v="Q2"/>
    <s v="Low"/>
    <s v="Profit"/>
    <s v="No"/>
    <s v="ARJUN RAO"/>
    <s v="arjun rao"/>
    <n v="9"/>
    <s v="ORD"/>
    <s v="0929"/>
    <s v="Arjun Rao-North"/>
    <s v="0929"/>
    <s v="Anjali"/>
    <s v="Anjali"/>
    <m/>
  </r>
  <r>
    <s v="ORD0399"/>
    <x v="412"/>
    <s v="C009"/>
    <s v="Arjun Rao"/>
    <s v="P009"/>
    <x v="5"/>
    <x v="1"/>
    <s v="Seating"/>
    <x v="2"/>
    <s v="Odisha"/>
    <n v="71829.95"/>
    <n v="45008.25"/>
    <n v="3"/>
    <n v="0.05"/>
    <s v="UPI"/>
    <x v="3"/>
    <s v="Arjun Rao"/>
    <x v="811"/>
    <n v="0.37340552234826835"/>
    <n v="2025"/>
    <s v="Dec"/>
    <s v="Q4"/>
    <s v="High"/>
    <s v="Profit"/>
    <s v="Yes"/>
    <s v="ARJUN RAO"/>
    <s v="arjun rao"/>
    <n v="9"/>
    <s v="ORD"/>
    <s v="0399"/>
    <s v="Arjun Rao-East"/>
    <s v="0399"/>
    <s v="Arjun"/>
    <s v="Arjun"/>
    <m/>
  </r>
  <r>
    <s v="ORD0568"/>
    <x v="481"/>
    <s v="C009"/>
    <s v="Arjun Rao"/>
    <s v="P010"/>
    <x v="6"/>
    <x v="1"/>
    <s v="Bedroom"/>
    <x v="3"/>
    <s v="Uttar Pradesh"/>
    <n v="96156.32"/>
    <n v="72994.52"/>
    <n v="4"/>
    <n v="0"/>
    <s v="Debit Card"/>
    <x v="2"/>
    <s v="Arjun Rao"/>
    <x v="812"/>
    <n v="0.24087652272882323"/>
    <n v="2025"/>
    <s v="Aug"/>
    <s v="Q3"/>
    <s v="High"/>
    <s v="Profit"/>
    <s v="Yes"/>
    <s v="ARJUN RAO"/>
    <s v="arjun rao"/>
    <n v="9"/>
    <s v="ORD"/>
    <s v="0568"/>
    <s v="Arjun Rao-North"/>
    <s v="0568"/>
    <s v="Sneha"/>
    <s v="Sneha"/>
    <m/>
  </r>
  <r>
    <s v="ORD0930"/>
    <x v="441"/>
    <s v="C009"/>
    <s v="Arjun Rao"/>
    <s v="P010"/>
    <x v="6"/>
    <x v="1"/>
    <s v="Bedroom"/>
    <x v="2"/>
    <s v="Bihar"/>
    <n v="88167.51"/>
    <n v="50658.93"/>
    <n v="3"/>
    <n v="0.05"/>
    <s v="Cash on Delivery"/>
    <x v="4"/>
    <s v="Arjun Rao"/>
    <x v="813"/>
    <n v="0.425424059270813"/>
    <n v="2025"/>
    <s v="Nov"/>
    <s v="Q4"/>
    <s v="High"/>
    <s v="Profit"/>
    <s v="Yes"/>
    <s v="ARJUN RAO"/>
    <s v="arjun rao"/>
    <n v="9"/>
    <s v="ORD"/>
    <s v="0930"/>
    <s v="Arjun Rao-East"/>
    <s v="0930"/>
    <s v="Sneha"/>
    <s v="Sneha"/>
    <m/>
  </r>
  <r>
    <s v="ORD0966"/>
    <x v="333"/>
    <s v="C009"/>
    <s v="Arjun Rao"/>
    <s v="P011"/>
    <x v="15"/>
    <x v="2"/>
    <s v="Footwear"/>
    <x v="2"/>
    <s v="Odisha"/>
    <n v="12873.83"/>
    <n v="6350.15"/>
    <n v="5"/>
    <n v="0.1"/>
    <s v="UPI"/>
    <x v="0"/>
    <s v="Arjun Rao"/>
    <x v="814"/>
    <n v="0.50673964158296325"/>
    <n v="2024"/>
    <s v="Feb"/>
    <s v="Q1"/>
    <s v="Low"/>
    <s v="Profit"/>
    <s v="No"/>
    <s v="ARJUN RAO"/>
    <s v="arjun rao"/>
    <n v="9"/>
    <s v="ORD"/>
    <s v="0966"/>
    <s v="Arjun Rao-East"/>
    <s v="0966"/>
    <s v="Vikas"/>
    <s v="Vikas"/>
    <m/>
  </r>
  <r>
    <s v="ORD0230"/>
    <x v="139"/>
    <s v="C009"/>
    <s v="Arjun Rao"/>
    <s v="P013"/>
    <x v="16"/>
    <x v="2"/>
    <s v="Bags"/>
    <x v="0"/>
    <s v="Karnataka"/>
    <n v="3514.27"/>
    <n v="2290.6799999999998"/>
    <n v="3"/>
    <n v="0.2"/>
    <s v="UPI"/>
    <x v="4"/>
    <s v="Arjun Rao"/>
    <x v="815"/>
    <n v="0.34817757315174991"/>
    <n v="2025"/>
    <s v="Apr"/>
    <s v="Q2"/>
    <s v="Low"/>
    <s v="Profit"/>
    <s v="No"/>
    <s v="ARJUN RAO"/>
    <s v="arjun rao"/>
    <n v="9"/>
    <s v="ORD"/>
    <s v="0230"/>
    <s v="Arjun Rao-South"/>
    <s v="0230"/>
    <s v="Aditya"/>
    <s v="Aditya"/>
    <m/>
  </r>
  <r>
    <s v="ORD0278"/>
    <x v="119"/>
    <s v="C009"/>
    <s v="Arjun Rao"/>
    <s v="P014"/>
    <x v="19"/>
    <x v="2"/>
    <s v="Clothing"/>
    <x v="0"/>
    <s v="Tamil Nadu"/>
    <n v="979.7"/>
    <n v="243.06"/>
    <n v="1"/>
    <n v="0.15"/>
    <s v="Cash on Delivery"/>
    <x v="0"/>
    <s v="Arjun Rao"/>
    <x v="816"/>
    <n v="0.75190364397264475"/>
    <n v="2025"/>
    <s v="May"/>
    <s v="Q2"/>
    <s v="Low"/>
    <s v="Profit"/>
    <s v="No"/>
    <s v="ARJUN RAO"/>
    <s v="arjun rao"/>
    <n v="9"/>
    <s v="ORD"/>
    <s v="0278"/>
    <s v="Arjun Rao-South"/>
    <s v="0278"/>
    <s v="Kavya"/>
    <s v="Kavya"/>
    <m/>
  </r>
  <r>
    <s v="ORD0395"/>
    <x v="482"/>
    <s v="C009"/>
    <s v="Arjun Rao"/>
    <s v="P014"/>
    <x v="19"/>
    <x v="2"/>
    <s v="Clothing"/>
    <x v="1"/>
    <s v="Rajasthan"/>
    <n v="439.35"/>
    <n v="248.7"/>
    <n v="1"/>
    <n v="0.05"/>
    <s v="Cash on Delivery"/>
    <x v="0"/>
    <s v="Arjun Rao"/>
    <x v="817"/>
    <n v="0.43393649709798571"/>
    <n v="2024"/>
    <s v="Jan"/>
    <s v="Q1"/>
    <s v="Low"/>
    <s v="Profit"/>
    <s v="No"/>
    <s v="ARJUN RAO"/>
    <s v="arjun rao"/>
    <n v="9"/>
    <s v="ORD"/>
    <s v="0395"/>
    <s v="Arjun Rao-West"/>
    <s v="0395"/>
    <s v="Kavya"/>
    <s v="Kavya"/>
    <m/>
  </r>
  <r>
    <s v="ORD0007"/>
    <x v="483"/>
    <s v="C009"/>
    <s v="Arjun Rao"/>
    <s v="P015"/>
    <x v="17"/>
    <x v="2"/>
    <s v="Clothing"/>
    <x v="2"/>
    <s v="Odisha"/>
    <n v="1683.38"/>
    <n v="974.04"/>
    <n v="2"/>
    <n v="0.1"/>
    <s v="UPI"/>
    <x v="0"/>
    <s v="Arjun Rao"/>
    <x v="818"/>
    <n v="0.42137841723199759"/>
    <n v="2025"/>
    <s v="Jan"/>
    <s v="Q1"/>
    <s v="Low"/>
    <s v="Profit"/>
    <s v="No"/>
    <s v="ARJUN RAO"/>
    <s v="arjun rao"/>
    <n v="9"/>
    <s v="ORD"/>
    <s v="0007"/>
    <s v="Arjun Rao-East"/>
    <s v="0007"/>
    <s v="Manish"/>
    <s v="Manish"/>
    <m/>
  </r>
  <r>
    <s v="ORD0025"/>
    <x v="86"/>
    <s v="C009"/>
    <s v="Arjun Rao"/>
    <s v="P015"/>
    <x v="17"/>
    <x v="2"/>
    <s v="Clothing"/>
    <x v="0"/>
    <s v="Karnataka"/>
    <n v="7878.2"/>
    <n v="2123.1999999999998"/>
    <n v="4"/>
    <n v="0"/>
    <s v="UPI"/>
    <x v="0"/>
    <s v="Arjun Rao"/>
    <x v="819"/>
    <n v="0.73049681399304411"/>
    <n v="2024"/>
    <s v="Mar"/>
    <s v="Q1"/>
    <s v="Low"/>
    <s v="Profit"/>
    <s v="No"/>
    <s v="ARJUN RAO"/>
    <s v="arjun rao"/>
    <n v="9"/>
    <s v="ORD"/>
    <s v="0025"/>
    <s v="Arjun Rao-South"/>
    <s v="0025"/>
    <s v="Manish"/>
    <s v="Manish"/>
    <m/>
  </r>
  <r>
    <s v="ORD0518"/>
    <x v="198"/>
    <s v="C009"/>
    <s v="Arjun Rao"/>
    <s v="P015"/>
    <x v="17"/>
    <x v="2"/>
    <s v="Clothing"/>
    <x v="3"/>
    <s v="Punjab"/>
    <n v="3395.24"/>
    <n v="1095.8599999999999"/>
    <n v="2"/>
    <n v="0"/>
    <s v="Debit Card"/>
    <x v="0"/>
    <s v="Arjun Rao"/>
    <x v="820"/>
    <n v="0.67723636620680727"/>
    <n v="2025"/>
    <s v="Aug"/>
    <s v="Q3"/>
    <s v="Low"/>
    <s v="Profit"/>
    <s v="No"/>
    <s v="ARJUN RAO"/>
    <s v="arjun rao"/>
    <n v="9"/>
    <s v="ORD"/>
    <s v="0518"/>
    <s v="Arjun Rao-North"/>
    <s v="0518"/>
    <s v="Manish"/>
    <s v="Manish"/>
    <m/>
  </r>
  <r>
    <s v="ORD0257"/>
    <x v="116"/>
    <s v="C009"/>
    <s v="Arjun Rao"/>
    <s v="P016"/>
    <x v="8"/>
    <x v="3"/>
    <s v="Kitchen"/>
    <x v="2"/>
    <s v="Bihar"/>
    <n v="16448.330000000002"/>
    <n v="7143.6"/>
    <n v="4"/>
    <n v="0.1"/>
    <s v="Credit Card"/>
    <x v="0"/>
    <s v="Arjun Rao"/>
    <x v="821"/>
    <n v="0.56569451123609515"/>
    <n v="2025"/>
    <s v="Oct"/>
    <s v="Q4"/>
    <s v="Low"/>
    <s v="Profit"/>
    <s v="No"/>
    <s v="ARJUN RAO"/>
    <s v="arjun rao"/>
    <n v="9"/>
    <s v="ORD"/>
    <s v="0257"/>
    <s v="Arjun Rao-East"/>
    <s v="0257"/>
    <s v="Rahul"/>
    <s v="Rahul"/>
    <m/>
  </r>
  <r>
    <s v="ORD0858"/>
    <x v="400"/>
    <s v="C009"/>
    <s v="Arjun Rao"/>
    <s v="P017"/>
    <x v="9"/>
    <x v="3"/>
    <s v="Kitchen"/>
    <x v="0"/>
    <s v="Telangana"/>
    <n v="11537.03"/>
    <n v="6307.87"/>
    <n v="1"/>
    <n v="0.15"/>
    <s v="Debit Card"/>
    <x v="0"/>
    <s v="Arjun Rao"/>
    <x v="822"/>
    <n v="0.45325009989572712"/>
    <n v="2024"/>
    <s v="May"/>
    <s v="Q2"/>
    <s v="Low"/>
    <s v="Profit"/>
    <s v="No"/>
    <s v="ARJUN RAO"/>
    <s v="arjun rao"/>
    <n v="9"/>
    <s v="ORD"/>
    <s v="0858"/>
    <s v="Arjun Rao-South"/>
    <s v="0858"/>
    <s v="Priya"/>
    <s v="Priya"/>
    <m/>
  </r>
  <r>
    <s v="ORD0095"/>
    <x v="484"/>
    <s v="C009"/>
    <s v="Arjun Rao"/>
    <s v="P018"/>
    <x v="10"/>
    <x v="3"/>
    <s v="Cooling"/>
    <x v="3"/>
    <s v="Punjab"/>
    <n v="37901.72"/>
    <n v="23675.72"/>
    <n v="4"/>
    <n v="0"/>
    <s v="Cash on Delivery"/>
    <x v="0"/>
    <s v="Arjun Rao"/>
    <x v="823"/>
    <n v="0.37533916666578721"/>
    <n v="2024"/>
    <s v="Oct"/>
    <s v="Q4"/>
    <s v="Medium"/>
    <s v="Profit"/>
    <s v="No"/>
    <s v="ARJUN RAO"/>
    <s v="arjun rao"/>
    <n v="9"/>
    <s v="ORD"/>
    <s v="0095"/>
    <s v="Arjun Rao-North"/>
    <s v="0095"/>
    <s v="Amit"/>
    <s v="Amit"/>
    <m/>
  </r>
  <r>
    <s v="ORD0332"/>
    <x v="485"/>
    <s v="C009"/>
    <s v="Arjun Rao"/>
    <s v="P019"/>
    <x v="18"/>
    <x v="3"/>
    <s v="Cleaning"/>
    <x v="2"/>
    <s v="Odisha"/>
    <n v="19548.060000000001"/>
    <n v="13874.56"/>
    <n v="4"/>
    <n v="0.15"/>
    <s v="Cash on Delivery"/>
    <x v="0"/>
    <s v="Arjun Rao"/>
    <x v="824"/>
    <n v="0.29023340423550986"/>
    <n v="2024"/>
    <s v="Mar"/>
    <s v="Q1"/>
    <s v="Low"/>
    <s v="Profit"/>
    <s v="No"/>
    <s v="ARJUN RAO"/>
    <s v="arjun rao"/>
    <n v="9"/>
    <s v="ORD"/>
    <s v="0332"/>
    <s v="Arjun Rao-East"/>
    <s v="0332"/>
    <s v="Neha"/>
    <s v="Neha"/>
    <m/>
  </r>
  <r>
    <s v="ORD0378"/>
    <x v="486"/>
    <s v="C009"/>
    <s v="Arjun Rao"/>
    <s v="P019"/>
    <x v="18"/>
    <x v="3"/>
    <s v="Cleaning"/>
    <x v="3"/>
    <s v="Delhi"/>
    <n v="4533.17"/>
    <n v="3210"/>
    <n v="1"/>
    <n v="0.2"/>
    <s v="Net Banking"/>
    <x v="0"/>
    <s v="Arjun Rao"/>
    <x v="825"/>
    <n v="0.29188625178407163"/>
    <n v="2024"/>
    <s v="Jun"/>
    <s v="Q2"/>
    <s v="Low"/>
    <s v="Profit"/>
    <s v="No"/>
    <s v="ARJUN RAO"/>
    <s v="arjun rao"/>
    <n v="9"/>
    <s v="ORD"/>
    <s v="0378"/>
    <s v="Arjun Rao-North"/>
    <s v="0378"/>
    <s v="Neha"/>
    <s v="Neha"/>
    <m/>
  </r>
  <r>
    <s v="ORD0863"/>
    <x v="369"/>
    <s v="C009"/>
    <s v="Arjun Rao"/>
    <s v="P019"/>
    <x v="18"/>
    <x v="3"/>
    <s v="Cleaning"/>
    <x v="1"/>
    <s v="Gujarat"/>
    <n v="25228.71"/>
    <n v="15390.24"/>
    <n v="4"/>
    <n v="0.15"/>
    <s v="Net Banking"/>
    <x v="0"/>
    <s v="Arjun Rao"/>
    <x v="826"/>
    <n v="0.38997118758747473"/>
    <n v="2025"/>
    <s v="Oct"/>
    <s v="Q4"/>
    <s v="Medium"/>
    <s v="Profit"/>
    <s v="No"/>
    <s v="ARJUN RAO"/>
    <s v="arjun rao"/>
    <n v="9"/>
    <s v="ORD"/>
    <s v="0863"/>
    <s v="Arjun Rao-West"/>
    <s v="0863"/>
    <s v="Neha"/>
    <s v="Neha"/>
    <m/>
  </r>
  <r>
    <s v="ORD0539"/>
    <x v="4"/>
    <s v="C009"/>
    <s v="Arjun Rao"/>
    <s v="P020"/>
    <x v="11"/>
    <x v="3"/>
    <s v="Kitchen"/>
    <x v="1"/>
    <s v="Gujarat"/>
    <n v="1582.94"/>
    <n v="1355.82"/>
    <n v="3"/>
    <n v="0.2"/>
    <s v="UPI"/>
    <x v="0"/>
    <s v="Arjun Rao"/>
    <x v="827"/>
    <n v="0.14347985394266372"/>
    <n v="2024"/>
    <s v="Jul"/>
    <s v="Q3"/>
    <s v="Low"/>
    <s v="Profit"/>
    <s v="No"/>
    <s v="ARJUN RAO"/>
    <s v="arjun rao"/>
    <n v="9"/>
    <s v="ORD"/>
    <s v="0539"/>
    <s v="Arjun Rao-West"/>
    <s v="0539"/>
    <s v="Simran"/>
    <s v="Simran"/>
    <m/>
  </r>
  <r>
    <s v="ORD0552"/>
    <x v="487"/>
    <s v="C009"/>
    <s v="Arjun Rao"/>
    <s v="P020"/>
    <x v="11"/>
    <x v="3"/>
    <s v="Kitchen"/>
    <x v="4"/>
    <s v="Chhattisgarh"/>
    <n v="1414.85"/>
    <n v="913.78"/>
    <n v="2"/>
    <n v="0.1"/>
    <s v="Debit Card"/>
    <x v="1"/>
    <s v="Arjun Rao"/>
    <x v="828"/>
    <n v="0.35415061667314557"/>
    <n v="2025"/>
    <s v="Jul"/>
    <s v="Q3"/>
    <s v="Low"/>
    <s v="Profit"/>
    <s v="No"/>
    <s v="ARJUN RAO"/>
    <s v="arjun rao"/>
    <n v="9"/>
    <s v="ORD"/>
    <s v="0552"/>
    <s v="Arjun Rao-Central"/>
    <s v="0552"/>
    <s v="Simran"/>
    <s v="Simran"/>
    <m/>
  </r>
  <r>
    <s v="ORD0891"/>
    <x v="196"/>
    <s v="C008"/>
    <s v="Anjali Patel"/>
    <s v="P001"/>
    <x v="12"/>
    <x v="0"/>
    <s v="Computers"/>
    <x v="4"/>
    <s v="Madhya Pradesh"/>
    <n v="169924.5"/>
    <n v="135115.53"/>
    <n v="3"/>
    <n v="0.1"/>
    <s v="Credit Card"/>
    <x v="0"/>
    <s v="Anjali Patel"/>
    <x v="829"/>
    <n v="0.20484962439200941"/>
    <n v="2024"/>
    <s v="Oct"/>
    <s v="Q4"/>
    <s v="High"/>
    <s v="Profit"/>
    <s v="Yes"/>
    <s v="ANJALI PATEL"/>
    <s v="anjali patel"/>
    <n v="12"/>
    <s v="ORD"/>
    <s v="0891"/>
    <s v="Anjali Patel-Central"/>
    <s v="0891"/>
    <s v="Rahul"/>
    <s v="Rahul"/>
    <m/>
  </r>
  <r>
    <s v="ORD0017"/>
    <x v="488"/>
    <s v="C008"/>
    <s v="Anjali Patel"/>
    <s v="P002"/>
    <x v="0"/>
    <x v="0"/>
    <s v="Phones"/>
    <x v="0"/>
    <s v="Karnataka"/>
    <n v="27372.1"/>
    <n v="16508.349999999999"/>
    <n v="1"/>
    <n v="0"/>
    <s v="Cash on Delivery"/>
    <x v="0"/>
    <s v="Anjali Patel"/>
    <x v="830"/>
    <n v="0.39689136018062188"/>
    <n v="2025"/>
    <s v="Aug"/>
    <s v="Q3"/>
    <s v="Medium"/>
    <s v="Profit"/>
    <s v="No"/>
    <s v="ANJALI PATEL"/>
    <s v="anjali patel"/>
    <n v="12"/>
    <s v="ORD"/>
    <s v="0017"/>
    <s v="Anjali Patel-South"/>
    <s v="0017"/>
    <s v="Priya"/>
    <s v="Priya"/>
    <m/>
  </r>
  <r>
    <s v="ORD0344"/>
    <x v="208"/>
    <s v="C008"/>
    <s v="Anjali Patel"/>
    <s v="P003"/>
    <x v="1"/>
    <x v="0"/>
    <s v="Accessories"/>
    <x v="0"/>
    <s v="Karnataka"/>
    <n v="10581.52"/>
    <n v="8296.15"/>
    <n v="5"/>
    <n v="0.15"/>
    <s v="Net Banking"/>
    <x v="1"/>
    <s v="Anjali Patel"/>
    <x v="831"/>
    <n v="0.21597747771586698"/>
    <n v="2024"/>
    <s v="May"/>
    <s v="Q2"/>
    <s v="Low"/>
    <s v="Profit"/>
    <s v="No"/>
    <s v="ANJALI PATEL"/>
    <s v="anjali patel"/>
    <n v="12"/>
    <s v="ORD"/>
    <s v="0344"/>
    <s v="Anjali Patel-South"/>
    <s v="0344"/>
    <s v="Amit"/>
    <s v="Amit"/>
    <m/>
  </r>
  <r>
    <s v="ORD0707"/>
    <x v="489"/>
    <s v="C008"/>
    <s v="Anjali Patel"/>
    <s v="P003"/>
    <x v="1"/>
    <x v="0"/>
    <s v="Accessories"/>
    <x v="1"/>
    <s v="Rajasthan"/>
    <n v="9399.89"/>
    <n v="7847.92"/>
    <n v="4"/>
    <n v="0.1"/>
    <s v="Credit Card"/>
    <x v="0"/>
    <s v="Anjali Patel"/>
    <x v="832"/>
    <n v="0.16510512357059492"/>
    <n v="2024"/>
    <s v="Jan"/>
    <s v="Q1"/>
    <s v="Low"/>
    <s v="Profit"/>
    <s v="No"/>
    <s v="ANJALI PATEL"/>
    <s v="anjali patel"/>
    <n v="12"/>
    <s v="ORD"/>
    <s v="0707"/>
    <s v="Anjali Patel-West"/>
    <s v="0707"/>
    <s v="Amit"/>
    <s v="Amit"/>
    <m/>
  </r>
  <r>
    <s v="ORD0077"/>
    <x v="19"/>
    <s v="C008"/>
    <s v="Anjali Patel"/>
    <s v="P004"/>
    <x v="13"/>
    <x v="0"/>
    <s v="Wearables"/>
    <x v="2"/>
    <s v="Bihar"/>
    <n v="18189.47"/>
    <n v="8315.19"/>
    <n v="3"/>
    <n v="0.05"/>
    <s v="Credit Card"/>
    <x v="0"/>
    <s v="Anjali Patel"/>
    <x v="833"/>
    <n v="0.54285693865736606"/>
    <n v="2024"/>
    <s v="Jul"/>
    <s v="Q3"/>
    <s v="Low"/>
    <s v="Profit"/>
    <s v="No"/>
    <s v="ANJALI PATEL"/>
    <s v="anjali patel"/>
    <n v="12"/>
    <s v="ORD"/>
    <s v="0077"/>
    <s v="Anjali Patel-East"/>
    <s v="0077"/>
    <s v="Neha"/>
    <s v="Neha"/>
    <m/>
  </r>
  <r>
    <s v="ORD0150"/>
    <x v="490"/>
    <s v="C008"/>
    <s v="Anjali Patel"/>
    <s v="P004"/>
    <x v="13"/>
    <x v="0"/>
    <s v="Wearables"/>
    <x v="3"/>
    <s v="Punjab"/>
    <n v="8444.3799999999992"/>
    <n v="5608.2"/>
    <n v="2"/>
    <n v="0"/>
    <s v="Credit Card"/>
    <x v="2"/>
    <s v="Anjali Patel"/>
    <x v="834"/>
    <n v="0.33586598424040598"/>
    <n v="2024"/>
    <s v="Sep"/>
    <s v="Q3"/>
    <s v="Low"/>
    <s v="Profit"/>
    <s v="No"/>
    <s v="ANJALI PATEL"/>
    <s v="anjali patel"/>
    <n v="12"/>
    <s v="ORD"/>
    <s v="0150"/>
    <s v="Anjali Patel-North"/>
    <s v="0150"/>
    <s v="Neha"/>
    <s v="Neha"/>
    <m/>
  </r>
  <r>
    <s v="ORD0374"/>
    <x v="102"/>
    <s v="C008"/>
    <s v="Anjali Patel"/>
    <s v="P004"/>
    <x v="13"/>
    <x v="0"/>
    <s v="Wearables"/>
    <x v="3"/>
    <s v="Delhi"/>
    <n v="30644.75"/>
    <n v="15149"/>
    <n v="5"/>
    <n v="0"/>
    <s v="Debit Card"/>
    <x v="0"/>
    <s v="Anjali Patel"/>
    <x v="835"/>
    <n v="0.50565757593062433"/>
    <n v="2025"/>
    <s v="Feb"/>
    <s v="Q1"/>
    <s v="Medium"/>
    <s v="Profit"/>
    <s v="No"/>
    <s v="ANJALI PATEL"/>
    <s v="anjali patel"/>
    <n v="12"/>
    <s v="ORD"/>
    <s v="0374"/>
    <s v="Anjali Patel-North"/>
    <s v="0374"/>
    <s v="Neha"/>
    <s v="Neha"/>
    <m/>
  </r>
  <r>
    <s v="ORD0723"/>
    <x v="427"/>
    <s v="C008"/>
    <s v="Anjali Patel"/>
    <s v="P004"/>
    <x v="13"/>
    <x v="0"/>
    <s v="Wearables"/>
    <x v="3"/>
    <s v="Delhi"/>
    <n v="22936.33"/>
    <n v="13879.4"/>
    <n v="5"/>
    <n v="0.05"/>
    <s v="Credit Card"/>
    <x v="0"/>
    <s v="Anjali Patel"/>
    <x v="836"/>
    <n v="0.39487267579425311"/>
    <n v="2024"/>
    <s v="Nov"/>
    <s v="Q4"/>
    <s v="Medium"/>
    <s v="Profit"/>
    <s v="No"/>
    <s v="ANJALI PATEL"/>
    <s v="anjali patel"/>
    <n v="12"/>
    <s v="ORD"/>
    <s v="0723"/>
    <s v="Anjali Patel-North"/>
    <s v="0723"/>
    <s v="Neha"/>
    <s v="Neha"/>
    <m/>
  </r>
  <r>
    <s v="ORD0786"/>
    <x v="269"/>
    <s v="C008"/>
    <s v="Anjali Patel"/>
    <s v="P004"/>
    <x v="13"/>
    <x v="0"/>
    <s v="Wearables"/>
    <x v="2"/>
    <s v="West Bengal"/>
    <n v="6428.37"/>
    <n v="3013.17"/>
    <n v="1"/>
    <n v="0.2"/>
    <s v="Debit Card"/>
    <x v="2"/>
    <s v="Anjali Patel"/>
    <x v="837"/>
    <n v="0.53126997979270019"/>
    <n v="2025"/>
    <s v="May"/>
    <s v="Q2"/>
    <s v="Low"/>
    <s v="Profit"/>
    <s v="No"/>
    <s v="ANJALI PATEL"/>
    <s v="anjali patel"/>
    <n v="12"/>
    <s v="ORD"/>
    <s v="0786"/>
    <s v="Anjali Patel-East"/>
    <s v="0786"/>
    <s v="Neha"/>
    <s v="Neha"/>
    <m/>
  </r>
  <r>
    <s v="ORD0414"/>
    <x v="66"/>
    <s v="C008"/>
    <s v="Anjali Patel"/>
    <s v="P005"/>
    <x v="14"/>
    <x v="0"/>
    <s v="Computers"/>
    <x v="0"/>
    <s v="Karnataka"/>
    <n v="49135.3"/>
    <n v="40037.050000000003"/>
    <n v="5"/>
    <n v="0"/>
    <s v="Net Banking"/>
    <x v="4"/>
    <s v="Anjali Patel"/>
    <x v="838"/>
    <n v="0.18516728299206475"/>
    <n v="2024"/>
    <s v="Jan"/>
    <s v="Q1"/>
    <s v="Medium"/>
    <s v="Profit"/>
    <s v="No"/>
    <s v="ANJALI PATEL"/>
    <s v="anjali patel"/>
    <n v="12"/>
    <s v="ORD"/>
    <s v="0414"/>
    <s v="Anjali Patel-South"/>
    <s v="0414"/>
    <s v="Simran"/>
    <s v="Simran"/>
    <m/>
  </r>
  <r>
    <s v="ORD0637"/>
    <x v="28"/>
    <s v="C008"/>
    <s v="Anjali Patel"/>
    <s v="P005"/>
    <x v="14"/>
    <x v="0"/>
    <s v="Computers"/>
    <x v="4"/>
    <s v="Chhattisgarh"/>
    <n v="31644.59"/>
    <n v="25981.74"/>
    <n v="3"/>
    <n v="0.1"/>
    <s v="Debit Card"/>
    <x v="2"/>
    <s v="Anjali Patel"/>
    <x v="839"/>
    <n v="0.17895159962571797"/>
    <n v="2025"/>
    <s v="Sep"/>
    <s v="Q3"/>
    <s v="Medium"/>
    <s v="Profit"/>
    <s v="No"/>
    <s v="ANJALI PATEL"/>
    <s v="anjali patel"/>
    <n v="12"/>
    <s v="ORD"/>
    <s v="0637"/>
    <s v="Anjali Patel-Central"/>
    <s v="0637"/>
    <s v="Simran"/>
    <s v="Simran"/>
    <m/>
  </r>
  <r>
    <s v="ORD0685"/>
    <x v="103"/>
    <s v="C008"/>
    <s v="Anjali Patel"/>
    <s v="P005"/>
    <x v="14"/>
    <x v="0"/>
    <s v="Computers"/>
    <x v="3"/>
    <s v="Delhi"/>
    <n v="14738"/>
    <n v="8647.4599999999991"/>
    <n v="1"/>
    <n v="0"/>
    <s v="Net Banking"/>
    <x v="0"/>
    <s v="Anjali Patel"/>
    <x v="840"/>
    <n v="0.41325417288641614"/>
    <n v="2024"/>
    <s v="Jun"/>
    <s v="Q2"/>
    <s v="Low"/>
    <s v="Profit"/>
    <s v="No"/>
    <s v="ANJALI PATEL"/>
    <s v="anjali patel"/>
    <n v="12"/>
    <s v="ORD"/>
    <s v="0685"/>
    <s v="Anjali Patel-North"/>
    <s v="0685"/>
    <s v="Simran"/>
    <s v="Simran"/>
    <m/>
  </r>
  <r>
    <s v="ORD0041"/>
    <x v="295"/>
    <s v="C008"/>
    <s v="Anjali Patel"/>
    <s v="P006"/>
    <x v="2"/>
    <x v="1"/>
    <s v="Chairs"/>
    <x v="4"/>
    <s v="Madhya Pradesh"/>
    <n v="33947.71"/>
    <n v="16289.24"/>
    <n v="4"/>
    <n v="0.1"/>
    <s v="Net Banking"/>
    <x v="0"/>
    <s v="Anjali Patel"/>
    <x v="841"/>
    <n v="0.52016675057021522"/>
    <n v="2024"/>
    <s v="Jun"/>
    <s v="Q2"/>
    <s v="Medium"/>
    <s v="Profit"/>
    <s v="No"/>
    <s v="ANJALI PATEL"/>
    <s v="anjali patel"/>
    <n v="12"/>
    <s v="ORD"/>
    <s v="0041"/>
    <s v="Anjali Patel-Central"/>
    <s v="0041"/>
    <s v="Karan"/>
    <s v="Karan"/>
    <m/>
  </r>
  <r>
    <s v="ORD0203"/>
    <x v="357"/>
    <s v="C008"/>
    <s v="Anjali Patel"/>
    <s v="P006"/>
    <x v="2"/>
    <x v="1"/>
    <s v="Chairs"/>
    <x v="4"/>
    <s v="Chhattisgarh"/>
    <n v="29314.2"/>
    <n v="23495.1"/>
    <n v="5"/>
    <n v="0.05"/>
    <s v="Net Banking"/>
    <x v="2"/>
    <s v="Anjali Patel"/>
    <x v="842"/>
    <n v="0.19850789037394853"/>
    <n v="2024"/>
    <s v="Dec"/>
    <s v="Q4"/>
    <s v="Medium"/>
    <s v="Profit"/>
    <s v="No"/>
    <s v="ANJALI PATEL"/>
    <s v="anjali patel"/>
    <n v="12"/>
    <s v="ORD"/>
    <s v="0203"/>
    <s v="Anjali Patel-Central"/>
    <s v="0203"/>
    <s v="Karan"/>
    <s v="Karan"/>
    <m/>
  </r>
  <r>
    <s v="ORD0263"/>
    <x v="32"/>
    <s v="C008"/>
    <s v="Anjali Patel"/>
    <s v="P007"/>
    <x v="3"/>
    <x v="1"/>
    <s v="Tables"/>
    <x v="2"/>
    <s v="West Bengal"/>
    <n v="26917.85"/>
    <n v="22323.9"/>
    <n v="3"/>
    <n v="0.15"/>
    <s v="UPI"/>
    <x v="1"/>
    <s v="Anjali Patel"/>
    <x v="843"/>
    <n v="0.17066556207126488"/>
    <n v="2025"/>
    <s v="Jun"/>
    <s v="Q2"/>
    <s v="Medium"/>
    <s v="Profit"/>
    <s v="No"/>
    <s v="ANJALI PATEL"/>
    <s v="anjali patel"/>
    <n v="12"/>
    <s v="ORD"/>
    <s v="0263"/>
    <s v="Anjali Patel-East"/>
    <s v="0263"/>
    <s v="Rohan"/>
    <s v="Rohan"/>
    <m/>
  </r>
  <r>
    <s v="ORD0566"/>
    <x v="68"/>
    <s v="C008"/>
    <s v="Anjali Patel"/>
    <s v="P007"/>
    <x v="3"/>
    <x v="1"/>
    <s v="Tables"/>
    <x v="4"/>
    <s v="Chhattisgarh"/>
    <n v="15681.97"/>
    <n v="7380.13"/>
    <n v="1"/>
    <n v="0.1"/>
    <s v="Cash on Delivery"/>
    <x v="0"/>
    <s v="Anjali Patel"/>
    <x v="844"/>
    <n v="0.52938757056670815"/>
    <n v="2024"/>
    <s v="Nov"/>
    <s v="Q4"/>
    <s v="Low"/>
    <s v="Profit"/>
    <s v="No"/>
    <s v="ANJALI PATEL"/>
    <s v="anjali patel"/>
    <n v="12"/>
    <s v="ORD"/>
    <s v="0566"/>
    <s v="Anjali Patel-Central"/>
    <s v="0566"/>
    <s v="Rohan"/>
    <s v="Rohan"/>
    <m/>
  </r>
  <r>
    <s v="ORD0596"/>
    <x v="491"/>
    <s v="C008"/>
    <s v="Anjali Patel"/>
    <s v="P007"/>
    <x v="3"/>
    <x v="1"/>
    <s v="Tables"/>
    <x v="4"/>
    <s v="Madhya Pradesh"/>
    <n v="14908.78"/>
    <n v="6547.91"/>
    <n v="1"/>
    <n v="0.15"/>
    <s v="Cash on Delivery"/>
    <x v="2"/>
    <s v="Anjali Patel"/>
    <x v="845"/>
    <n v="0.56080175574393076"/>
    <n v="2024"/>
    <s v="Jul"/>
    <s v="Q3"/>
    <s v="Low"/>
    <s v="Profit"/>
    <s v="No"/>
    <s v="ANJALI PATEL"/>
    <s v="anjali patel"/>
    <n v="12"/>
    <s v="ORD"/>
    <s v="0596"/>
    <s v="Anjali Patel-Central"/>
    <s v="0596"/>
    <s v="Rohan"/>
    <s v="Rohan"/>
    <m/>
  </r>
  <r>
    <s v="ORD0802"/>
    <x v="459"/>
    <s v="C008"/>
    <s v="Anjali Patel"/>
    <s v="P007"/>
    <x v="3"/>
    <x v="1"/>
    <s v="Tables"/>
    <x v="0"/>
    <s v="Karnataka"/>
    <n v="29890.77"/>
    <n v="22035.06"/>
    <n v="3"/>
    <n v="0.15"/>
    <s v="Credit Card"/>
    <x v="0"/>
    <s v="Anjali Patel"/>
    <x v="846"/>
    <n v="0.26281390542966937"/>
    <n v="2024"/>
    <s v="Sep"/>
    <s v="Q3"/>
    <s v="Medium"/>
    <s v="Profit"/>
    <s v="No"/>
    <s v="ANJALI PATEL"/>
    <s v="anjali patel"/>
    <n v="12"/>
    <s v="ORD"/>
    <s v="0802"/>
    <s v="Anjali Patel-South"/>
    <s v="0802"/>
    <s v="Rohan"/>
    <s v="Rohan"/>
    <m/>
  </r>
  <r>
    <s v="ORD0899"/>
    <x v="60"/>
    <s v="C008"/>
    <s v="Anjali Patel"/>
    <s v="P007"/>
    <x v="3"/>
    <x v="1"/>
    <s v="Tables"/>
    <x v="3"/>
    <s v="Punjab"/>
    <n v="42578.97"/>
    <n v="19163.939999999999"/>
    <n v="3"/>
    <n v="0"/>
    <s v="Net Banking"/>
    <x v="3"/>
    <s v="Anjali Patel"/>
    <x v="847"/>
    <n v="0.54992006617351241"/>
    <n v="2024"/>
    <s v="Dec"/>
    <s v="Q4"/>
    <s v="Medium"/>
    <s v="Profit"/>
    <s v="No"/>
    <s v="ANJALI PATEL"/>
    <s v="anjali patel"/>
    <n v="12"/>
    <s v="ORD"/>
    <s v="0899"/>
    <s v="Anjali Patel-North"/>
    <s v="0899"/>
    <s v="Rohan"/>
    <s v="Rohan"/>
    <m/>
  </r>
  <r>
    <s v="ORD0242"/>
    <x v="225"/>
    <s v="C008"/>
    <s v="Anjali Patel"/>
    <s v="P008"/>
    <x v="4"/>
    <x v="1"/>
    <s v="Storage"/>
    <x v="1"/>
    <s v="Gujarat"/>
    <n v="19309.02"/>
    <n v="7641.04"/>
    <n v="2"/>
    <n v="0"/>
    <s v="UPI"/>
    <x v="3"/>
    <s v="Anjali Patel"/>
    <x v="848"/>
    <n v="0.60427613623063203"/>
    <n v="2024"/>
    <s v="Dec"/>
    <s v="Q4"/>
    <s v="Low"/>
    <s v="Profit"/>
    <s v="No"/>
    <s v="ANJALI PATEL"/>
    <s v="anjali patel"/>
    <n v="12"/>
    <s v="ORD"/>
    <s v="0242"/>
    <s v="Anjali Patel-West"/>
    <s v="0242"/>
    <s v="Anjali"/>
    <s v="Anjali"/>
    <m/>
  </r>
  <r>
    <s v="ORD0357"/>
    <x v="245"/>
    <s v="C008"/>
    <s v="Anjali Patel"/>
    <s v="P008"/>
    <x v="4"/>
    <x v="1"/>
    <s v="Storage"/>
    <x v="0"/>
    <s v="Tamil Nadu"/>
    <n v="7769.5"/>
    <n v="4211.24"/>
    <n v="1"/>
    <n v="0.2"/>
    <s v="Net Banking"/>
    <x v="1"/>
    <s v="Anjali Patel"/>
    <x v="849"/>
    <n v="0.45797799086170282"/>
    <n v="2025"/>
    <s v="Jun"/>
    <s v="Q2"/>
    <s v="Low"/>
    <s v="Profit"/>
    <s v="No"/>
    <s v="ANJALI PATEL"/>
    <s v="anjali patel"/>
    <n v="12"/>
    <s v="ORD"/>
    <s v="0357"/>
    <s v="Anjali Patel-South"/>
    <s v="0357"/>
    <s v="Anjali"/>
    <s v="Anjali"/>
    <m/>
  </r>
  <r>
    <s v="ORD0511"/>
    <x v="428"/>
    <s v="C008"/>
    <s v="Anjali Patel"/>
    <s v="P008"/>
    <x v="4"/>
    <x v="1"/>
    <s v="Storage"/>
    <x v="4"/>
    <s v="Chhattisgarh"/>
    <n v="14542.19"/>
    <n v="7566.74"/>
    <n v="2"/>
    <n v="0.2"/>
    <s v="Debit Card"/>
    <x v="0"/>
    <s v="Anjali Patel"/>
    <x v="850"/>
    <n v="0.47966984340047825"/>
    <n v="2024"/>
    <s v="Sep"/>
    <s v="Q3"/>
    <s v="Low"/>
    <s v="Profit"/>
    <s v="No"/>
    <s v="ANJALI PATEL"/>
    <s v="anjali patel"/>
    <n v="12"/>
    <s v="ORD"/>
    <s v="0511"/>
    <s v="Anjali Patel-Central"/>
    <s v="0511"/>
    <s v="Anjali"/>
    <s v="Anjali"/>
    <m/>
  </r>
  <r>
    <s v="ORD0770"/>
    <x v="168"/>
    <s v="C008"/>
    <s v="Anjali Patel"/>
    <s v="P008"/>
    <x v="4"/>
    <x v="1"/>
    <s v="Storage"/>
    <x v="2"/>
    <s v="Odisha"/>
    <n v="37249.699999999997"/>
    <n v="18339.75"/>
    <n v="5"/>
    <n v="0.1"/>
    <s v="UPI"/>
    <x v="1"/>
    <s v="Anjali Patel"/>
    <x v="851"/>
    <n v="0.5076537529161308"/>
    <n v="2024"/>
    <s v="Nov"/>
    <s v="Q4"/>
    <s v="Medium"/>
    <s v="Profit"/>
    <s v="No"/>
    <s v="ANJALI PATEL"/>
    <s v="anjali patel"/>
    <n v="12"/>
    <s v="ORD"/>
    <s v="0770"/>
    <s v="Anjali Patel-East"/>
    <s v="0770"/>
    <s v="Anjali"/>
    <s v="Anjali"/>
    <m/>
  </r>
  <r>
    <s v="ORD0321"/>
    <x v="80"/>
    <s v="C008"/>
    <s v="Anjali Patel"/>
    <s v="P009"/>
    <x v="5"/>
    <x v="1"/>
    <s v="Seating"/>
    <x v="2"/>
    <s v="Odisha"/>
    <n v="42188.98"/>
    <n v="32341.74"/>
    <n v="2"/>
    <n v="0.2"/>
    <s v="Debit Card"/>
    <x v="0"/>
    <s v="Anjali Patel"/>
    <x v="852"/>
    <n v="0.23340787096535637"/>
    <n v="2024"/>
    <s v="Mar"/>
    <s v="Q1"/>
    <s v="Medium"/>
    <s v="Profit"/>
    <s v="No"/>
    <s v="ANJALI PATEL"/>
    <s v="anjali patel"/>
    <n v="12"/>
    <s v="ORD"/>
    <s v="0321"/>
    <s v="Anjali Patel-East"/>
    <s v="0321"/>
    <s v="Arjun"/>
    <s v="Arjun"/>
    <m/>
  </r>
  <r>
    <s v="ORD0396"/>
    <x v="233"/>
    <s v="C008"/>
    <s v="Anjali Patel"/>
    <s v="P009"/>
    <x v="5"/>
    <x v="1"/>
    <s v="Seating"/>
    <x v="2"/>
    <s v="West Bengal"/>
    <n v="62696.08"/>
    <n v="47268.54"/>
    <n v="3"/>
    <n v="0.1"/>
    <s v="Net Banking"/>
    <x v="4"/>
    <s v="Anjali Patel"/>
    <x v="853"/>
    <n v="0.24606865373401335"/>
    <n v="2024"/>
    <s v="Nov"/>
    <s v="Q4"/>
    <s v="High"/>
    <s v="Profit"/>
    <s v="Yes"/>
    <s v="ANJALI PATEL"/>
    <s v="anjali patel"/>
    <n v="12"/>
    <s v="ORD"/>
    <s v="0396"/>
    <s v="Anjali Patel-East"/>
    <s v="0396"/>
    <s v="Arjun"/>
    <s v="Arjun"/>
    <m/>
  </r>
  <r>
    <s v="ORD0218"/>
    <x v="492"/>
    <s v="C008"/>
    <s v="Anjali Patel"/>
    <s v="P010"/>
    <x v="6"/>
    <x v="1"/>
    <s v="Bedroom"/>
    <x v="4"/>
    <s v="Madhya Pradesh"/>
    <n v="49102.48"/>
    <n v="37369.72"/>
    <n v="2"/>
    <n v="0.15"/>
    <s v="Debit Card"/>
    <x v="4"/>
    <s v="Anjali Patel"/>
    <x v="854"/>
    <n v="0.2389443465991942"/>
    <n v="2024"/>
    <s v="Oct"/>
    <s v="Q4"/>
    <s v="Medium"/>
    <s v="Profit"/>
    <s v="No"/>
    <s v="ANJALI PATEL"/>
    <s v="anjali patel"/>
    <n v="12"/>
    <s v="ORD"/>
    <s v="0218"/>
    <s v="Anjali Patel-Central"/>
    <s v="0218"/>
    <s v="Sneha"/>
    <s v="Sneha"/>
    <m/>
  </r>
  <r>
    <s v="ORD0125"/>
    <x v="189"/>
    <s v="C008"/>
    <s v="Anjali Patel"/>
    <s v="P011"/>
    <x v="15"/>
    <x v="2"/>
    <s v="Footwear"/>
    <x v="4"/>
    <s v="Madhya Pradesh"/>
    <n v="21291.07"/>
    <n v="5403.4"/>
    <n v="5"/>
    <n v="0.05"/>
    <s v="Credit Card"/>
    <x v="4"/>
    <s v="Anjali Patel"/>
    <x v="855"/>
    <n v="0.74621284886104833"/>
    <n v="2024"/>
    <s v="May"/>
    <s v="Q2"/>
    <s v="Medium"/>
    <s v="Profit"/>
    <s v="No"/>
    <s v="ANJALI PATEL"/>
    <s v="anjali patel"/>
    <n v="12"/>
    <s v="ORD"/>
    <s v="0125"/>
    <s v="Anjali Patel-Central"/>
    <s v="0125"/>
    <s v="Vikas"/>
    <s v="Vikas"/>
    <m/>
  </r>
  <r>
    <s v="ORD0335"/>
    <x v="310"/>
    <s v="C008"/>
    <s v="Anjali Patel"/>
    <s v="P011"/>
    <x v="15"/>
    <x v="2"/>
    <s v="Footwear"/>
    <x v="0"/>
    <s v="Karnataka"/>
    <n v="4397.6499999999996"/>
    <n v="3435.3"/>
    <n v="3"/>
    <n v="0.1"/>
    <s v="UPI"/>
    <x v="0"/>
    <s v="Anjali Patel"/>
    <x v="856"/>
    <n v="0.21883278569235831"/>
    <n v="2025"/>
    <s v="Mar"/>
    <s v="Q1"/>
    <s v="Low"/>
    <s v="Profit"/>
    <s v="No"/>
    <s v="ANJALI PATEL"/>
    <s v="anjali patel"/>
    <n v="12"/>
    <s v="ORD"/>
    <s v="0335"/>
    <s v="Anjali Patel-South"/>
    <s v="0335"/>
    <s v="Vikas"/>
    <s v="Vikas"/>
    <m/>
  </r>
  <r>
    <s v="ORD0887"/>
    <x v="493"/>
    <s v="C008"/>
    <s v="Anjali Patel"/>
    <s v="P011"/>
    <x v="15"/>
    <x v="2"/>
    <s v="Footwear"/>
    <x v="0"/>
    <s v="Telangana"/>
    <n v="9670.39"/>
    <n v="5240.6400000000003"/>
    <n v="4"/>
    <n v="0.05"/>
    <s v="UPI"/>
    <x v="2"/>
    <s v="Anjali Patel"/>
    <x v="857"/>
    <n v="0.45807356270015992"/>
    <n v="2024"/>
    <s v="Aug"/>
    <s v="Q3"/>
    <s v="Low"/>
    <s v="Profit"/>
    <s v="No"/>
    <s v="ANJALI PATEL"/>
    <s v="anjali patel"/>
    <n v="12"/>
    <s v="ORD"/>
    <s v="0887"/>
    <s v="Anjali Patel-South"/>
    <s v="0887"/>
    <s v="Vikas"/>
    <s v="Vikas"/>
    <m/>
  </r>
  <r>
    <s v="ORD0804"/>
    <x v="494"/>
    <s v="C008"/>
    <s v="Anjali Patel"/>
    <s v="P012"/>
    <x v="7"/>
    <x v="2"/>
    <s v="Clothing"/>
    <x v="2"/>
    <s v="West Bengal"/>
    <n v="8679.2000000000007"/>
    <n v="3301.72"/>
    <n v="4"/>
    <n v="0.1"/>
    <s v="Net Banking"/>
    <x v="0"/>
    <s v="Anjali Patel"/>
    <x v="858"/>
    <n v="0.61958244999539136"/>
    <n v="2025"/>
    <s v="Dec"/>
    <s v="Q4"/>
    <s v="Low"/>
    <s v="Profit"/>
    <s v="No"/>
    <s v="ANJALI PATEL"/>
    <s v="anjali patel"/>
    <n v="12"/>
    <s v="ORD"/>
    <s v="0804"/>
    <s v="Anjali Patel-East"/>
    <s v="0804"/>
    <s v="Pooja"/>
    <s v="Pooja"/>
    <m/>
  </r>
  <r>
    <s v="ORD0003"/>
    <x v="495"/>
    <s v="C008"/>
    <s v="Anjali Patel"/>
    <s v="P015"/>
    <x v="17"/>
    <x v="2"/>
    <s v="Clothing"/>
    <x v="2"/>
    <s v="West Bengal"/>
    <n v="727.13"/>
    <n v="525.88"/>
    <n v="1"/>
    <n v="0.15"/>
    <s v="Debit Card"/>
    <x v="4"/>
    <s v="Anjali Patel"/>
    <x v="859"/>
    <n v="0.27677306671434271"/>
    <n v="2024"/>
    <s v="Oct"/>
    <s v="Q4"/>
    <s v="Low"/>
    <s v="Profit"/>
    <s v="No"/>
    <s v="ANJALI PATEL"/>
    <s v="anjali patel"/>
    <n v="12"/>
    <s v="ORD"/>
    <s v="0003"/>
    <s v="Anjali Patel-East"/>
    <s v="0003"/>
    <s v="Manish"/>
    <s v="Manish"/>
    <m/>
  </r>
  <r>
    <s v="ORD0072"/>
    <x v="496"/>
    <s v="C008"/>
    <s v="Anjali Patel"/>
    <s v="P015"/>
    <x v="17"/>
    <x v="2"/>
    <s v="Clothing"/>
    <x v="2"/>
    <s v="West Bengal"/>
    <n v="5007.2"/>
    <n v="1934.56"/>
    <n v="4"/>
    <n v="0.1"/>
    <s v="Credit Card"/>
    <x v="2"/>
    <s v="Anjali Patel"/>
    <x v="860"/>
    <n v="0.61364435213292856"/>
    <n v="2025"/>
    <s v="Sep"/>
    <s v="Q3"/>
    <s v="Low"/>
    <s v="Profit"/>
    <s v="No"/>
    <s v="ANJALI PATEL"/>
    <s v="anjali patel"/>
    <n v="12"/>
    <s v="ORD"/>
    <s v="0072"/>
    <s v="Anjali Patel-East"/>
    <s v="0072"/>
    <s v="Manish"/>
    <s v="Manish"/>
    <m/>
  </r>
  <r>
    <s v="ORD0202"/>
    <x v="475"/>
    <s v="C008"/>
    <s v="Anjali Patel"/>
    <s v="P015"/>
    <x v="17"/>
    <x v="2"/>
    <s v="Clothing"/>
    <x v="3"/>
    <s v="Uttar Pradesh"/>
    <n v="2717.64"/>
    <n v="1899.16"/>
    <n v="4"/>
    <n v="0.1"/>
    <s v="Net Banking"/>
    <x v="3"/>
    <s v="Anjali Patel"/>
    <x v="861"/>
    <n v="0.30117307664002585"/>
    <n v="2024"/>
    <s v="Sep"/>
    <s v="Q3"/>
    <s v="Low"/>
    <s v="Profit"/>
    <s v="No"/>
    <s v="ANJALI PATEL"/>
    <s v="anjali patel"/>
    <n v="12"/>
    <s v="ORD"/>
    <s v="0202"/>
    <s v="Anjali Patel-North"/>
    <s v="0202"/>
    <s v="Manish"/>
    <s v="Manish"/>
    <m/>
  </r>
  <r>
    <s v="ORD0663"/>
    <x v="497"/>
    <s v="C008"/>
    <s v="Anjali Patel"/>
    <s v="P015"/>
    <x v="17"/>
    <x v="2"/>
    <s v="Clothing"/>
    <x v="2"/>
    <s v="Bihar"/>
    <n v="3194.96"/>
    <n v="942.18"/>
    <n v="2"/>
    <n v="0.1"/>
    <s v="UPI"/>
    <x v="4"/>
    <s v="Anjali Patel"/>
    <x v="862"/>
    <n v="0.70510428925557755"/>
    <n v="2025"/>
    <s v="Oct"/>
    <s v="Q4"/>
    <s v="Low"/>
    <s v="Profit"/>
    <s v="No"/>
    <s v="ANJALI PATEL"/>
    <s v="anjali patel"/>
    <n v="12"/>
    <s v="ORD"/>
    <s v="0663"/>
    <s v="Anjali Patel-East"/>
    <s v="0663"/>
    <s v="Manish"/>
    <s v="Manish"/>
    <m/>
  </r>
  <r>
    <s v="ORD0806"/>
    <x v="498"/>
    <s v="C008"/>
    <s v="Anjali Patel"/>
    <s v="P016"/>
    <x v="8"/>
    <x v="3"/>
    <s v="Kitchen"/>
    <x v="0"/>
    <s v="Telangana"/>
    <n v="24187.65"/>
    <n v="9377.2000000000007"/>
    <n v="5"/>
    <n v="0"/>
    <s v="Debit Card"/>
    <x v="3"/>
    <s v="Anjali Patel"/>
    <x v="863"/>
    <n v="0.61231454895370152"/>
    <n v="2025"/>
    <s v="Sep"/>
    <s v="Q3"/>
    <s v="Medium"/>
    <s v="Profit"/>
    <s v="No"/>
    <s v="ANJALI PATEL"/>
    <s v="anjali patel"/>
    <n v="12"/>
    <s v="ORD"/>
    <s v="0806"/>
    <s v="Anjali Patel-South"/>
    <s v="0806"/>
    <s v="Rahul"/>
    <s v="Rahul"/>
    <m/>
  </r>
  <r>
    <s v="ORD0797"/>
    <x v="499"/>
    <s v="C008"/>
    <s v="Anjali Patel"/>
    <s v="P017"/>
    <x v="9"/>
    <x v="3"/>
    <s v="Kitchen"/>
    <x v="2"/>
    <s v="Bihar"/>
    <n v="21082.1"/>
    <n v="12832.7"/>
    <n v="2"/>
    <n v="0.1"/>
    <s v="Net Banking"/>
    <x v="2"/>
    <s v="Anjali Patel"/>
    <x v="864"/>
    <n v="0.39129877953334813"/>
    <n v="2025"/>
    <s v="Oct"/>
    <s v="Q4"/>
    <s v="Medium"/>
    <s v="Profit"/>
    <s v="No"/>
    <s v="ANJALI PATEL"/>
    <s v="anjali patel"/>
    <n v="12"/>
    <s v="ORD"/>
    <s v="0797"/>
    <s v="Anjali Patel-East"/>
    <s v="0797"/>
    <s v="Priya"/>
    <s v="Priya"/>
    <m/>
  </r>
  <r>
    <s v="ORD0609"/>
    <x v="500"/>
    <s v="C008"/>
    <s v="Anjali Patel"/>
    <s v="P018"/>
    <x v="10"/>
    <x v="3"/>
    <s v="Cooling"/>
    <x v="0"/>
    <s v="Tamil Nadu"/>
    <n v="36006.14"/>
    <n v="29260.65"/>
    <n v="5"/>
    <n v="0.05"/>
    <s v="Credit Card"/>
    <x v="0"/>
    <s v="Anjali Patel"/>
    <x v="865"/>
    <n v="0.18734276987202733"/>
    <n v="2025"/>
    <s v="Sep"/>
    <s v="Q3"/>
    <s v="Medium"/>
    <s v="Profit"/>
    <s v="No"/>
    <s v="ANJALI PATEL"/>
    <s v="anjali patel"/>
    <n v="12"/>
    <s v="ORD"/>
    <s v="0609"/>
    <s v="Anjali Patel-South"/>
    <s v="0609"/>
    <s v="Amit"/>
    <s v="Amit"/>
    <m/>
  </r>
  <r>
    <s v="ORD0883"/>
    <x v="501"/>
    <s v="C008"/>
    <s v="Anjali Patel"/>
    <s v="P018"/>
    <x v="10"/>
    <x v="3"/>
    <s v="Cooling"/>
    <x v="1"/>
    <s v="Maharashtra"/>
    <n v="37499.14"/>
    <n v="19983.88"/>
    <n v="4"/>
    <n v="0.2"/>
    <s v="Debit Card"/>
    <x v="0"/>
    <s v="Anjali Patel"/>
    <x v="866"/>
    <n v="0.46708431180021726"/>
    <n v="2025"/>
    <s v="Jul"/>
    <s v="Q3"/>
    <s v="Medium"/>
    <s v="Profit"/>
    <s v="No"/>
    <s v="ANJALI PATEL"/>
    <s v="anjali patel"/>
    <n v="12"/>
    <s v="ORD"/>
    <s v="0883"/>
    <s v="Anjali Patel-West"/>
    <s v="0883"/>
    <s v="Amit"/>
    <s v="Amit"/>
    <m/>
  </r>
  <r>
    <s v="ORD0245"/>
    <x v="408"/>
    <s v="C008"/>
    <s v="Anjali Patel"/>
    <s v="P019"/>
    <x v="18"/>
    <x v="3"/>
    <s v="Cleaning"/>
    <x v="0"/>
    <s v="Telangana"/>
    <n v="38367.56"/>
    <n v="18453.900000000001"/>
    <n v="5"/>
    <n v="0.05"/>
    <s v="Debit Card"/>
    <x v="0"/>
    <s v="Anjali Patel"/>
    <x v="867"/>
    <n v="0.51902336244473191"/>
    <n v="2025"/>
    <s v="Aug"/>
    <s v="Q3"/>
    <s v="Medium"/>
    <s v="Profit"/>
    <s v="No"/>
    <s v="ANJALI PATEL"/>
    <s v="anjali patel"/>
    <n v="12"/>
    <s v="ORD"/>
    <s v="0245"/>
    <s v="Anjali Patel-South"/>
    <s v="0245"/>
    <s v="Neha"/>
    <s v="Neha"/>
    <m/>
  </r>
  <r>
    <s v="ORD0514"/>
    <x v="397"/>
    <s v="C008"/>
    <s v="Anjali Patel"/>
    <s v="P019"/>
    <x v="18"/>
    <x v="3"/>
    <s v="Cleaning"/>
    <x v="3"/>
    <s v="Punjab"/>
    <n v="25399.48"/>
    <n v="18547.45"/>
    <n v="5"/>
    <n v="0.2"/>
    <s v="UPI"/>
    <x v="1"/>
    <s v="Anjali Patel"/>
    <x v="868"/>
    <n v="0.26977048349021315"/>
    <n v="2024"/>
    <s v="Feb"/>
    <s v="Q1"/>
    <s v="Medium"/>
    <s v="Profit"/>
    <s v="No"/>
    <s v="ANJALI PATEL"/>
    <s v="anjali patel"/>
    <n v="12"/>
    <s v="ORD"/>
    <s v="0514"/>
    <s v="Anjali Patel-North"/>
    <s v="0514"/>
    <s v="Neha"/>
    <s v="Neha"/>
    <m/>
  </r>
  <r>
    <s v="ORD0350"/>
    <x v="73"/>
    <s v="C003"/>
    <s v="Amit Kumar"/>
    <s v="P001"/>
    <x v="12"/>
    <x v="0"/>
    <s v="Computers"/>
    <x v="3"/>
    <s v="Uttar Pradesh"/>
    <n v="197257.82"/>
    <n v="203877.08"/>
    <n v="4"/>
    <n v="0.1"/>
    <s v="UPI"/>
    <x v="0"/>
    <s v="Amit Kumar"/>
    <x v="869"/>
    <n v="-3.3556388284124702E-2"/>
    <n v="2024"/>
    <s v="Jul"/>
    <s v="Q3"/>
    <s v="High"/>
    <s v="Loss"/>
    <s v="Yes"/>
    <s v="AMIT KUMAR"/>
    <s v="amit kumar"/>
    <n v="10"/>
    <s v="ORD"/>
    <s v="0350"/>
    <s v="Amit Kumar-North"/>
    <s v="0350"/>
    <s v="Rahul"/>
    <s v="Rahul"/>
    <m/>
  </r>
  <r>
    <s v="ORD0747"/>
    <x v="119"/>
    <s v="C003"/>
    <s v="Amit Kumar"/>
    <s v="P001"/>
    <x v="12"/>
    <x v="0"/>
    <s v="Computers"/>
    <x v="4"/>
    <s v="Madhya Pradesh"/>
    <n v="175909.98"/>
    <n v="174432.64000000001"/>
    <n v="4"/>
    <n v="0.2"/>
    <s v="Cash on Delivery"/>
    <x v="0"/>
    <s v="Amit Kumar"/>
    <x v="870"/>
    <n v="8.3982727983937938E-3"/>
    <n v="2025"/>
    <s v="May"/>
    <s v="Q2"/>
    <s v="High"/>
    <s v="Profit"/>
    <s v="Yes"/>
    <s v="AMIT KUMAR"/>
    <s v="amit kumar"/>
    <n v="10"/>
    <s v="ORD"/>
    <s v="0747"/>
    <s v="Amit Kumar-Central"/>
    <s v="0747"/>
    <s v="Rahul"/>
    <s v="Rahul"/>
    <m/>
  </r>
  <r>
    <s v="ORD0953"/>
    <x v="124"/>
    <s v="C003"/>
    <s v="Amit Kumar"/>
    <s v="P001"/>
    <x v="12"/>
    <x v="0"/>
    <s v="Computers"/>
    <x v="2"/>
    <s v="Odisha"/>
    <n v="111520.1"/>
    <n v="94860.64"/>
    <n v="2"/>
    <n v="0"/>
    <s v="Cash on Delivery"/>
    <x v="0"/>
    <s v="Amit Kumar"/>
    <x v="871"/>
    <n v="0.14938526776787328"/>
    <n v="2024"/>
    <s v="Oct"/>
    <s v="Q4"/>
    <s v="High"/>
    <s v="Profit"/>
    <s v="Yes"/>
    <s v="AMIT KUMAR"/>
    <s v="amit kumar"/>
    <n v="10"/>
    <s v="ORD"/>
    <s v="0953"/>
    <s v="Amit Kumar-East"/>
    <s v="0953"/>
    <s v="Rahul"/>
    <s v="Rahul"/>
    <m/>
  </r>
  <r>
    <s v="ORD0012"/>
    <x v="49"/>
    <s v="C003"/>
    <s v="Amit Kumar"/>
    <s v="P002"/>
    <x v="0"/>
    <x v="0"/>
    <s v="Phones"/>
    <x v="4"/>
    <s v="Chhattisgarh"/>
    <n v="54254.58"/>
    <n v="36917.620000000003"/>
    <n v="2"/>
    <n v="0.15"/>
    <s v="Cash on Delivery"/>
    <x v="0"/>
    <s v="Amit Kumar"/>
    <x v="872"/>
    <n v="0.31954832200341426"/>
    <n v="2024"/>
    <s v="Apr"/>
    <s v="Q2"/>
    <s v="High"/>
    <s v="Profit"/>
    <s v="Yes"/>
    <s v="AMIT KUMAR"/>
    <s v="amit kumar"/>
    <n v="10"/>
    <s v="ORD"/>
    <s v="0012"/>
    <s v="Amit Kumar-Central"/>
    <s v="0012"/>
    <s v="Priya"/>
    <s v="Priya"/>
    <m/>
  </r>
  <r>
    <s v="ORD0021"/>
    <x v="502"/>
    <s v="C003"/>
    <s v="Amit Kumar"/>
    <s v="P002"/>
    <x v="0"/>
    <x v="0"/>
    <s v="Phones"/>
    <x v="4"/>
    <s v="Chhattisgarh"/>
    <n v="20648.71"/>
    <n v="18050.96"/>
    <n v="1"/>
    <n v="0.15"/>
    <s v="Credit Card"/>
    <x v="0"/>
    <s v="Amit Kumar"/>
    <x v="873"/>
    <n v="0.12580689059994549"/>
    <n v="2024"/>
    <s v="Dec"/>
    <s v="Q4"/>
    <s v="Medium"/>
    <s v="Profit"/>
    <s v="No"/>
    <s v="AMIT KUMAR"/>
    <s v="amit kumar"/>
    <n v="10"/>
    <s v="ORD"/>
    <s v="0021"/>
    <s v="Amit Kumar-Central"/>
    <s v="0021"/>
    <s v="Priya"/>
    <s v="Priya"/>
    <m/>
  </r>
  <r>
    <s v="ORD0200"/>
    <x v="503"/>
    <s v="C003"/>
    <s v="Amit Kumar"/>
    <s v="P002"/>
    <x v="0"/>
    <x v="0"/>
    <s v="Phones"/>
    <x v="3"/>
    <s v="Punjab"/>
    <n v="74200.639999999999"/>
    <n v="71773.2"/>
    <n v="4"/>
    <n v="0.2"/>
    <s v="Credit Card"/>
    <x v="1"/>
    <s v="Amit Kumar"/>
    <x v="874"/>
    <n v="3.2714542623891146E-2"/>
    <n v="2025"/>
    <s v="Mar"/>
    <s v="Q1"/>
    <s v="High"/>
    <s v="Profit"/>
    <s v="Yes"/>
    <s v="AMIT KUMAR"/>
    <s v="amit kumar"/>
    <n v="10"/>
    <s v="ORD"/>
    <s v="0200"/>
    <s v="Amit Kumar-North"/>
    <s v="0200"/>
    <s v="Priya"/>
    <s v="Priya"/>
    <m/>
  </r>
  <r>
    <s v="ORD0570"/>
    <x v="231"/>
    <s v="C003"/>
    <s v="Amit Kumar"/>
    <s v="P002"/>
    <x v="0"/>
    <x v="0"/>
    <s v="Phones"/>
    <x v="4"/>
    <s v="Madhya Pradesh"/>
    <n v="79815.240000000005"/>
    <n v="58101.75"/>
    <n v="3"/>
    <n v="0"/>
    <s v="Credit Card"/>
    <x v="0"/>
    <s v="Amit Kumar"/>
    <x v="875"/>
    <n v="0.27204691735563286"/>
    <n v="2024"/>
    <s v="Dec"/>
    <s v="Q4"/>
    <s v="High"/>
    <s v="Profit"/>
    <s v="Yes"/>
    <s v="AMIT KUMAR"/>
    <s v="amit kumar"/>
    <n v="10"/>
    <s v="ORD"/>
    <s v="0570"/>
    <s v="Amit Kumar-Central"/>
    <s v="0570"/>
    <s v="Priya"/>
    <s v="Priya"/>
    <m/>
  </r>
  <r>
    <s v="ORD0862"/>
    <x v="24"/>
    <s v="C003"/>
    <s v="Amit Kumar"/>
    <s v="P002"/>
    <x v="0"/>
    <x v="0"/>
    <s v="Phones"/>
    <x v="1"/>
    <s v="Maharashtra"/>
    <n v="68219.520000000004"/>
    <n v="67892.88"/>
    <n v="4"/>
    <n v="0.2"/>
    <s v="Net Banking"/>
    <x v="3"/>
    <s v="Amit Kumar"/>
    <x v="876"/>
    <n v="4.7880723874926031E-3"/>
    <n v="2024"/>
    <s v="May"/>
    <s v="Q2"/>
    <s v="High"/>
    <s v="Profit"/>
    <s v="Yes"/>
    <s v="AMIT KUMAR"/>
    <s v="amit kumar"/>
    <n v="10"/>
    <s v="ORD"/>
    <s v="0862"/>
    <s v="Amit Kumar-West"/>
    <s v="0862"/>
    <s v="Priya"/>
    <s v="Priya"/>
    <m/>
  </r>
  <r>
    <s v="ORD0902"/>
    <x v="148"/>
    <s v="C003"/>
    <s v="Amit Kumar"/>
    <s v="P002"/>
    <x v="0"/>
    <x v="0"/>
    <s v="Phones"/>
    <x v="3"/>
    <s v="Delhi"/>
    <n v="86781.13"/>
    <n v="58212.9"/>
    <n v="3"/>
    <n v="0.05"/>
    <s v="UPI"/>
    <x v="2"/>
    <s v="Amit Kumar"/>
    <x v="877"/>
    <n v="0.32919864030348533"/>
    <n v="2025"/>
    <s v="Jan"/>
    <s v="Q1"/>
    <s v="High"/>
    <s v="Profit"/>
    <s v="Yes"/>
    <s v="AMIT KUMAR"/>
    <s v="amit kumar"/>
    <n v="10"/>
    <s v="ORD"/>
    <s v="0902"/>
    <s v="Amit Kumar-North"/>
    <s v="0902"/>
    <s v="Priya"/>
    <s v="Priya"/>
    <m/>
  </r>
  <r>
    <s v="ORD0168"/>
    <x v="36"/>
    <s v="C003"/>
    <s v="Amit Kumar"/>
    <s v="P006"/>
    <x v="2"/>
    <x v="1"/>
    <s v="Chairs"/>
    <x v="0"/>
    <s v="Tamil Nadu"/>
    <n v="36324.86"/>
    <n v="20913.05"/>
    <n v="5"/>
    <n v="0.05"/>
    <s v="Net Banking"/>
    <x v="1"/>
    <s v="Amit Kumar"/>
    <x v="878"/>
    <n v="0.42427720299541422"/>
    <n v="2025"/>
    <s v="Apr"/>
    <s v="Q2"/>
    <s v="Medium"/>
    <s v="Profit"/>
    <s v="No"/>
    <s v="AMIT KUMAR"/>
    <s v="amit kumar"/>
    <n v="10"/>
    <s v="ORD"/>
    <s v="0168"/>
    <s v="Amit Kumar-South"/>
    <s v="0168"/>
    <s v="Karan"/>
    <s v="Karan"/>
    <m/>
  </r>
  <r>
    <s v="ORD0251"/>
    <x v="318"/>
    <s v="C003"/>
    <s v="Amit Kumar"/>
    <s v="P007"/>
    <x v="3"/>
    <x v="1"/>
    <s v="Tables"/>
    <x v="4"/>
    <s v="Madhya Pradesh"/>
    <n v="44830.400000000001"/>
    <n v="33019.1"/>
    <n v="5"/>
    <n v="0.1"/>
    <s v="Debit Card"/>
    <x v="0"/>
    <s v="Amit Kumar"/>
    <x v="879"/>
    <n v="0.26346630857632325"/>
    <n v="2025"/>
    <s v="Aug"/>
    <s v="Q3"/>
    <s v="Medium"/>
    <s v="Profit"/>
    <s v="No"/>
    <s v="AMIT KUMAR"/>
    <s v="amit kumar"/>
    <n v="10"/>
    <s v="ORD"/>
    <s v="0251"/>
    <s v="Amit Kumar-Central"/>
    <s v="0251"/>
    <s v="Rohan"/>
    <s v="Rohan"/>
    <m/>
  </r>
  <r>
    <s v="ORD0026"/>
    <x v="235"/>
    <s v="C003"/>
    <s v="Amit Kumar"/>
    <s v="P008"/>
    <x v="4"/>
    <x v="1"/>
    <s v="Storage"/>
    <x v="3"/>
    <s v="Punjab"/>
    <n v="37011.480000000003"/>
    <n v="15940.36"/>
    <n v="4"/>
    <n v="0"/>
    <s v="Credit Card"/>
    <x v="3"/>
    <s v="Amit Kumar"/>
    <x v="880"/>
    <n v="0.56931308880379816"/>
    <n v="2025"/>
    <s v="Feb"/>
    <s v="Q1"/>
    <s v="Medium"/>
    <s v="Profit"/>
    <s v="No"/>
    <s v="AMIT KUMAR"/>
    <s v="amit kumar"/>
    <n v="10"/>
    <s v="ORD"/>
    <s v="0026"/>
    <s v="Amit Kumar-North"/>
    <s v="0026"/>
    <s v="Anjali"/>
    <s v="Anjali"/>
    <m/>
  </r>
  <r>
    <s v="ORD0086"/>
    <x v="314"/>
    <s v="C003"/>
    <s v="Amit Kumar"/>
    <s v="P008"/>
    <x v="4"/>
    <x v="1"/>
    <s v="Storage"/>
    <x v="0"/>
    <s v="Tamil Nadu"/>
    <n v="40943.86"/>
    <n v="20644.75"/>
    <n v="5"/>
    <n v="0.15"/>
    <s v="UPI"/>
    <x v="0"/>
    <s v="Amit Kumar"/>
    <x v="881"/>
    <n v="0.49577909850219298"/>
    <n v="2025"/>
    <s v="Oct"/>
    <s v="Q4"/>
    <s v="Medium"/>
    <s v="Profit"/>
    <s v="No"/>
    <s v="AMIT KUMAR"/>
    <s v="amit kumar"/>
    <n v="10"/>
    <s v="ORD"/>
    <s v="0086"/>
    <s v="Amit Kumar-South"/>
    <s v="0086"/>
    <s v="Anjali"/>
    <s v="Anjali"/>
    <m/>
  </r>
  <r>
    <s v="ORD0787"/>
    <x v="326"/>
    <s v="C003"/>
    <s v="Amit Kumar"/>
    <s v="P008"/>
    <x v="4"/>
    <x v="1"/>
    <s v="Storage"/>
    <x v="2"/>
    <s v="West Bengal"/>
    <n v="19648.97"/>
    <n v="11590.29"/>
    <n v="3"/>
    <n v="0.15"/>
    <s v="Credit Card"/>
    <x v="3"/>
    <s v="Amit Kumar"/>
    <x v="882"/>
    <n v="0.41013243951209655"/>
    <n v="2024"/>
    <s v="May"/>
    <s v="Q2"/>
    <s v="Low"/>
    <s v="Profit"/>
    <s v="No"/>
    <s v="AMIT KUMAR"/>
    <s v="amit kumar"/>
    <n v="10"/>
    <s v="ORD"/>
    <s v="0787"/>
    <s v="Amit Kumar-East"/>
    <s v="0787"/>
    <s v="Anjali"/>
    <s v="Anjali"/>
    <m/>
  </r>
  <r>
    <s v="ORD0196"/>
    <x v="341"/>
    <s v="C003"/>
    <s v="Amit Kumar"/>
    <s v="P009"/>
    <x v="5"/>
    <x v="1"/>
    <s v="Seating"/>
    <x v="0"/>
    <s v="Karnataka"/>
    <n v="106881.24"/>
    <n v="76391.199999999997"/>
    <n v="5"/>
    <n v="0.2"/>
    <s v="Cash on Delivery"/>
    <x v="0"/>
    <s v="Amit Kumar"/>
    <x v="883"/>
    <n v="0.28527026819673879"/>
    <n v="2025"/>
    <s v="Oct"/>
    <s v="Q4"/>
    <s v="High"/>
    <s v="Profit"/>
    <s v="Yes"/>
    <s v="AMIT KUMAR"/>
    <s v="amit kumar"/>
    <n v="10"/>
    <s v="ORD"/>
    <s v="0196"/>
    <s v="Amit Kumar-South"/>
    <s v="0196"/>
    <s v="Arjun"/>
    <s v="Arjun"/>
    <m/>
  </r>
  <r>
    <s v="ORD0500"/>
    <x v="77"/>
    <s v="C003"/>
    <s v="Amit Kumar"/>
    <s v="P009"/>
    <x v="5"/>
    <x v="1"/>
    <s v="Seating"/>
    <x v="0"/>
    <s v="Karnataka"/>
    <n v="23902.76"/>
    <n v="16348.89"/>
    <n v="1"/>
    <n v="0.15"/>
    <s v="Cash on Delivery"/>
    <x v="4"/>
    <s v="Amit Kumar"/>
    <x v="884"/>
    <n v="0.31602501133760286"/>
    <n v="2025"/>
    <s v="Jan"/>
    <s v="Q1"/>
    <s v="Medium"/>
    <s v="Profit"/>
    <s v="No"/>
    <s v="AMIT KUMAR"/>
    <s v="amit kumar"/>
    <n v="10"/>
    <s v="ORD"/>
    <s v="0500"/>
    <s v="Amit Kumar-South"/>
    <s v="0500"/>
    <s v="Arjun"/>
    <s v="Arjun"/>
    <m/>
  </r>
  <r>
    <s v="ORD0576"/>
    <x v="504"/>
    <s v="C003"/>
    <s v="Amit Kumar"/>
    <s v="P009"/>
    <x v="5"/>
    <x v="1"/>
    <s v="Seating"/>
    <x v="4"/>
    <s v="Madhya Pradesh"/>
    <n v="78091.02"/>
    <n v="49773.48"/>
    <n v="3"/>
    <n v="0"/>
    <s v="Net Banking"/>
    <x v="3"/>
    <s v="Amit Kumar"/>
    <x v="885"/>
    <n v="0.36262223236423341"/>
    <n v="2025"/>
    <s v="Mar"/>
    <s v="Q1"/>
    <s v="High"/>
    <s v="Profit"/>
    <s v="Yes"/>
    <s v="AMIT KUMAR"/>
    <s v="amit kumar"/>
    <n v="10"/>
    <s v="ORD"/>
    <s v="0576"/>
    <s v="Amit Kumar-Central"/>
    <s v="0576"/>
    <s v="Arjun"/>
    <s v="Arjun"/>
    <m/>
  </r>
  <r>
    <s v="ORD0849"/>
    <x v="424"/>
    <s v="C003"/>
    <s v="Amit Kumar"/>
    <s v="P009"/>
    <x v="5"/>
    <x v="1"/>
    <s v="Seating"/>
    <x v="0"/>
    <s v="Telangana"/>
    <n v="51302.28"/>
    <n v="49242.63"/>
    <n v="3"/>
    <n v="0.2"/>
    <s v="Net Banking"/>
    <x v="0"/>
    <s v="Amit Kumar"/>
    <x v="886"/>
    <n v="4.0147338480862868E-2"/>
    <n v="2025"/>
    <s v="Feb"/>
    <s v="Q1"/>
    <s v="High"/>
    <s v="Profit"/>
    <s v="Yes"/>
    <s v="AMIT KUMAR"/>
    <s v="amit kumar"/>
    <n v="10"/>
    <s v="ORD"/>
    <s v="0849"/>
    <s v="Amit Kumar-South"/>
    <s v="0849"/>
    <s v="Arjun"/>
    <s v="Arjun"/>
    <m/>
  </r>
  <r>
    <s v="ORD0619"/>
    <x v="144"/>
    <s v="C003"/>
    <s v="Amit Kumar"/>
    <s v="P010"/>
    <x v="6"/>
    <x v="1"/>
    <s v="Bedroom"/>
    <x v="0"/>
    <s v="Tamil Nadu"/>
    <n v="91212.21"/>
    <n v="86830.65"/>
    <n v="5"/>
    <n v="0.1"/>
    <s v="Debit Card"/>
    <x v="3"/>
    <s v="Amit Kumar"/>
    <x v="887"/>
    <n v="4.803698978459147E-2"/>
    <n v="2025"/>
    <s v="Jun"/>
    <s v="Q2"/>
    <s v="High"/>
    <s v="Profit"/>
    <s v="Yes"/>
    <s v="AMIT KUMAR"/>
    <s v="amit kumar"/>
    <n v="10"/>
    <s v="ORD"/>
    <s v="0619"/>
    <s v="Amit Kumar-South"/>
    <s v="0619"/>
    <s v="Sneha"/>
    <s v="Sneha"/>
    <m/>
  </r>
  <r>
    <s v="ORD0833"/>
    <x v="261"/>
    <s v="C003"/>
    <s v="Amit Kumar"/>
    <s v="P010"/>
    <x v="6"/>
    <x v="1"/>
    <s v="Bedroom"/>
    <x v="4"/>
    <s v="Madhya Pradesh"/>
    <n v="39043.5"/>
    <n v="35812.720000000001"/>
    <n v="2"/>
    <n v="0.05"/>
    <s v="Credit Card"/>
    <x v="2"/>
    <s v="Amit Kumar"/>
    <x v="888"/>
    <n v="8.2748216732618715E-2"/>
    <n v="2025"/>
    <s v="Apr"/>
    <s v="Q2"/>
    <s v="Medium"/>
    <s v="Profit"/>
    <s v="No"/>
    <s v="AMIT KUMAR"/>
    <s v="amit kumar"/>
    <n v="10"/>
    <s v="ORD"/>
    <s v="0833"/>
    <s v="Amit Kumar-Central"/>
    <s v="0833"/>
    <s v="Sneha"/>
    <s v="Sneha"/>
    <m/>
  </r>
  <r>
    <s v="ORD0020"/>
    <x v="505"/>
    <s v="C003"/>
    <s v="Amit Kumar"/>
    <s v="P011"/>
    <x v="15"/>
    <x v="2"/>
    <s v="Footwear"/>
    <x v="3"/>
    <s v="Delhi"/>
    <n v="10745.55"/>
    <n v="5676.15"/>
    <n v="5"/>
    <n v="0"/>
    <s v="UPI"/>
    <x v="0"/>
    <s v="Amit Kumar"/>
    <x v="889"/>
    <n v="0.47176738277705654"/>
    <n v="2025"/>
    <s v="Aug"/>
    <s v="Q3"/>
    <s v="Low"/>
    <s v="Profit"/>
    <s v="No"/>
    <s v="AMIT KUMAR"/>
    <s v="amit kumar"/>
    <n v="10"/>
    <s v="ORD"/>
    <s v="0020"/>
    <s v="Amit Kumar-North"/>
    <s v="0020"/>
    <s v="Vikas"/>
    <s v="Vikas"/>
    <m/>
  </r>
  <r>
    <s v="ORD0758"/>
    <x v="506"/>
    <s v="C003"/>
    <s v="Amit Kumar"/>
    <s v="P012"/>
    <x v="7"/>
    <x v="2"/>
    <s v="Clothing"/>
    <x v="0"/>
    <s v="Karnataka"/>
    <n v="7944.12"/>
    <n v="1834.18"/>
    <n v="2"/>
    <n v="0"/>
    <s v="Credit Card"/>
    <x v="3"/>
    <s v="Amit Kumar"/>
    <x v="890"/>
    <n v="0.76911476664501544"/>
    <n v="2024"/>
    <s v="Dec"/>
    <s v="Q4"/>
    <s v="Low"/>
    <s v="Profit"/>
    <s v="No"/>
    <s v="AMIT KUMAR"/>
    <s v="amit kumar"/>
    <n v="10"/>
    <s v="ORD"/>
    <s v="0758"/>
    <s v="Amit Kumar-South"/>
    <s v="0758"/>
    <s v="Pooja"/>
    <s v="Pooja"/>
    <m/>
  </r>
  <r>
    <s v="ORD0801"/>
    <x v="488"/>
    <s v="C003"/>
    <s v="Amit Kumar"/>
    <s v="P012"/>
    <x v="7"/>
    <x v="2"/>
    <s v="Clothing"/>
    <x v="3"/>
    <s v="Punjab"/>
    <n v="2194.11"/>
    <n v="812.54"/>
    <n v="1"/>
    <n v="0.15"/>
    <s v="Net Banking"/>
    <x v="0"/>
    <s v="Amit Kumar"/>
    <x v="891"/>
    <n v="0.62967216775822543"/>
    <n v="2025"/>
    <s v="Aug"/>
    <s v="Q3"/>
    <s v="Low"/>
    <s v="Profit"/>
    <s v="No"/>
    <s v="AMIT KUMAR"/>
    <s v="amit kumar"/>
    <n v="10"/>
    <s v="ORD"/>
    <s v="0801"/>
    <s v="Amit Kumar-North"/>
    <s v="0801"/>
    <s v="Pooja"/>
    <s v="Pooja"/>
    <m/>
  </r>
  <r>
    <s v="ORD0117"/>
    <x v="70"/>
    <s v="C003"/>
    <s v="Amit Kumar"/>
    <s v="P013"/>
    <x v="16"/>
    <x v="2"/>
    <s v="Bags"/>
    <x v="3"/>
    <s v="Delhi"/>
    <n v="7249.01"/>
    <n v="3236.5"/>
    <n v="5"/>
    <n v="0.1"/>
    <s v="Cash on Delivery"/>
    <x v="3"/>
    <s v="Amit Kumar"/>
    <x v="892"/>
    <n v="0.5535252399982894"/>
    <n v="2024"/>
    <s v="Sep"/>
    <s v="Q3"/>
    <s v="Low"/>
    <s v="Profit"/>
    <s v="No"/>
    <s v="AMIT KUMAR"/>
    <s v="amit kumar"/>
    <n v="10"/>
    <s v="ORD"/>
    <s v="0117"/>
    <s v="Amit Kumar-North"/>
    <s v="0117"/>
    <s v="Aditya"/>
    <s v="Aditya"/>
    <m/>
  </r>
  <r>
    <s v="ORD0530"/>
    <x v="507"/>
    <s v="C003"/>
    <s v="Amit Kumar"/>
    <s v="P013"/>
    <x v="16"/>
    <x v="2"/>
    <s v="Bags"/>
    <x v="0"/>
    <s v="Tamil Nadu"/>
    <n v="3372.4"/>
    <n v="1466.52"/>
    <n v="2"/>
    <n v="0.05"/>
    <s v="Credit Card"/>
    <x v="0"/>
    <s v="Amit Kumar"/>
    <x v="893"/>
    <n v="0.56514055272209707"/>
    <n v="2024"/>
    <s v="Aug"/>
    <s v="Q3"/>
    <s v="Low"/>
    <s v="Profit"/>
    <s v="No"/>
    <s v="AMIT KUMAR"/>
    <s v="amit kumar"/>
    <n v="10"/>
    <s v="ORD"/>
    <s v="0530"/>
    <s v="Amit Kumar-South"/>
    <s v="0530"/>
    <s v="Aditya"/>
    <s v="Aditya"/>
    <m/>
  </r>
  <r>
    <s v="ORD0588"/>
    <x v="158"/>
    <s v="C003"/>
    <s v="Amit Kumar"/>
    <s v="P013"/>
    <x v="16"/>
    <x v="2"/>
    <s v="Bags"/>
    <x v="1"/>
    <s v="Rajasthan"/>
    <n v="9818.99"/>
    <n v="3760.9"/>
    <n v="5"/>
    <n v="0.15"/>
    <s v="Credit Card"/>
    <x v="0"/>
    <s v="Amit Kumar"/>
    <x v="894"/>
    <n v="0.6169768988460117"/>
    <n v="2025"/>
    <s v="Nov"/>
    <s v="Q4"/>
    <s v="Low"/>
    <s v="Profit"/>
    <s v="No"/>
    <s v="AMIT KUMAR"/>
    <s v="amit kumar"/>
    <n v="10"/>
    <s v="ORD"/>
    <s v="0588"/>
    <s v="Amit Kumar-West"/>
    <s v="0588"/>
    <s v="Aditya"/>
    <s v="Aditya"/>
    <m/>
  </r>
  <r>
    <s v="ORD0182"/>
    <x v="67"/>
    <s v="C003"/>
    <s v="Amit Kumar"/>
    <s v="P014"/>
    <x v="19"/>
    <x v="2"/>
    <s v="Clothing"/>
    <x v="2"/>
    <s v="West Bengal"/>
    <n v="1967.45"/>
    <n v="1198.45"/>
    <n v="5"/>
    <n v="0.1"/>
    <s v="Debit Card"/>
    <x v="4"/>
    <s v="Amit Kumar"/>
    <x v="895"/>
    <n v="0.39086126712241731"/>
    <n v="2024"/>
    <s v="Jul"/>
    <s v="Q3"/>
    <s v="Low"/>
    <s v="Profit"/>
    <s v="No"/>
    <s v="AMIT KUMAR"/>
    <s v="amit kumar"/>
    <n v="10"/>
    <s v="ORD"/>
    <s v="0182"/>
    <s v="Amit Kumar-East"/>
    <s v="0182"/>
    <s v="Kavya"/>
    <s v="Kavya"/>
    <m/>
  </r>
  <r>
    <s v="ORD0329"/>
    <x v="356"/>
    <s v="C003"/>
    <s v="Amit Kumar"/>
    <s v="P014"/>
    <x v="19"/>
    <x v="2"/>
    <s v="Clothing"/>
    <x v="3"/>
    <s v="Uttar Pradesh"/>
    <n v="2911.28"/>
    <n v="1277.2"/>
    <n v="5"/>
    <n v="0.05"/>
    <s v="UPI"/>
    <x v="0"/>
    <s v="Amit Kumar"/>
    <x v="896"/>
    <n v="0.56129262729795826"/>
    <n v="2025"/>
    <s v="Apr"/>
    <s v="Q2"/>
    <s v="Low"/>
    <s v="Profit"/>
    <s v="No"/>
    <s v="AMIT KUMAR"/>
    <s v="amit kumar"/>
    <n v="10"/>
    <s v="ORD"/>
    <s v="0329"/>
    <s v="Amit Kumar-North"/>
    <s v="0329"/>
    <s v="Kavya"/>
    <s v="Kavya"/>
    <m/>
  </r>
  <r>
    <s v="ORD0537"/>
    <x v="508"/>
    <s v="C003"/>
    <s v="Amit Kumar"/>
    <s v="P014"/>
    <x v="19"/>
    <x v="2"/>
    <s v="Clothing"/>
    <x v="2"/>
    <s v="Odisha"/>
    <n v="5055.57"/>
    <n v="1316.15"/>
    <n v="5"/>
    <n v="0.1"/>
    <s v="Debit Card"/>
    <x v="4"/>
    <s v="Amit Kumar"/>
    <x v="897"/>
    <n v="0.73966338118154829"/>
    <n v="2024"/>
    <s v="Sep"/>
    <s v="Q3"/>
    <s v="Low"/>
    <s v="Profit"/>
    <s v="No"/>
    <s v="AMIT KUMAR"/>
    <s v="amit kumar"/>
    <n v="10"/>
    <s v="ORD"/>
    <s v="0537"/>
    <s v="Amit Kumar-East"/>
    <s v="0537"/>
    <s v="Kavya"/>
    <s v="Kavya"/>
    <m/>
  </r>
  <r>
    <s v="ORD0984"/>
    <x v="310"/>
    <s v="C003"/>
    <s v="Amit Kumar"/>
    <s v="P014"/>
    <x v="19"/>
    <x v="2"/>
    <s v="Clothing"/>
    <x v="1"/>
    <s v="Rajasthan"/>
    <n v="1336.61"/>
    <n v="784.95"/>
    <n v="3"/>
    <n v="0.1"/>
    <s v="Credit Card"/>
    <x v="0"/>
    <s v="Amit Kumar"/>
    <x v="898"/>
    <n v="0.41273071426968216"/>
    <n v="2025"/>
    <s v="Mar"/>
    <s v="Q1"/>
    <s v="Low"/>
    <s v="Profit"/>
    <s v="No"/>
    <s v="AMIT KUMAR"/>
    <s v="amit kumar"/>
    <n v="10"/>
    <s v="ORD"/>
    <s v="0984"/>
    <s v="Amit Kumar-West"/>
    <s v="0984"/>
    <s v="Kavya"/>
    <s v="Kavya"/>
    <m/>
  </r>
  <r>
    <s v="ORD0110"/>
    <x v="318"/>
    <s v="C003"/>
    <s v="Amit Kumar"/>
    <s v="P015"/>
    <x v="17"/>
    <x v="2"/>
    <s v="Clothing"/>
    <x v="0"/>
    <s v="Telangana"/>
    <n v="3453"/>
    <n v="1541.67"/>
    <n v="3"/>
    <n v="0.1"/>
    <s v="Net Banking"/>
    <x v="4"/>
    <s v="Amit Kumar"/>
    <x v="899"/>
    <n v="0.5535273675065161"/>
    <n v="2025"/>
    <s v="Aug"/>
    <s v="Q3"/>
    <s v="Low"/>
    <s v="Profit"/>
    <s v="No"/>
    <s v="AMIT KUMAR"/>
    <s v="amit kumar"/>
    <n v="10"/>
    <s v="ORD"/>
    <s v="0110"/>
    <s v="Amit Kumar-South"/>
    <s v="0110"/>
    <s v="Manish"/>
    <s v="Manish"/>
    <m/>
  </r>
  <r>
    <s v="ORD0304"/>
    <x v="164"/>
    <s v="C003"/>
    <s v="Amit Kumar"/>
    <s v="P015"/>
    <x v="17"/>
    <x v="2"/>
    <s v="Clothing"/>
    <x v="4"/>
    <s v="Chhattisgarh"/>
    <n v="3204.32"/>
    <n v="941.98"/>
    <n v="2"/>
    <n v="0.1"/>
    <s v="Cash on Delivery"/>
    <x v="3"/>
    <s v="Amit Kumar"/>
    <x v="900"/>
    <n v="0.70602811204873417"/>
    <n v="2024"/>
    <s v="Apr"/>
    <s v="Q2"/>
    <s v="Low"/>
    <s v="Profit"/>
    <s v="No"/>
    <s v="AMIT KUMAR"/>
    <s v="amit kumar"/>
    <n v="10"/>
    <s v="ORD"/>
    <s v="0304"/>
    <s v="Amit Kumar-Central"/>
    <s v="0304"/>
    <s v="Manish"/>
    <s v="Manish"/>
    <m/>
  </r>
  <r>
    <s v="ORD0636"/>
    <x v="509"/>
    <s v="C003"/>
    <s v="Amit Kumar"/>
    <s v="P015"/>
    <x v="17"/>
    <x v="2"/>
    <s v="Clothing"/>
    <x v="3"/>
    <s v="Uttar Pradesh"/>
    <n v="4427.6899999999996"/>
    <n v="1555.35"/>
    <n v="3"/>
    <n v="0.15"/>
    <s v="Net Banking"/>
    <x v="0"/>
    <s v="Amit Kumar"/>
    <x v="901"/>
    <n v="0.64872201983427025"/>
    <n v="2025"/>
    <s v="Apr"/>
    <s v="Q2"/>
    <s v="Low"/>
    <s v="Profit"/>
    <s v="No"/>
    <s v="AMIT KUMAR"/>
    <s v="amit kumar"/>
    <n v="10"/>
    <s v="ORD"/>
    <s v="0636"/>
    <s v="Amit Kumar-North"/>
    <s v="0636"/>
    <s v="Manish"/>
    <s v="Manish"/>
    <m/>
  </r>
  <r>
    <s v="ORD0800"/>
    <x v="63"/>
    <s v="C003"/>
    <s v="Amit Kumar"/>
    <s v="P015"/>
    <x v="17"/>
    <x v="2"/>
    <s v="Clothing"/>
    <x v="0"/>
    <s v="Karnataka"/>
    <n v="2542.1"/>
    <n v="909.96"/>
    <n v="2"/>
    <n v="0.2"/>
    <s v="Debit Card"/>
    <x v="0"/>
    <s v="Amit Kumar"/>
    <x v="902"/>
    <n v="0.64204397938712088"/>
    <n v="2024"/>
    <s v="Sep"/>
    <s v="Q3"/>
    <s v="Low"/>
    <s v="Profit"/>
    <s v="No"/>
    <s v="AMIT KUMAR"/>
    <s v="amit kumar"/>
    <n v="10"/>
    <s v="ORD"/>
    <s v="0800"/>
    <s v="Amit Kumar-South"/>
    <s v="0800"/>
    <s v="Manish"/>
    <s v="Manish"/>
    <m/>
  </r>
  <r>
    <s v="ORD0376"/>
    <x v="54"/>
    <s v="C003"/>
    <s v="Amit Kumar"/>
    <s v="P016"/>
    <x v="8"/>
    <x v="3"/>
    <s v="Kitchen"/>
    <x v="4"/>
    <s v="Chhattisgarh"/>
    <n v="9873.2800000000007"/>
    <n v="5707.68"/>
    <n v="3"/>
    <n v="0.1"/>
    <s v="UPI"/>
    <x v="3"/>
    <s v="Amit Kumar"/>
    <x v="903"/>
    <n v="0.42190639787385753"/>
    <n v="2024"/>
    <s v="Apr"/>
    <s v="Q2"/>
    <s v="Low"/>
    <s v="Profit"/>
    <s v="No"/>
    <s v="AMIT KUMAR"/>
    <s v="amit kumar"/>
    <n v="10"/>
    <s v="ORD"/>
    <s v="0376"/>
    <s v="Amit Kumar-Central"/>
    <s v="0376"/>
    <s v="Rahul"/>
    <s v="Rahul"/>
    <m/>
  </r>
  <r>
    <s v="ORD0175"/>
    <x v="265"/>
    <s v="C003"/>
    <s v="Amit Kumar"/>
    <s v="P017"/>
    <x v="9"/>
    <x v="3"/>
    <s v="Kitchen"/>
    <x v="1"/>
    <s v="Rajasthan"/>
    <n v="40640.620000000003"/>
    <n v="30324.9"/>
    <n v="5"/>
    <n v="0.15"/>
    <s v="UPI"/>
    <x v="3"/>
    <s v="Amit Kumar"/>
    <x v="904"/>
    <n v="0.25382782054013941"/>
    <n v="2025"/>
    <s v="Jun"/>
    <s v="Q2"/>
    <s v="Medium"/>
    <s v="Profit"/>
    <s v="No"/>
    <s v="AMIT KUMAR"/>
    <s v="amit kumar"/>
    <n v="10"/>
    <s v="ORD"/>
    <s v="0175"/>
    <s v="Amit Kumar-West"/>
    <s v="0175"/>
    <s v="Priya"/>
    <s v="Priya"/>
    <m/>
  </r>
  <r>
    <s v="ORD0236"/>
    <x v="15"/>
    <s v="C003"/>
    <s v="Amit Kumar"/>
    <s v="P017"/>
    <x v="9"/>
    <x v="3"/>
    <s v="Kitchen"/>
    <x v="1"/>
    <s v="Gujarat"/>
    <n v="31181.73"/>
    <n v="22233.32"/>
    <n v="4"/>
    <n v="0.2"/>
    <s v="UPI"/>
    <x v="2"/>
    <s v="Amit Kumar"/>
    <x v="905"/>
    <n v="0.28697605937836035"/>
    <n v="2024"/>
    <s v="Feb"/>
    <s v="Q1"/>
    <s v="Medium"/>
    <s v="Profit"/>
    <s v="No"/>
    <s v="AMIT KUMAR"/>
    <s v="amit kumar"/>
    <n v="10"/>
    <s v="ORD"/>
    <s v="0236"/>
    <s v="Amit Kumar-West"/>
    <s v="0236"/>
    <s v="Priya"/>
    <s v="Priya"/>
    <m/>
  </r>
  <r>
    <s v="ORD0240"/>
    <x v="26"/>
    <s v="C003"/>
    <s v="Amit Kumar"/>
    <s v="P018"/>
    <x v="10"/>
    <x v="3"/>
    <s v="Cooling"/>
    <x v="3"/>
    <s v="Punjab"/>
    <n v="33025.230000000003"/>
    <n v="15241.5"/>
    <n v="3"/>
    <n v="0.15"/>
    <s v="Cash on Delivery"/>
    <x v="0"/>
    <s v="Amit Kumar"/>
    <x v="906"/>
    <n v="0.53848920961337743"/>
    <n v="2025"/>
    <s v="Oct"/>
    <s v="Q4"/>
    <s v="Medium"/>
    <s v="Profit"/>
    <s v="No"/>
    <s v="AMIT KUMAR"/>
    <s v="amit kumar"/>
    <n v="10"/>
    <s v="ORD"/>
    <s v="0240"/>
    <s v="Amit Kumar-North"/>
    <s v="0240"/>
    <s v="Amit"/>
    <s v="Amit"/>
    <m/>
  </r>
  <r>
    <s v="ORD0068"/>
    <x v="510"/>
    <s v="C003"/>
    <s v="Amit Kumar"/>
    <s v="P019"/>
    <x v="18"/>
    <x v="3"/>
    <s v="Cleaning"/>
    <x v="2"/>
    <s v="Bihar"/>
    <n v="12550.72"/>
    <n v="6442.66"/>
    <n v="2"/>
    <n v="0.2"/>
    <s v="UPI"/>
    <x v="0"/>
    <s v="Amit Kumar"/>
    <x v="907"/>
    <n v="0.4866700874531501"/>
    <n v="2025"/>
    <s v="Oct"/>
    <s v="Q4"/>
    <s v="Low"/>
    <s v="Profit"/>
    <s v="No"/>
    <s v="AMIT KUMAR"/>
    <s v="amit kumar"/>
    <n v="10"/>
    <s v="ORD"/>
    <s v="0068"/>
    <s v="Amit Kumar-East"/>
    <s v="0068"/>
    <s v="Neha"/>
    <s v="Neha"/>
    <m/>
  </r>
  <r>
    <s v="ORD0159"/>
    <x v="419"/>
    <s v="C003"/>
    <s v="Amit Kumar"/>
    <s v="P019"/>
    <x v="18"/>
    <x v="3"/>
    <s v="Cleaning"/>
    <x v="2"/>
    <s v="Odisha"/>
    <n v="18494.54"/>
    <n v="10101.48"/>
    <n v="3"/>
    <n v="0.15"/>
    <s v="Credit Card"/>
    <x v="0"/>
    <s v="Amit Kumar"/>
    <x v="908"/>
    <n v="0.45381285503721641"/>
    <n v="2024"/>
    <s v="May"/>
    <s v="Q2"/>
    <s v="Low"/>
    <s v="Profit"/>
    <s v="No"/>
    <s v="AMIT KUMAR"/>
    <s v="amit kumar"/>
    <n v="10"/>
    <s v="ORD"/>
    <s v="0159"/>
    <s v="Amit Kumar-East"/>
    <s v="0159"/>
    <s v="Neha"/>
    <s v="Neha"/>
    <m/>
  </r>
  <r>
    <s v="ORD0894"/>
    <x v="511"/>
    <s v="C003"/>
    <s v="Amit Kumar"/>
    <s v="P019"/>
    <x v="18"/>
    <x v="3"/>
    <s v="Cleaning"/>
    <x v="3"/>
    <s v="Punjab"/>
    <n v="12948.71"/>
    <n v="6663.48"/>
    <n v="2"/>
    <n v="0.05"/>
    <s v="Cash on Delivery"/>
    <x v="4"/>
    <s v="Amit Kumar"/>
    <x v="909"/>
    <n v="0.48539429796481659"/>
    <n v="2024"/>
    <s v="Mar"/>
    <s v="Q1"/>
    <s v="Low"/>
    <s v="Profit"/>
    <s v="No"/>
    <s v="AMIT KUMAR"/>
    <s v="amit kumar"/>
    <n v="10"/>
    <s v="ORD"/>
    <s v="0894"/>
    <s v="Amit Kumar-North"/>
    <s v="0894"/>
    <s v="Neha"/>
    <s v="Neha"/>
    <m/>
  </r>
  <r>
    <s v="ORD0433"/>
    <x v="497"/>
    <s v="C003"/>
    <s v="Amit Kumar"/>
    <s v="P020"/>
    <x v="11"/>
    <x v="3"/>
    <s v="Kitchen"/>
    <x v="2"/>
    <s v="West Bengal"/>
    <n v="3250.74"/>
    <n v="1617.03"/>
    <n v="3"/>
    <n v="0.15"/>
    <s v="Debit Card"/>
    <x v="1"/>
    <s v="Amit Kumar"/>
    <x v="910"/>
    <n v="0.50256556968567156"/>
    <n v="2025"/>
    <s v="Oct"/>
    <s v="Q4"/>
    <s v="Low"/>
    <s v="Profit"/>
    <s v="No"/>
    <s v="AMIT KUMAR"/>
    <s v="amit kumar"/>
    <n v="10"/>
    <s v="ORD"/>
    <s v="0433"/>
    <s v="Amit Kumar-East"/>
    <s v="0433"/>
    <s v="Simran"/>
    <s v="Simran"/>
    <m/>
  </r>
  <r>
    <s v="ORD0671"/>
    <x v="156"/>
    <s v="C003"/>
    <s v="Amit Kumar"/>
    <s v="P020"/>
    <x v="11"/>
    <x v="3"/>
    <s v="Kitchen"/>
    <x v="3"/>
    <s v="Punjab"/>
    <n v="4108.6000000000004"/>
    <n v="2651.6"/>
    <n v="5"/>
    <n v="0"/>
    <s v="Credit Card"/>
    <x v="4"/>
    <s v="Amit Kumar"/>
    <x v="911"/>
    <n v="0.35462201236430907"/>
    <n v="2025"/>
    <s v="Jan"/>
    <s v="Q1"/>
    <s v="Low"/>
    <s v="Profit"/>
    <s v="No"/>
    <s v="AMIT KUMAR"/>
    <s v="amit kumar"/>
    <n v="10"/>
    <s v="ORD"/>
    <s v="0671"/>
    <s v="Amit Kumar-North"/>
    <s v="0671"/>
    <s v="Simran"/>
    <s v="Simran"/>
    <m/>
  </r>
  <r>
    <s v="ORD0829"/>
    <x v="78"/>
    <s v="C003"/>
    <s v="Amit Kumar"/>
    <s v="P020"/>
    <x v="11"/>
    <x v="3"/>
    <s v="Kitchen"/>
    <x v="0"/>
    <s v="Tamil Nadu"/>
    <n v="528.27"/>
    <n v="493.38"/>
    <n v="1"/>
    <n v="0.15"/>
    <s v="UPI"/>
    <x v="0"/>
    <s v="Amit Kumar"/>
    <x v="912"/>
    <n v="6.6045772048384327E-2"/>
    <n v="2025"/>
    <s v="Nov"/>
    <s v="Q4"/>
    <s v="Low"/>
    <s v="Profit"/>
    <s v="No"/>
    <s v="AMIT KUMAR"/>
    <s v="amit kumar"/>
    <n v="10"/>
    <s v="ORD"/>
    <s v="0829"/>
    <s v="Amit Kumar-South"/>
    <s v="0829"/>
    <s v="Simran"/>
    <s v="Simran"/>
    <m/>
  </r>
  <r>
    <s v="ORD0224"/>
    <x v="207"/>
    <s v="C021"/>
    <s v="Akash Chauhan"/>
    <s v="P002"/>
    <x v="0"/>
    <x v="0"/>
    <s v="Phones"/>
    <x v="4"/>
    <s v="Madhya Pradesh"/>
    <n v="155610.54999999999"/>
    <n v="85179.95"/>
    <n v="5"/>
    <n v="0"/>
    <s v="Credit Card"/>
    <x v="3"/>
    <s v="Akash Chauhan"/>
    <x v="913"/>
    <n v="0.45260812971871123"/>
    <n v="2024"/>
    <s v="Apr"/>
    <s v="Q2"/>
    <s v="High"/>
    <s v="Profit"/>
    <s v="Yes"/>
    <s v="AKASH CHAUHAN"/>
    <s v="akash chauhan"/>
    <n v="13"/>
    <s v="ORD"/>
    <s v="0224"/>
    <s v="Akash Chauhan-Central"/>
    <s v="0224"/>
    <s v="Priya"/>
    <s v="Priya"/>
    <m/>
  </r>
  <r>
    <s v="ORD0545"/>
    <x v="176"/>
    <s v="C021"/>
    <s v="Akash Chauhan"/>
    <s v="P002"/>
    <x v="0"/>
    <x v="0"/>
    <s v="Phones"/>
    <x v="2"/>
    <s v="Bihar"/>
    <n v="122856.53"/>
    <n v="83198.55"/>
    <n v="5"/>
    <n v="0.1"/>
    <s v="Credit Card"/>
    <x v="1"/>
    <s v="Akash Chauhan"/>
    <x v="914"/>
    <n v="0.32279912187003812"/>
    <n v="2025"/>
    <s v="Jul"/>
    <s v="Q3"/>
    <s v="High"/>
    <s v="Profit"/>
    <s v="Yes"/>
    <s v="AKASH CHAUHAN"/>
    <s v="akash chauhan"/>
    <n v="13"/>
    <s v="ORD"/>
    <s v="0545"/>
    <s v="Akash Chauhan-East"/>
    <s v="0545"/>
    <s v="Priya"/>
    <s v="Priya"/>
    <m/>
  </r>
  <r>
    <s v="ORD0896"/>
    <x v="512"/>
    <s v="C021"/>
    <s v="Akash Chauhan"/>
    <s v="P002"/>
    <x v="0"/>
    <x v="0"/>
    <s v="Phones"/>
    <x v="4"/>
    <s v="Chhattisgarh"/>
    <n v="104792.16"/>
    <n v="76958.52"/>
    <n v="4"/>
    <n v="0"/>
    <s v="Cash on Delivery"/>
    <x v="2"/>
    <s v="Akash Chauhan"/>
    <x v="915"/>
    <n v="0.26560803785321341"/>
    <n v="2024"/>
    <s v="Nov"/>
    <s v="Q4"/>
    <s v="High"/>
    <s v="Profit"/>
    <s v="Yes"/>
    <s v="AKASH CHAUHAN"/>
    <s v="akash chauhan"/>
    <n v="13"/>
    <s v="ORD"/>
    <s v="0896"/>
    <s v="Akash Chauhan-Central"/>
    <s v="0896"/>
    <s v="Priya"/>
    <s v="Priya"/>
    <m/>
  </r>
  <r>
    <s v="ORD0119"/>
    <x v="513"/>
    <s v="C021"/>
    <s v="Akash Chauhan"/>
    <s v="P003"/>
    <x v="1"/>
    <x v="0"/>
    <s v="Accessories"/>
    <x v="2"/>
    <s v="Odisha"/>
    <n v="7617.51"/>
    <n v="5561.19"/>
    <n v="3"/>
    <n v="0"/>
    <s v="UPI"/>
    <x v="4"/>
    <s v="Akash Chauhan"/>
    <x v="916"/>
    <n v="0.26994647857370724"/>
    <n v="2025"/>
    <s v="Apr"/>
    <s v="Q2"/>
    <s v="Low"/>
    <s v="Profit"/>
    <s v="No"/>
    <s v="AKASH CHAUHAN"/>
    <s v="akash chauhan"/>
    <n v="13"/>
    <s v="ORD"/>
    <s v="0119"/>
    <s v="Akash Chauhan-East"/>
    <s v="0119"/>
    <s v="Amit"/>
    <s v="Amit"/>
    <m/>
  </r>
  <r>
    <s v="ORD0309"/>
    <x v="514"/>
    <s v="C021"/>
    <s v="Akash Chauhan"/>
    <s v="P003"/>
    <x v="1"/>
    <x v="0"/>
    <s v="Accessories"/>
    <x v="1"/>
    <s v="Maharashtra"/>
    <n v="15172.22"/>
    <n v="5610.27"/>
    <n v="3"/>
    <n v="0.15"/>
    <s v="Net Banking"/>
    <x v="1"/>
    <s v="Akash Chauhan"/>
    <x v="917"/>
    <n v="0.63022748154192332"/>
    <n v="2025"/>
    <s v="Jun"/>
    <s v="Q2"/>
    <s v="Low"/>
    <s v="Profit"/>
    <s v="No"/>
    <s v="AKASH CHAUHAN"/>
    <s v="akash chauhan"/>
    <n v="13"/>
    <s v="ORD"/>
    <s v="0309"/>
    <s v="Akash Chauhan-West"/>
    <s v="0309"/>
    <s v="Amit"/>
    <s v="Amit"/>
    <m/>
  </r>
  <r>
    <s v="ORD0459"/>
    <x v="112"/>
    <s v="C021"/>
    <s v="Akash Chauhan"/>
    <s v="P003"/>
    <x v="1"/>
    <x v="0"/>
    <s v="Accessories"/>
    <x v="0"/>
    <s v="Karnataka"/>
    <n v="7836.32"/>
    <n v="3862.76"/>
    <n v="2"/>
    <n v="0"/>
    <s v="Credit Card"/>
    <x v="3"/>
    <s v="Akash Chauhan"/>
    <x v="918"/>
    <n v="0.50706964493537776"/>
    <n v="2025"/>
    <s v="Nov"/>
    <s v="Q4"/>
    <s v="Low"/>
    <s v="Profit"/>
    <s v="No"/>
    <s v="AKASH CHAUHAN"/>
    <s v="akash chauhan"/>
    <n v="13"/>
    <s v="ORD"/>
    <s v="0459"/>
    <s v="Akash Chauhan-South"/>
    <s v="0459"/>
    <s v="Amit"/>
    <s v="Amit"/>
    <m/>
  </r>
  <r>
    <s v="ORD0460"/>
    <x v="515"/>
    <s v="C021"/>
    <s v="Akash Chauhan"/>
    <s v="P003"/>
    <x v="1"/>
    <x v="0"/>
    <s v="Accessories"/>
    <x v="2"/>
    <s v="Bihar"/>
    <n v="10460.879999999999"/>
    <n v="3257.1"/>
    <n v="2"/>
    <n v="0"/>
    <s v="UPI"/>
    <x v="0"/>
    <s v="Akash Chauhan"/>
    <x v="919"/>
    <n v="0.6886399614563975"/>
    <n v="2025"/>
    <s v="Dec"/>
    <s v="Q4"/>
    <s v="Low"/>
    <s v="Profit"/>
    <s v="No"/>
    <s v="AKASH CHAUHAN"/>
    <s v="akash chauhan"/>
    <n v="13"/>
    <s v="ORD"/>
    <s v="0460"/>
    <s v="Akash Chauhan-East"/>
    <s v="0460"/>
    <s v="Amit"/>
    <s v="Amit"/>
    <m/>
  </r>
  <r>
    <s v="ORD0889"/>
    <x v="338"/>
    <s v="C021"/>
    <s v="Akash Chauhan"/>
    <s v="P003"/>
    <x v="1"/>
    <x v="0"/>
    <s v="Accessories"/>
    <x v="1"/>
    <s v="Rajasthan"/>
    <n v="12236.02"/>
    <n v="7448.04"/>
    <n v="4"/>
    <n v="0.15"/>
    <s v="Cash on Delivery"/>
    <x v="1"/>
    <s v="Akash Chauhan"/>
    <x v="920"/>
    <n v="0.39130207371351144"/>
    <n v="2024"/>
    <s v="Feb"/>
    <s v="Q1"/>
    <s v="Low"/>
    <s v="Profit"/>
    <s v="No"/>
    <s v="AKASH CHAUHAN"/>
    <s v="akash chauhan"/>
    <n v="13"/>
    <s v="ORD"/>
    <s v="0889"/>
    <s v="Akash Chauhan-West"/>
    <s v="0889"/>
    <s v="Amit"/>
    <s v="Amit"/>
    <m/>
  </r>
  <r>
    <s v="ORD0001"/>
    <x v="516"/>
    <s v="C021"/>
    <s v="Akash Chauhan"/>
    <s v="P004"/>
    <x v="13"/>
    <x v="0"/>
    <s v="Wearables"/>
    <x v="3"/>
    <s v="Delhi"/>
    <n v="12021.92"/>
    <n v="5667.86"/>
    <n v="2"/>
    <n v="0.2"/>
    <s v="UPI"/>
    <x v="3"/>
    <s v="Akash Chauhan"/>
    <x v="921"/>
    <n v="0.52853953445040391"/>
    <n v="2024"/>
    <s v="Oct"/>
    <s v="Q4"/>
    <s v="Low"/>
    <s v="Profit"/>
    <s v="No"/>
    <s v="AKASH CHAUHAN"/>
    <s v="akash chauhan"/>
    <n v="13"/>
    <s v="ORD"/>
    <s v="0001"/>
    <s v="Akash Chauhan-North"/>
    <s v="0001"/>
    <s v="Neha"/>
    <s v="Neha"/>
    <m/>
  </r>
  <r>
    <s v="ORD0291"/>
    <x v="34"/>
    <s v="C021"/>
    <s v="Akash Chauhan"/>
    <s v="P004"/>
    <x v="13"/>
    <x v="0"/>
    <s v="Wearables"/>
    <x v="2"/>
    <s v="Odisha"/>
    <n v="11650.99"/>
    <n v="6019.2"/>
    <n v="2"/>
    <n v="0.1"/>
    <s v="Cash on Delivery"/>
    <x v="3"/>
    <s v="Akash Chauhan"/>
    <x v="922"/>
    <n v="0.48337437419481094"/>
    <n v="2024"/>
    <s v="Jun"/>
    <s v="Q2"/>
    <s v="Low"/>
    <s v="Profit"/>
    <s v="No"/>
    <s v="AKASH CHAUHAN"/>
    <s v="akash chauhan"/>
    <n v="13"/>
    <s v="ORD"/>
    <s v="0291"/>
    <s v="Akash Chauhan-East"/>
    <s v="0291"/>
    <s v="Neha"/>
    <s v="Neha"/>
    <m/>
  </r>
  <r>
    <s v="ORD0087"/>
    <x v="128"/>
    <s v="C021"/>
    <s v="Akash Chauhan"/>
    <s v="P005"/>
    <x v="14"/>
    <x v="0"/>
    <s v="Computers"/>
    <x v="0"/>
    <s v="Tamil Nadu"/>
    <n v="11632.09"/>
    <n v="7295.42"/>
    <n v="1"/>
    <n v="0.2"/>
    <s v="Cash on Delivery"/>
    <x v="4"/>
    <s v="Akash Chauhan"/>
    <x v="923"/>
    <n v="0.37281950191238206"/>
    <n v="2024"/>
    <s v="May"/>
    <s v="Q2"/>
    <s v="Low"/>
    <s v="Profit"/>
    <s v="No"/>
    <s v="AKASH CHAUHAN"/>
    <s v="akash chauhan"/>
    <n v="13"/>
    <s v="ORD"/>
    <s v="0087"/>
    <s v="Akash Chauhan-South"/>
    <s v="0087"/>
    <s v="Simran"/>
    <s v="Simran"/>
    <m/>
  </r>
  <r>
    <s v="ORD0097"/>
    <x v="42"/>
    <s v="C021"/>
    <s v="Akash Chauhan"/>
    <s v="P005"/>
    <x v="14"/>
    <x v="0"/>
    <s v="Computers"/>
    <x v="1"/>
    <s v="Gujarat"/>
    <n v="50511.46"/>
    <n v="41643.300000000003"/>
    <n v="5"/>
    <n v="0.15"/>
    <s v="Net Banking"/>
    <x v="0"/>
    <s v="Akash Chauhan"/>
    <x v="924"/>
    <n v="0.17556728710672778"/>
    <n v="2024"/>
    <s v="Oct"/>
    <s v="Q4"/>
    <s v="High"/>
    <s v="Profit"/>
    <s v="Yes"/>
    <s v="AKASH CHAUHAN"/>
    <s v="akash chauhan"/>
    <n v="13"/>
    <s v="ORD"/>
    <s v="0097"/>
    <s v="Akash Chauhan-West"/>
    <s v="0097"/>
    <s v="Simran"/>
    <s v="Simran"/>
    <m/>
  </r>
  <r>
    <s v="ORD0465"/>
    <x v="171"/>
    <s v="C021"/>
    <s v="Akash Chauhan"/>
    <s v="P005"/>
    <x v="14"/>
    <x v="0"/>
    <s v="Computers"/>
    <x v="0"/>
    <s v="Tamil Nadu"/>
    <n v="21692.400000000001"/>
    <n v="26195.49"/>
    <n v="3"/>
    <n v="0.2"/>
    <s v="Credit Card"/>
    <x v="0"/>
    <s v="Akash Chauhan"/>
    <x v="925"/>
    <n v="-0.2075883719643746"/>
    <n v="2025"/>
    <s v="Nov"/>
    <s v="Q4"/>
    <s v="Medium"/>
    <s v="Loss"/>
    <s v="No"/>
    <s v="AKASH CHAUHAN"/>
    <s v="akash chauhan"/>
    <n v="13"/>
    <s v="ORD"/>
    <s v="0465"/>
    <s v="Akash Chauhan-South"/>
    <s v="0465"/>
    <s v="Simran"/>
    <s v="Simran"/>
    <m/>
  </r>
  <r>
    <s v="ORD0549"/>
    <x v="517"/>
    <s v="C021"/>
    <s v="Akash Chauhan"/>
    <s v="P005"/>
    <x v="14"/>
    <x v="0"/>
    <s v="Computers"/>
    <x v="2"/>
    <s v="Bihar"/>
    <n v="8478.42"/>
    <n v="7401.32"/>
    <n v="1"/>
    <n v="0.2"/>
    <s v="Debit Card"/>
    <x v="2"/>
    <s v="Akash Chauhan"/>
    <x v="926"/>
    <n v="0.12704017965611522"/>
    <n v="2025"/>
    <s v="Jul"/>
    <s v="Q3"/>
    <s v="Low"/>
    <s v="Profit"/>
    <s v="No"/>
    <s v="AKASH CHAUHAN"/>
    <s v="akash chauhan"/>
    <n v="13"/>
    <s v="ORD"/>
    <s v="0549"/>
    <s v="Akash Chauhan-East"/>
    <s v="0549"/>
    <s v="Simran"/>
    <s v="Simran"/>
    <m/>
  </r>
  <r>
    <s v="ORD0621"/>
    <x v="518"/>
    <s v="C021"/>
    <s v="Akash Chauhan"/>
    <s v="P005"/>
    <x v="14"/>
    <x v="0"/>
    <s v="Computers"/>
    <x v="1"/>
    <s v="Gujarat"/>
    <n v="45864.9"/>
    <n v="34509.160000000003"/>
    <n v="4"/>
    <n v="0.1"/>
    <s v="Net Banking"/>
    <x v="3"/>
    <s v="Akash Chauhan"/>
    <x v="927"/>
    <n v="0.24759107727259838"/>
    <n v="2024"/>
    <s v="Jun"/>
    <s v="Q2"/>
    <s v="Medium"/>
    <s v="Profit"/>
    <s v="No"/>
    <s v="AKASH CHAUHAN"/>
    <s v="akash chauhan"/>
    <n v="13"/>
    <s v="ORD"/>
    <s v="0621"/>
    <s v="Akash Chauhan-West"/>
    <s v="0621"/>
    <s v="Simran"/>
    <s v="Simran"/>
    <m/>
  </r>
  <r>
    <s v="ORD0796"/>
    <x v="96"/>
    <s v="C021"/>
    <s v="Akash Chauhan"/>
    <s v="P005"/>
    <x v="14"/>
    <x v="0"/>
    <s v="Computers"/>
    <x v="3"/>
    <s v="Delhi"/>
    <n v="22337.200000000001"/>
    <n v="16410.54"/>
    <n v="2"/>
    <n v="0"/>
    <s v="UPI"/>
    <x v="0"/>
    <s v="Akash Chauhan"/>
    <x v="928"/>
    <n v="0.26532689862650644"/>
    <n v="2025"/>
    <s v="Feb"/>
    <s v="Q1"/>
    <s v="Medium"/>
    <s v="Profit"/>
    <s v="No"/>
    <s v="AKASH CHAUHAN"/>
    <s v="akash chauhan"/>
    <n v="13"/>
    <s v="ORD"/>
    <s v="0796"/>
    <s v="Akash Chauhan-North"/>
    <s v="0796"/>
    <s v="Simran"/>
    <s v="Simran"/>
    <m/>
  </r>
  <r>
    <s v="ORD0820"/>
    <x v="178"/>
    <s v="C021"/>
    <s v="Akash Chauhan"/>
    <s v="P005"/>
    <x v="14"/>
    <x v="0"/>
    <s v="Computers"/>
    <x v="3"/>
    <s v="Uttar Pradesh"/>
    <n v="50906.38"/>
    <n v="33927.040000000001"/>
    <n v="4"/>
    <n v="0.1"/>
    <s v="Cash on Delivery"/>
    <x v="0"/>
    <s v="Akash Chauhan"/>
    <x v="929"/>
    <n v="0.33354051103221244"/>
    <n v="2024"/>
    <s v="Nov"/>
    <s v="Q4"/>
    <s v="High"/>
    <s v="Profit"/>
    <s v="Yes"/>
    <s v="AKASH CHAUHAN"/>
    <s v="akash chauhan"/>
    <n v="13"/>
    <s v="ORD"/>
    <s v="0820"/>
    <s v="Akash Chauhan-North"/>
    <s v="0820"/>
    <s v="Simran"/>
    <s v="Simran"/>
    <m/>
  </r>
  <r>
    <s v="ORD0408"/>
    <x v="519"/>
    <s v="C021"/>
    <s v="Akash Chauhan"/>
    <s v="P006"/>
    <x v="2"/>
    <x v="1"/>
    <s v="Chairs"/>
    <x v="0"/>
    <s v="Telangana"/>
    <n v="6336.72"/>
    <n v="4054.24"/>
    <n v="1"/>
    <n v="0.05"/>
    <s v="Cash on Delivery"/>
    <x v="0"/>
    <s v="Akash Chauhan"/>
    <x v="930"/>
    <n v="0.36019896728907075"/>
    <n v="2025"/>
    <s v="Oct"/>
    <s v="Q4"/>
    <s v="Low"/>
    <s v="Profit"/>
    <s v="No"/>
    <s v="AKASH CHAUHAN"/>
    <s v="akash chauhan"/>
    <n v="13"/>
    <s v="ORD"/>
    <s v="0408"/>
    <s v="Akash Chauhan-South"/>
    <s v="0408"/>
    <s v="Karan"/>
    <s v="Karan"/>
    <m/>
  </r>
  <r>
    <s v="ORD0425"/>
    <x v="75"/>
    <s v="C021"/>
    <s v="Akash Chauhan"/>
    <s v="P006"/>
    <x v="2"/>
    <x v="1"/>
    <s v="Chairs"/>
    <x v="3"/>
    <s v="Uttar Pradesh"/>
    <n v="10072.33"/>
    <n v="4933.41"/>
    <n v="1"/>
    <n v="0"/>
    <s v="Net Banking"/>
    <x v="2"/>
    <s v="Akash Chauhan"/>
    <x v="931"/>
    <n v="0.51020171102416223"/>
    <n v="2024"/>
    <s v="May"/>
    <s v="Q2"/>
    <s v="Low"/>
    <s v="Profit"/>
    <s v="No"/>
    <s v="AKASH CHAUHAN"/>
    <s v="akash chauhan"/>
    <n v="13"/>
    <s v="ORD"/>
    <s v="0425"/>
    <s v="Akash Chauhan-North"/>
    <s v="0425"/>
    <s v="Karan"/>
    <s v="Karan"/>
    <m/>
  </r>
  <r>
    <s v="ORD0987"/>
    <x v="466"/>
    <s v="C021"/>
    <s v="Akash Chauhan"/>
    <s v="P006"/>
    <x v="2"/>
    <x v="1"/>
    <s v="Chairs"/>
    <x v="3"/>
    <s v="Uttar Pradesh"/>
    <n v="6020.55"/>
    <n v="4389.96"/>
    <n v="1"/>
    <n v="0.1"/>
    <s v="UPI"/>
    <x v="0"/>
    <s v="Akash Chauhan"/>
    <x v="932"/>
    <n v="0.27083738196676382"/>
    <n v="2024"/>
    <s v="Oct"/>
    <s v="Q4"/>
    <s v="Low"/>
    <s v="Profit"/>
    <s v="No"/>
    <s v="AKASH CHAUHAN"/>
    <s v="akash chauhan"/>
    <n v="13"/>
    <s v="ORD"/>
    <s v="0987"/>
    <s v="Akash Chauhan-North"/>
    <s v="0987"/>
    <s v="Karan"/>
    <s v="Karan"/>
    <m/>
  </r>
  <r>
    <s v="ORD0057"/>
    <x v="503"/>
    <s v="C021"/>
    <s v="Akash Chauhan"/>
    <s v="P008"/>
    <x v="4"/>
    <x v="1"/>
    <s v="Storage"/>
    <x v="0"/>
    <s v="Tamil Nadu"/>
    <n v="5196.96"/>
    <n v="4170.84"/>
    <n v="1"/>
    <n v="0.1"/>
    <s v="Debit Card"/>
    <x v="0"/>
    <s v="Akash Chauhan"/>
    <x v="933"/>
    <n v="0.19744619931652349"/>
    <n v="2025"/>
    <s v="Mar"/>
    <s v="Q1"/>
    <s v="Low"/>
    <s v="Profit"/>
    <s v="No"/>
    <s v="AKASH CHAUHAN"/>
    <s v="akash chauhan"/>
    <n v="13"/>
    <s v="ORD"/>
    <s v="0057"/>
    <s v="Akash Chauhan-South"/>
    <s v="0057"/>
    <s v="Anjali"/>
    <s v="Anjali"/>
    <m/>
  </r>
  <r>
    <s v="ORD0920"/>
    <x v="282"/>
    <s v="C021"/>
    <s v="Akash Chauhan"/>
    <s v="P008"/>
    <x v="4"/>
    <x v="1"/>
    <s v="Storage"/>
    <x v="3"/>
    <s v="Delhi"/>
    <n v="35320"/>
    <n v="18756.400000000001"/>
    <n v="5"/>
    <n v="0.05"/>
    <s v="Debit Card"/>
    <x v="0"/>
    <s v="Akash Chauhan"/>
    <x v="934"/>
    <n v="0.46895809739524347"/>
    <n v="2025"/>
    <s v="Sep"/>
    <s v="Q3"/>
    <s v="Medium"/>
    <s v="Profit"/>
    <s v="No"/>
    <s v="AKASH CHAUHAN"/>
    <s v="akash chauhan"/>
    <n v="13"/>
    <s v="ORD"/>
    <s v="0920"/>
    <s v="Akash Chauhan-North"/>
    <s v="0920"/>
    <s v="Anjali"/>
    <s v="Anjali"/>
    <m/>
  </r>
  <r>
    <s v="ORD0284"/>
    <x v="5"/>
    <s v="C021"/>
    <s v="Akash Chauhan"/>
    <s v="P010"/>
    <x v="6"/>
    <x v="1"/>
    <s v="Bedroom"/>
    <x v="0"/>
    <s v="Karnataka"/>
    <n v="68474.259999999995"/>
    <n v="37549.699999999997"/>
    <n v="2"/>
    <n v="0"/>
    <s v="Net Banking"/>
    <x v="2"/>
    <s v="Akash Chauhan"/>
    <x v="935"/>
    <n v="0.45162313546725441"/>
    <n v="2024"/>
    <s v="Sep"/>
    <s v="Q3"/>
    <s v="High"/>
    <s v="Profit"/>
    <s v="Yes"/>
    <s v="AKASH CHAUHAN"/>
    <s v="akash chauhan"/>
    <n v="13"/>
    <s v="ORD"/>
    <s v="0284"/>
    <s v="Akash Chauhan-South"/>
    <s v="0284"/>
    <s v="Sneha"/>
    <s v="Sneha"/>
    <m/>
  </r>
  <r>
    <s v="ORD0315"/>
    <x v="117"/>
    <s v="C021"/>
    <s v="Akash Chauhan"/>
    <s v="P010"/>
    <x v="6"/>
    <x v="1"/>
    <s v="Bedroom"/>
    <x v="2"/>
    <s v="Bihar"/>
    <n v="43573.98"/>
    <n v="35490.46"/>
    <n v="2"/>
    <n v="0"/>
    <s v="UPI"/>
    <x v="0"/>
    <s v="Akash Chauhan"/>
    <x v="936"/>
    <n v="0.18551254670792072"/>
    <n v="2025"/>
    <s v="Dec"/>
    <s v="Q4"/>
    <s v="Medium"/>
    <s v="Profit"/>
    <s v="No"/>
    <s v="AKASH CHAUHAN"/>
    <s v="akash chauhan"/>
    <n v="13"/>
    <s v="ORD"/>
    <s v="0315"/>
    <s v="Akash Chauhan-East"/>
    <s v="0315"/>
    <s v="Sneha"/>
    <s v="Sneha"/>
    <m/>
  </r>
  <r>
    <s v="ORD0353"/>
    <x v="520"/>
    <s v="C021"/>
    <s v="Akash Chauhan"/>
    <s v="P010"/>
    <x v="6"/>
    <x v="1"/>
    <s v="Bedroom"/>
    <x v="1"/>
    <s v="Gujarat"/>
    <n v="92331.04"/>
    <n v="89622.55"/>
    <n v="5"/>
    <n v="0.15"/>
    <s v="Credit Card"/>
    <x v="3"/>
    <s v="Akash Chauhan"/>
    <x v="937"/>
    <n v="2.9334555313142698E-2"/>
    <n v="2025"/>
    <s v="Feb"/>
    <s v="Q1"/>
    <s v="High"/>
    <s v="Profit"/>
    <s v="Yes"/>
    <s v="AKASH CHAUHAN"/>
    <s v="akash chauhan"/>
    <n v="13"/>
    <s v="ORD"/>
    <s v="0353"/>
    <s v="Akash Chauhan-West"/>
    <s v="0353"/>
    <s v="Sneha"/>
    <s v="Sneha"/>
    <m/>
  </r>
  <r>
    <s v="ORD0726"/>
    <x v="339"/>
    <s v="C021"/>
    <s v="Akash Chauhan"/>
    <s v="P010"/>
    <x v="6"/>
    <x v="1"/>
    <s v="Bedroom"/>
    <x v="1"/>
    <s v="Gujarat"/>
    <n v="146303.87"/>
    <n v="93004"/>
    <n v="5"/>
    <n v="0.15"/>
    <s v="Debit Card"/>
    <x v="0"/>
    <s v="Akash Chauhan"/>
    <x v="938"/>
    <n v="0.36430936515896672"/>
    <n v="2024"/>
    <s v="Oct"/>
    <s v="Q4"/>
    <s v="High"/>
    <s v="Profit"/>
    <s v="Yes"/>
    <s v="AKASH CHAUHAN"/>
    <s v="akash chauhan"/>
    <n v="13"/>
    <s v="ORD"/>
    <s v="0726"/>
    <s v="Akash Chauhan-West"/>
    <s v="0726"/>
    <s v="Sneha"/>
    <s v="Sneha"/>
    <m/>
  </r>
  <r>
    <s v="ORD0777"/>
    <x v="216"/>
    <s v="C021"/>
    <s v="Akash Chauhan"/>
    <s v="P010"/>
    <x v="6"/>
    <x v="1"/>
    <s v="Bedroom"/>
    <x v="1"/>
    <s v="Rajasthan"/>
    <n v="87550.75"/>
    <n v="74353.759999999995"/>
    <n v="4"/>
    <n v="0.15"/>
    <s v="Net Banking"/>
    <x v="4"/>
    <s v="Akash Chauhan"/>
    <x v="939"/>
    <n v="0.15073531637364621"/>
    <n v="2024"/>
    <s v="Nov"/>
    <s v="Q4"/>
    <s v="High"/>
    <s v="Profit"/>
    <s v="Yes"/>
    <s v="AKASH CHAUHAN"/>
    <s v="akash chauhan"/>
    <n v="13"/>
    <s v="ORD"/>
    <s v="0777"/>
    <s v="Akash Chauhan-West"/>
    <s v="0777"/>
    <s v="Sneha"/>
    <s v="Sneha"/>
    <m/>
  </r>
  <r>
    <s v="ORD0938"/>
    <x v="521"/>
    <s v="C021"/>
    <s v="Akash Chauhan"/>
    <s v="P010"/>
    <x v="6"/>
    <x v="1"/>
    <s v="Bedroom"/>
    <x v="3"/>
    <s v="Uttar Pradesh"/>
    <n v="18663.22"/>
    <n v="18629.59"/>
    <n v="1"/>
    <n v="0.2"/>
    <s v="Net Banking"/>
    <x v="0"/>
    <s v="Akash Chauhan"/>
    <x v="940"/>
    <n v="1.8019398581810115E-3"/>
    <n v="2024"/>
    <s v="Jun"/>
    <s v="Q2"/>
    <s v="Low"/>
    <s v="Profit"/>
    <s v="No"/>
    <s v="AKASH CHAUHAN"/>
    <s v="akash chauhan"/>
    <n v="13"/>
    <s v="ORD"/>
    <s v="0938"/>
    <s v="Akash Chauhan-North"/>
    <s v="0938"/>
    <s v="Sneha"/>
    <s v="Sneha"/>
    <m/>
  </r>
  <r>
    <s v="ORD0720"/>
    <x v="181"/>
    <s v="C021"/>
    <s v="Akash Chauhan"/>
    <s v="P011"/>
    <x v="15"/>
    <x v="2"/>
    <s v="Footwear"/>
    <x v="1"/>
    <s v="Gujarat"/>
    <n v="13373.37"/>
    <n v="6410.3"/>
    <n v="5"/>
    <n v="0.1"/>
    <s v="Cash on Delivery"/>
    <x v="0"/>
    <s v="Akash Chauhan"/>
    <x v="941"/>
    <n v="0.52066681771311196"/>
    <n v="2025"/>
    <s v="Aug"/>
    <s v="Q3"/>
    <s v="Low"/>
    <s v="Profit"/>
    <s v="No"/>
    <s v="AKASH CHAUHAN"/>
    <s v="akash chauhan"/>
    <n v="13"/>
    <s v="ORD"/>
    <s v="0720"/>
    <s v="Akash Chauhan-West"/>
    <s v="0720"/>
    <s v="Vikas"/>
    <s v="Vikas"/>
    <m/>
  </r>
  <r>
    <s v="ORD0962"/>
    <x v="273"/>
    <s v="C021"/>
    <s v="Akash Chauhan"/>
    <s v="P011"/>
    <x v="15"/>
    <x v="2"/>
    <s v="Footwear"/>
    <x v="4"/>
    <s v="Chhattisgarh"/>
    <n v="4507.26"/>
    <n v="4384.8"/>
    <n v="4"/>
    <n v="0.2"/>
    <s v="Net Banking"/>
    <x v="3"/>
    <s v="Akash Chauhan"/>
    <x v="942"/>
    <n v="2.7169499873537367E-2"/>
    <n v="2025"/>
    <s v="Nov"/>
    <s v="Q4"/>
    <s v="Low"/>
    <s v="Profit"/>
    <s v="No"/>
    <s v="AKASH CHAUHAN"/>
    <s v="akash chauhan"/>
    <n v="13"/>
    <s v="ORD"/>
    <s v="0962"/>
    <s v="Akash Chauhan-Central"/>
    <s v="0962"/>
    <s v="Vikas"/>
    <s v="Vikas"/>
    <m/>
  </r>
  <r>
    <s v="ORD1000"/>
    <x v="451"/>
    <s v="C021"/>
    <s v="Akash Chauhan"/>
    <s v="P011"/>
    <x v="15"/>
    <x v="2"/>
    <s v="Footwear"/>
    <x v="1"/>
    <s v="Maharashtra"/>
    <n v="13972.27"/>
    <n v="6559.5"/>
    <n v="5"/>
    <n v="0.05"/>
    <s v="Credit Card"/>
    <x v="4"/>
    <s v="Akash Chauhan"/>
    <x v="943"/>
    <n v="0.53053440851057132"/>
    <n v="2025"/>
    <s v="Jan"/>
    <s v="Q1"/>
    <s v="Low"/>
    <s v="Profit"/>
    <s v="No"/>
    <s v="AKASH CHAUHAN"/>
    <s v="akash chauhan"/>
    <n v="13"/>
    <s v="ORD"/>
    <s v="1000"/>
    <s v="Akash Chauhan-West"/>
    <s v="1000"/>
    <s v="Vikas"/>
    <s v="Vikas"/>
    <m/>
  </r>
  <r>
    <s v="ORD0118"/>
    <x v="378"/>
    <s v="C021"/>
    <s v="Akash Chauhan"/>
    <s v="P012"/>
    <x v="7"/>
    <x v="2"/>
    <s v="Clothing"/>
    <x v="3"/>
    <s v="Uttar Pradesh"/>
    <n v="4578.6899999999996"/>
    <n v="1789.74"/>
    <n v="2"/>
    <n v="0.2"/>
    <s v="Debit Card"/>
    <x v="0"/>
    <s v="Akash Chauhan"/>
    <x v="944"/>
    <n v="0.60911527096178164"/>
    <n v="2025"/>
    <s v="Nov"/>
    <s v="Q4"/>
    <s v="Low"/>
    <s v="Profit"/>
    <s v="No"/>
    <s v="AKASH CHAUHAN"/>
    <s v="akash chauhan"/>
    <n v="13"/>
    <s v="ORD"/>
    <s v="0118"/>
    <s v="Akash Chauhan-North"/>
    <s v="0118"/>
    <s v="Pooja"/>
    <s v="Pooja"/>
    <m/>
  </r>
  <r>
    <s v="ORD0231"/>
    <x v="246"/>
    <s v="C021"/>
    <s v="Akash Chauhan"/>
    <s v="P012"/>
    <x v="7"/>
    <x v="2"/>
    <s v="Clothing"/>
    <x v="2"/>
    <s v="Bihar"/>
    <n v="2280.44"/>
    <n v="930.2"/>
    <n v="1"/>
    <n v="0.05"/>
    <s v="Net Banking"/>
    <x v="4"/>
    <s v="Akash Chauhan"/>
    <x v="945"/>
    <n v="0.59209626212485311"/>
    <n v="2024"/>
    <s v="Aug"/>
    <s v="Q3"/>
    <s v="Low"/>
    <s v="Profit"/>
    <s v="No"/>
    <s v="AKASH CHAUHAN"/>
    <s v="akash chauhan"/>
    <n v="13"/>
    <s v="ORD"/>
    <s v="0231"/>
    <s v="Akash Chauhan-East"/>
    <s v="0231"/>
    <s v="Pooja"/>
    <s v="Pooja"/>
    <m/>
  </r>
  <r>
    <s v="ORD0610"/>
    <x v="230"/>
    <s v="C021"/>
    <s v="Akash Chauhan"/>
    <s v="P012"/>
    <x v="7"/>
    <x v="2"/>
    <s v="Clothing"/>
    <x v="3"/>
    <s v="Delhi"/>
    <n v="3163.81"/>
    <n v="930.06"/>
    <n v="1"/>
    <n v="0.1"/>
    <s v="Debit Card"/>
    <x v="0"/>
    <s v="Akash Chauhan"/>
    <x v="946"/>
    <n v="0.70603165171106985"/>
    <n v="2024"/>
    <s v="May"/>
    <s v="Q2"/>
    <s v="Low"/>
    <s v="Profit"/>
    <s v="No"/>
    <s v="AKASH CHAUHAN"/>
    <s v="akash chauhan"/>
    <n v="13"/>
    <s v="ORD"/>
    <s v="0610"/>
    <s v="Akash Chauhan-North"/>
    <s v="0610"/>
    <s v="Pooja"/>
    <s v="Pooja"/>
    <m/>
  </r>
  <r>
    <s v="ORD0978"/>
    <x v="167"/>
    <s v="C021"/>
    <s v="Akash Chauhan"/>
    <s v="P012"/>
    <x v="7"/>
    <x v="2"/>
    <s v="Clothing"/>
    <x v="2"/>
    <s v="Bihar"/>
    <n v="12194.62"/>
    <n v="3907.08"/>
    <n v="4"/>
    <n v="0.05"/>
    <s v="Net Banking"/>
    <x v="0"/>
    <s v="Akash Chauhan"/>
    <x v="947"/>
    <n v="0.67960625259335672"/>
    <n v="2024"/>
    <s v="Feb"/>
    <s v="Q1"/>
    <s v="Low"/>
    <s v="Profit"/>
    <s v="No"/>
    <s v="AKASH CHAUHAN"/>
    <s v="akash chauhan"/>
    <n v="13"/>
    <s v="ORD"/>
    <s v="0978"/>
    <s v="Akash Chauhan-East"/>
    <s v="0978"/>
    <s v="Pooja"/>
    <s v="Pooja"/>
    <m/>
  </r>
  <r>
    <s v="ORD0994"/>
    <x v="7"/>
    <s v="C021"/>
    <s v="Akash Chauhan"/>
    <s v="P012"/>
    <x v="7"/>
    <x v="2"/>
    <s v="Clothing"/>
    <x v="4"/>
    <s v="Chhattisgarh"/>
    <n v="4352.37"/>
    <n v="2796.09"/>
    <n v="3"/>
    <n v="0.15"/>
    <s v="Net Banking"/>
    <x v="0"/>
    <s v="Akash Chauhan"/>
    <x v="948"/>
    <n v="0.35757070285844261"/>
    <n v="2024"/>
    <s v="Feb"/>
    <s v="Q1"/>
    <s v="Low"/>
    <s v="Profit"/>
    <s v="No"/>
    <s v="AKASH CHAUHAN"/>
    <s v="akash chauhan"/>
    <n v="13"/>
    <s v="ORD"/>
    <s v="0994"/>
    <s v="Akash Chauhan-Central"/>
    <s v="0994"/>
    <s v="Pooja"/>
    <s v="Pooja"/>
    <m/>
  </r>
  <r>
    <s v="ORD0571"/>
    <x v="233"/>
    <s v="C021"/>
    <s v="Akash Chauhan"/>
    <s v="P013"/>
    <x v="16"/>
    <x v="2"/>
    <s v="Bags"/>
    <x v="3"/>
    <s v="Delhi"/>
    <n v="9442.2900000000009"/>
    <n v="3178.85"/>
    <n v="5"/>
    <n v="0.05"/>
    <s v="Debit Card"/>
    <x v="0"/>
    <s v="Akash Chauhan"/>
    <x v="949"/>
    <n v="0.66333908405693953"/>
    <n v="2024"/>
    <s v="Nov"/>
    <s v="Q4"/>
    <s v="Low"/>
    <s v="Profit"/>
    <s v="No"/>
    <s v="AKASH CHAUHAN"/>
    <s v="akash chauhan"/>
    <n v="13"/>
    <s v="ORD"/>
    <s v="0571"/>
    <s v="Akash Chauhan-North"/>
    <s v="0571"/>
    <s v="Aditya"/>
    <s v="Aditya"/>
    <m/>
  </r>
  <r>
    <s v="ORD0855"/>
    <x v="73"/>
    <s v="C021"/>
    <s v="Akash Chauhan"/>
    <s v="P013"/>
    <x v="16"/>
    <x v="2"/>
    <s v="Bags"/>
    <x v="4"/>
    <s v="Madhya Pradesh"/>
    <n v="5054.99"/>
    <n v="1925.4"/>
    <n v="3"/>
    <n v="0.15"/>
    <s v="Credit Card"/>
    <x v="4"/>
    <s v="Akash Chauhan"/>
    <x v="950"/>
    <n v="0.61910903879137247"/>
    <n v="2024"/>
    <s v="Jul"/>
    <s v="Q3"/>
    <s v="Low"/>
    <s v="Profit"/>
    <s v="No"/>
    <s v="AKASH CHAUHAN"/>
    <s v="akash chauhan"/>
    <n v="13"/>
    <s v="ORD"/>
    <s v="0855"/>
    <s v="Akash Chauhan-Central"/>
    <s v="0855"/>
    <s v="Aditya"/>
    <s v="Aditya"/>
    <m/>
  </r>
  <r>
    <s v="ORD0893"/>
    <x v="495"/>
    <s v="C021"/>
    <s v="Akash Chauhan"/>
    <s v="P013"/>
    <x v="16"/>
    <x v="2"/>
    <s v="Bags"/>
    <x v="3"/>
    <s v="Uttar Pradesh"/>
    <n v="5581.49"/>
    <n v="3500.25"/>
    <n v="5"/>
    <n v="0.05"/>
    <s v="Cash on Delivery"/>
    <x v="0"/>
    <s v="Akash Chauhan"/>
    <x v="951"/>
    <n v="0.37288250986743682"/>
    <n v="2024"/>
    <s v="Oct"/>
    <s v="Q4"/>
    <s v="Low"/>
    <s v="Profit"/>
    <s v="No"/>
    <s v="AKASH CHAUHAN"/>
    <s v="akash chauhan"/>
    <n v="13"/>
    <s v="ORD"/>
    <s v="0893"/>
    <s v="Akash Chauhan-North"/>
    <s v="0893"/>
    <s v="Aditya"/>
    <s v="Aditya"/>
    <m/>
  </r>
  <r>
    <s v="ORD0010"/>
    <x v="94"/>
    <s v="C021"/>
    <s v="Akash Chauhan"/>
    <s v="P016"/>
    <x v="8"/>
    <x v="3"/>
    <s v="Kitchen"/>
    <x v="1"/>
    <s v="Maharashtra"/>
    <n v="8007.9"/>
    <n v="6685.72"/>
    <n v="4"/>
    <n v="0.2"/>
    <s v="Cash on Delivery"/>
    <x v="4"/>
    <s v="Akash Chauhan"/>
    <x v="952"/>
    <n v="0.16510945441376634"/>
    <n v="2025"/>
    <s v="Oct"/>
    <s v="Q4"/>
    <s v="Low"/>
    <s v="Profit"/>
    <s v="No"/>
    <s v="AKASH CHAUHAN"/>
    <s v="akash chauhan"/>
    <n v="13"/>
    <s v="ORD"/>
    <s v="0010"/>
    <s v="Akash Chauhan-West"/>
    <s v="0010"/>
    <s v="Rahul"/>
    <s v="Rahul"/>
    <m/>
  </r>
  <r>
    <s v="ORD0105"/>
    <x v="387"/>
    <s v="C021"/>
    <s v="Akash Chauhan"/>
    <s v="P016"/>
    <x v="8"/>
    <x v="3"/>
    <s v="Kitchen"/>
    <x v="4"/>
    <s v="Chhattisgarh"/>
    <n v="2550.5500000000002"/>
    <n v="1842.29"/>
    <n v="1"/>
    <n v="0.1"/>
    <s v="Credit Card"/>
    <x v="0"/>
    <s v="Akash Chauhan"/>
    <x v="953"/>
    <n v="0.27768912587481137"/>
    <n v="2025"/>
    <s v="Jul"/>
    <s v="Q3"/>
    <s v="Low"/>
    <s v="Profit"/>
    <s v="No"/>
    <s v="AKASH CHAUHAN"/>
    <s v="akash chauhan"/>
    <n v="13"/>
    <s v="ORD"/>
    <s v="0105"/>
    <s v="Akash Chauhan-Central"/>
    <s v="0105"/>
    <s v="Rahul"/>
    <s v="Rahul"/>
    <m/>
  </r>
  <r>
    <s v="ORD0326"/>
    <x v="384"/>
    <s v="C021"/>
    <s v="Akash Chauhan"/>
    <s v="P017"/>
    <x v="9"/>
    <x v="3"/>
    <s v="Kitchen"/>
    <x v="4"/>
    <s v="Madhya Pradesh"/>
    <n v="23424.22"/>
    <n v="24968.68"/>
    <n v="4"/>
    <n v="0.2"/>
    <s v="Cash on Delivery"/>
    <x v="0"/>
    <s v="Akash Chauhan"/>
    <x v="954"/>
    <n v="-6.5934319264419436E-2"/>
    <n v="2025"/>
    <s v="Mar"/>
    <s v="Q1"/>
    <s v="Medium"/>
    <s v="Loss"/>
    <s v="No"/>
    <s v="AKASH CHAUHAN"/>
    <s v="akash chauhan"/>
    <n v="13"/>
    <s v="ORD"/>
    <s v="0326"/>
    <s v="Akash Chauhan-Central"/>
    <s v="0326"/>
    <s v="Priya"/>
    <s v="Priya"/>
    <m/>
  </r>
  <r>
    <s v="ORD0907"/>
    <x v="193"/>
    <s v="C021"/>
    <s v="Akash Chauhan"/>
    <s v="P017"/>
    <x v="9"/>
    <x v="3"/>
    <s v="Kitchen"/>
    <x v="0"/>
    <s v="Tamil Nadu"/>
    <n v="42711.199999999997"/>
    <n v="23910.720000000001"/>
    <n v="4"/>
    <n v="0.05"/>
    <s v="Credit Card"/>
    <x v="0"/>
    <s v="Akash Chauhan"/>
    <x v="955"/>
    <n v="0.44017681544887516"/>
    <n v="2024"/>
    <s v="Dec"/>
    <s v="Q4"/>
    <s v="Medium"/>
    <s v="Profit"/>
    <s v="No"/>
    <s v="AKASH CHAUHAN"/>
    <s v="akash chauhan"/>
    <n v="13"/>
    <s v="ORD"/>
    <s v="0907"/>
    <s v="Akash Chauhan-South"/>
    <s v="0907"/>
    <s v="Priya"/>
    <s v="Priya"/>
    <m/>
  </r>
  <r>
    <s v="ORD0624"/>
    <x v="121"/>
    <s v="C021"/>
    <s v="Akash Chauhan"/>
    <s v="P018"/>
    <x v="10"/>
    <x v="3"/>
    <s v="Cooling"/>
    <x v="4"/>
    <s v="Chhattisgarh"/>
    <n v="37208.35"/>
    <n v="28081.3"/>
    <n v="5"/>
    <n v="0"/>
    <s v="Debit Card"/>
    <x v="1"/>
    <s v="Akash Chauhan"/>
    <x v="956"/>
    <n v="0.24529574678801935"/>
    <n v="2024"/>
    <s v="Jun"/>
    <s v="Q2"/>
    <s v="Medium"/>
    <s v="Profit"/>
    <s v="No"/>
    <s v="AKASH CHAUHAN"/>
    <s v="akash chauhan"/>
    <n v="13"/>
    <s v="ORD"/>
    <s v="0624"/>
    <s v="Akash Chauhan-Central"/>
    <s v="0624"/>
    <s v="Amit"/>
    <s v="Amit"/>
    <m/>
  </r>
  <r>
    <s v="ORD0947"/>
    <x v="273"/>
    <s v="C021"/>
    <s v="Akash Chauhan"/>
    <s v="P018"/>
    <x v="10"/>
    <x v="3"/>
    <s v="Cooling"/>
    <x v="0"/>
    <s v="Tamil Nadu"/>
    <n v="10546.22"/>
    <n v="5717.85"/>
    <n v="1"/>
    <n v="0.05"/>
    <s v="Net Banking"/>
    <x v="3"/>
    <s v="Akash Chauhan"/>
    <x v="957"/>
    <n v="0.45782944031131528"/>
    <n v="2025"/>
    <s v="Nov"/>
    <s v="Q4"/>
    <s v="Low"/>
    <s v="Profit"/>
    <s v="No"/>
    <s v="AKASH CHAUHAN"/>
    <s v="akash chauhan"/>
    <n v="13"/>
    <s v="ORD"/>
    <s v="0947"/>
    <s v="Akash Chauhan-South"/>
    <s v="0947"/>
    <s v="Amit"/>
    <s v="Amit"/>
    <m/>
  </r>
  <r>
    <s v="ORD0703"/>
    <x v="408"/>
    <s v="C021"/>
    <s v="Akash Chauhan"/>
    <s v="P020"/>
    <x v="11"/>
    <x v="3"/>
    <s v="Kitchen"/>
    <x v="3"/>
    <s v="Punjab"/>
    <n v="2815.08"/>
    <n v="2677.5"/>
    <n v="5"/>
    <n v="0.2"/>
    <s v="Net Banking"/>
    <x v="0"/>
    <s v="Akash Chauhan"/>
    <x v="958"/>
    <n v="4.8872500959120144E-2"/>
    <n v="2025"/>
    <s v="Aug"/>
    <s v="Q3"/>
    <s v="Low"/>
    <s v="Profit"/>
    <s v="No"/>
    <s v="AKASH CHAUHAN"/>
    <s v="akash chauhan"/>
    <n v="13"/>
    <s v="ORD"/>
    <s v="0703"/>
    <s v="Akash Chauhan-North"/>
    <s v="0703"/>
    <s v="Simran"/>
    <s v="Simran"/>
    <m/>
  </r>
  <r>
    <s v="ORD0147"/>
    <x v="521"/>
    <s v="C013"/>
    <s v="Aditya Jain"/>
    <s v="P001"/>
    <x v="12"/>
    <x v="0"/>
    <s v="Computers"/>
    <x v="0"/>
    <s v="Telangana"/>
    <n v="276800.49"/>
    <n v="238084.65"/>
    <n v="5"/>
    <n v="0.1"/>
    <s v="UPI"/>
    <x v="3"/>
    <s v="Aditya Jain"/>
    <x v="959"/>
    <n v="0.13986911656117371"/>
    <n v="2024"/>
    <s v="Jun"/>
    <s v="Q2"/>
    <s v="High"/>
    <s v="Profit"/>
    <s v="Yes"/>
    <s v="ADITYA JAIN"/>
    <s v="aditya jain"/>
    <n v="11"/>
    <s v="ORD"/>
    <s v="0147"/>
    <s v="Aditya Jain-South"/>
    <s v="0147"/>
    <s v="Rahul"/>
    <s v="Rahul"/>
    <m/>
  </r>
  <r>
    <s v="ORD0401"/>
    <x v="522"/>
    <s v="C013"/>
    <s v="Aditya Jain"/>
    <s v="P002"/>
    <x v="0"/>
    <x v="0"/>
    <s v="Phones"/>
    <x v="2"/>
    <s v="West Bengal"/>
    <n v="119949.85"/>
    <n v="95688.25"/>
    <n v="5"/>
    <n v="0.05"/>
    <s v="Cash on Delivery"/>
    <x v="2"/>
    <s v="Aditya Jain"/>
    <x v="960"/>
    <n v="0.20226452971804471"/>
    <n v="2025"/>
    <s v="Dec"/>
    <s v="Q4"/>
    <s v="High"/>
    <s v="Profit"/>
    <s v="Yes"/>
    <s v="ADITYA JAIN"/>
    <s v="aditya jain"/>
    <n v="11"/>
    <s v="ORD"/>
    <s v="0401"/>
    <s v="Aditya Jain-East"/>
    <s v="0401"/>
    <s v="Priya"/>
    <s v="Priya"/>
    <m/>
  </r>
  <r>
    <s v="ORD0451"/>
    <x v="523"/>
    <s v="C013"/>
    <s v="Aditya Jain"/>
    <s v="P002"/>
    <x v="0"/>
    <x v="0"/>
    <s v="Phones"/>
    <x v="1"/>
    <s v="Maharashtra"/>
    <n v="101466.81"/>
    <n v="85756.3"/>
    <n v="5"/>
    <n v="0.1"/>
    <s v="UPI"/>
    <x v="1"/>
    <s v="Aditya Jain"/>
    <x v="961"/>
    <n v="0.15483397970232823"/>
    <n v="2024"/>
    <s v="Oct"/>
    <s v="Q4"/>
    <s v="High"/>
    <s v="Profit"/>
    <s v="Yes"/>
    <s v="ADITYA JAIN"/>
    <s v="aditya jain"/>
    <n v="11"/>
    <s v="ORD"/>
    <s v="0451"/>
    <s v="Aditya Jain-West"/>
    <s v="0451"/>
    <s v="Priya"/>
    <s v="Priya"/>
    <m/>
  </r>
  <r>
    <s v="ORD0852"/>
    <x v="212"/>
    <s v="C013"/>
    <s v="Aditya Jain"/>
    <s v="P002"/>
    <x v="0"/>
    <x v="0"/>
    <s v="Phones"/>
    <x v="2"/>
    <s v="Odisha"/>
    <n v="33628.639999999999"/>
    <n v="38898.080000000002"/>
    <n v="2"/>
    <n v="0.2"/>
    <s v="Debit Card"/>
    <x v="3"/>
    <s v="Aditya Jain"/>
    <x v="962"/>
    <n v="-0.15669500758876964"/>
    <n v="2025"/>
    <s v="Oct"/>
    <s v="Q4"/>
    <s v="Medium"/>
    <s v="Loss"/>
    <s v="No"/>
    <s v="ADITYA JAIN"/>
    <s v="aditya jain"/>
    <n v="11"/>
    <s v="ORD"/>
    <s v="0852"/>
    <s v="Aditya Jain-East"/>
    <s v="0852"/>
    <s v="Priya"/>
    <s v="Priya"/>
    <m/>
  </r>
  <r>
    <s v="ORD0641"/>
    <x v="524"/>
    <s v="C013"/>
    <s v="Aditya Jain"/>
    <s v="P003"/>
    <x v="1"/>
    <x v="0"/>
    <s v="Accessories"/>
    <x v="0"/>
    <s v="Telangana"/>
    <n v="25644.959999999999"/>
    <n v="8876.0499999999993"/>
    <n v="5"/>
    <n v="0.2"/>
    <s v="Debit Card"/>
    <x v="0"/>
    <s v="Aditya Jain"/>
    <x v="963"/>
    <n v="0.65388715755454485"/>
    <n v="2024"/>
    <s v="Aug"/>
    <s v="Q3"/>
    <s v="Medium"/>
    <s v="Profit"/>
    <s v="No"/>
    <s v="ADITYA JAIN"/>
    <s v="aditya jain"/>
    <n v="11"/>
    <s v="ORD"/>
    <s v="0641"/>
    <s v="Aditya Jain-South"/>
    <s v="0641"/>
    <s v="Amit"/>
    <s v="Amit"/>
    <m/>
  </r>
  <r>
    <s v="ORD0678"/>
    <x v="334"/>
    <s v="C013"/>
    <s v="Aditya Jain"/>
    <s v="P003"/>
    <x v="1"/>
    <x v="0"/>
    <s v="Accessories"/>
    <x v="1"/>
    <s v="Rajasthan"/>
    <n v="4340.6499999999996"/>
    <n v="1758.39"/>
    <n v="1"/>
    <n v="0.15"/>
    <s v="UPI"/>
    <x v="1"/>
    <s v="Aditya Jain"/>
    <x v="964"/>
    <n v="0.59490168523147446"/>
    <n v="2024"/>
    <s v="Aug"/>
    <s v="Q3"/>
    <s v="Low"/>
    <s v="Profit"/>
    <s v="No"/>
    <s v="ADITYA JAIN"/>
    <s v="aditya jain"/>
    <n v="11"/>
    <s v="ORD"/>
    <s v="0678"/>
    <s v="Aditya Jain-West"/>
    <s v="0678"/>
    <s v="Amit"/>
    <s v="Amit"/>
    <m/>
  </r>
  <r>
    <s v="ORD0879"/>
    <x v="464"/>
    <s v="C013"/>
    <s v="Aditya Jain"/>
    <s v="P004"/>
    <x v="13"/>
    <x v="0"/>
    <s v="Wearables"/>
    <x v="3"/>
    <s v="Delhi"/>
    <n v="11330.84"/>
    <n v="6302.56"/>
    <n v="2"/>
    <n v="0.15"/>
    <s v="Cash on Delivery"/>
    <x v="3"/>
    <s v="Aditya Jain"/>
    <x v="965"/>
    <n v="0.44376939397255627"/>
    <n v="2024"/>
    <s v="Jul"/>
    <s v="Q3"/>
    <s v="Low"/>
    <s v="Profit"/>
    <s v="No"/>
    <s v="ADITYA JAIN"/>
    <s v="aditya jain"/>
    <n v="11"/>
    <s v="ORD"/>
    <s v="0879"/>
    <s v="Aditya Jain-North"/>
    <s v="0879"/>
    <s v="Neha"/>
    <s v="Neha"/>
    <m/>
  </r>
  <r>
    <s v="ORD0032"/>
    <x v="525"/>
    <s v="C013"/>
    <s v="Aditya Jain"/>
    <s v="P005"/>
    <x v="14"/>
    <x v="0"/>
    <s v="Computers"/>
    <x v="2"/>
    <s v="Odisha"/>
    <n v="46500.87"/>
    <n v="23794.68"/>
    <n v="3"/>
    <n v="0"/>
    <s v="UPI"/>
    <x v="2"/>
    <s v="Aditya Jain"/>
    <x v="966"/>
    <n v="0.4882960254292017"/>
    <n v="2025"/>
    <s v="Oct"/>
    <s v="Q4"/>
    <s v="Medium"/>
    <s v="Profit"/>
    <s v="No"/>
    <s v="ADITYA JAIN"/>
    <s v="aditya jain"/>
    <n v="11"/>
    <s v="ORD"/>
    <s v="0032"/>
    <s v="Aditya Jain-East"/>
    <s v="0032"/>
    <s v="Simran"/>
    <s v="Simran"/>
    <m/>
  </r>
  <r>
    <s v="ORD0102"/>
    <x v="526"/>
    <s v="C013"/>
    <s v="Aditya Jain"/>
    <s v="P005"/>
    <x v="14"/>
    <x v="0"/>
    <s v="Computers"/>
    <x v="1"/>
    <s v="Gujarat"/>
    <n v="26229.74"/>
    <n v="16007.34"/>
    <n v="2"/>
    <n v="0"/>
    <s v="Net Banking"/>
    <x v="0"/>
    <s v="Aditya Jain"/>
    <x v="967"/>
    <n v="0.38972555580040064"/>
    <n v="2024"/>
    <s v="Feb"/>
    <s v="Q1"/>
    <s v="Medium"/>
    <s v="Profit"/>
    <s v="No"/>
    <s v="ADITYA JAIN"/>
    <s v="aditya jain"/>
    <n v="11"/>
    <s v="ORD"/>
    <s v="0102"/>
    <s v="Aditya Jain-West"/>
    <s v="0102"/>
    <s v="Simran"/>
    <s v="Simran"/>
    <m/>
  </r>
  <r>
    <s v="ORD0515"/>
    <x v="350"/>
    <s v="C013"/>
    <s v="Aditya Jain"/>
    <s v="P006"/>
    <x v="2"/>
    <x v="1"/>
    <s v="Chairs"/>
    <x v="1"/>
    <s v="Gujarat"/>
    <n v="45738.45"/>
    <n v="22320.3"/>
    <n v="5"/>
    <n v="0"/>
    <s v="Credit Card"/>
    <x v="3"/>
    <s v="Aditya Jain"/>
    <x v="968"/>
    <n v="0.5120013905149825"/>
    <n v="2024"/>
    <s v="May"/>
    <s v="Q2"/>
    <s v="Medium"/>
    <s v="Profit"/>
    <s v="No"/>
    <s v="ADITYA JAIN"/>
    <s v="aditya jain"/>
    <n v="11"/>
    <s v="ORD"/>
    <s v="0515"/>
    <s v="Aditya Jain-West"/>
    <s v="0515"/>
    <s v="Karan"/>
    <s v="Karan"/>
    <m/>
  </r>
  <r>
    <s v="ORD0890"/>
    <x v="165"/>
    <s v="C013"/>
    <s v="Aditya Jain"/>
    <s v="P006"/>
    <x v="2"/>
    <x v="1"/>
    <s v="Chairs"/>
    <x v="4"/>
    <s v="Chhattisgarh"/>
    <n v="6885.66"/>
    <n v="4162.29"/>
    <n v="1"/>
    <n v="0.05"/>
    <s v="Net Banking"/>
    <x v="0"/>
    <s v="Aditya Jain"/>
    <x v="969"/>
    <n v="0.39551328412962589"/>
    <n v="2025"/>
    <s v="Dec"/>
    <s v="Q4"/>
    <s v="Low"/>
    <s v="Profit"/>
    <s v="No"/>
    <s v="ADITYA JAIN"/>
    <s v="aditya jain"/>
    <n v="11"/>
    <s v="ORD"/>
    <s v="0890"/>
    <s v="Aditya Jain-Central"/>
    <s v="0890"/>
    <s v="Karan"/>
    <s v="Karan"/>
    <m/>
  </r>
  <r>
    <s v="ORD0914"/>
    <x v="377"/>
    <s v="C013"/>
    <s v="Aditya Jain"/>
    <s v="P006"/>
    <x v="2"/>
    <x v="1"/>
    <s v="Chairs"/>
    <x v="4"/>
    <s v="Chhattisgarh"/>
    <n v="17215.2"/>
    <n v="12176.7"/>
    <n v="3"/>
    <n v="0.2"/>
    <s v="UPI"/>
    <x v="0"/>
    <s v="Aditya Jain"/>
    <x v="970"/>
    <n v="0.29267740136623449"/>
    <n v="2024"/>
    <s v="Jan"/>
    <s v="Q1"/>
    <s v="Low"/>
    <s v="Profit"/>
    <s v="No"/>
    <s v="ADITYA JAIN"/>
    <s v="aditya jain"/>
    <n v="11"/>
    <s v="ORD"/>
    <s v="0914"/>
    <s v="Aditya Jain-Central"/>
    <s v="0914"/>
    <s v="Karan"/>
    <s v="Karan"/>
    <m/>
  </r>
  <r>
    <s v="ORD0946"/>
    <x v="115"/>
    <s v="C013"/>
    <s v="Aditya Jain"/>
    <s v="P006"/>
    <x v="2"/>
    <x v="1"/>
    <s v="Chairs"/>
    <x v="2"/>
    <s v="Bihar"/>
    <n v="10142.48"/>
    <n v="4404.2"/>
    <n v="1"/>
    <n v="0.05"/>
    <s v="Credit Card"/>
    <x v="4"/>
    <s v="Aditya Jain"/>
    <x v="971"/>
    <n v="0.56576695246133091"/>
    <n v="2025"/>
    <s v="Aug"/>
    <s v="Q3"/>
    <s v="Low"/>
    <s v="Profit"/>
    <s v="No"/>
    <s v="ADITYA JAIN"/>
    <s v="aditya jain"/>
    <n v="11"/>
    <s v="ORD"/>
    <s v="0946"/>
    <s v="Aditya Jain-East"/>
    <s v="0946"/>
    <s v="Karan"/>
    <s v="Karan"/>
    <m/>
  </r>
  <r>
    <s v="ORD0937"/>
    <x v="25"/>
    <s v="C013"/>
    <s v="Aditya Jain"/>
    <s v="P007"/>
    <x v="3"/>
    <x v="1"/>
    <s v="Tables"/>
    <x v="1"/>
    <s v="Maharashtra"/>
    <n v="56986.83"/>
    <n v="34205.050000000003"/>
    <n v="5"/>
    <n v="0.1"/>
    <s v="Cash on Delivery"/>
    <x v="2"/>
    <s v="Aditya Jain"/>
    <x v="972"/>
    <n v="0.39977271941604747"/>
    <n v="2024"/>
    <s v="Mar"/>
    <s v="Q1"/>
    <s v="High"/>
    <s v="Profit"/>
    <s v="Yes"/>
    <s v="ADITYA JAIN"/>
    <s v="aditya jain"/>
    <n v="11"/>
    <s v="ORD"/>
    <s v="0937"/>
    <s v="Aditya Jain-West"/>
    <s v="0937"/>
    <s v="Rohan"/>
    <s v="Rohan"/>
    <m/>
  </r>
  <r>
    <s v="ORD0481"/>
    <x v="527"/>
    <s v="C013"/>
    <s v="Aditya Jain"/>
    <s v="P008"/>
    <x v="4"/>
    <x v="1"/>
    <s v="Storage"/>
    <x v="1"/>
    <s v="Rajasthan"/>
    <n v="16280.68"/>
    <n v="12761.37"/>
    <n v="3"/>
    <n v="0.15"/>
    <s v="Cash on Delivery"/>
    <x v="0"/>
    <s v="Aditya Jain"/>
    <x v="973"/>
    <n v="0.21616480392710866"/>
    <n v="2025"/>
    <s v="Feb"/>
    <s v="Q1"/>
    <s v="Low"/>
    <s v="Profit"/>
    <s v="No"/>
    <s v="ADITYA JAIN"/>
    <s v="aditya jain"/>
    <n v="11"/>
    <s v="ORD"/>
    <s v="0481"/>
    <s v="Aditya Jain-West"/>
    <s v="0481"/>
    <s v="Anjali"/>
    <s v="Anjali"/>
    <m/>
  </r>
  <r>
    <s v="ORD0547"/>
    <x v="0"/>
    <s v="C013"/>
    <s v="Aditya Jain"/>
    <s v="P008"/>
    <x v="4"/>
    <x v="1"/>
    <s v="Storage"/>
    <x v="3"/>
    <s v="Delhi"/>
    <n v="28413.96"/>
    <n v="21133.9"/>
    <n v="5"/>
    <n v="0.2"/>
    <s v="Credit Card"/>
    <x v="1"/>
    <s v="Aditya Jain"/>
    <x v="974"/>
    <n v="0.25621419893601588"/>
    <n v="2024"/>
    <s v="Feb"/>
    <s v="Q1"/>
    <s v="Medium"/>
    <s v="Profit"/>
    <s v="No"/>
    <s v="ADITYA JAIN"/>
    <s v="aditya jain"/>
    <n v="11"/>
    <s v="ORD"/>
    <s v="0547"/>
    <s v="Aditya Jain-North"/>
    <s v="0547"/>
    <s v="Anjali"/>
    <s v="Anjali"/>
    <m/>
  </r>
  <r>
    <s v="ORD0782"/>
    <x v="528"/>
    <s v="C013"/>
    <s v="Aditya Jain"/>
    <s v="P008"/>
    <x v="4"/>
    <x v="1"/>
    <s v="Storage"/>
    <x v="3"/>
    <s v="Uttar Pradesh"/>
    <n v="15983.44"/>
    <n v="7244.32"/>
    <n v="2"/>
    <n v="0.1"/>
    <s v="Net Banking"/>
    <x v="2"/>
    <s v="Aditya Jain"/>
    <x v="975"/>
    <n v="0.54676089752894252"/>
    <n v="2024"/>
    <s v="Jun"/>
    <s v="Q2"/>
    <s v="Low"/>
    <s v="Profit"/>
    <s v="No"/>
    <s v="ADITYA JAIN"/>
    <s v="aditya jain"/>
    <n v="11"/>
    <s v="ORD"/>
    <s v="0782"/>
    <s v="Aditya Jain-North"/>
    <s v="0782"/>
    <s v="Anjali"/>
    <s v="Anjali"/>
    <m/>
  </r>
  <r>
    <s v="ORD0871"/>
    <x v="432"/>
    <s v="C013"/>
    <s v="Aditya Jain"/>
    <s v="P008"/>
    <x v="4"/>
    <x v="1"/>
    <s v="Storage"/>
    <x v="1"/>
    <s v="Maharashtra"/>
    <n v="34768.61"/>
    <n v="18183.3"/>
    <n v="5"/>
    <n v="0.15"/>
    <s v="Debit Card"/>
    <x v="0"/>
    <s v="Aditya Jain"/>
    <x v="976"/>
    <n v="0.47701964501888344"/>
    <n v="2024"/>
    <s v="Dec"/>
    <s v="Q4"/>
    <s v="Medium"/>
    <s v="Profit"/>
    <s v="No"/>
    <s v="ADITYA JAIN"/>
    <s v="aditya jain"/>
    <n v="11"/>
    <s v="ORD"/>
    <s v="0871"/>
    <s v="Aditya Jain-West"/>
    <s v="0871"/>
    <s v="Anjali"/>
    <s v="Anjali"/>
    <m/>
  </r>
  <r>
    <s v="ORD0932"/>
    <x v="195"/>
    <s v="C013"/>
    <s v="Aditya Jain"/>
    <s v="P008"/>
    <x v="4"/>
    <x v="1"/>
    <s v="Storage"/>
    <x v="0"/>
    <s v="Karnataka"/>
    <n v="24704.83"/>
    <n v="15147.92"/>
    <n v="4"/>
    <n v="0.2"/>
    <s v="Net Banking"/>
    <x v="2"/>
    <s v="Aditya Jain"/>
    <x v="977"/>
    <n v="0.38684378722703217"/>
    <n v="2024"/>
    <s v="Aug"/>
    <s v="Q3"/>
    <s v="Medium"/>
    <s v="Profit"/>
    <s v="No"/>
    <s v="ADITYA JAIN"/>
    <s v="aditya jain"/>
    <n v="11"/>
    <s v="ORD"/>
    <s v="0932"/>
    <s v="Aditya Jain-South"/>
    <s v="0932"/>
    <s v="Anjali"/>
    <s v="Anjali"/>
    <m/>
  </r>
  <r>
    <s v="ORD0457"/>
    <x v="449"/>
    <s v="C013"/>
    <s v="Aditya Jain"/>
    <s v="P009"/>
    <x v="5"/>
    <x v="1"/>
    <s v="Seating"/>
    <x v="1"/>
    <s v="Rajasthan"/>
    <n v="26545.77"/>
    <n v="17316.27"/>
    <n v="1"/>
    <n v="0.1"/>
    <s v="Cash on Delivery"/>
    <x v="2"/>
    <s v="Aditya Jain"/>
    <x v="978"/>
    <n v="0.34768251212905105"/>
    <n v="2024"/>
    <s v="Oct"/>
    <s v="Q4"/>
    <s v="Medium"/>
    <s v="Profit"/>
    <s v="No"/>
    <s v="ADITYA JAIN"/>
    <s v="aditya jain"/>
    <n v="11"/>
    <s v="ORD"/>
    <s v="0457"/>
    <s v="Aditya Jain-West"/>
    <s v="0457"/>
    <s v="Arjun"/>
    <s v="Arjun"/>
    <m/>
  </r>
  <r>
    <s v="ORD0181"/>
    <x v="130"/>
    <s v="C013"/>
    <s v="Aditya Jain"/>
    <s v="P011"/>
    <x v="15"/>
    <x v="2"/>
    <s v="Footwear"/>
    <x v="3"/>
    <s v="Punjab"/>
    <n v="15332.04"/>
    <n v="4672.6400000000003"/>
    <n v="4"/>
    <n v="0.1"/>
    <s v="UPI"/>
    <x v="3"/>
    <s v="Aditya Jain"/>
    <x v="979"/>
    <n v="0.6952369025909142"/>
    <n v="2025"/>
    <s v="May"/>
    <s v="Q2"/>
    <s v="Low"/>
    <s v="Profit"/>
    <s v="No"/>
    <s v="ADITYA JAIN"/>
    <s v="aditya jain"/>
    <n v="11"/>
    <s v="ORD"/>
    <s v="0181"/>
    <s v="Aditya Jain-North"/>
    <s v="0181"/>
    <s v="Vikas"/>
    <s v="Vikas"/>
    <m/>
  </r>
  <r>
    <s v="ORD0187"/>
    <x v="523"/>
    <s v="C013"/>
    <s v="Aditya Jain"/>
    <s v="P011"/>
    <x v="15"/>
    <x v="2"/>
    <s v="Footwear"/>
    <x v="2"/>
    <s v="Odisha"/>
    <n v="2733.61"/>
    <n v="2621.04"/>
    <n v="2"/>
    <n v="0.05"/>
    <s v="Net Banking"/>
    <x v="3"/>
    <s v="Aditya Jain"/>
    <x v="980"/>
    <n v="4.1179978124165538E-2"/>
    <n v="2024"/>
    <s v="Oct"/>
    <s v="Q4"/>
    <s v="Low"/>
    <s v="Profit"/>
    <s v="No"/>
    <s v="ADITYA JAIN"/>
    <s v="aditya jain"/>
    <n v="11"/>
    <s v="ORD"/>
    <s v="0187"/>
    <s v="Aditya Jain-East"/>
    <s v="0187"/>
    <s v="Vikas"/>
    <s v="Vikas"/>
    <m/>
  </r>
  <r>
    <s v="ORD0710"/>
    <x v="529"/>
    <s v="C013"/>
    <s v="Aditya Jain"/>
    <s v="P011"/>
    <x v="15"/>
    <x v="2"/>
    <s v="Footwear"/>
    <x v="1"/>
    <s v="Rajasthan"/>
    <n v="5592.84"/>
    <n v="3546.66"/>
    <n v="3"/>
    <n v="0.2"/>
    <s v="Cash on Delivery"/>
    <x v="0"/>
    <s v="Aditya Jain"/>
    <x v="981"/>
    <n v="0.36585706009826852"/>
    <n v="2024"/>
    <s v="Feb"/>
    <s v="Q1"/>
    <s v="Low"/>
    <s v="Profit"/>
    <s v="No"/>
    <s v="ADITYA JAIN"/>
    <s v="aditya jain"/>
    <n v="11"/>
    <s v="ORD"/>
    <s v="0710"/>
    <s v="Aditya Jain-West"/>
    <s v="0710"/>
    <s v="Vikas"/>
    <s v="Vikas"/>
    <m/>
  </r>
  <r>
    <s v="ORD0282"/>
    <x v="530"/>
    <s v="C013"/>
    <s v="Aditya Jain"/>
    <s v="P012"/>
    <x v="7"/>
    <x v="2"/>
    <s v="Clothing"/>
    <x v="3"/>
    <s v="Uttar Pradesh"/>
    <n v="4224.83"/>
    <n v="1833.2"/>
    <n v="2"/>
    <n v="0.2"/>
    <s v="UPI"/>
    <x v="2"/>
    <s v="Aditya Jain"/>
    <x v="982"/>
    <n v="0.56608904973691254"/>
    <n v="2025"/>
    <s v="Jul"/>
    <s v="Q3"/>
    <s v="Low"/>
    <s v="Profit"/>
    <s v="No"/>
    <s v="ADITYA JAIN"/>
    <s v="aditya jain"/>
    <n v="11"/>
    <s v="ORD"/>
    <s v="0282"/>
    <s v="Aditya Jain-North"/>
    <s v="0282"/>
    <s v="Pooja"/>
    <s v="Pooja"/>
    <m/>
  </r>
  <r>
    <s v="ORD0712"/>
    <x v="64"/>
    <s v="C013"/>
    <s v="Aditya Jain"/>
    <s v="P012"/>
    <x v="7"/>
    <x v="2"/>
    <s v="Clothing"/>
    <x v="1"/>
    <s v="Gujarat"/>
    <n v="1225.92"/>
    <n v="875.8"/>
    <n v="1"/>
    <n v="0.2"/>
    <s v="UPI"/>
    <x v="0"/>
    <s v="Aditya Jain"/>
    <x v="983"/>
    <n v="0.28559775515531199"/>
    <n v="2025"/>
    <s v="Sep"/>
    <s v="Q3"/>
    <s v="Low"/>
    <s v="Profit"/>
    <s v="No"/>
    <s v="ADITYA JAIN"/>
    <s v="aditya jain"/>
    <n v="11"/>
    <s v="ORD"/>
    <s v="0712"/>
    <s v="Aditya Jain-West"/>
    <s v="0712"/>
    <s v="Pooja"/>
    <s v="Pooja"/>
    <m/>
  </r>
  <r>
    <s v="ORD0013"/>
    <x v="531"/>
    <s v="C013"/>
    <s v="Aditya Jain"/>
    <s v="P013"/>
    <x v="16"/>
    <x v="2"/>
    <s v="Bags"/>
    <x v="2"/>
    <s v="West Bengal"/>
    <n v="10085.5"/>
    <n v="3326"/>
    <n v="5"/>
    <n v="0"/>
    <s v="UPI"/>
    <x v="4"/>
    <s v="Aditya Jain"/>
    <x v="984"/>
    <n v="0.67021962222993403"/>
    <n v="2025"/>
    <s v="Apr"/>
    <s v="Q2"/>
    <s v="Low"/>
    <s v="Profit"/>
    <s v="No"/>
    <s v="ADITYA JAIN"/>
    <s v="aditya jain"/>
    <n v="11"/>
    <s v="ORD"/>
    <s v="0013"/>
    <s v="Aditya Jain-East"/>
    <s v="0013"/>
    <s v="Aditya"/>
    <s v="Aditya"/>
    <m/>
  </r>
  <r>
    <s v="ORD0265"/>
    <x v="45"/>
    <s v="C013"/>
    <s v="Aditya Jain"/>
    <s v="P013"/>
    <x v="16"/>
    <x v="2"/>
    <s v="Bags"/>
    <x v="1"/>
    <s v="Maharashtra"/>
    <n v="3119"/>
    <n v="2551.44"/>
    <n v="4"/>
    <n v="0.05"/>
    <s v="UPI"/>
    <x v="2"/>
    <s v="Aditya Jain"/>
    <x v="985"/>
    <n v="0.18196857967297209"/>
    <n v="2025"/>
    <s v="Jul"/>
    <s v="Q3"/>
    <s v="Low"/>
    <s v="Profit"/>
    <s v="No"/>
    <s v="ADITYA JAIN"/>
    <s v="aditya jain"/>
    <n v="11"/>
    <s v="ORD"/>
    <s v="0265"/>
    <s v="Aditya Jain-West"/>
    <s v="0265"/>
    <s v="Aditya"/>
    <s v="Aditya"/>
    <m/>
  </r>
  <r>
    <s v="ORD0904"/>
    <x v="242"/>
    <s v="C013"/>
    <s v="Aditya Jain"/>
    <s v="P013"/>
    <x v="16"/>
    <x v="2"/>
    <s v="Bags"/>
    <x v="3"/>
    <s v="Uttar Pradesh"/>
    <n v="6781.02"/>
    <n v="2650.56"/>
    <n v="4"/>
    <n v="0.2"/>
    <s v="UPI"/>
    <x v="2"/>
    <s v="Aditya Jain"/>
    <x v="986"/>
    <n v="0.60912075174531277"/>
    <n v="2025"/>
    <s v="Sep"/>
    <s v="Q3"/>
    <s v="Low"/>
    <s v="Profit"/>
    <s v="No"/>
    <s v="ADITYA JAIN"/>
    <s v="aditya jain"/>
    <n v="11"/>
    <s v="ORD"/>
    <s v="0904"/>
    <s v="Aditya Jain-North"/>
    <s v="0904"/>
    <s v="Aditya"/>
    <s v="Aditya"/>
    <m/>
  </r>
  <r>
    <s v="ORD0140"/>
    <x v="532"/>
    <s v="C013"/>
    <s v="Aditya Jain"/>
    <s v="P014"/>
    <x v="19"/>
    <x v="2"/>
    <s v="Clothing"/>
    <x v="1"/>
    <s v="Gujarat"/>
    <n v="1541.38"/>
    <n v="487"/>
    <n v="2"/>
    <n v="0.2"/>
    <s v="Cash on Delivery"/>
    <x v="0"/>
    <s v="Aditya Jain"/>
    <x v="987"/>
    <n v="0.68404935836717751"/>
    <n v="2024"/>
    <s v="Dec"/>
    <s v="Q4"/>
    <s v="Low"/>
    <s v="Profit"/>
    <s v="No"/>
    <s v="ADITYA JAIN"/>
    <s v="aditya jain"/>
    <n v="11"/>
    <s v="ORD"/>
    <s v="0140"/>
    <s v="Aditya Jain-West"/>
    <s v="0140"/>
    <s v="Kavya"/>
    <s v="Kavya"/>
    <m/>
  </r>
  <r>
    <s v="ORD0157"/>
    <x v="506"/>
    <s v="C013"/>
    <s v="Aditya Jain"/>
    <s v="P014"/>
    <x v="19"/>
    <x v="2"/>
    <s v="Clothing"/>
    <x v="4"/>
    <s v="Madhya Pradesh"/>
    <n v="3988.12"/>
    <n v="1138.0999999999999"/>
    <n v="5"/>
    <n v="0.1"/>
    <s v="UPI"/>
    <x v="1"/>
    <s v="Aditya Jain"/>
    <x v="988"/>
    <n v="0.71462744350721641"/>
    <n v="2024"/>
    <s v="Dec"/>
    <s v="Q4"/>
    <s v="Low"/>
    <s v="Profit"/>
    <s v="No"/>
    <s v="ADITYA JAIN"/>
    <s v="aditya jain"/>
    <n v="11"/>
    <s v="ORD"/>
    <s v="0157"/>
    <s v="Aditya Jain-Central"/>
    <s v="0157"/>
    <s v="Kavya"/>
    <s v="Kavya"/>
    <m/>
  </r>
  <r>
    <s v="ORD0649"/>
    <x v="169"/>
    <s v="C013"/>
    <s v="Aditya Jain"/>
    <s v="P014"/>
    <x v="19"/>
    <x v="2"/>
    <s v="Clothing"/>
    <x v="1"/>
    <s v="Rajasthan"/>
    <n v="866.98"/>
    <n v="497.48"/>
    <n v="2"/>
    <n v="0.15"/>
    <s v="Debit Card"/>
    <x v="3"/>
    <s v="Aditya Jain"/>
    <x v="989"/>
    <n v="0.42619206902119999"/>
    <n v="2024"/>
    <s v="Aug"/>
    <s v="Q3"/>
    <s v="Low"/>
    <s v="Profit"/>
    <s v="No"/>
    <s v="ADITYA JAIN"/>
    <s v="aditya jain"/>
    <n v="11"/>
    <s v="ORD"/>
    <s v="0649"/>
    <s v="Aditya Jain-West"/>
    <s v="0649"/>
    <s v="Kavya"/>
    <s v="Kavya"/>
    <m/>
  </r>
  <r>
    <s v="ORD0753"/>
    <x v="533"/>
    <s v="C013"/>
    <s v="Aditya Jain"/>
    <s v="P014"/>
    <x v="19"/>
    <x v="2"/>
    <s v="Clothing"/>
    <x v="0"/>
    <s v="Karnataka"/>
    <n v="1794.96"/>
    <n v="490.76"/>
    <n v="2"/>
    <n v="0.1"/>
    <s v="UPI"/>
    <x v="2"/>
    <s v="Aditya Jain"/>
    <x v="990"/>
    <n v="0.7265900075767705"/>
    <n v="2025"/>
    <s v="Jun"/>
    <s v="Q2"/>
    <s v="Low"/>
    <s v="Profit"/>
    <s v="No"/>
    <s v="ADITYA JAIN"/>
    <s v="aditya jain"/>
    <n v="11"/>
    <s v="ORD"/>
    <s v="0753"/>
    <s v="Aditya Jain-South"/>
    <s v="0753"/>
    <s v="Kavya"/>
    <s v="Kavya"/>
    <m/>
  </r>
  <r>
    <s v="ORD0264"/>
    <x v="300"/>
    <s v="C013"/>
    <s v="Aditya Jain"/>
    <s v="P015"/>
    <x v="17"/>
    <x v="2"/>
    <s v="Clothing"/>
    <x v="2"/>
    <s v="West Bengal"/>
    <n v="3849.8"/>
    <n v="960"/>
    <n v="2"/>
    <n v="0"/>
    <s v="UPI"/>
    <x v="0"/>
    <s v="Aditya Jain"/>
    <x v="991"/>
    <n v="0.7506363966959323"/>
    <n v="2024"/>
    <s v="Sep"/>
    <s v="Q3"/>
    <s v="Low"/>
    <s v="Profit"/>
    <s v="No"/>
    <s v="ADITYA JAIN"/>
    <s v="aditya jain"/>
    <n v="11"/>
    <s v="ORD"/>
    <s v="0264"/>
    <s v="Aditya Jain-East"/>
    <s v="0264"/>
    <s v="Manish"/>
    <s v="Manish"/>
    <m/>
  </r>
  <r>
    <s v="ORD0757"/>
    <x v="280"/>
    <s v="C013"/>
    <s v="Aditya Jain"/>
    <s v="P015"/>
    <x v="17"/>
    <x v="2"/>
    <s v="Clothing"/>
    <x v="1"/>
    <s v="Rajasthan"/>
    <n v="985.36"/>
    <n v="461.92"/>
    <n v="1"/>
    <n v="0.2"/>
    <s v="UPI"/>
    <x v="0"/>
    <s v="Aditya Jain"/>
    <x v="992"/>
    <n v="0.53121701713079483"/>
    <n v="2025"/>
    <s v="Nov"/>
    <s v="Q4"/>
    <s v="Low"/>
    <s v="Profit"/>
    <s v="No"/>
    <s v="ADITYA JAIN"/>
    <s v="aditya jain"/>
    <n v="11"/>
    <s v="ORD"/>
    <s v="0757"/>
    <s v="Aditya Jain-West"/>
    <s v="0757"/>
    <s v="Manish"/>
    <s v="Manish"/>
    <m/>
  </r>
  <r>
    <s v="ORD0905"/>
    <x v="534"/>
    <s v="C013"/>
    <s v="Aditya Jain"/>
    <s v="P015"/>
    <x v="17"/>
    <x v="2"/>
    <s v="Clothing"/>
    <x v="4"/>
    <s v="Madhya Pradesh"/>
    <n v="5716.95"/>
    <n v="2559.6"/>
    <n v="5"/>
    <n v="0"/>
    <s v="Net Banking"/>
    <x v="1"/>
    <s v="Aditya Jain"/>
    <x v="993"/>
    <n v="0.55227875003279725"/>
    <n v="2025"/>
    <s v="Mar"/>
    <s v="Q1"/>
    <s v="Low"/>
    <s v="Profit"/>
    <s v="No"/>
    <s v="ADITYA JAIN"/>
    <s v="aditya jain"/>
    <n v="11"/>
    <s v="ORD"/>
    <s v="0905"/>
    <s v="Aditya Jain-Central"/>
    <s v="0905"/>
    <s v="Manish"/>
    <s v="Manish"/>
    <m/>
  </r>
  <r>
    <s v="ORD0479"/>
    <x v="342"/>
    <s v="C013"/>
    <s v="Aditya Jain"/>
    <s v="P016"/>
    <x v="8"/>
    <x v="3"/>
    <s v="Kitchen"/>
    <x v="1"/>
    <s v="Gujarat"/>
    <n v="2516.0500000000002"/>
    <n v="1973.01"/>
    <n v="1"/>
    <n v="0.2"/>
    <s v="Debit Card"/>
    <x v="4"/>
    <s v="Aditya Jain"/>
    <x v="994"/>
    <n v="0.21583036903082217"/>
    <n v="2024"/>
    <s v="Feb"/>
    <s v="Q1"/>
    <s v="Low"/>
    <s v="Profit"/>
    <s v="No"/>
    <s v="ADITYA JAIN"/>
    <s v="aditya jain"/>
    <n v="11"/>
    <s v="ORD"/>
    <s v="0479"/>
    <s v="Aditya Jain-West"/>
    <s v="0479"/>
    <s v="Rahul"/>
    <s v="Rahul"/>
    <m/>
  </r>
  <r>
    <s v="ORD0049"/>
    <x v="426"/>
    <s v="C013"/>
    <s v="Aditya Jain"/>
    <s v="P018"/>
    <x v="10"/>
    <x v="3"/>
    <s v="Cooling"/>
    <x v="4"/>
    <s v="Chhattisgarh"/>
    <n v="21841.03"/>
    <n v="15796.83"/>
    <n v="3"/>
    <n v="0.2"/>
    <s v="Cash on Delivery"/>
    <x v="1"/>
    <s v="Aditya Jain"/>
    <x v="995"/>
    <n v="0.27673603305338618"/>
    <n v="2024"/>
    <s v="Jan"/>
    <s v="Q1"/>
    <s v="Medium"/>
    <s v="Profit"/>
    <s v="No"/>
    <s v="ADITYA JAIN"/>
    <s v="aditya jain"/>
    <n v="11"/>
    <s v="ORD"/>
    <s v="0049"/>
    <s v="Aditya Jain-Central"/>
    <s v="0049"/>
    <s v="Amit"/>
    <s v="Amit"/>
    <m/>
  </r>
  <r>
    <s v="ORD0605"/>
    <x v="110"/>
    <s v="C013"/>
    <s v="Aditya Jain"/>
    <s v="P018"/>
    <x v="10"/>
    <x v="3"/>
    <s v="Cooling"/>
    <x v="1"/>
    <s v="Maharashtra"/>
    <n v="19053.12"/>
    <n v="11906.96"/>
    <n v="2"/>
    <n v="0.05"/>
    <s v="Credit Card"/>
    <x v="0"/>
    <s v="Aditya Jain"/>
    <x v="996"/>
    <n v="0.37506508120454812"/>
    <n v="2024"/>
    <s v="Feb"/>
    <s v="Q1"/>
    <s v="Low"/>
    <s v="Profit"/>
    <s v="No"/>
    <s v="ADITYA JAIN"/>
    <s v="aditya jain"/>
    <n v="11"/>
    <s v="ORD"/>
    <s v="0605"/>
    <s v="Aditya Jain-West"/>
    <s v="0605"/>
    <s v="Amit"/>
    <s v="Amit"/>
    <m/>
  </r>
  <r>
    <s v="ORD0853"/>
    <x v="262"/>
    <s v="C013"/>
    <s v="Aditya Jain"/>
    <s v="P018"/>
    <x v="10"/>
    <x v="3"/>
    <s v="Cooling"/>
    <x v="4"/>
    <s v="Chhattisgarh"/>
    <n v="16777.939999999999"/>
    <n v="17850.45"/>
    <n v="3"/>
    <n v="0.1"/>
    <s v="Cash on Delivery"/>
    <x v="0"/>
    <s v="Aditya Jain"/>
    <x v="997"/>
    <n v="-6.3923819014730182E-2"/>
    <n v="2024"/>
    <s v="Nov"/>
    <s v="Q4"/>
    <s v="Low"/>
    <s v="Loss"/>
    <s v="No"/>
    <s v="ADITYA JAIN"/>
    <s v="aditya jain"/>
    <n v="11"/>
    <s v="ORD"/>
    <s v="0853"/>
    <s v="Aditya Jain-Central"/>
    <s v="0853"/>
    <s v="Amit"/>
    <s v="Amit"/>
    <m/>
  </r>
  <r>
    <s v="ORD0328"/>
    <x v="226"/>
    <s v="C013"/>
    <s v="Aditya Jain"/>
    <s v="P019"/>
    <x v="18"/>
    <x v="3"/>
    <s v="Cleaning"/>
    <x v="2"/>
    <s v="Odisha"/>
    <n v="5835.31"/>
    <n v="3367.12"/>
    <n v="1"/>
    <n v="0.05"/>
    <s v="UPI"/>
    <x v="0"/>
    <s v="Aditya Jain"/>
    <x v="998"/>
    <n v="0.42297495762864362"/>
    <n v="2025"/>
    <s v="Oct"/>
    <s v="Q4"/>
    <s v="Low"/>
    <s v="Profit"/>
    <s v="No"/>
    <s v="ADITYA JAIN"/>
    <s v="aditya jain"/>
    <n v="11"/>
    <s v="ORD"/>
    <s v="0328"/>
    <s v="Aditya Jain-East"/>
    <s v="0328"/>
    <s v="Neha"/>
    <s v="Neha"/>
    <m/>
  </r>
  <r>
    <s v="ORD0598"/>
    <x v="198"/>
    <s v="C013"/>
    <s v="Aditya Jain"/>
    <s v="P020"/>
    <x v="11"/>
    <x v="3"/>
    <s v="Kitchen"/>
    <x v="2"/>
    <s v="Bihar"/>
    <n v="6848.35"/>
    <n v="2518.1"/>
    <n v="5"/>
    <n v="0"/>
    <s v="Cash on Delivery"/>
    <x v="0"/>
    <s v="Aditya Jain"/>
    <x v="999"/>
    <n v="0.6323055918578927"/>
    <n v="2025"/>
    <s v="Aug"/>
    <s v="Q3"/>
    <s v="Low"/>
    <s v="Profit"/>
    <s v="No"/>
    <s v="ADITYA JAIN"/>
    <s v="aditya jain"/>
    <n v="11"/>
    <s v="ORD"/>
    <s v="0598"/>
    <s v="Aditya Jain-East"/>
    <s v="0598"/>
    <s v="Simran"/>
    <s v="Simran"/>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56545BA-94CB-4B71-B6DF-ED067E6ABC29}" name="PivotTable6"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Year wise Months">
  <location ref="J1:K27" firstHeaderRow="1" firstDataRow="1" firstDataCol="1"/>
  <pivotFields count="37">
    <pivotField showAll="0"/>
    <pivotField numFmtId="14" showAll="0">
      <items count="536">
        <item x="426"/>
        <item x="47"/>
        <item x="294"/>
        <item x="163"/>
        <item x="422"/>
        <item x="377"/>
        <item x="72"/>
        <item x="228"/>
        <item x="284"/>
        <item x="38"/>
        <item x="489"/>
        <item x="268"/>
        <item x="271"/>
        <item x="480"/>
        <item x="360"/>
        <item x="482"/>
        <item x="417"/>
        <item x="66"/>
        <item x="194"/>
        <item x="414"/>
        <item x="129"/>
        <item x="305"/>
        <item x="252"/>
        <item x="338"/>
        <item x="243"/>
        <item x="529"/>
        <item x="455"/>
        <item x="382"/>
        <item x="526"/>
        <item x="433"/>
        <item x="312"/>
        <item x="333"/>
        <item x="0"/>
        <item x="110"/>
        <item x="476"/>
        <item x="7"/>
        <item x="342"/>
        <item x="179"/>
        <item x="431"/>
        <item x="217"/>
        <item x="359"/>
        <item x="397"/>
        <item x="15"/>
        <item x="237"/>
        <item x="167"/>
        <item x="465"/>
        <item x="413"/>
        <item x="25"/>
        <item x="511"/>
        <item x="22"/>
        <item x="143"/>
        <item x="187"/>
        <item x="396"/>
        <item x="81"/>
        <item x="395"/>
        <item x="306"/>
        <item x="154"/>
        <item x="285"/>
        <item x="86"/>
        <item x="485"/>
        <item x="256"/>
        <item x="88"/>
        <item x="470"/>
        <item x="200"/>
        <item x="469"/>
        <item x="80"/>
        <item x="340"/>
        <item x="123"/>
        <item x="207"/>
        <item x="140"/>
        <item x="131"/>
        <item x="462"/>
        <item x="398"/>
        <item x="467"/>
        <item x="13"/>
        <item x="471"/>
        <item x="203"/>
        <item x="141"/>
        <item x="394"/>
        <item x="59"/>
        <item x="97"/>
        <item x="460"/>
        <item x="296"/>
        <item x="49"/>
        <item x="319"/>
        <item x="275"/>
        <item x="71"/>
        <item x="54"/>
        <item x="401"/>
        <item x="164"/>
        <item x="421"/>
        <item x="192"/>
        <item x="350"/>
        <item x="326"/>
        <item x="400"/>
        <item x="258"/>
        <item x="337"/>
        <item x="254"/>
        <item x="358"/>
        <item x="55"/>
        <item x="24"/>
        <item x="75"/>
        <item x="133"/>
        <item x="423"/>
        <item x="79"/>
        <item x="208"/>
        <item x="457"/>
        <item x="52"/>
        <item x="159"/>
        <item x="419"/>
        <item x="128"/>
        <item x="92"/>
        <item x="323"/>
        <item x="230"/>
        <item x="353"/>
        <item x="189"/>
        <item x="528"/>
        <item x="486"/>
        <item x="12"/>
        <item x="132"/>
        <item x="518"/>
        <item x="17"/>
        <item x="458"/>
        <item x="260"/>
        <item x="278"/>
        <item x="191"/>
        <item x="229"/>
        <item x="201"/>
        <item x="34"/>
        <item x="121"/>
        <item x="328"/>
        <item x="331"/>
        <item x="521"/>
        <item x="103"/>
        <item x="162"/>
        <item x="155"/>
        <item x="56"/>
        <item x="291"/>
        <item x="295"/>
        <item x="240"/>
        <item x="67"/>
        <item x="301"/>
        <item x="303"/>
        <item x="420"/>
        <item x="4"/>
        <item x="453"/>
        <item x="204"/>
        <item x="292"/>
        <item x="19"/>
        <item x="91"/>
        <item x="298"/>
        <item x="73"/>
        <item x="368"/>
        <item x="149"/>
        <item x="464"/>
        <item x="3"/>
        <item x="491"/>
        <item x="346"/>
        <item x="347"/>
        <item x="524"/>
        <item x="195"/>
        <item x="493"/>
        <item x="169"/>
        <item x="41"/>
        <item x="354"/>
        <item x="184"/>
        <item x="472"/>
        <item x="211"/>
        <item x="334"/>
        <item x="39"/>
        <item x="186"/>
        <item x="507"/>
        <item x="219"/>
        <item x="315"/>
        <item x="239"/>
        <item x="185"/>
        <item x="246"/>
        <item x="10"/>
        <item x="508"/>
        <item x="197"/>
        <item x="317"/>
        <item x="297"/>
        <item x="300"/>
        <item x="214"/>
        <item x="221"/>
        <item x="65"/>
        <item x="5"/>
        <item x="61"/>
        <item x="490"/>
        <item x="146"/>
        <item x="62"/>
        <item x="407"/>
        <item x="63"/>
        <item x="70"/>
        <item x="428"/>
        <item x="459"/>
        <item x="475"/>
        <item x="267"/>
        <item x="84"/>
        <item x="124"/>
        <item x="516"/>
        <item x="495"/>
        <item x="523"/>
        <item x="196"/>
        <item x="449"/>
        <item x="188"/>
        <item x="484"/>
        <item x="492"/>
        <item x="339"/>
        <item x="166"/>
        <item x="42"/>
        <item x="232"/>
        <item x="466"/>
        <item x="33"/>
        <item x="69"/>
        <item x="178"/>
        <item x="216"/>
        <item x="336"/>
        <item x="134"/>
        <item x="262"/>
        <item x="233"/>
        <item x="270"/>
        <item x="410"/>
        <item x="168"/>
        <item x="367"/>
        <item x="418"/>
        <item x="68"/>
        <item x="157"/>
        <item x="427"/>
        <item x="335"/>
        <item x="276"/>
        <item x="286"/>
        <item x="512"/>
        <item x="137"/>
        <item x="477"/>
        <item x="409"/>
        <item x="27"/>
        <item x="357"/>
        <item x="351"/>
        <item x="60"/>
        <item x="502"/>
        <item x="177"/>
        <item x="299"/>
        <item x="231"/>
        <item x="435"/>
        <item x="108"/>
        <item x="506"/>
        <item x="432"/>
        <item x="283"/>
        <item x="532"/>
        <item x="386"/>
        <item x="151"/>
        <item x="454"/>
        <item x="48"/>
        <item x="225"/>
        <item x="206"/>
        <item x="390"/>
        <item x="348"/>
        <item x="35"/>
        <item x="329"/>
        <item x="193"/>
        <item x="330"/>
        <item x="209"/>
        <item x="392"/>
        <item x="385"/>
        <item x="374"/>
        <item x="135"/>
        <item x="322"/>
        <item x="434"/>
        <item x="483"/>
        <item x="205"/>
        <item x="266"/>
        <item x="473"/>
        <item x="90"/>
        <item x="77"/>
        <item x="20"/>
        <item x="105"/>
        <item x="255"/>
        <item x="156"/>
        <item x="148"/>
        <item x="76"/>
        <item x="451"/>
        <item x="272"/>
        <item x="107"/>
        <item x="362"/>
        <item x="355"/>
        <item x="345"/>
        <item x="446"/>
        <item x="365"/>
        <item x="381"/>
        <item x="352"/>
        <item x="102"/>
        <item x="85"/>
        <item x="43"/>
        <item x="281"/>
        <item x="21"/>
        <item x="416"/>
        <item x="411"/>
        <item x="96"/>
        <item x="456"/>
        <item x="444"/>
        <item x="404"/>
        <item x="370"/>
        <item x="527"/>
        <item x="235"/>
        <item x="99"/>
        <item x="118"/>
        <item x="95"/>
        <item x="520"/>
        <item x="29"/>
        <item x="424"/>
        <item x="384"/>
        <item x="310"/>
        <item x="253"/>
        <item x="388"/>
        <item x="160"/>
        <item x="430"/>
        <item x="50"/>
        <item x="11"/>
        <item x="383"/>
        <item x="534"/>
        <item x="468"/>
        <item x="504"/>
        <item x="402"/>
        <item x="152"/>
        <item x="248"/>
        <item x="289"/>
        <item x="503"/>
        <item x="321"/>
        <item x="399"/>
        <item x="104"/>
        <item x="213"/>
        <item x="139"/>
        <item x="463"/>
        <item x="36"/>
        <item x="220"/>
        <item x="142"/>
        <item x="356"/>
        <item x="227"/>
        <item x="509"/>
        <item x="1"/>
        <item x="30"/>
        <item x="313"/>
        <item x="153"/>
        <item x="261"/>
        <item x="513"/>
        <item x="478"/>
        <item x="531"/>
        <item x="120"/>
        <item x="447"/>
        <item x="218"/>
        <item x="304"/>
        <item x="332"/>
        <item x="44"/>
        <item x="8"/>
        <item x="264"/>
        <item x="127"/>
        <item x="364"/>
        <item x="288"/>
        <item x="57"/>
        <item x="119"/>
        <item x="125"/>
        <item x="259"/>
        <item x="461"/>
        <item x="249"/>
        <item x="136"/>
        <item x="325"/>
        <item x="37"/>
        <item x="190"/>
        <item x="287"/>
        <item x="375"/>
        <item x="238"/>
        <item x="344"/>
        <item x="130"/>
        <item x="373"/>
        <item x="391"/>
        <item x="269"/>
        <item x="23"/>
        <item x="173"/>
        <item x="16"/>
        <item x="175"/>
        <item x="144"/>
        <item x="265"/>
        <item x="361"/>
        <item x="349"/>
        <item x="6"/>
        <item x="170"/>
        <item x="533"/>
        <item x="514"/>
        <item x="106"/>
        <item x="100"/>
        <item x="389"/>
        <item x="393"/>
        <item x="290"/>
        <item x="440"/>
        <item x="32"/>
        <item x="425"/>
        <item x="150"/>
        <item x="436"/>
        <item x="2"/>
        <item x="245"/>
        <item x="442"/>
        <item x="343"/>
        <item x="517"/>
        <item x="74"/>
        <item x="114"/>
        <item x="199"/>
        <item x="387"/>
        <item x="93"/>
        <item x="101"/>
        <item x="279"/>
        <item x="176"/>
        <item x="380"/>
        <item x="40"/>
        <item x="45"/>
        <item x="487"/>
        <item x="501"/>
        <item x="405"/>
        <item x="443"/>
        <item x="250"/>
        <item x="87"/>
        <item x="53"/>
        <item x="530"/>
        <item x="9"/>
        <item x="241"/>
        <item x="488"/>
        <item x="115"/>
        <item x="481"/>
        <item x="198"/>
        <item x="14"/>
        <item x="366"/>
        <item x="113"/>
        <item x="311"/>
        <item x="408"/>
        <item x="83"/>
        <item x="316"/>
        <item x="308"/>
        <item x="145"/>
        <item x="223"/>
        <item x="318"/>
        <item x="505"/>
        <item x="302"/>
        <item x="437"/>
        <item x="126"/>
        <item x="376"/>
        <item x="181"/>
        <item x="161"/>
        <item x="210"/>
        <item x="474"/>
        <item x="247"/>
        <item x="122"/>
        <item x="498"/>
        <item x="496"/>
        <item x="147"/>
        <item x="379"/>
        <item x="274"/>
        <item x="371"/>
        <item x="182"/>
        <item x="282"/>
        <item x="28"/>
        <item x="242"/>
        <item x="64"/>
        <item x="500"/>
        <item x="222"/>
        <item x="109"/>
        <item x="445"/>
        <item x="439"/>
        <item x="314"/>
        <item x="236"/>
        <item x="510"/>
        <item x="202"/>
        <item x="174"/>
        <item x="89"/>
        <item x="183"/>
        <item x="519"/>
        <item x="341"/>
        <item x="369"/>
        <item x="497"/>
        <item x="172"/>
        <item x="212"/>
        <item x="116"/>
        <item x="94"/>
        <item x="51"/>
        <item x="525"/>
        <item x="452"/>
        <item x="499"/>
        <item x="226"/>
        <item x="372"/>
        <item x="180"/>
        <item x="26"/>
        <item x="309"/>
        <item x="251"/>
        <item x="415"/>
        <item x="280"/>
        <item x="244"/>
        <item x="18"/>
        <item x="31"/>
        <item x="277"/>
        <item x="263"/>
        <item x="273"/>
        <item x="327"/>
        <item x="112"/>
        <item x="46"/>
        <item x="78"/>
        <item x="378"/>
        <item x="58"/>
        <item x="171"/>
        <item x="158"/>
        <item x="98"/>
        <item x="450"/>
        <item x="441"/>
        <item x="494"/>
        <item x="515"/>
        <item x="224"/>
        <item x="406"/>
        <item x="293"/>
        <item x="320"/>
        <item x="363"/>
        <item x="429"/>
        <item x="448"/>
        <item x="165"/>
        <item x="234"/>
        <item x="117"/>
        <item x="257"/>
        <item x="479"/>
        <item x="324"/>
        <item x="438"/>
        <item x="111"/>
        <item x="307"/>
        <item x="522"/>
        <item x="82"/>
        <item x="403"/>
        <item x="412"/>
        <item x="138"/>
        <item x="215"/>
        <item t="default"/>
      </items>
    </pivotField>
    <pivotField showAll="0"/>
    <pivotField showAll="0"/>
    <pivotField showAll="0"/>
    <pivotField showAll="0"/>
    <pivotField showAll="0">
      <items count="5">
        <item x="0"/>
        <item x="2"/>
        <item x="1"/>
        <item x="3"/>
        <item t="default"/>
      </items>
    </pivotField>
    <pivotField showAll="0"/>
    <pivotField showAll="0">
      <items count="6">
        <item x="4"/>
        <item x="2"/>
        <item x="3"/>
        <item x="0"/>
        <item x="1"/>
        <item t="default"/>
      </items>
    </pivotField>
    <pivotField showAll="0"/>
    <pivotField dataField="1" numFmtId="4" showAll="0"/>
    <pivotField numFmtId="4" showAll="0"/>
    <pivotField showAll="0"/>
    <pivotField numFmtId="9" showAll="0"/>
    <pivotField showAll="0"/>
    <pivotField showAll="0">
      <items count="6">
        <item x="3"/>
        <item x="0"/>
        <item x="1"/>
        <item x="2"/>
        <item x="4"/>
        <item t="default"/>
      </items>
    </pivotField>
    <pivotField showAll="0"/>
    <pivotField numFmtId="4" showAll="0"/>
    <pivotField numFmtId="10"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36"/>
    <field x="35"/>
  </rowFields>
  <rowItems count="26">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rowItems>
  <colItems count="1">
    <i/>
  </colItems>
  <dataFields count="1">
    <dataField name="Sum of Sales" fld="10" baseField="0" baseItem="0" numFmtId="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955900-DFB5-4467-9C22-6DEF4AE4461E}" name="PivotTable5"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Product">
  <location ref="G1:H21" firstHeaderRow="1" firstDataRow="1" firstDataCol="1"/>
  <pivotFields count="37">
    <pivotField showAll="0"/>
    <pivotField numFmtId="14" showAll="0">
      <items count="536">
        <item x="426"/>
        <item x="47"/>
        <item x="294"/>
        <item x="163"/>
        <item x="422"/>
        <item x="377"/>
        <item x="72"/>
        <item x="228"/>
        <item x="284"/>
        <item x="38"/>
        <item x="489"/>
        <item x="268"/>
        <item x="271"/>
        <item x="480"/>
        <item x="360"/>
        <item x="482"/>
        <item x="417"/>
        <item x="66"/>
        <item x="194"/>
        <item x="414"/>
        <item x="129"/>
        <item x="305"/>
        <item x="252"/>
        <item x="338"/>
        <item x="243"/>
        <item x="529"/>
        <item x="455"/>
        <item x="382"/>
        <item x="526"/>
        <item x="433"/>
        <item x="312"/>
        <item x="333"/>
        <item x="0"/>
        <item x="110"/>
        <item x="476"/>
        <item x="7"/>
        <item x="342"/>
        <item x="179"/>
        <item x="431"/>
        <item x="217"/>
        <item x="359"/>
        <item x="397"/>
        <item x="15"/>
        <item x="237"/>
        <item x="167"/>
        <item x="465"/>
        <item x="413"/>
        <item x="25"/>
        <item x="511"/>
        <item x="22"/>
        <item x="143"/>
        <item x="187"/>
        <item x="396"/>
        <item x="81"/>
        <item x="395"/>
        <item x="306"/>
        <item x="154"/>
        <item x="285"/>
        <item x="86"/>
        <item x="485"/>
        <item x="256"/>
        <item x="88"/>
        <item x="470"/>
        <item x="200"/>
        <item x="469"/>
        <item x="80"/>
        <item x="340"/>
        <item x="123"/>
        <item x="207"/>
        <item x="140"/>
        <item x="131"/>
        <item x="462"/>
        <item x="398"/>
        <item x="467"/>
        <item x="13"/>
        <item x="471"/>
        <item x="203"/>
        <item x="141"/>
        <item x="394"/>
        <item x="59"/>
        <item x="97"/>
        <item x="460"/>
        <item x="296"/>
        <item x="49"/>
        <item x="319"/>
        <item x="275"/>
        <item x="71"/>
        <item x="54"/>
        <item x="401"/>
        <item x="164"/>
        <item x="421"/>
        <item x="192"/>
        <item x="350"/>
        <item x="326"/>
        <item x="400"/>
        <item x="258"/>
        <item x="337"/>
        <item x="254"/>
        <item x="358"/>
        <item x="55"/>
        <item x="24"/>
        <item x="75"/>
        <item x="133"/>
        <item x="423"/>
        <item x="79"/>
        <item x="208"/>
        <item x="457"/>
        <item x="52"/>
        <item x="159"/>
        <item x="419"/>
        <item x="128"/>
        <item x="92"/>
        <item x="323"/>
        <item x="230"/>
        <item x="353"/>
        <item x="189"/>
        <item x="528"/>
        <item x="486"/>
        <item x="12"/>
        <item x="132"/>
        <item x="518"/>
        <item x="17"/>
        <item x="458"/>
        <item x="260"/>
        <item x="278"/>
        <item x="191"/>
        <item x="229"/>
        <item x="201"/>
        <item x="34"/>
        <item x="121"/>
        <item x="328"/>
        <item x="331"/>
        <item x="521"/>
        <item x="103"/>
        <item x="162"/>
        <item x="155"/>
        <item x="56"/>
        <item x="291"/>
        <item x="295"/>
        <item x="240"/>
        <item x="67"/>
        <item x="301"/>
        <item x="303"/>
        <item x="420"/>
        <item x="4"/>
        <item x="453"/>
        <item x="204"/>
        <item x="292"/>
        <item x="19"/>
        <item x="91"/>
        <item x="298"/>
        <item x="73"/>
        <item x="368"/>
        <item x="149"/>
        <item x="464"/>
        <item x="3"/>
        <item x="491"/>
        <item x="346"/>
        <item x="347"/>
        <item x="524"/>
        <item x="195"/>
        <item x="493"/>
        <item x="169"/>
        <item x="41"/>
        <item x="354"/>
        <item x="184"/>
        <item x="472"/>
        <item x="211"/>
        <item x="334"/>
        <item x="39"/>
        <item x="186"/>
        <item x="507"/>
        <item x="219"/>
        <item x="315"/>
        <item x="239"/>
        <item x="185"/>
        <item x="246"/>
        <item x="10"/>
        <item x="508"/>
        <item x="197"/>
        <item x="317"/>
        <item x="297"/>
        <item x="300"/>
        <item x="214"/>
        <item x="221"/>
        <item x="65"/>
        <item x="5"/>
        <item x="61"/>
        <item x="490"/>
        <item x="146"/>
        <item x="62"/>
        <item x="407"/>
        <item x="63"/>
        <item x="70"/>
        <item x="428"/>
        <item x="459"/>
        <item x="475"/>
        <item x="267"/>
        <item x="84"/>
        <item x="124"/>
        <item x="516"/>
        <item x="495"/>
        <item x="523"/>
        <item x="196"/>
        <item x="449"/>
        <item x="188"/>
        <item x="484"/>
        <item x="492"/>
        <item x="339"/>
        <item x="166"/>
        <item x="42"/>
        <item x="232"/>
        <item x="466"/>
        <item x="33"/>
        <item x="69"/>
        <item x="178"/>
        <item x="216"/>
        <item x="336"/>
        <item x="134"/>
        <item x="262"/>
        <item x="233"/>
        <item x="270"/>
        <item x="410"/>
        <item x="168"/>
        <item x="367"/>
        <item x="418"/>
        <item x="68"/>
        <item x="157"/>
        <item x="427"/>
        <item x="335"/>
        <item x="276"/>
        <item x="286"/>
        <item x="512"/>
        <item x="137"/>
        <item x="477"/>
        <item x="409"/>
        <item x="27"/>
        <item x="357"/>
        <item x="351"/>
        <item x="60"/>
        <item x="502"/>
        <item x="177"/>
        <item x="299"/>
        <item x="231"/>
        <item x="435"/>
        <item x="108"/>
        <item x="506"/>
        <item x="432"/>
        <item x="283"/>
        <item x="532"/>
        <item x="386"/>
        <item x="151"/>
        <item x="454"/>
        <item x="48"/>
        <item x="225"/>
        <item x="206"/>
        <item x="390"/>
        <item x="348"/>
        <item x="35"/>
        <item x="329"/>
        <item x="193"/>
        <item x="330"/>
        <item x="209"/>
        <item x="392"/>
        <item x="385"/>
        <item x="374"/>
        <item x="135"/>
        <item x="322"/>
        <item x="434"/>
        <item x="483"/>
        <item x="205"/>
        <item x="266"/>
        <item x="473"/>
        <item x="90"/>
        <item x="77"/>
        <item x="20"/>
        <item x="105"/>
        <item x="255"/>
        <item x="156"/>
        <item x="148"/>
        <item x="76"/>
        <item x="451"/>
        <item x="272"/>
        <item x="107"/>
        <item x="362"/>
        <item x="355"/>
        <item x="345"/>
        <item x="446"/>
        <item x="365"/>
        <item x="381"/>
        <item x="352"/>
        <item x="102"/>
        <item x="85"/>
        <item x="43"/>
        <item x="281"/>
        <item x="21"/>
        <item x="416"/>
        <item x="411"/>
        <item x="96"/>
        <item x="456"/>
        <item x="444"/>
        <item x="404"/>
        <item x="370"/>
        <item x="527"/>
        <item x="235"/>
        <item x="99"/>
        <item x="118"/>
        <item x="95"/>
        <item x="520"/>
        <item x="29"/>
        <item x="424"/>
        <item x="384"/>
        <item x="310"/>
        <item x="253"/>
        <item x="388"/>
        <item x="160"/>
        <item x="430"/>
        <item x="50"/>
        <item x="11"/>
        <item x="383"/>
        <item x="534"/>
        <item x="468"/>
        <item x="504"/>
        <item x="402"/>
        <item x="152"/>
        <item x="248"/>
        <item x="289"/>
        <item x="503"/>
        <item x="321"/>
        <item x="399"/>
        <item x="104"/>
        <item x="213"/>
        <item x="139"/>
        <item x="463"/>
        <item x="36"/>
        <item x="220"/>
        <item x="142"/>
        <item x="356"/>
        <item x="227"/>
        <item x="509"/>
        <item x="1"/>
        <item x="30"/>
        <item x="313"/>
        <item x="153"/>
        <item x="261"/>
        <item x="513"/>
        <item x="478"/>
        <item x="531"/>
        <item x="120"/>
        <item x="447"/>
        <item x="218"/>
        <item x="304"/>
        <item x="332"/>
        <item x="44"/>
        <item x="8"/>
        <item x="264"/>
        <item x="127"/>
        <item x="364"/>
        <item x="288"/>
        <item x="57"/>
        <item x="119"/>
        <item x="125"/>
        <item x="259"/>
        <item x="461"/>
        <item x="249"/>
        <item x="136"/>
        <item x="325"/>
        <item x="37"/>
        <item x="190"/>
        <item x="287"/>
        <item x="375"/>
        <item x="238"/>
        <item x="344"/>
        <item x="130"/>
        <item x="373"/>
        <item x="391"/>
        <item x="269"/>
        <item x="23"/>
        <item x="173"/>
        <item x="16"/>
        <item x="175"/>
        <item x="144"/>
        <item x="265"/>
        <item x="361"/>
        <item x="349"/>
        <item x="6"/>
        <item x="170"/>
        <item x="533"/>
        <item x="514"/>
        <item x="106"/>
        <item x="100"/>
        <item x="389"/>
        <item x="393"/>
        <item x="290"/>
        <item x="440"/>
        <item x="32"/>
        <item x="425"/>
        <item x="150"/>
        <item x="436"/>
        <item x="2"/>
        <item x="245"/>
        <item x="442"/>
        <item x="343"/>
        <item x="517"/>
        <item x="74"/>
        <item x="114"/>
        <item x="199"/>
        <item x="387"/>
        <item x="93"/>
        <item x="101"/>
        <item x="279"/>
        <item x="176"/>
        <item x="380"/>
        <item x="40"/>
        <item x="45"/>
        <item x="487"/>
        <item x="501"/>
        <item x="405"/>
        <item x="443"/>
        <item x="250"/>
        <item x="87"/>
        <item x="53"/>
        <item x="530"/>
        <item x="9"/>
        <item x="241"/>
        <item x="488"/>
        <item x="115"/>
        <item x="481"/>
        <item x="198"/>
        <item x="14"/>
        <item x="366"/>
        <item x="113"/>
        <item x="311"/>
        <item x="408"/>
        <item x="83"/>
        <item x="316"/>
        <item x="308"/>
        <item x="145"/>
        <item x="223"/>
        <item x="318"/>
        <item x="505"/>
        <item x="302"/>
        <item x="437"/>
        <item x="126"/>
        <item x="376"/>
        <item x="181"/>
        <item x="161"/>
        <item x="210"/>
        <item x="474"/>
        <item x="247"/>
        <item x="122"/>
        <item x="498"/>
        <item x="496"/>
        <item x="147"/>
        <item x="379"/>
        <item x="274"/>
        <item x="371"/>
        <item x="182"/>
        <item x="282"/>
        <item x="28"/>
        <item x="242"/>
        <item x="64"/>
        <item x="500"/>
        <item x="222"/>
        <item x="109"/>
        <item x="445"/>
        <item x="439"/>
        <item x="314"/>
        <item x="236"/>
        <item x="510"/>
        <item x="202"/>
        <item x="174"/>
        <item x="89"/>
        <item x="183"/>
        <item x="519"/>
        <item x="341"/>
        <item x="369"/>
        <item x="497"/>
        <item x="172"/>
        <item x="212"/>
        <item x="116"/>
        <item x="94"/>
        <item x="51"/>
        <item x="525"/>
        <item x="452"/>
        <item x="499"/>
        <item x="226"/>
        <item x="372"/>
        <item x="180"/>
        <item x="26"/>
        <item x="309"/>
        <item x="251"/>
        <item x="415"/>
        <item x="280"/>
        <item x="244"/>
        <item x="18"/>
        <item x="31"/>
        <item x="277"/>
        <item x="263"/>
        <item x="273"/>
        <item x="327"/>
        <item x="112"/>
        <item x="46"/>
        <item x="78"/>
        <item x="378"/>
        <item x="58"/>
        <item x="171"/>
        <item x="158"/>
        <item x="98"/>
        <item x="450"/>
        <item x="441"/>
        <item x="494"/>
        <item x="515"/>
        <item x="224"/>
        <item x="406"/>
        <item x="293"/>
        <item x="320"/>
        <item x="363"/>
        <item x="429"/>
        <item x="448"/>
        <item x="165"/>
        <item x="234"/>
        <item x="117"/>
        <item x="257"/>
        <item x="479"/>
        <item x="324"/>
        <item x="438"/>
        <item x="111"/>
        <item x="307"/>
        <item x="522"/>
        <item x="82"/>
        <item x="403"/>
        <item x="412"/>
        <item x="138"/>
        <item x="215"/>
        <item t="default"/>
      </items>
    </pivotField>
    <pivotField showAll="0"/>
    <pivotField showAll="0"/>
    <pivotField showAll="0"/>
    <pivotField axis="axisRow" showAll="0">
      <items count="21">
        <item x="10"/>
        <item x="16"/>
        <item x="6"/>
        <item x="4"/>
        <item x="11"/>
        <item x="1"/>
        <item x="7"/>
        <item x="17"/>
        <item x="12"/>
        <item x="9"/>
        <item x="8"/>
        <item x="0"/>
        <item x="14"/>
        <item x="2"/>
        <item x="15"/>
        <item x="13"/>
        <item x="5"/>
        <item x="3"/>
        <item x="19"/>
        <item x="18"/>
        <item t="default"/>
      </items>
    </pivotField>
    <pivotField showAll="0">
      <items count="5">
        <item x="0"/>
        <item x="2"/>
        <item x="1"/>
        <item x="3"/>
        <item t="default"/>
      </items>
    </pivotField>
    <pivotField showAll="0"/>
    <pivotField showAll="0">
      <items count="6">
        <item x="4"/>
        <item x="2"/>
        <item x="3"/>
        <item x="0"/>
        <item x="1"/>
        <item t="default"/>
      </items>
    </pivotField>
    <pivotField showAll="0"/>
    <pivotField dataField="1" numFmtId="4" showAll="0"/>
    <pivotField numFmtId="4" showAll="0"/>
    <pivotField showAll="0"/>
    <pivotField numFmtId="9" showAll="0"/>
    <pivotField showAll="0"/>
    <pivotField showAll="0">
      <items count="6">
        <item x="3"/>
        <item x="0"/>
        <item x="1"/>
        <item x="2"/>
        <item x="4"/>
        <item t="default"/>
      </items>
    </pivotField>
    <pivotField showAll="0"/>
    <pivotField numFmtId="4" showAll="0"/>
    <pivotField numFmtId="10"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5"/>
  </rowFields>
  <rowItems count="20">
    <i>
      <x/>
    </i>
    <i>
      <x v="1"/>
    </i>
    <i>
      <x v="2"/>
    </i>
    <i>
      <x v="3"/>
    </i>
    <i>
      <x v="4"/>
    </i>
    <i>
      <x v="5"/>
    </i>
    <i>
      <x v="6"/>
    </i>
    <i>
      <x v="7"/>
    </i>
    <i>
      <x v="8"/>
    </i>
    <i>
      <x v="9"/>
    </i>
    <i>
      <x v="10"/>
    </i>
    <i>
      <x v="11"/>
    </i>
    <i>
      <x v="12"/>
    </i>
    <i>
      <x v="13"/>
    </i>
    <i>
      <x v="14"/>
    </i>
    <i>
      <x v="15"/>
    </i>
    <i>
      <x v="16"/>
    </i>
    <i>
      <x v="17"/>
    </i>
    <i>
      <x v="18"/>
    </i>
    <i>
      <x v="19"/>
    </i>
  </rowItems>
  <colItems count="1">
    <i/>
  </colItems>
  <dataFields count="1">
    <dataField name="Sum of Sales" fld="10" baseField="0"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BEA66D-8BFB-4BEB-95BE-8EC60137B40E}" name="PivotTable4"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rowHeaderCaption="Categories">
  <location ref="D9:E13" firstHeaderRow="1" firstDataRow="1" firstDataCol="1"/>
  <pivotFields count="37">
    <pivotField dataField="1" showAll="0"/>
    <pivotField numFmtId="14" showAll="0">
      <items count="536">
        <item x="426"/>
        <item x="47"/>
        <item x="294"/>
        <item x="163"/>
        <item x="422"/>
        <item x="377"/>
        <item x="72"/>
        <item x="228"/>
        <item x="284"/>
        <item x="38"/>
        <item x="489"/>
        <item x="268"/>
        <item x="271"/>
        <item x="480"/>
        <item x="360"/>
        <item x="482"/>
        <item x="417"/>
        <item x="66"/>
        <item x="194"/>
        <item x="414"/>
        <item x="129"/>
        <item x="305"/>
        <item x="252"/>
        <item x="338"/>
        <item x="243"/>
        <item x="529"/>
        <item x="455"/>
        <item x="382"/>
        <item x="526"/>
        <item x="433"/>
        <item x="312"/>
        <item x="333"/>
        <item x="0"/>
        <item x="110"/>
        <item x="476"/>
        <item x="7"/>
        <item x="342"/>
        <item x="179"/>
        <item x="431"/>
        <item x="217"/>
        <item x="359"/>
        <item x="397"/>
        <item x="15"/>
        <item x="237"/>
        <item x="167"/>
        <item x="465"/>
        <item x="413"/>
        <item x="25"/>
        <item x="511"/>
        <item x="22"/>
        <item x="143"/>
        <item x="187"/>
        <item x="396"/>
        <item x="81"/>
        <item x="395"/>
        <item x="306"/>
        <item x="154"/>
        <item x="285"/>
        <item x="86"/>
        <item x="485"/>
        <item x="256"/>
        <item x="88"/>
        <item x="470"/>
        <item x="200"/>
        <item x="469"/>
        <item x="80"/>
        <item x="340"/>
        <item x="123"/>
        <item x="207"/>
        <item x="140"/>
        <item x="131"/>
        <item x="462"/>
        <item x="398"/>
        <item x="467"/>
        <item x="13"/>
        <item x="471"/>
        <item x="203"/>
        <item x="141"/>
        <item x="394"/>
        <item x="59"/>
        <item x="97"/>
        <item x="460"/>
        <item x="296"/>
        <item x="49"/>
        <item x="319"/>
        <item x="275"/>
        <item x="71"/>
        <item x="54"/>
        <item x="401"/>
        <item x="164"/>
        <item x="421"/>
        <item x="192"/>
        <item x="350"/>
        <item x="326"/>
        <item x="400"/>
        <item x="258"/>
        <item x="337"/>
        <item x="254"/>
        <item x="358"/>
        <item x="55"/>
        <item x="24"/>
        <item x="75"/>
        <item x="133"/>
        <item x="423"/>
        <item x="79"/>
        <item x="208"/>
        <item x="457"/>
        <item x="52"/>
        <item x="159"/>
        <item x="419"/>
        <item x="128"/>
        <item x="92"/>
        <item x="323"/>
        <item x="230"/>
        <item x="353"/>
        <item x="189"/>
        <item x="528"/>
        <item x="486"/>
        <item x="12"/>
        <item x="132"/>
        <item x="518"/>
        <item x="17"/>
        <item x="458"/>
        <item x="260"/>
        <item x="278"/>
        <item x="191"/>
        <item x="229"/>
        <item x="201"/>
        <item x="34"/>
        <item x="121"/>
        <item x="328"/>
        <item x="331"/>
        <item x="521"/>
        <item x="103"/>
        <item x="162"/>
        <item x="155"/>
        <item x="56"/>
        <item x="291"/>
        <item x="295"/>
        <item x="240"/>
        <item x="67"/>
        <item x="301"/>
        <item x="303"/>
        <item x="420"/>
        <item x="4"/>
        <item x="453"/>
        <item x="204"/>
        <item x="292"/>
        <item x="19"/>
        <item x="91"/>
        <item x="298"/>
        <item x="73"/>
        <item x="368"/>
        <item x="149"/>
        <item x="464"/>
        <item x="3"/>
        <item x="491"/>
        <item x="346"/>
        <item x="347"/>
        <item x="524"/>
        <item x="195"/>
        <item x="493"/>
        <item x="169"/>
        <item x="41"/>
        <item x="354"/>
        <item x="184"/>
        <item x="472"/>
        <item x="211"/>
        <item x="334"/>
        <item x="39"/>
        <item x="186"/>
        <item x="507"/>
        <item x="219"/>
        <item x="315"/>
        <item x="239"/>
        <item x="185"/>
        <item x="246"/>
        <item x="10"/>
        <item x="508"/>
        <item x="197"/>
        <item x="317"/>
        <item x="297"/>
        <item x="300"/>
        <item x="214"/>
        <item x="221"/>
        <item x="65"/>
        <item x="5"/>
        <item x="61"/>
        <item x="490"/>
        <item x="146"/>
        <item x="62"/>
        <item x="407"/>
        <item x="63"/>
        <item x="70"/>
        <item x="428"/>
        <item x="459"/>
        <item x="475"/>
        <item x="267"/>
        <item x="84"/>
        <item x="124"/>
        <item x="516"/>
        <item x="495"/>
        <item x="523"/>
        <item x="196"/>
        <item x="449"/>
        <item x="188"/>
        <item x="484"/>
        <item x="492"/>
        <item x="339"/>
        <item x="166"/>
        <item x="42"/>
        <item x="232"/>
        <item x="466"/>
        <item x="33"/>
        <item x="69"/>
        <item x="178"/>
        <item x="216"/>
        <item x="336"/>
        <item x="134"/>
        <item x="262"/>
        <item x="233"/>
        <item x="270"/>
        <item x="410"/>
        <item x="168"/>
        <item x="367"/>
        <item x="418"/>
        <item x="68"/>
        <item x="157"/>
        <item x="427"/>
        <item x="335"/>
        <item x="276"/>
        <item x="286"/>
        <item x="512"/>
        <item x="137"/>
        <item x="477"/>
        <item x="409"/>
        <item x="27"/>
        <item x="357"/>
        <item x="351"/>
        <item x="60"/>
        <item x="502"/>
        <item x="177"/>
        <item x="299"/>
        <item x="231"/>
        <item x="435"/>
        <item x="108"/>
        <item x="506"/>
        <item x="432"/>
        <item x="283"/>
        <item x="532"/>
        <item x="386"/>
        <item x="151"/>
        <item x="454"/>
        <item x="48"/>
        <item x="225"/>
        <item x="206"/>
        <item x="390"/>
        <item x="348"/>
        <item x="35"/>
        <item x="329"/>
        <item x="193"/>
        <item x="330"/>
        <item x="209"/>
        <item x="392"/>
        <item x="385"/>
        <item x="374"/>
        <item x="135"/>
        <item x="322"/>
        <item x="434"/>
        <item x="483"/>
        <item x="205"/>
        <item x="266"/>
        <item x="473"/>
        <item x="90"/>
        <item x="77"/>
        <item x="20"/>
        <item x="105"/>
        <item x="255"/>
        <item x="156"/>
        <item x="148"/>
        <item x="76"/>
        <item x="451"/>
        <item x="272"/>
        <item x="107"/>
        <item x="362"/>
        <item x="355"/>
        <item x="345"/>
        <item x="446"/>
        <item x="365"/>
        <item x="381"/>
        <item x="352"/>
        <item x="102"/>
        <item x="85"/>
        <item x="43"/>
        <item x="281"/>
        <item x="21"/>
        <item x="416"/>
        <item x="411"/>
        <item x="96"/>
        <item x="456"/>
        <item x="444"/>
        <item x="404"/>
        <item x="370"/>
        <item x="527"/>
        <item x="235"/>
        <item x="99"/>
        <item x="118"/>
        <item x="95"/>
        <item x="520"/>
        <item x="29"/>
        <item x="424"/>
        <item x="384"/>
        <item x="310"/>
        <item x="253"/>
        <item x="388"/>
        <item x="160"/>
        <item x="430"/>
        <item x="50"/>
        <item x="11"/>
        <item x="383"/>
        <item x="534"/>
        <item x="468"/>
        <item x="504"/>
        <item x="402"/>
        <item x="152"/>
        <item x="248"/>
        <item x="289"/>
        <item x="503"/>
        <item x="321"/>
        <item x="399"/>
        <item x="104"/>
        <item x="213"/>
        <item x="139"/>
        <item x="463"/>
        <item x="36"/>
        <item x="220"/>
        <item x="142"/>
        <item x="356"/>
        <item x="227"/>
        <item x="509"/>
        <item x="1"/>
        <item x="30"/>
        <item x="313"/>
        <item x="153"/>
        <item x="261"/>
        <item x="513"/>
        <item x="478"/>
        <item x="531"/>
        <item x="120"/>
        <item x="447"/>
        <item x="218"/>
        <item x="304"/>
        <item x="332"/>
        <item x="44"/>
        <item x="8"/>
        <item x="264"/>
        <item x="127"/>
        <item x="364"/>
        <item x="288"/>
        <item x="57"/>
        <item x="119"/>
        <item x="125"/>
        <item x="259"/>
        <item x="461"/>
        <item x="249"/>
        <item x="136"/>
        <item x="325"/>
        <item x="37"/>
        <item x="190"/>
        <item x="287"/>
        <item x="375"/>
        <item x="238"/>
        <item x="344"/>
        <item x="130"/>
        <item x="373"/>
        <item x="391"/>
        <item x="269"/>
        <item x="23"/>
        <item x="173"/>
        <item x="16"/>
        <item x="175"/>
        <item x="144"/>
        <item x="265"/>
        <item x="361"/>
        <item x="349"/>
        <item x="6"/>
        <item x="170"/>
        <item x="533"/>
        <item x="514"/>
        <item x="106"/>
        <item x="100"/>
        <item x="389"/>
        <item x="393"/>
        <item x="290"/>
        <item x="440"/>
        <item x="32"/>
        <item x="425"/>
        <item x="150"/>
        <item x="436"/>
        <item x="2"/>
        <item x="245"/>
        <item x="442"/>
        <item x="343"/>
        <item x="517"/>
        <item x="74"/>
        <item x="114"/>
        <item x="199"/>
        <item x="387"/>
        <item x="93"/>
        <item x="101"/>
        <item x="279"/>
        <item x="176"/>
        <item x="380"/>
        <item x="40"/>
        <item x="45"/>
        <item x="487"/>
        <item x="501"/>
        <item x="405"/>
        <item x="443"/>
        <item x="250"/>
        <item x="87"/>
        <item x="53"/>
        <item x="530"/>
        <item x="9"/>
        <item x="241"/>
        <item x="488"/>
        <item x="115"/>
        <item x="481"/>
        <item x="198"/>
        <item x="14"/>
        <item x="366"/>
        <item x="113"/>
        <item x="311"/>
        <item x="408"/>
        <item x="83"/>
        <item x="316"/>
        <item x="308"/>
        <item x="145"/>
        <item x="223"/>
        <item x="318"/>
        <item x="505"/>
        <item x="302"/>
        <item x="437"/>
        <item x="126"/>
        <item x="376"/>
        <item x="181"/>
        <item x="161"/>
        <item x="210"/>
        <item x="474"/>
        <item x="247"/>
        <item x="122"/>
        <item x="498"/>
        <item x="496"/>
        <item x="147"/>
        <item x="379"/>
        <item x="274"/>
        <item x="371"/>
        <item x="182"/>
        <item x="282"/>
        <item x="28"/>
        <item x="242"/>
        <item x="64"/>
        <item x="500"/>
        <item x="222"/>
        <item x="109"/>
        <item x="445"/>
        <item x="439"/>
        <item x="314"/>
        <item x="236"/>
        <item x="510"/>
        <item x="202"/>
        <item x="174"/>
        <item x="89"/>
        <item x="183"/>
        <item x="519"/>
        <item x="341"/>
        <item x="369"/>
        <item x="497"/>
        <item x="172"/>
        <item x="212"/>
        <item x="116"/>
        <item x="94"/>
        <item x="51"/>
        <item x="525"/>
        <item x="452"/>
        <item x="499"/>
        <item x="226"/>
        <item x="372"/>
        <item x="180"/>
        <item x="26"/>
        <item x="309"/>
        <item x="251"/>
        <item x="415"/>
        <item x="280"/>
        <item x="244"/>
        <item x="18"/>
        <item x="31"/>
        <item x="277"/>
        <item x="263"/>
        <item x="273"/>
        <item x="327"/>
        <item x="112"/>
        <item x="46"/>
        <item x="78"/>
        <item x="378"/>
        <item x="58"/>
        <item x="171"/>
        <item x="158"/>
        <item x="98"/>
        <item x="450"/>
        <item x="441"/>
        <item x="494"/>
        <item x="515"/>
        <item x="224"/>
        <item x="406"/>
        <item x="293"/>
        <item x="320"/>
        <item x="363"/>
        <item x="429"/>
        <item x="448"/>
        <item x="165"/>
        <item x="234"/>
        <item x="117"/>
        <item x="257"/>
        <item x="479"/>
        <item x="324"/>
        <item x="438"/>
        <item x="111"/>
        <item x="307"/>
        <item x="522"/>
        <item x="82"/>
        <item x="403"/>
        <item x="412"/>
        <item x="138"/>
        <item x="215"/>
        <item t="default"/>
      </items>
    </pivotField>
    <pivotField showAll="0"/>
    <pivotField showAll="0"/>
    <pivotField showAll="0"/>
    <pivotField showAll="0"/>
    <pivotField axis="axisRow" showAll="0">
      <items count="5">
        <item x="0"/>
        <item x="2"/>
        <item x="1"/>
        <item x="3"/>
        <item t="default"/>
      </items>
    </pivotField>
    <pivotField showAll="0"/>
    <pivotField showAll="0">
      <items count="6">
        <item x="4"/>
        <item x="2"/>
        <item x="3"/>
        <item x="0"/>
        <item x="1"/>
        <item t="default"/>
      </items>
    </pivotField>
    <pivotField showAll="0"/>
    <pivotField numFmtId="4" showAll="0"/>
    <pivotField numFmtId="4" showAll="0"/>
    <pivotField showAll="0"/>
    <pivotField numFmtId="9" showAll="0"/>
    <pivotField showAll="0"/>
    <pivotField showAll="0">
      <items count="6">
        <item x="3"/>
        <item x="0"/>
        <item x="1"/>
        <item x="2"/>
        <item x="4"/>
        <item t="default"/>
      </items>
    </pivotField>
    <pivotField showAll="0"/>
    <pivotField numFmtId="4" showAll="0"/>
    <pivotField numFmtId="10"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6"/>
  </rowFields>
  <rowItems count="4">
    <i>
      <x/>
    </i>
    <i>
      <x v="1"/>
    </i>
    <i>
      <x v="2"/>
    </i>
    <i>
      <x v="3"/>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67524A-5B85-49A8-BB3D-82611DB1FEF1}" name="PivotTable3"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Region">
  <location ref="A9:B14" firstHeaderRow="1" firstDataRow="1" firstDataCol="1"/>
  <pivotFields count="37">
    <pivotField showAll="0"/>
    <pivotField numFmtId="14" showAll="0">
      <items count="536">
        <item x="426"/>
        <item x="47"/>
        <item x="294"/>
        <item x="163"/>
        <item x="422"/>
        <item x="377"/>
        <item x="72"/>
        <item x="228"/>
        <item x="284"/>
        <item x="38"/>
        <item x="489"/>
        <item x="268"/>
        <item x="271"/>
        <item x="480"/>
        <item x="360"/>
        <item x="482"/>
        <item x="417"/>
        <item x="66"/>
        <item x="194"/>
        <item x="414"/>
        <item x="129"/>
        <item x="305"/>
        <item x="252"/>
        <item x="338"/>
        <item x="243"/>
        <item x="529"/>
        <item x="455"/>
        <item x="382"/>
        <item x="526"/>
        <item x="433"/>
        <item x="312"/>
        <item x="333"/>
        <item x="0"/>
        <item x="110"/>
        <item x="476"/>
        <item x="7"/>
        <item x="342"/>
        <item x="179"/>
        <item x="431"/>
        <item x="217"/>
        <item x="359"/>
        <item x="397"/>
        <item x="15"/>
        <item x="237"/>
        <item x="167"/>
        <item x="465"/>
        <item x="413"/>
        <item x="25"/>
        <item x="511"/>
        <item x="22"/>
        <item x="143"/>
        <item x="187"/>
        <item x="396"/>
        <item x="81"/>
        <item x="395"/>
        <item x="306"/>
        <item x="154"/>
        <item x="285"/>
        <item x="86"/>
        <item x="485"/>
        <item x="256"/>
        <item x="88"/>
        <item x="470"/>
        <item x="200"/>
        <item x="469"/>
        <item x="80"/>
        <item x="340"/>
        <item x="123"/>
        <item x="207"/>
        <item x="140"/>
        <item x="131"/>
        <item x="462"/>
        <item x="398"/>
        <item x="467"/>
        <item x="13"/>
        <item x="471"/>
        <item x="203"/>
        <item x="141"/>
        <item x="394"/>
        <item x="59"/>
        <item x="97"/>
        <item x="460"/>
        <item x="296"/>
        <item x="49"/>
        <item x="319"/>
        <item x="275"/>
        <item x="71"/>
        <item x="54"/>
        <item x="401"/>
        <item x="164"/>
        <item x="421"/>
        <item x="192"/>
        <item x="350"/>
        <item x="326"/>
        <item x="400"/>
        <item x="258"/>
        <item x="337"/>
        <item x="254"/>
        <item x="358"/>
        <item x="55"/>
        <item x="24"/>
        <item x="75"/>
        <item x="133"/>
        <item x="423"/>
        <item x="79"/>
        <item x="208"/>
        <item x="457"/>
        <item x="52"/>
        <item x="159"/>
        <item x="419"/>
        <item x="128"/>
        <item x="92"/>
        <item x="323"/>
        <item x="230"/>
        <item x="353"/>
        <item x="189"/>
        <item x="528"/>
        <item x="486"/>
        <item x="12"/>
        <item x="132"/>
        <item x="518"/>
        <item x="17"/>
        <item x="458"/>
        <item x="260"/>
        <item x="278"/>
        <item x="191"/>
        <item x="229"/>
        <item x="201"/>
        <item x="34"/>
        <item x="121"/>
        <item x="328"/>
        <item x="331"/>
        <item x="521"/>
        <item x="103"/>
        <item x="162"/>
        <item x="155"/>
        <item x="56"/>
        <item x="291"/>
        <item x="295"/>
        <item x="240"/>
        <item x="67"/>
        <item x="301"/>
        <item x="303"/>
        <item x="420"/>
        <item x="4"/>
        <item x="453"/>
        <item x="204"/>
        <item x="292"/>
        <item x="19"/>
        <item x="91"/>
        <item x="298"/>
        <item x="73"/>
        <item x="368"/>
        <item x="149"/>
        <item x="464"/>
        <item x="3"/>
        <item x="491"/>
        <item x="346"/>
        <item x="347"/>
        <item x="524"/>
        <item x="195"/>
        <item x="493"/>
        <item x="169"/>
        <item x="41"/>
        <item x="354"/>
        <item x="184"/>
        <item x="472"/>
        <item x="211"/>
        <item x="334"/>
        <item x="39"/>
        <item x="186"/>
        <item x="507"/>
        <item x="219"/>
        <item x="315"/>
        <item x="239"/>
        <item x="185"/>
        <item x="246"/>
        <item x="10"/>
        <item x="508"/>
        <item x="197"/>
        <item x="317"/>
        <item x="297"/>
        <item x="300"/>
        <item x="214"/>
        <item x="221"/>
        <item x="65"/>
        <item x="5"/>
        <item x="61"/>
        <item x="490"/>
        <item x="146"/>
        <item x="62"/>
        <item x="407"/>
        <item x="63"/>
        <item x="70"/>
        <item x="428"/>
        <item x="459"/>
        <item x="475"/>
        <item x="267"/>
        <item x="84"/>
        <item x="124"/>
        <item x="516"/>
        <item x="495"/>
        <item x="523"/>
        <item x="196"/>
        <item x="449"/>
        <item x="188"/>
        <item x="484"/>
        <item x="492"/>
        <item x="339"/>
        <item x="166"/>
        <item x="42"/>
        <item x="232"/>
        <item x="466"/>
        <item x="33"/>
        <item x="69"/>
        <item x="178"/>
        <item x="216"/>
        <item x="336"/>
        <item x="134"/>
        <item x="262"/>
        <item x="233"/>
        <item x="270"/>
        <item x="410"/>
        <item x="168"/>
        <item x="367"/>
        <item x="418"/>
        <item x="68"/>
        <item x="157"/>
        <item x="427"/>
        <item x="335"/>
        <item x="276"/>
        <item x="286"/>
        <item x="512"/>
        <item x="137"/>
        <item x="477"/>
        <item x="409"/>
        <item x="27"/>
        <item x="357"/>
        <item x="351"/>
        <item x="60"/>
        <item x="502"/>
        <item x="177"/>
        <item x="299"/>
        <item x="231"/>
        <item x="435"/>
        <item x="108"/>
        <item x="506"/>
        <item x="432"/>
        <item x="283"/>
        <item x="532"/>
        <item x="386"/>
        <item x="151"/>
        <item x="454"/>
        <item x="48"/>
        <item x="225"/>
        <item x="206"/>
        <item x="390"/>
        <item x="348"/>
        <item x="35"/>
        <item x="329"/>
        <item x="193"/>
        <item x="330"/>
        <item x="209"/>
        <item x="392"/>
        <item x="385"/>
        <item x="374"/>
        <item x="135"/>
        <item x="322"/>
        <item x="434"/>
        <item x="483"/>
        <item x="205"/>
        <item x="266"/>
        <item x="473"/>
        <item x="90"/>
        <item x="77"/>
        <item x="20"/>
        <item x="105"/>
        <item x="255"/>
        <item x="156"/>
        <item x="148"/>
        <item x="76"/>
        <item x="451"/>
        <item x="272"/>
        <item x="107"/>
        <item x="362"/>
        <item x="355"/>
        <item x="345"/>
        <item x="446"/>
        <item x="365"/>
        <item x="381"/>
        <item x="352"/>
        <item x="102"/>
        <item x="85"/>
        <item x="43"/>
        <item x="281"/>
        <item x="21"/>
        <item x="416"/>
        <item x="411"/>
        <item x="96"/>
        <item x="456"/>
        <item x="444"/>
        <item x="404"/>
        <item x="370"/>
        <item x="527"/>
        <item x="235"/>
        <item x="99"/>
        <item x="118"/>
        <item x="95"/>
        <item x="520"/>
        <item x="29"/>
        <item x="424"/>
        <item x="384"/>
        <item x="310"/>
        <item x="253"/>
        <item x="388"/>
        <item x="160"/>
        <item x="430"/>
        <item x="50"/>
        <item x="11"/>
        <item x="383"/>
        <item x="534"/>
        <item x="468"/>
        <item x="504"/>
        <item x="402"/>
        <item x="152"/>
        <item x="248"/>
        <item x="289"/>
        <item x="503"/>
        <item x="321"/>
        <item x="399"/>
        <item x="104"/>
        <item x="213"/>
        <item x="139"/>
        <item x="463"/>
        <item x="36"/>
        <item x="220"/>
        <item x="142"/>
        <item x="356"/>
        <item x="227"/>
        <item x="509"/>
        <item x="1"/>
        <item x="30"/>
        <item x="313"/>
        <item x="153"/>
        <item x="261"/>
        <item x="513"/>
        <item x="478"/>
        <item x="531"/>
        <item x="120"/>
        <item x="447"/>
        <item x="218"/>
        <item x="304"/>
        <item x="332"/>
        <item x="44"/>
        <item x="8"/>
        <item x="264"/>
        <item x="127"/>
        <item x="364"/>
        <item x="288"/>
        <item x="57"/>
        <item x="119"/>
        <item x="125"/>
        <item x="259"/>
        <item x="461"/>
        <item x="249"/>
        <item x="136"/>
        <item x="325"/>
        <item x="37"/>
        <item x="190"/>
        <item x="287"/>
        <item x="375"/>
        <item x="238"/>
        <item x="344"/>
        <item x="130"/>
        <item x="373"/>
        <item x="391"/>
        <item x="269"/>
        <item x="23"/>
        <item x="173"/>
        <item x="16"/>
        <item x="175"/>
        <item x="144"/>
        <item x="265"/>
        <item x="361"/>
        <item x="349"/>
        <item x="6"/>
        <item x="170"/>
        <item x="533"/>
        <item x="514"/>
        <item x="106"/>
        <item x="100"/>
        <item x="389"/>
        <item x="393"/>
        <item x="290"/>
        <item x="440"/>
        <item x="32"/>
        <item x="425"/>
        <item x="150"/>
        <item x="436"/>
        <item x="2"/>
        <item x="245"/>
        <item x="442"/>
        <item x="343"/>
        <item x="517"/>
        <item x="74"/>
        <item x="114"/>
        <item x="199"/>
        <item x="387"/>
        <item x="93"/>
        <item x="101"/>
        <item x="279"/>
        <item x="176"/>
        <item x="380"/>
        <item x="40"/>
        <item x="45"/>
        <item x="487"/>
        <item x="501"/>
        <item x="405"/>
        <item x="443"/>
        <item x="250"/>
        <item x="87"/>
        <item x="53"/>
        <item x="530"/>
        <item x="9"/>
        <item x="241"/>
        <item x="488"/>
        <item x="115"/>
        <item x="481"/>
        <item x="198"/>
        <item x="14"/>
        <item x="366"/>
        <item x="113"/>
        <item x="311"/>
        <item x="408"/>
        <item x="83"/>
        <item x="316"/>
        <item x="308"/>
        <item x="145"/>
        <item x="223"/>
        <item x="318"/>
        <item x="505"/>
        <item x="302"/>
        <item x="437"/>
        <item x="126"/>
        <item x="376"/>
        <item x="181"/>
        <item x="161"/>
        <item x="210"/>
        <item x="474"/>
        <item x="247"/>
        <item x="122"/>
        <item x="498"/>
        <item x="496"/>
        <item x="147"/>
        <item x="379"/>
        <item x="274"/>
        <item x="371"/>
        <item x="182"/>
        <item x="282"/>
        <item x="28"/>
        <item x="242"/>
        <item x="64"/>
        <item x="500"/>
        <item x="222"/>
        <item x="109"/>
        <item x="445"/>
        <item x="439"/>
        <item x="314"/>
        <item x="236"/>
        <item x="510"/>
        <item x="202"/>
        <item x="174"/>
        <item x="89"/>
        <item x="183"/>
        <item x="519"/>
        <item x="341"/>
        <item x="369"/>
        <item x="497"/>
        <item x="172"/>
        <item x="212"/>
        <item x="116"/>
        <item x="94"/>
        <item x="51"/>
        <item x="525"/>
        <item x="452"/>
        <item x="499"/>
        <item x="226"/>
        <item x="372"/>
        <item x="180"/>
        <item x="26"/>
        <item x="309"/>
        <item x="251"/>
        <item x="415"/>
        <item x="280"/>
        <item x="244"/>
        <item x="18"/>
        <item x="31"/>
        <item x="277"/>
        <item x="263"/>
        <item x="273"/>
        <item x="327"/>
        <item x="112"/>
        <item x="46"/>
        <item x="78"/>
        <item x="378"/>
        <item x="58"/>
        <item x="171"/>
        <item x="158"/>
        <item x="98"/>
        <item x="450"/>
        <item x="441"/>
        <item x="494"/>
        <item x="515"/>
        <item x="224"/>
        <item x="406"/>
        <item x="293"/>
        <item x="320"/>
        <item x="363"/>
        <item x="429"/>
        <item x="448"/>
        <item x="165"/>
        <item x="234"/>
        <item x="117"/>
        <item x="257"/>
        <item x="479"/>
        <item x="324"/>
        <item x="438"/>
        <item x="111"/>
        <item x="307"/>
        <item x="522"/>
        <item x="82"/>
        <item x="403"/>
        <item x="412"/>
        <item x="138"/>
        <item x="215"/>
        <item t="default"/>
      </items>
    </pivotField>
    <pivotField showAll="0"/>
    <pivotField showAll="0"/>
    <pivotField showAll="0"/>
    <pivotField showAll="0"/>
    <pivotField showAll="0">
      <items count="5">
        <item x="0"/>
        <item x="2"/>
        <item x="1"/>
        <item x="3"/>
        <item t="default"/>
      </items>
    </pivotField>
    <pivotField showAll="0"/>
    <pivotField axis="axisRow" showAll="0">
      <items count="6">
        <item x="4"/>
        <item x="2"/>
        <item x="3"/>
        <item x="0"/>
        <item x="1"/>
        <item t="default"/>
      </items>
    </pivotField>
    <pivotField showAll="0"/>
    <pivotField numFmtId="4" showAll="0"/>
    <pivotField numFmtId="4" showAll="0"/>
    <pivotField showAll="0"/>
    <pivotField numFmtId="9" showAll="0"/>
    <pivotField showAll="0"/>
    <pivotField showAll="0">
      <items count="6">
        <item x="3"/>
        <item x="0"/>
        <item x="1"/>
        <item x="2"/>
        <item x="4"/>
        <item t="default"/>
      </items>
    </pivotField>
    <pivotField showAll="0"/>
    <pivotField dataField="1" numFmtId="4" showAll="0"/>
    <pivotField numFmtId="10"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8"/>
  </rowFields>
  <rowItems count="5">
    <i>
      <x/>
    </i>
    <i>
      <x v="1"/>
    </i>
    <i>
      <x v="2"/>
    </i>
    <i>
      <x v="3"/>
    </i>
    <i>
      <x v="4"/>
    </i>
  </rowItems>
  <colItems count="1">
    <i/>
  </colItems>
  <dataFields count="1">
    <dataField name="Sum of Profit" fld="17" baseField="0" baseItem="0" numFmtId="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0E08AE-7118-4E97-912C-32E7F08EFFF2}" name="PivotTable2"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rowHeaderCaption="Categories">
  <location ref="D1:E5" firstHeaderRow="1" firstDataRow="1" firstDataCol="1"/>
  <pivotFields count="37">
    <pivotField showAll="0"/>
    <pivotField numFmtId="14" showAll="0">
      <items count="536">
        <item x="426"/>
        <item x="47"/>
        <item x="294"/>
        <item x="163"/>
        <item x="422"/>
        <item x="377"/>
        <item x="72"/>
        <item x="228"/>
        <item x="284"/>
        <item x="38"/>
        <item x="489"/>
        <item x="268"/>
        <item x="271"/>
        <item x="480"/>
        <item x="360"/>
        <item x="482"/>
        <item x="417"/>
        <item x="66"/>
        <item x="194"/>
        <item x="414"/>
        <item x="129"/>
        <item x="305"/>
        <item x="252"/>
        <item x="338"/>
        <item x="243"/>
        <item x="529"/>
        <item x="455"/>
        <item x="382"/>
        <item x="526"/>
        <item x="433"/>
        <item x="312"/>
        <item x="333"/>
        <item x="0"/>
        <item x="110"/>
        <item x="476"/>
        <item x="7"/>
        <item x="342"/>
        <item x="179"/>
        <item x="431"/>
        <item x="217"/>
        <item x="359"/>
        <item x="397"/>
        <item x="15"/>
        <item x="237"/>
        <item x="167"/>
        <item x="465"/>
        <item x="413"/>
        <item x="25"/>
        <item x="511"/>
        <item x="22"/>
        <item x="143"/>
        <item x="187"/>
        <item x="396"/>
        <item x="81"/>
        <item x="395"/>
        <item x="306"/>
        <item x="154"/>
        <item x="285"/>
        <item x="86"/>
        <item x="485"/>
        <item x="256"/>
        <item x="88"/>
        <item x="470"/>
        <item x="200"/>
        <item x="469"/>
        <item x="80"/>
        <item x="340"/>
        <item x="123"/>
        <item x="207"/>
        <item x="140"/>
        <item x="131"/>
        <item x="462"/>
        <item x="398"/>
        <item x="467"/>
        <item x="13"/>
        <item x="471"/>
        <item x="203"/>
        <item x="141"/>
        <item x="394"/>
        <item x="59"/>
        <item x="97"/>
        <item x="460"/>
        <item x="296"/>
        <item x="49"/>
        <item x="319"/>
        <item x="275"/>
        <item x="71"/>
        <item x="54"/>
        <item x="401"/>
        <item x="164"/>
        <item x="421"/>
        <item x="192"/>
        <item x="350"/>
        <item x="326"/>
        <item x="400"/>
        <item x="258"/>
        <item x="337"/>
        <item x="254"/>
        <item x="358"/>
        <item x="55"/>
        <item x="24"/>
        <item x="75"/>
        <item x="133"/>
        <item x="423"/>
        <item x="79"/>
        <item x="208"/>
        <item x="457"/>
        <item x="52"/>
        <item x="159"/>
        <item x="419"/>
        <item x="128"/>
        <item x="92"/>
        <item x="323"/>
        <item x="230"/>
        <item x="353"/>
        <item x="189"/>
        <item x="528"/>
        <item x="486"/>
        <item x="12"/>
        <item x="132"/>
        <item x="518"/>
        <item x="17"/>
        <item x="458"/>
        <item x="260"/>
        <item x="278"/>
        <item x="191"/>
        <item x="229"/>
        <item x="201"/>
        <item x="34"/>
        <item x="121"/>
        <item x="328"/>
        <item x="331"/>
        <item x="521"/>
        <item x="103"/>
        <item x="162"/>
        <item x="155"/>
        <item x="56"/>
        <item x="291"/>
        <item x="295"/>
        <item x="240"/>
        <item x="67"/>
        <item x="301"/>
        <item x="303"/>
        <item x="420"/>
        <item x="4"/>
        <item x="453"/>
        <item x="204"/>
        <item x="292"/>
        <item x="19"/>
        <item x="91"/>
        <item x="298"/>
        <item x="73"/>
        <item x="368"/>
        <item x="149"/>
        <item x="464"/>
        <item x="3"/>
        <item x="491"/>
        <item x="346"/>
        <item x="347"/>
        <item x="524"/>
        <item x="195"/>
        <item x="493"/>
        <item x="169"/>
        <item x="41"/>
        <item x="354"/>
        <item x="184"/>
        <item x="472"/>
        <item x="211"/>
        <item x="334"/>
        <item x="39"/>
        <item x="186"/>
        <item x="507"/>
        <item x="219"/>
        <item x="315"/>
        <item x="239"/>
        <item x="185"/>
        <item x="246"/>
        <item x="10"/>
        <item x="508"/>
        <item x="197"/>
        <item x="317"/>
        <item x="297"/>
        <item x="300"/>
        <item x="214"/>
        <item x="221"/>
        <item x="65"/>
        <item x="5"/>
        <item x="61"/>
        <item x="490"/>
        <item x="146"/>
        <item x="62"/>
        <item x="407"/>
        <item x="63"/>
        <item x="70"/>
        <item x="428"/>
        <item x="459"/>
        <item x="475"/>
        <item x="267"/>
        <item x="84"/>
        <item x="124"/>
        <item x="516"/>
        <item x="495"/>
        <item x="523"/>
        <item x="196"/>
        <item x="449"/>
        <item x="188"/>
        <item x="484"/>
        <item x="492"/>
        <item x="339"/>
        <item x="166"/>
        <item x="42"/>
        <item x="232"/>
        <item x="466"/>
        <item x="33"/>
        <item x="69"/>
        <item x="178"/>
        <item x="216"/>
        <item x="336"/>
        <item x="134"/>
        <item x="262"/>
        <item x="233"/>
        <item x="270"/>
        <item x="410"/>
        <item x="168"/>
        <item x="367"/>
        <item x="418"/>
        <item x="68"/>
        <item x="157"/>
        <item x="427"/>
        <item x="335"/>
        <item x="276"/>
        <item x="286"/>
        <item x="512"/>
        <item x="137"/>
        <item x="477"/>
        <item x="409"/>
        <item x="27"/>
        <item x="357"/>
        <item x="351"/>
        <item x="60"/>
        <item x="502"/>
        <item x="177"/>
        <item x="299"/>
        <item x="231"/>
        <item x="435"/>
        <item x="108"/>
        <item x="506"/>
        <item x="432"/>
        <item x="283"/>
        <item x="532"/>
        <item x="386"/>
        <item x="151"/>
        <item x="454"/>
        <item x="48"/>
        <item x="225"/>
        <item x="206"/>
        <item x="390"/>
        <item x="348"/>
        <item x="35"/>
        <item x="329"/>
        <item x="193"/>
        <item x="330"/>
        <item x="209"/>
        <item x="392"/>
        <item x="385"/>
        <item x="374"/>
        <item x="135"/>
        <item x="322"/>
        <item x="434"/>
        <item x="483"/>
        <item x="205"/>
        <item x="266"/>
        <item x="473"/>
        <item x="90"/>
        <item x="77"/>
        <item x="20"/>
        <item x="105"/>
        <item x="255"/>
        <item x="156"/>
        <item x="148"/>
        <item x="76"/>
        <item x="451"/>
        <item x="272"/>
        <item x="107"/>
        <item x="362"/>
        <item x="355"/>
        <item x="345"/>
        <item x="446"/>
        <item x="365"/>
        <item x="381"/>
        <item x="352"/>
        <item x="102"/>
        <item x="85"/>
        <item x="43"/>
        <item x="281"/>
        <item x="21"/>
        <item x="416"/>
        <item x="411"/>
        <item x="96"/>
        <item x="456"/>
        <item x="444"/>
        <item x="404"/>
        <item x="370"/>
        <item x="527"/>
        <item x="235"/>
        <item x="99"/>
        <item x="118"/>
        <item x="95"/>
        <item x="520"/>
        <item x="29"/>
        <item x="424"/>
        <item x="384"/>
        <item x="310"/>
        <item x="253"/>
        <item x="388"/>
        <item x="160"/>
        <item x="430"/>
        <item x="50"/>
        <item x="11"/>
        <item x="383"/>
        <item x="534"/>
        <item x="468"/>
        <item x="504"/>
        <item x="402"/>
        <item x="152"/>
        <item x="248"/>
        <item x="289"/>
        <item x="503"/>
        <item x="321"/>
        <item x="399"/>
        <item x="104"/>
        <item x="213"/>
        <item x="139"/>
        <item x="463"/>
        <item x="36"/>
        <item x="220"/>
        <item x="142"/>
        <item x="356"/>
        <item x="227"/>
        <item x="509"/>
        <item x="1"/>
        <item x="30"/>
        <item x="313"/>
        <item x="153"/>
        <item x="261"/>
        <item x="513"/>
        <item x="478"/>
        <item x="531"/>
        <item x="120"/>
        <item x="447"/>
        <item x="218"/>
        <item x="304"/>
        <item x="332"/>
        <item x="44"/>
        <item x="8"/>
        <item x="264"/>
        <item x="127"/>
        <item x="364"/>
        <item x="288"/>
        <item x="57"/>
        <item x="119"/>
        <item x="125"/>
        <item x="259"/>
        <item x="461"/>
        <item x="249"/>
        <item x="136"/>
        <item x="325"/>
        <item x="37"/>
        <item x="190"/>
        <item x="287"/>
        <item x="375"/>
        <item x="238"/>
        <item x="344"/>
        <item x="130"/>
        <item x="373"/>
        <item x="391"/>
        <item x="269"/>
        <item x="23"/>
        <item x="173"/>
        <item x="16"/>
        <item x="175"/>
        <item x="144"/>
        <item x="265"/>
        <item x="361"/>
        <item x="349"/>
        <item x="6"/>
        <item x="170"/>
        <item x="533"/>
        <item x="514"/>
        <item x="106"/>
        <item x="100"/>
        <item x="389"/>
        <item x="393"/>
        <item x="290"/>
        <item x="440"/>
        <item x="32"/>
        <item x="425"/>
        <item x="150"/>
        <item x="436"/>
        <item x="2"/>
        <item x="245"/>
        <item x="442"/>
        <item x="343"/>
        <item x="517"/>
        <item x="74"/>
        <item x="114"/>
        <item x="199"/>
        <item x="387"/>
        <item x="93"/>
        <item x="101"/>
        <item x="279"/>
        <item x="176"/>
        <item x="380"/>
        <item x="40"/>
        <item x="45"/>
        <item x="487"/>
        <item x="501"/>
        <item x="405"/>
        <item x="443"/>
        <item x="250"/>
        <item x="87"/>
        <item x="53"/>
        <item x="530"/>
        <item x="9"/>
        <item x="241"/>
        <item x="488"/>
        <item x="115"/>
        <item x="481"/>
        <item x="198"/>
        <item x="14"/>
        <item x="366"/>
        <item x="113"/>
        <item x="311"/>
        <item x="408"/>
        <item x="83"/>
        <item x="316"/>
        <item x="308"/>
        <item x="145"/>
        <item x="223"/>
        <item x="318"/>
        <item x="505"/>
        <item x="302"/>
        <item x="437"/>
        <item x="126"/>
        <item x="376"/>
        <item x="181"/>
        <item x="161"/>
        <item x="210"/>
        <item x="474"/>
        <item x="247"/>
        <item x="122"/>
        <item x="498"/>
        <item x="496"/>
        <item x="147"/>
        <item x="379"/>
        <item x="274"/>
        <item x="371"/>
        <item x="182"/>
        <item x="282"/>
        <item x="28"/>
        <item x="242"/>
        <item x="64"/>
        <item x="500"/>
        <item x="222"/>
        <item x="109"/>
        <item x="445"/>
        <item x="439"/>
        <item x="314"/>
        <item x="236"/>
        <item x="510"/>
        <item x="202"/>
        <item x="174"/>
        <item x="89"/>
        <item x="183"/>
        <item x="519"/>
        <item x="341"/>
        <item x="369"/>
        <item x="497"/>
        <item x="172"/>
        <item x="212"/>
        <item x="116"/>
        <item x="94"/>
        <item x="51"/>
        <item x="525"/>
        <item x="452"/>
        <item x="499"/>
        <item x="226"/>
        <item x="372"/>
        <item x="180"/>
        <item x="26"/>
        <item x="309"/>
        <item x="251"/>
        <item x="415"/>
        <item x="280"/>
        <item x="244"/>
        <item x="18"/>
        <item x="31"/>
        <item x="277"/>
        <item x="263"/>
        <item x="273"/>
        <item x="327"/>
        <item x="112"/>
        <item x="46"/>
        <item x="78"/>
        <item x="378"/>
        <item x="58"/>
        <item x="171"/>
        <item x="158"/>
        <item x="98"/>
        <item x="450"/>
        <item x="441"/>
        <item x="494"/>
        <item x="515"/>
        <item x="224"/>
        <item x="406"/>
        <item x="293"/>
        <item x="320"/>
        <item x="363"/>
        <item x="429"/>
        <item x="448"/>
        <item x="165"/>
        <item x="234"/>
        <item x="117"/>
        <item x="257"/>
        <item x="479"/>
        <item x="324"/>
        <item x="438"/>
        <item x="111"/>
        <item x="307"/>
        <item x="522"/>
        <item x="82"/>
        <item x="403"/>
        <item x="412"/>
        <item x="138"/>
        <item x="215"/>
        <item t="default"/>
      </items>
    </pivotField>
    <pivotField showAll="0"/>
    <pivotField showAll="0"/>
    <pivotField showAll="0"/>
    <pivotField showAll="0"/>
    <pivotField axis="axisRow" showAll="0">
      <items count="5">
        <item x="0"/>
        <item x="2"/>
        <item x="1"/>
        <item x="3"/>
        <item t="default"/>
      </items>
    </pivotField>
    <pivotField showAll="0"/>
    <pivotField showAll="0">
      <items count="6">
        <item x="4"/>
        <item x="2"/>
        <item x="3"/>
        <item x="0"/>
        <item x="1"/>
        <item t="default"/>
      </items>
    </pivotField>
    <pivotField showAll="0"/>
    <pivotField dataField="1" numFmtId="4" showAll="0"/>
    <pivotField numFmtId="4" showAll="0"/>
    <pivotField showAll="0"/>
    <pivotField numFmtId="9" showAll="0"/>
    <pivotField showAll="0"/>
    <pivotField showAll="0">
      <items count="6">
        <item x="3"/>
        <item x="0"/>
        <item x="1"/>
        <item x="2"/>
        <item x="4"/>
        <item t="default"/>
      </items>
    </pivotField>
    <pivotField showAll="0"/>
    <pivotField numFmtId="4" showAll="0"/>
    <pivotField numFmtId="10"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6"/>
  </rowFields>
  <rowItems count="4">
    <i>
      <x/>
    </i>
    <i>
      <x v="1"/>
    </i>
    <i>
      <x v="2"/>
    </i>
    <i>
      <x v="3"/>
    </i>
  </rowItems>
  <colItems count="1">
    <i/>
  </colItems>
  <dataFields count="1">
    <dataField name="Sum of Sales" fld="10" baseField="0" baseItem="0" numFmtId="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17D95E-4813-4F86-AFB9-93D45CB4AADE}" name="PivotTable1" cacheId="17"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rowHeaderCaption="Region">
  <location ref="A1:B6" firstHeaderRow="1" firstDataRow="1" firstDataCol="1"/>
  <pivotFields count="37">
    <pivotField showAll="0"/>
    <pivotField numFmtId="14" showAll="0">
      <items count="536">
        <item x="426"/>
        <item x="47"/>
        <item x="294"/>
        <item x="163"/>
        <item x="422"/>
        <item x="377"/>
        <item x="72"/>
        <item x="228"/>
        <item x="284"/>
        <item x="38"/>
        <item x="489"/>
        <item x="268"/>
        <item x="271"/>
        <item x="480"/>
        <item x="360"/>
        <item x="482"/>
        <item x="417"/>
        <item x="66"/>
        <item x="194"/>
        <item x="414"/>
        <item x="129"/>
        <item x="305"/>
        <item x="252"/>
        <item x="338"/>
        <item x="243"/>
        <item x="529"/>
        <item x="455"/>
        <item x="382"/>
        <item x="526"/>
        <item x="433"/>
        <item x="312"/>
        <item x="333"/>
        <item x="0"/>
        <item x="110"/>
        <item x="476"/>
        <item x="7"/>
        <item x="342"/>
        <item x="179"/>
        <item x="431"/>
        <item x="217"/>
        <item x="359"/>
        <item x="397"/>
        <item x="15"/>
        <item x="237"/>
        <item x="167"/>
        <item x="465"/>
        <item x="413"/>
        <item x="25"/>
        <item x="511"/>
        <item x="22"/>
        <item x="143"/>
        <item x="187"/>
        <item x="396"/>
        <item x="81"/>
        <item x="395"/>
        <item x="306"/>
        <item x="154"/>
        <item x="285"/>
        <item x="86"/>
        <item x="485"/>
        <item x="256"/>
        <item x="88"/>
        <item x="470"/>
        <item x="200"/>
        <item x="469"/>
        <item x="80"/>
        <item x="340"/>
        <item x="123"/>
        <item x="207"/>
        <item x="140"/>
        <item x="131"/>
        <item x="462"/>
        <item x="398"/>
        <item x="467"/>
        <item x="13"/>
        <item x="471"/>
        <item x="203"/>
        <item x="141"/>
        <item x="394"/>
        <item x="59"/>
        <item x="97"/>
        <item x="460"/>
        <item x="296"/>
        <item x="49"/>
        <item x="319"/>
        <item x="275"/>
        <item x="71"/>
        <item x="54"/>
        <item x="401"/>
        <item x="164"/>
        <item x="421"/>
        <item x="192"/>
        <item x="350"/>
        <item x="326"/>
        <item x="400"/>
        <item x="258"/>
        <item x="337"/>
        <item x="254"/>
        <item x="358"/>
        <item x="55"/>
        <item x="24"/>
        <item x="75"/>
        <item x="133"/>
        <item x="423"/>
        <item x="79"/>
        <item x="208"/>
        <item x="457"/>
        <item x="52"/>
        <item x="159"/>
        <item x="419"/>
        <item x="128"/>
        <item x="92"/>
        <item x="323"/>
        <item x="230"/>
        <item x="353"/>
        <item x="189"/>
        <item x="528"/>
        <item x="486"/>
        <item x="12"/>
        <item x="132"/>
        <item x="518"/>
        <item x="17"/>
        <item x="458"/>
        <item x="260"/>
        <item x="278"/>
        <item x="191"/>
        <item x="229"/>
        <item x="201"/>
        <item x="34"/>
        <item x="121"/>
        <item x="328"/>
        <item x="331"/>
        <item x="521"/>
        <item x="103"/>
        <item x="162"/>
        <item x="155"/>
        <item x="56"/>
        <item x="291"/>
        <item x="295"/>
        <item x="240"/>
        <item x="67"/>
        <item x="301"/>
        <item x="303"/>
        <item x="420"/>
        <item x="4"/>
        <item x="453"/>
        <item x="204"/>
        <item x="292"/>
        <item x="19"/>
        <item x="91"/>
        <item x="298"/>
        <item x="73"/>
        <item x="368"/>
        <item x="149"/>
        <item x="464"/>
        <item x="3"/>
        <item x="491"/>
        <item x="346"/>
        <item x="347"/>
        <item x="524"/>
        <item x="195"/>
        <item x="493"/>
        <item x="169"/>
        <item x="41"/>
        <item x="354"/>
        <item x="184"/>
        <item x="472"/>
        <item x="211"/>
        <item x="334"/>
        <item x="39"/>
        <item x="186"/>
        <item x="507"/>
        <item x="219"/>
        <item x="315"/>
        <item x="239"/>
        <item x="185"/>
        <item x="246"/>
        <item x="10"/>
        <item x="508"/>
        <item x="197"/>
        <item x="317"/>
        <item x="297"/>
        <item x="300"/>
        <item x="214"/>
        <item x="221"/>
        <item x="65"/>
        <item x="5"/>
        <item x="61"/>
        <item x="490"/>
        <item x="146"/>
        <item x="62"/>
        <item x="407"/>
        <item x="63"/>
        <item x="70"/>
        <item x="428"/>
        <item x="459"/>
        <item x="475"/>
        <item x="267"/>
        <item x="84"/>
        <item x="124"/>
        <item x="516"/>
        <item x="495"/>
        <item x="523"/>
        <item x="196"/>
        <item x="449"/>
        <item x="188"/>
        <item x="484"/>
        <item x="492"/>
        <item x="339"/>
        <item x="166"/>
        <item x="42"/>
        <item x="232"/>
        <item x="466"/>
        <item x="33"/>
        <item x="69"/>
        <item x="178"/>
        <item x="216"/>
        <item x="336"/>
        <item x="134"/>
        <item x="262"/>
        <item x="233"/>
        <item x="270"/>
        <item x="410"/>
        <item x="168"/>
        <item x="367"/>
        <item x="418"/>
        <item x="68"/>
        <item x="157"/>
        <item x="427"/>
        <item x="335"/>
        <item x="276"/>
        <item x="286"/>
        <item x="512"/>
        <item x="137"/>
        <item x="477"/>
        <item x="409"/>
        <item x="27"/>
        <item x="357"/>
        <item x="351"/>
        <item x="60"/>
        <item x="502"/>
        <item x="177"/>
        <item x="299"/>
        <item x="231"/>
        <item x="435"/>
        <item x="108"/>
        <item x="506"/>
        <item x="432"/>
        <item x="283"/>
        <item x="532"/>
        <item x="386"/>
        <item x="151"/>
        <item x="454"/>
        <item x="48"/>
        <item x="225"/>
        <item x="206"/>
        <item x="390"/>
        <item x="348"/>
        <item x="35"/>
        <item x="329"/>
        <item x="193"/>
        <item x="330"/>
        <item x="209"/>
        <item x="392"/>
        <item x="385"/>
        <item x="374"/>
        <item x="135"/>
        <item x="322"/>
        <item x="434"/>
        <item x="483"/>
        <item x="205"/>
        <item x="266"/>
        <item x="473"/>
        <item x="90"/>
        <item x="77"/>
        <item x="20"/>
        <item x="105"/>
        <item x="255"/>
        <item x="156"/>
        <item x="148"/>
        <item x="76"/>
        <item x="451"/>
        <item x="272"/>
        <item x="107"/>
        <item x="362"/>
        <item x="355"/>
        <item x="345"/>
        <item x="446"/>
        <item x="365"/>
        <item x="381"/>
        <item x="352"/>
        <item x="102"/>
        <item x="85"/>
        <item x="43"/>
        <item x="281"/>
        <item x="21"/>
        <item x="416"/>
        <item x="411"/>
        <item x="96"/>
        <item x="456"/>
        <item x="444"/>
        <item x="404"/>
        <item x="370"/>
        <item x="527"/>
        <item x="235"/>
        <item x="99"/>
        <item x="118"/>
        <item x="95"/>
        <item x="520"/>
        <item x="29"/>
        <item x="424"/>
        <item x="384"/>
        <item x="310"/>
        <item x="253"/>
        <item x="388"/>
        <item x="160"/>
        <item x="430"/>
        <item x="50"/>
        <item x="11"/>
        <item x="383"/>
        <item x="534"/>
        <item x="468"/>
        <item x="504"/>
        <item x="402"/>
        <item x="152"/>
        <item x="248"/>
        <item x="289"/>
        <item x="503"/>
        <item x="321"/>
        <item x="399"/>
        <item x="104"/>
        <item x="213"/>
        <item x="139"/>
        <item x="463"/>
        <item x="36"/>
        <item x="220"/>
        <item x="142"/>
        <item x="356"/>
        <item x="227"/>
        <item x="509"/>
        <item x="1"/>
        <item x="30"/>
        <item x="313"/>
        <item x="153"/>
        <item x="261"/>
        <item x="513"/>
        <item x="478"/>
        <item x="531"/>
        <item x="120"/>
        <item x="447"/>
        <item x="218"/>
        <item x="304"/>
        <item x="332"/>
        <item x="44"/>
        <item x="8"/>
        <item x="264"/>
        <item x="127"/>
        <item x="364"/>
        <item x="288"/>
        <item x="57"/>
        <item x="119"/>
        <item x="125"/>
        <item x="259"/>
        <item x="461"/>
        <item x="249"/>
        <item x="136"/>
        <item x="325"/>
        <item x="37"/>
        <item x="190"/>
        <item x="287"/>
        <item x="375"/>
        <item x="238"/>
        <item x="344"/>
        <item x="130"/>
        <item x="373"/>
        <item x="391"/>
        <item x="269"/>
        <item x="23"/>
        <item x="173"/>
        <item x="16"/>
        <item x="175"/>
        <item x="144"/>
        <item x="265"/>
        <item x="361"/>
        <item x="349"/>
        <item x="6"/>
        <item x="170"/>
        <item x="533"/>
        <item x="514"/>
        <item x="106"/>
        <item x="100"/>
        <item x="389"/>
        <item x="393"/>
        <item x="290"/>
        <item x="440"/>
        <item x="32"/>
        <item x="425"/>
        <item x="150"/>
        <item x="436"/>
        <item x="2"/>
        <item x="245"/>
        <item x="442"/>
        <item x="343"/>
        <item x="517"/>
        <item x="74"/>
        <item x="114"/>
        <item x="199"/>
        <item x="387"/>
        <item x="93"/>
        <item x="101"/>
        <item x="279"/>
        <item x="176"/>
        <item x="380"/>
        <item x="40"/>
        <item x="45"/>
        <item x="487"/>
        <item x="501"/>
        <item x="405"/>
        <item x="443"/>
        <item x="250"/>
        <item x="87"/>
        <item x="53"/>
        <item x="530"/>
        <item x="9"/>
        <item x="241"/>
        <item x="488"/>
        <item x="115"/>
        <item x="481"/>
        <item x="198"/>
        <item x="14"/>
        <item x="366"/>
        <item x="113"/>
        <item x="311"/>
        <item x="408"/>
        <item x="83"/>
        <item x="316"/>
        <item x="308"/>
        <item x="145"/>
        <item x="223"/>
        <item x="318"/>
        <item x="505"/>
        <item x="302"/>
        <item x="437"/>
        <item x="126"/>
        <item x="376"/>
        <item x="181"/>
        <item x="161"/>
        <item x="210"/>
        <item x="474"/>
        <item x="247"/>
        <item x="122"/>
        <item x="498"/>
        <item x="496"/>
        <item x="147"/>
        <item x="379"/>
        <item x="274"/>
        <item x="371"/>
        <item x="182"/>
        <item x="282"/>
        <item x="28"/>
        <item x="242"/>
        <item x="64"/>
        <item x="500"/>
        <item x="222"/>
        <item x="109"/>
        <item x="445"/>
        <item x="439"/>
        <item x="314"/>
        <item x="236"/>
        <item x="510"/>
        <item x="202"/>
        <item x="174"/>
        <item x="89"/>
        <item x="183"/>
        <item x="519"/>
        <item x="341"/>
        <item x="369"/>
        <item x="497"/>
        <item x="172"/>
        <item x="212"/>
        <item x="116"/>
        <item x="94"/>
        <item x="51"/>
        <item x="525"/>
        <item x="452"/>
        <item x="499"/>
        <item x="226"/>
        <item x="372"/>
        <item x="180"/>
        <item x="26"/>
        <item x="309"/>
        <item x="251"/>
        <item x="415"/>
        <item x="280"/>
        <item x="244"/>
        <item x="18"/>
        <item x="31"/>
        <item x="277"/>
        <item x="263"/>
        <item x="273"/>
        <item x="327"/>
        <item x="112"/>
        <item x="46"/>
        <item x="78"/>
        <item x="378"/>
        <item x="58"/>
        <item x="171"/>
        <item x="158"/>
        <item x="98"/>
        <item x="450"/>
        <item x="441"/>
        <item x="494"/>
        <item x="515"/>
        <item x="224"/>
        <item x="406"/>
        <item x="293"/>
        <item x="320"/>
        <item x="363"/>
        <item x="429"/>
        <item x="448"/>
        <item x="165"/>
        <item x="234"/>
        <item x="117"/>
        <item x="257"/>
        <item x="479"/>
        <item x="324"/>
        <item x="438"/>
        <item x="111"/>
        <item x="307"/>
        <item x="522"/>
        <item x="82"/>
        <item x="403"/>
        <item x="412"/>
        <item x="138"/>
        <item x="215"/>
        <item t="default"/>
      </items>
    </pivotField>
    <pivotField showAll="0"/>
    <pivotField showAll="0"/>
    <pivotField showAll="0"/>
    <pivotField showAll="0">
      <items count="21">
        <item x="10"/>
        <item x="16"/>
        <item x="6"/>
        <item x="4"/>
        <item x="11"/>
        <item x="1"/>
        <item x="7"/>
        <item x="17"/>
        <item x="12"/>
        <item x="9"/>
        <item x="8"/>
        <item x="0"/>
        <item x="14"/>
        <item x="2"/>
        <item x="15"/>
        <item x="13"/>
        <item x="5"/>
        <item x="3"/>
        <item x="19"/>
        <item x="18"/>
        <item t="default"/>
      </items>
    </pivotField>
    <pivotField showAll="0">
      <items count="5">
        <item x="0"/>
        <item x="2"/>
        <item x="1"/>
        <item x="3"/>
        <item t="default"/>
      </items>
    </pivotField>
    <pivotField showAll="0"/>
    <pivotField axis="axisRow" showAll="0">
      <items count="6">
        <item x="4"/>
        <item x="2"/>
        <item x="3"/>
        <item x="0"/>
        <item x="1"/>
        <item t="default"/>
      </items>
    </pivotField>
    <pivotField showAll="0"/>
    <pivotField dataField="1" numFmtId="4" showAll="0"/>
    <pivotField numFmtId="4" showAll="0"/>
    <pivotField showAll="0"/>
    <pivotField numFmtId="9" showAll="0"/>
    <pivotField showAll="0"/>
    <pivotField showAll="0">
      <items count="6">
        <item x="3"/>
        <item x="0"/>
        <item x="1"/>
        <item x="2"/>
        <item x="4"/>
        <item t="default"/>
      </items>
    </pivotField>
    <pivotField showAll="0"/>
    <pivotField numFmtId="4" showAll="0">
      <items count="1001">
        <item x="481"/>
        <item x="610"/>
        <item x="409"/>
        <item x="869"/>
        <item x="962"/>
        <item x="925"/>
        <item x="510"/>
        <item x="744"/>
        <item x="454"/>
        <item x="954"/>
        <item x="997"/>
        <item x="480"/>
        <item x="410"/>
        <item x="502"/>
        <item x="113"/>
        <item x="340"/>
        <item x="44"/>
        <item x="198"/>
        <item x="370"/>
        <item x="343"/>
        <item x="68"/>
        <item x="244"/>
        <item x="626"/>
        <item x="782"/>
        <item x="940"/>
        <item x="912"/>
        <item x="682"/>
        <item x="584"/>
        <item x="804"/>
        <item x="398"/>
        <item x="648"/>
        <item x="980"/>
        <item x="942"/>
        <item x="958"/>
        <item x="324"/>
        <item x="734"/>
        <item x="354"/>
        <item x="739"/>
        <item x="249"/>
        <item x="779"/>
        <item x="817"/>
        <item x="571"/>
        <item x="859"/>
        <item x="665"/>
        <item x="560"/>
        <item x="561"/>
        <item x="27"/>
        <item x="827"/>
        <item x="631"/>
        <item x="471"/>
        <item x="624"/>
        <item x="472"/>
        <item x="87"/>
        <item x="358"/>
        <item x="32"/>
        <item x="466"/>
        <item x="359"/>
        <item x="876"/>
        <item x="728"/>
        <item x="983"/>
        <item x="989"/>
        <item x="542"/>
        <item x="108"/>
        <item x="357"/>
        <item x="775"/>
        <item x="764"/>
        <item x="112"/>
        <item x="281"/>
        <item x="156"/>
        <item x="86"/>
        <item x="767"/>
        <item x="430"/>
        <item x="473"/>
        <item x="507"/>
        <item x="828"/>
        <item x="195"/>
        <item x="617"/>
        <item x="650"/>
        <item x="548"/>
        <item x="992"/>
        <item x="248"/>
        <item x="217"/>
        <item x="994"/>
        <item x="792"/>
        <item x="429"/>
        <item x="645"/>
        <item x="696"/>
        <item x="898"/>
        <item x="509"/>
        <item x="437"/>
        <item x="985"/>
        <item x="666"/>
        <item x="730"/>
        <item x="581"/>
        <item x="505"/>
        <item x="444"/>
        <item x="277"/>
        <item x="143"/>
        <item x="294"/>
        <item x="602"/>
        <item x="106"/>
        <item x="393"/>
        <item x="151"/>
        <item x="697"/>
        <item x="453"/>
        <item x="607"/>
        <item x="356"/>
        <item x="953"/>
        <item x="818"/>
        <item x="57"/>
        <item x="781"/>
        <item x="641"/>
        <item x="596"/>
        <item x="149"/>
        <item x="83"/>
        <item x="816"/>
        <item x="78"/>
        <item x="791"/>
        <item x="591"/>
        <item x="21"/>
        <item x="895"/>
        <item x="774"/>
        <item x="302"/>
        <item x="205"/>
        <item x="861"/>
        <item x="546"/>
        <item x="392"/>
        <item x="486"/>
        <item x="16"/>
        <item x="88"/>
        <item x="469"/>
        <item x="522"/>
        <item x="323"/>
        <item x="394"/>
        <item x="233"/>
        <item x="544"/>
        <item x="23"/>
        <item x="856"/>
        <item x="90"/>
        <item x="299"/>
        <item x="155"/>
        <item x="759"/>
        <item x="193"/>
        <item x="129"/>
        <item x="652"/>
        <item x="664"/>
        <item x="495"/>
        <item x="558"/>
        <item x="727"/>
        <item x="933"/>
        <item x="557"/>
        <item x="40"/>
        <item x="6"/>
        <item x="987"/>
        <item x="926"/>
        <item x="644"/>
        <item x="772"/>
        <item x="279"/>
        <item x="545"/>
        <item x="219"/>
        <item x="443"/>
        <item x="222"/>
        <item x="628"/>
        <item x="17"/>
        <item x="534"/>
        <item x="272"/>
        <item x="363"/>
        <item x="431"/>
        <item x="22"/>
        <item x="815"/>
        <item x="537"/>
        <item x="1"/>
        <item x="259"/>
        <item x="384"/>
        <item x="91"/>
        <item x="58"/>
        <item x="606"/>
        <item x="468"/>
        <item x="637"/>
        <item x="616"/>
        <item x="990"/>
        <item x="556"/>
        <item x="952"/>
        <item x="825"/>
        <item x="311"/>
        <item x="178"/>
        <item x="945"/>
        <item x="704"/>
        <item x="643"/>
        <item x="189"/>
        <item x="124"/>
        <item x="89"/>
        <item x="180"/>
        <item x="594"/>
        <item x="891"/>
        <item x="103"/>
        <item x="771"/>
        <item x="911"/>
        <item x="707"/>
        <item x="549"/>
        <item x="802"/>
        <item x="870"/>
        <item x="724"/>
        <item x="725"/>
        <item x="712"/>
        <item x="116"/>
        <item x="333"/>
        <item x="484"/>
        <item x="364"/>
        <item x="832"/>
        <item x="948"/>
        <item x="84"/>
        <item x="325"/>
        <item x="737"/>
        <item x="777"/>
        <item x="742"/>
        <item x="932"/>
        <item x="902"/>
        <item x="793"/>
        <item x="910"/>
        <item x="896"/>
        <item x="465"/>
        <item x="433"/>
        <item x="729"/>
        <item x="598"/>
        <item x="160"/>
        <item x="278"/>
        <item x="361"/>
        <item x="74"/>
        <item x="79"/>
        <item x="778"/>
        <item x="51"/>
        <item x="53"/>
        <item x="126"/>
        <item x="726"/>
        <item x="722"/>
        <item x="693"/>
        <item x="538"/>
        <item x="498"/>
        <item x="476"/>
        <item x="73"/>
        <item x="5"/>
        <item x="685"/>
        <item x="770"/>
        <item x="763"/>
        <item x="432"/>
        <item x="893"/>
        <item x="899"/>
        <item x="55"/>
        <item x="166"/>
        <item x="232"/>
        <item x="694"/>
        <item x="52"/>
        <item x="475"/>
        <item x="705"/>
        <item x="355"/>
        <item x="286"/>
        <item x="273"/>
        <item x="351"/>
        <item x="436"/>
        <item x="122"/>
        <item x="773"/>
        <item x="19"/>
        <item x="597"/>
        <item x="647"/>
        <item x="981"/>
        <item x="757"/>
        <item x="916"/>
        <item x="886"/>
        <item x="756"/>
        <item x="285"/>
        <item x="371"/>
        <item x="951"/>
        <item x="85"/>
        <item x="164"/>
        <item x="592"/>
        <item x="29"/>
        <item x="169"/>
        <item x="280"/>
        <item x="530"/>
        <item x="115"/>
        <item x="638"/>
        <item x="306"/>
        <item x="474"/>
        <item x="587"/>
        <item x="946"/>
        <item x="18"/>
        <item x="582"/>
        <item x="38"/>
        <item x="862"/>
        <item x="900"/>
        <item x="76"/>
        <item x="930"/>
        <item x="831"/>
        <item x="798"/>
        <item x="820"/>
        <item x="716"/>
        <item x="321"/>
        <item x="276"/>
        <item x="982"/>
        <item x="176"/>
        <item x="790"/>
        <item x="874"/>
        <item x="37"/>
        <item x="689"/>
        <item x="998"/>
        <item x="96"/>
        <item x="551"/>
        <item x="147"/>
        <item x="553"/>
        <item x="547"/>
        <item x="964"/>
        <item x="390"/>
        <item x="873"/>
        <item x="539"/>
        <item x="482"/>
        <item x="161"/>
        <item x="570"/>
        <item x="448"/>
        <item x="937"/>
        <item x="969"/>
        <item x="405"/>
        <item x="396"/>
        <item x="133"/>
        <item x="944"/>
        <item x="81"/>
        <item x="493"/>
        <item x="199"/>
        <item x="834"/>
        <item x="194"/>
        <item x="988"/>
        <item x="56"/>
        <item x="810"/>
        <item x="121"/>
        <item x="789"/>
        <item x="901"/>
        <item x="366"/>
        <item x="695"/>
        <item x="406"/>
        <item x="991"/>
        <item x="385"/>
        <item x="391"/>
        <item x="554"/>
        <item x="104"/>
        <item x="241"/>
        <item x="731"/>
        <item x="24"/>
        <item x="334"/>
        <item x="125"/>
        <item x="140"/>
        <item x="860"/>
        <item x="595"/>
        <item x="236"/>
        <item x="200"/>
        <item x="950"/>
        <item x="435"/>
        <item x="331"/>
        <item x="540"/>
        <item x="609"/>
        <item x="993"/>
        <item x="93"/>
        <item x="127"/>
        <item x="888"/>
        <item x="603"/>
        <item x="296"/>
        <item x="683"/>
        <item x="715"/>
        <item x="258"/>
        <item x="247"/>
        <item x="754"/>
        <item x="257"/>
        <item x="395"/>
        <item x="234"/>
        <item x="82"/>
        <item x="837"/>
        <item x="187"/>
        <item x="649"/>
        <item x="494"/>
        <item x="25"/>
        <item x="703"/>
        <item x="238"/>
        <item x="94"/>
        <item x="196"/>
        <item x="973"/>
        <item x="144"/>
        <item x="305"/>
        <item x="139"/>
        <item x="776"/>
        <item x="408"/>
        <item x="849"/>
        <item x="562"/>
        <item x="668"/>
        <item x="188"/>
        <item x="690"/>
        <item x="667"/>
        <item x="36"/>
        <item x="671"/>
        <item x="114"/>
        <item x="470"/>
        <item x="173"/>
        <item x="897"/>
        <item x="148"/>
        <item x="2"/>
        <item x="288"/>
        <item x="162"/>
        <item x="33"/>
        <item x="165"/>
        <item x="672"/>
        <item x="128"/>
        <item x="740"/>
        <item x="918"/>
        <item x="892"/>
        <item x="220"/>
        <item x="387"/>
        <item x="780"/>
        <item x="54"/>
        <item x="426"/>
        <item x="184"/>
        <item x="506"/>
        <item x="329"/>
        <item x="986"/>
        <item x="688"/>
        <item x="332"/>
        <item x="903"/>
        <item x="48"/>
        <item x="709"/>
        <item x="182"/>
        <item x="264"/>
        <item x="77"/>
        <item x="449"/>
        <item x="808"/>
        <item x="282"/>
        <item x="663"/>
        <item x="590"/>
        <item x="572"/>
        <item x="313"/>
        <item x="438"/>
        <item x="49"/>
        <item x="999"/>
        <item x="923"/>
        <item x="231"/>
        <item x="887"/>
        <item x="240"/>
        <item x="210"/>
        <item x="857"/>
        <item x="752"/>
        <item x="204"/>
        <item x="559"/>
        <item x="167"/>
        <item x="360"/>
        <item x="265"/>
        <item x="287"/>
        <item x="138"/>
        <item x="642"/>
        <item x="623"/>
        <item x="646"/>
        <item x="843"/>
        <item x="322"/>
        <item x="698"/>
        <item x="95"/>
        <item x="297"/>
        <item x="150"/>
        <item x="531"/>
        <item x="467"/>
        <item x="920"/>
        <item x="661"/>
        <item x="237"/>
        <item x="957"/>
        <item x="427"/>
        <item x="298"/>
        <item x="418"/>
        <item x="60"/>
        <item x="765"/>
        <item x="274"/>
        <item x="336"/>
        <item x="508"/>
        <item x="192"/>
        <item x="687"/>
        <item x="608"/>
        <item x="965"/>
        <item x="970"/>
        <item x="745"/>
        <item x="785"/>
        <item x="889"/>
        <item x="80"/>
        <item x="293"/>
        <item x="123"/>
        <item x="168"/>
        <item x="931"/>
        <item x="218"/>
        <item x="284"/>
        <item x="377"/>
        <item x="163"/>
        <item x="708"/>
        <item x="822"/>
        <item x="768"/>
        <item x="152"/>
        <item x="362"/>
        <item x="615"/>
        <item x="235"/>
        <item x="858"/>
        <item x="50"/>
        <item x="134"/>
        <item x="383"/>
        <item x="611"/>
        <item x="496"/>
        <item x="7"/>
        <item x="352"/>
        <item x="420"/>
        <item x="801"/>
        <item x="211"/>
        <item x="328"/>
        <item x="922"/>
        <item x="600"/>
        <item x="839"/>
        <item x="824"/>
        <item x="769"/>
        <item x="3"/>
        <item x="197"/>
        <item x="30"/>
        <item x="342"/>
        <item x="310"/>
        <item x="971"/>
        <item x="462"/>
        <item x="634"/>
        <item x="541"/>
        <item x="819"/>
        <item x="346"/>
        <item x="593"/>
        <item x="842"/>
        <item x="679"/>
        <item x="300"/>
        <item x="743"/>
        <item x="92"/>
        <item x="239"/>
        <item x="928"/>
        <item x="497"/>
        <item x="576"/>
        <item x="640"/>
        <item x="995"/>
        <item x="894"/>
        <item x="42"/>
        <item x="840"/>
        <item x="907"/>
        <item x="890"/>
        <item x="543"/>
        <item x="154"/>
        <item x="625"/>
        <item x="41"/>
        <item x="174"/>
        <item x="949"/>
        <item x="909"/>
        <item x="529"/>
        <item x="159"/>
        <item x="130"/>
        <item x="723"/>
        <item x="137"/>
        <item x="111"/>
        <item x="921"/>
        <item x="552"/>
        <item x="533"/>
        <item x="388"/>
        <item x="434"/>
        <item x="807"/>
        <item x="417"/>
        <item x="814"/>
        <item x="660"/>
        <item x="338"/>
        <item x="499"/>
        <item x="289"/>
        <item x="99"/>
        <item x="657"/>
        <item x="414"/>
        <item x="865"/>
        <item x="984"/>
        <item x="635"/>
        <item x="246"/>
        <item x="69"/>
        <item x="605"/>
        <item x="353"/>
        <item x="868"/>
        <item x="673"/>
        <item x="191"/>
        <item x="263"/>
        <item x="941"/>
        <item x="805"/>
        <item x="850"/>
        <item x="251"/>
        <item x="379"/>
        <item x="639"/>
        <item x="223"/>
        <item x="295"/>
        <item x="254"/>
        <item x="64"/>
        <item x="996"/>
        <item x="750"/>
        <item x="919"/>
        <item x="504"/>
        <item x="713"/>
        <item x="974"/>
        <item x="404"/>
        <item x="8"/>
        <item x="303"/>
        <item x="304"/>
        <item x="692"/>
        <item x="700"/>
        <item x="518"/>
        <item x="943"/>
        <item x="39"/>
        <item x="62"/>
        <item x="633"/>
        <item x="564"/>
        <item x="589"/>
        <item x="212"/>
        <item x="655"/>
        <item x="884"/>
        <item x="447"/>
        <item x="225"/>
        <item x="691"/>
        <item x="207"/>
        <item x="614"/>
        <item x="458"/>
        <item x="10"/>
        <item x="314"/>
        <item x="621"/>
        <item x="131"/>
        <item x="215"/>
        <item x="403"/>
        <item x="846"/>
        <item x="175"/>
        <item x="330"/>
        <item x="457"/>
        <item x="230"/>
        <item x="309"/>
        <item x="365"/>
        <item x="209"/>
        <item x="882"/>
        <item x="936"/>
        <item x="651"/>
        <item x="226"/>
        <item x="415"/>
        <item x="517"/>
        <item x="326"/>
        <item x="732"/>
        <item x="686"/>
        <item x="132"/>
        <item x="864"/>
        <item x="98"/>
        <item x="157"/>
        <item x="947"/>
        <item x="425"/>
        <item x="844"/>
        <item x="678"/>
        <item x="845"/>
        <item x="636"/>
        <item x="908"/>
        <item x="31"/>
        <item x="327"/>
        <item x="170"/>
        <item x="721"/>
        <item x="701"/>
        <item x="67"/>
        <item x="975"/>
        <item x="604"/>
        <item x="275"/>
        <item x="451"/>
        <item x="924"/>
        <item x="766"/>
        <item x="905"/>
        <item x="755"/>
        <item x="369"/>
        <item x="836"/>
        <item x="838"/>
        <item x="956"/>
        <item x="535"/>
        <item x="9"/>
        <item x="978"/>
        <item x="269"/>
        <item x="796"/>
        <item x="821"/>
        <item x="242"/>
        <item x="500"/>
        <item x="208"/>
        <item x="577"/>
        <item x="619"/>
        <item x="653"/>
        <item x="120"/>
        <item x="575"/>
        <item x="977"/>
        <item x="917"/>
        <item x="341"/>
        <item x="61"/>
        <item x="487"/>
        <item x="20"/>
        <item x="382"/>
        <item x="574"/>
        <item x="214"/>
        <item x="669"/>
        <item x="826"/>
        <item x="852"/>
        <item x="528"/>
        <item x="833"/>
        <item x="799"/>
        <item x="179"/>
        <item x="452"/>
        <item x="378"/>
        <item x="483"/>
        <item x="702"/>
        <item x="524"/>
        <item x="490"/>
        <item x="809"/>
        <item x="491"/>
        <item x="525"/>
        <item x="967"/>
        <item x="904"/>
        <item x="228"/>
        <item x="145"/>
        <item x="105"/>
        <item x="158"/>
        <item x="527"/>
        <item x="399"/>
        <item x="979"/>
        <item x="461"/>
        <item x="260"/>
        <item x="806"/>
        <item x="339"/>
        <item x="830"/>
        <item x="118"/>
        <item x="43"/>
        <item x="110"/>
        <item x="227"/>
        <item x="419"/>
        <item x="515"/>
        <item x="485"/>
        <item x="588"/>
        <item x="677"/>
        <item x="381"/>
        <item x="146"/>
        <item x="516"/>
        <item x="927"/>
        <item x="389"/>
        <item x="101"/>
        <item x="521"/>
        <item x="706"/>
        <item x="400"/>
        <item x="224"/>
        <item x="848"/>
        <item x="854"/>
        <item x="879"/>
        <item x="714"/>
        <item x="488"/>
        <item x="386"/>
        <item x="172"/>
        <item x="4"/>
        <item x="102"/>
        <item x="676"/>
        <item x="699"/>
        <item x="307"/>
        <item x="794"/>
        <item x="751"/>
        <item x="736"/>
        <item x="441"/>
        <item x="578"/>
        <item x="684"/>
        <item x="555"/>
        <item x="109"/>
        <item x="749"/>
        <item x="550"/>
        <item x="580"/>
        <item x="63"/>
        <item x="654"/>
        <item x="319"/>
        <item x="337"/>
        <item x="446"/>
        <item x="738"/>
        <item x="536"/>
        <item x="662"/>
        <item x="568"/>
        <item x="376"/>
        <item x="261"/>
        <item x="11"/>
        <item x="35"/>
        <item x="455"/>
        <item x="479"/>
        <item x="939"/>
        <item x="245"/>
        <item x="255"/>
        <item x="601"/>
        <item x="439"/>
        <item x="659"/>
        <item x="267"/>
        <item x="478"/>
        <item x="758"/>
        <item x="206"/>
        <item x="674"/>
        <item x="411"/>
        <item x="171"/>
        <item x="523"/>
        <item x="117"/>
        <item x="34"/>
        <item x="823"/>
        <item x="15"/>
        <item x="783"/>
        <item x="424"/>
        <item x="477"/>
        <item x="75"/>
        <item x="252"/>
        <item x="100"/>
        <item x="784"/>
        <item x="720"/>
        <item x="863"/>
        <item x="567"/>
        <item x="47"/>
        <item x="579"/>
        <item x="569"/>
        <item x="788"/>
        <item x="253"/>
        <item x="878"/>
        <item x="717"/>
        <item x="853"/>
        <item x="835"/>
        <item x="177"/>
        <item x="135"/>
        <item x="961"/>
        <item x="787"/>
        <item x="519"/>
        <item x="741"/>
        <item x="855"/>
        <item x="658"/>
        <item x="308"/>
        <item x="372"/>
        <item x="618"/>
        <item x="934"/>
        <item x="976"/>
        <item x="397"/>
        <item x="871"/>
        <item x="375"/>
        <item x="367"/>
        <item x="202"/>
        <item x="213"/>
        <item x="963"/>
        <item x="929"/>
        <item x="719"/>
        <item x="229"/>
        <item x="463"/>
        <item x="13"/>
        <item x="312"/>
        <item x="872"/>
        <item x="753"/>
        <item x="866"/>
        <item x="347"/>
        <item x="503"/>
        <item x="841"/>
        <item x="906"/>
        <item x="374"/>
        <item x="136"/>
        <item x="627"/>
        <item x="585"/>
        <item x="203"/>
        <item x="413"/>
        <item x="412"/>
        <item x="747"/>
        <item x="955"/>
        <item x="851"/>
        <item x="368"/>
        <item x="181"/>
        <item x="26"/>
        <item x="718"/>
        <item x="262"/>
        <item x="221"/>
        <item x="464"/>
        <item x="45"/>
        <item x="867"/>
        <item x="520"/>
        <item x="881"/>
        <item x="416"/>
        <item x="335"/>
        <item x="402"/>
        <item x="797"/>
        <item x="401"/>
        <item x="344"/>
        <item x="153"/>
        <item x="632"/>
        <item x="880"/>
        <item x="442"/>
        <item x="800"/>
        <item x="526"/>
        <item x="345"/>
        <item x="66"/>
        <item x="875"/>
        <item x="216"/>
        <item x="142"/>
        <item x="315"/>
        <item x="599"/>
        <item x="318"/>
        <item x="422"/>
        <item x="966"/>
        <item x="972"/>
        <item x="803"/>
        <item x="812"/>
        <item x="675"/>
        <item x="786"/>
        <item x="501"/>
        <item x="847"/>
        <item x="968"/>
        <item x="97"/>
        <item x="586"/>
        <item x="301"/>
        <item x="512"/>
        <item x="960"/>
        <item x="733"/>
        <item x="583"/>
        <item x="450"/>
        <item x="421"/>
        <item x="59"/>
        <item x="656"/>
        <item x="185"/>
        <item x="373"/>
        <item x="380"/>
        <item x="630"/>
        <item x="811"/>
        <item x="423"/>
        <item x="266"/>
        <item x="71"/>
        <item x="735"/>
        <item x="513"/>
        <item x="620"/>
        <item x="349"/>
        <item x="459"/>
        <item x="622"/>
        <item x="915"/>
        <item x="283"/>
        <item x="317"/>
        <item x="710"/>
        <item x="440"/>
        <item x="885"/>
        <item x="877"/>
        <item x="183"/>
        <item x="573"/>
        <item x="14"/>
        <item x="28"/>
        <item x="291"/>
        <item x="746"/>
        <item x="883"/>
        <item x="532"/>
        <item x="348"/>
        <item x="565"/>
        <item x="201"/>
        <item x="711"/>
        <item x="935"/>
        <item x="186"/>
        <item x="460"/>
        <item x="65"/>
        <item x="243"/>
        <item x="270"/>
        <item x="762"/>
        <item x="829"/>
        <item x="119"/>
        <item x="46"/>
        <item x="70"/>
        <item x="489"/>
        <item x="456"/>
        <item x="0"/>
        <item x="613"/>
        <item x="563"/>
        <item x="320"/>
        <item x="566"/>
        <item x="813"/>
        <item x="492"/>
        <item x="290"/>
        <item x="350"/>
        <item x="959"/>
        <item x="107"/>
        <item x="914"/>
        <item x="748"/>
        <item x="250"/>
        <item x="268"/>
        <item x="428"/>
        <item x="511"/>
        <item x="612"/>
        <item x="761"/>
        <item x="760"/>
        <item x="141"/>
        <item x="256"/>
        <item x="670"/>
        <item x="445"/>
        <item x="795"/>
        <item x="938"/>
        <item x="629"/>
        <item x="316"/>
        <item x="12"/>
        <item x="72"/>
        <item x="680"/>
        <item x="271"/>
        <item x="514"/>
        <item x="292"/>
        <item x="407"/>
        <item x="913"/>
        <item x="190"/>
        <item x="681"/>
        <item t="default"/>
      </items>
    </pivotField>
    <pivotField numFmtId="10"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6">
        <item x="0"/>
        <item x="1"/>
        <item x="2"/>
        <item x="3"/>
        <item x="4"/>
        <item t="default"/>
      </items>
    </pivotField>
  </pivotFields>
  <rowFields count="1">
    <field x="8"/>
  </rowFields>
  <rowItems count="5">
    <i>
      <x/>
    </i>
    <i>
      <x v="1"/>
    </i>
    <i>
      <x v="2"/>
    </i>
    <i>
      <x v="3"/>
    </i>
    <i>
      <x v="4"/>
    </i>
  </rowItems>
  <colItems count="1">
    <i/>
  </colItems>
  <dataFields count="1">
    <dataField name="Sum of Sales" fld="10" baseField="0" baseItem="0" numFmtId="4"/>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22E0CE4-555D-42B2-BA46-E0ED3097E919}" sourceName="Region">
  <pivotTables>
    <pivotTable tabId="6" name="PivotTable1"/>
    <pivotTable tabId="6" name="PivotTable2"/>
    <pivotTable tabId="6" name="PivotTable3"/>
    <pivotTable tabId="6" name="PivotTable4"/>
    <pivotTable tabId="6" name="PivotTable5"/>
    <pivotTable tabId="6" name="PivotTable6"/>
  </pivotTables>
  <data>
    <tabular pivotCacheId="779477373">
      <items count="5">
        <i x="4" s="1"/>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5A3823F-5DF3-4359-81B6-1B9BA1B4786A}" sourceName="Category">
  <pivotTables>
    <pivotTable tabId="6" name="PivotTable1"/>
    <pivotTable tabId="6" name="PivotTable2"/>
    <pivotTable tabId="6" name="PivotTable3"/>
    <pivotTable tabId="6" name="PivotTable4"/>
    <pivotTable tabId="6" name="PivotTable5"/>
    <pivotTable tabId="6" name="PivotTable6"/>
  </pivotTables>
  <data>
    <tabular pivotCacheId="779477373">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Status" xr10:uid="{D5392737-2A5A-4B3A-AC24-AEA3FD60797B}" sourceName="Order_Status">
  <pivotTables>
    <pivotTable tabId="6" name="PivotTable1"/>
    <pivotTable tabId="6" name="PivotTable2"/>
    <pivotTable tabId="6" name="PivotTable3"/>
    <pivotTable tabId="6" name="PivotTable4"/>
    <pivotTable tabId="6" name="PivotTable5"/>
    <pivotTable tabId="6" name="PivotTable6"/>
  </pivotTables>
  <data>
    <tabular pivotCacheId="779477373">
      <items count="5">
        <i x="3" s="1"/>
        <i x="0" s="1"/>
        <i x="1"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3CA04BD-0347-4F86-A835-05DC30EA4017}" cache="Slicer_Region" caption="Region" columnCount="3" rowHeight="180000"/>
  <slicer name="Category" xr10:uid="{57700C3C-61B6-4781-9CEC-1BF50655E282}" cache="Slicer_Category" caption="Category" columnCount="3" rowHeight="216000"/>
  <slicer name="Order_Status" xr10:uid="{CCAC8E13-1BB8-4844-8B07-35A7A52A6A9C}" cache="Slicer_Order_Status" caption="Order_Status" columnCoun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EcommerceSalesData" displayName="EcommerceSalesData" ref="A1:P1001" totalsRowShown="0">
  <tableColumns count="16">
    <tableColumn id="1" xr3:uid="{00000000-0010-0000-0000-000001000000}" name="Order_ID"/>
    <tableColumn id="2" xr3:uid="{00000000-0010-0000-0000-000002000000}" name="Order_Date"/>
    <tableColumn id="3" xr3:uid="{00000000-0010-0000-0000-000003000000}" name="Customer_ID"/>
    <tableColumn id="4" xr3:uid="{00000000-0010-0000-0000-000004000000}" name="Customer_Name"/>
    <tableColumn id="5" xr3:uid="{00000000-0010-0000-0000-000005000000}" name="Product_ID"/>
    <tableColumn id="6" xr3:uid="{00000000-0010-0000-0000-000006000000}" name="Product"/>
    <tableColumn id="7" xr3:uid="{00000000-0010-0000-0000-000007000000}" name="Category"/>
    <tableColumn id="8" xr3:uid="{00000000-0010-0000-0000-000008000000}" name="Sub_Category"/>
    <tableColumn id="9" xr3:uid="{00000000-0010-0000-0000-000009000000}" name="Region"/>
    <tableColumn id="10" xr3:uid="{00000000-0010-0000-0000-00000A000000}" name="State"/>
    <tableColumn id="11" xr3:uid="{00000000-0010-0000-0000-00000B000000}" name="Sales"/>
    <tableColumn id="12" xr3:uid="{00000000-0010-0000-0000-00000C000000}" name="Cost"/>
    <tableColumn id="13" xr3:uid="{00000000-0010-0000-0000-00000D000000}" name="Quantity"/>
    <tableColumn id="14" xr3:uid="{00000000-0010-0000-0000-00000E000000}" name="Discount"/>
    <tableColumn id="15" xr3:uid="{00000000-0010-0000-0000-00000F000000}" name="Payment_Mode"/>
    <tableColumn id="16" xr3:uid="{00000000-0010-0000-0000-000010000000}" name="Order_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9FCEACD-0631-43C1-A68F-1B039D6FC610}" name="SalesData" displayName="SalesData" ref="A1:AI1001" headerRowDxfId="39" dataDxfId="26" totalsRowDxfId="38">
  <autoFilter ref="A1:AI1001" xr:uid="{49FCEACD-0631-43C1-A68F-1B039D6FC610}">
    <filterColumn colId="0">
      <customFilters>
        <customFilter val="**"/>
      </customFilters>
    </filterColumn>
  </autoFilter>
  <sortState xmlns:xlrd2="http://schemas.microsoft.com/office/spreadsheetml/2017/richdata2" ref="A2:P1001">
    <sortCondition descending="1" ref="D1:D1001"/>
  </sortState>
  <tableColumns count="35">
    <tableColumn id="1" xr3:uid="{FE57C0A4-1113-4FB9-9AF3-833549F07AAC}" name="Order_ID" totalsRowLabel="Total" dataDxfId="37"/>
    <tableColumn id="2" xr3:uid="{5C168B3E-9C4B-4A91-8E2F-0F111C955170}" name="Order_Date" dataDxfId="36"/>
    <tableColumn id="3" xr3:uid="{3480D068-7AAD-48DA-B2D8-560CC4EC3B63}" name="Customer_ID" dataDxfId="35"/>
    <tableColumn id="4" xr3:uid="{56B52E15-B0AB-4E1E-9422-74F06972D86D}" name="Customer_Name" dataDxfId="34"/>
    <tableColumn id="5" xr3:uid="{7DE5E8AD-F32A-46CB-BD90-D39549209E63}" name="Product_ID" dataDxfId="33"/>
    <tableColumn id="6" xr3:uid="{19042E80-26F5-42E1-8F9A-35C3A8F8B5E2}" name="Product" dataDxfId="32"/>
    <tableColumn id="7" xr3:uid="{86D78242-35D9-4DD0-879E-EB613EA1E395}" name="Category" dataDxfId="31"/>
    <tableColumn id="8" xr3:uid="{90882DAC-4F78-4138-B85F-DE7DACD2D39D}" name="Sub_Category" dataDxfId="30"/>
    <tableColumn id="9" xr3:uid="{B3A7CFFC-5DB6-43F2-8189-F26543B1AAF8}" name="Region" dataDxfId="29"/>
    <tableColumn id="10" xr3:uid="{2A1B66F2-C98C-499C-8456-9F547FCF8809}" name="State" dataDxfId="28"/>
    <tableColumn id="11" xr3:uid="{12AD97FB-FC36-4BC5-A8C6-90601DFC0B90}" name="Sales" dataDxfId="27"/>
    <tableColumn id="12" xr3:uid="{0DDA2DFB-A4C4-421D-AC1F-4B4B9027B01E}" name="Cost" dataDxfId="25"/>
    <tableColumn id="13" xr3:uid="{05D24270-4EE1-4A40-88DF-F4B73AE0A427}" name="Quantity" dataDxfId="24"/>
    <tableColumn id="14" xr3:uid="{379EBFD3-15DD-4C7E-B38C-46FA2C126B37}" name="Discount" dataDxfId="23"/>
    <tableColumn id="15" xr3:uid="{1F13363A-72C3-4995-8F58-6BA2CA634F6A}" name="Payment_Mode" dataDxfId="22"/>
    <tableColumn id="16" xr3:uid="{E4FA3960-5780-43C7-A744-DD8AB2BB9196}" name="Order_Status" totalsRowFunction="count" dataDxfId="21"/>
    <tableColumn id="18" xr3:uid="{BE2A9B44-E67F-4A3F-8EE2-686CF795D10D}" name="Clean_Customer_Name" dataDxfId="20">
      <calculatedColumnFormula>TRIM(SalesData[[#This Row],[Customer_Name]])</calculatedColumnFormula>
    </tableColumn>
    <tableColumn id="19" xr3:uid="{F117EF94-5B55-49F5-941B-0D6CB7D4FC30}" name="Profit" dataDxfId="19">
      <calculatedColumnFormula>SalesData[[#This Row],[Sales]]-SalesData[[#This Row],[Cost]]</calculatedColumnFormula>
    </tableColumn>
    <tableColumn id="20" xr3:uid="{04B743D2-8142-40B5-9EA0-F047960840A3}" name="Profit_Margin" dataDxfId="18">
      <calculatedColumnFormula>IFERROR(SalesData[[#This Row],[Profit]]/SalesData[[#This Row],[Sales]],0)</calculatedColumnFormula>
    </tableColumn>
    <tableColumn id="21" xr3:uid="{C958BA9A-6656-4E1B-A27B-F59C0FFFBD0C}" name="Year" dataDxfId="17">
      <calculatedColumnFormula>YEAR(SalesData[[#This Row],[Order_Date]])</calculatedColumnFormula>
    </tableColumn>
    <tableColumn id="22" xr3:uid="{D1E74EE0-65DE-488E-B7BE-F32600C572C4}" name="Month" dataDxfId="16">
      <calculatedColumnFormula>TEXT(SalesData[[#This Row],[Order_Date]],"mmm")</calculatedColumnFormula>
    </tableColumn>
    <tableColumn id="17" xr3:uid="{07EAAABE-F015-45C7-AE30-6F397BD99AD2}" name="Quarter" dataDxfId="15">
      <calculatedColumnFormula>"Q"&amp;ROUNDUP(MONTH(SalesData[[#This Row],[Order_Date]])/3,0)</calculatedColumnFormula>
    </tableColumn>
    <tableColumn id="23" xr3:uid="{069C2EF9-3CCE-42B5-B332-83F384970AC8}" name="Sales_Category" dataDxfId="14">
      <calculatedColumnFormula>IF(SalesData[[#This Row],[Sales]]&gt;=50000,"High",IF(AND(SalesData[[#This Row],[Sales]]&gt;= 20000, SalesData[[#This Row],[Sales]]&lt; 50000),"Medium","Low"))</calculatedColumnFormula>
    </tableColumn>
    <tableColumn id="24" xr3:uid="{3515BD6B-2E37-4F6D-B343-350BB550018C}" name="Profit_Status" dataDxfId="13">
      <calculatedColumnFormula>IF(SalesData[[#This Row],[Profit]]&gt;0,"Profit","Loss")</calculatedColumnFormula>
    </tableColumn>
    <tableColumn id="25" xr3:uid="{A21FED5E-D14C-4BEC-A4EC-1672BD72C5FE}" name="Large_Order" dataDxfId="12">
      <calculatedColumnFormula>IF(AND(SalesData[[#This Row],[Sales]]&gt;= 50000, SalesData[[#This Row],[Quantity]]&gt;=2),"Yes","No")</calculatedColumnFormula>
    </tableColumn>
    <tableColumn id="26" xr3:uid="{45F84DC4-DD86-45AC-A87A-D4BFD8BBE951}" name="Upper_Name" dataDxfId="11">
      <calculatedColumnFormula>UPPER(SalesData[[#This Row],[Customer_Name]])</calculatedColumnFormula>
    </tableColumn>
    <tableColumn id="27" xr3:uid="{D1A45569-5443-4DF8-9ADC-EB268B0FDB70}" name="Lower_Name" dataDxfId="10">
      <calculatedColumnFormula>LOWER(SalesData[[#This Row],[Customer_Name]])</calculatedColumnFormula>
    </tableColumn>
    <tableColumn id="28" xr3:uid="{37248306-BC76-4153-B3B7-A843C9AAFA34}" name="Name_Length" dataDxfId="9">
      <calculatedColumnFormula>LEN(SalesData[[#This Row],[Customer_Name]])</calculatedColumnFormula>
    </tableColumn>
    <tableColumn id="29" xr3:uid="{D9686DA5-CAF2-4698-94C2-307316C73EBC}" name="Order_Prefix" dataDxfId="8">
      <calculatedColumnFormula>LEFT(SalesData[[#This Row],[Order_ID]],3)</calculatedColumnFormula>
    </tableColumn>
    <tableColumn id="30" xr3:uid="{CB00CFF3-9334-4ED3-A604-0AC248331AA1}" name="Order_Number" dataDxfId="7">
      <calculatedColumnFormula>RIGHT(SalesData[[#This Row],[Order_ID]],4)</calculatedColumnFormula>
    </tableColumn>
    <tableColumn id="31" xr3:uid="{B5AE4C85-B0FA-4ED0-BF86-90A5E22DED7B}" name="Customer_Region" dataDxfId="6">
      <calculatedColumnFormula>_xlfn.CONCAT(SalesData[[#This Row],[Clean_Customer_Name]],"-",SalesData[[#This Row],[Region]])</calculatedColumnFormula>
    </tableColumn>
    <tableColumn id="32" xr3:uid="{0ACC9AFE-25D8-49CF-8D84-DF8F443D76DA}" name="MID" dataDxfId="5">
      <calculatedColumnFormula>MID(SalesData[[#This Row],[Order_ID]],4,4)</calculatedColumnFormula>
    </tableColumn>
    <tableColumn id="33" xr3:uid="{26EB5C60-2837-48CD-A3F1-2DAED9025ECA}" name="Product_Manager" dataDxfId="4">
      <calculatedColumnFormula>_xlfn.SINGLE(_xlfn.XLOOKUP(SalesData[[#This Row],[Product]],Product_Master!A:A,Product_Master!B:B,"Not Found"))</calculatedColumnFormula>
    </tableColumn>
    <tableColumn id="34" xr3:uid="{9AAC2C45-740A-4C2B-8CF4-2E6A4B0D6AC6}" name="Manager_VLOOKUP" dataDxfId="2">
      <calculatedColumnFormula>VLOOKUP(SalesData[[#This Row],[Product]],Product_Master!$A$1:$B$21,2,FALSE)</calculatedColumnFormula>
    </tableColumn>
    <tableColumn id="35" xr3:uid="{DCDFE6F4-6536-4170-9958-874AF8DAE386}" name="Manager_INDEXMATCH" dataDxfId="3"/>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1"/>
  <sheetViews>
    <sheetView workbookViewId="0">
      <selection activeCell="E73" sqref="E73"/>
    </sheetView>
  </sheetViews>
  <sheetFormatPr defaultRowHeight="13.8"/>
  <cols>
    <col min="1" max="1" width="13" customWidth="1"/>
    <col min="2" max="2" width="14" customWidth="1"/>
    <col min="3" max="3" width="13" customWidth="1"/>
    <col min="4" max="4" width="20" customWidth="1"/>
    <col min="5" max="5" width="12" customWidth="1"/>
    <col min="6" max="7" width="18" customWidth="1"/>
    <col min="8" max="8" width="16" customWidth="1"/>
    <col min="9" max="9" width="12" customWidth="1"/>
    <col min="10" max="10" width="18" customWidth="1"/>
    <col min="11" max="12" width="14" customWidth="1"/>
    <col min="13" max="13" width="10" customWidth="1"/>
    <col min="14" max="14" width="11" customWidth="1"/>
    <col min="15" max="15" width="18" customWidth="1"/>
    <col min="16" max="16" width="14" customWidth="1"/>
  </cols>
  <sheetData>
    <row r="1" spans="1:16" ht="19.2"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s="2">
        <v>45573</v>
      </c>
      <c r="C2" t="s">
        <v>17</v>
      </c>
      <c r="D2" t="s">
        <v>18</v>
      </c>
      <c r="E2" t="s">
        <v>19</v>
      </c>
      <c r="F2" t="s">
        <v>20</v>
      </c>
      <c r="G2" t="s">
        <v>21</v>
      </c>
      <c r="H2" t="s">
        <v>22</v>
      </c>
      <c r="I2" t="s">
        <v>23</v>
      </c>
      <c r="J2" t="s">
        <v>24</v>
      </c>
      <c r="K2" s="3">
        <v>12021.92</v>
      </c>
      <c r="L2" s="3">
        <v>5667.86</v>
      </c>
      <c r="M2">
        <v>2</v>
      </c>
      <c r="N2" s="4">
        <v>0.2</v>
      </c>
      <c r="O2" t="s">
        <v>25</v>
      </c>
      <c r="P2" t="s">
        <v>26</v>
      </c>
    </row>
    <row r="3" spans="1:16">
      <c r="A3" t="s">
        <v>27</v>
      </c>
      <c r="B3" s="2">
        <v>45515</v>
      </c>
      <c r="C3" t="s">
        <v>28</v>
      </c>
      <c r="D3" t="s">
        <v>29</v>
      </c>
      <c r="E3" t="s">
        <v>30</v>
      </c>
      <c r="F3" t="s">
        <v>31</v>
      </c>
      <c r="G3" t="s">
        <v>21</v>
      </c>
      <c r="H3" t="s">
        <v>32</v>
      </c>
      <c r="I3" t="s">
        <v>23</v>
      </c>
      <c r="J3" t="s">
        <v>33</v>
      </c>
      <c r="K3" s="3">
        <v>102710.69</v>
      </c>
      <c r="L3" s="3">
        <v>96102.82</v>
      </c>
      <c r="M3">
        <v>2</v>
      </c>
      <c r="N3" s="4">
        <v>0.05</v>
      </c>
      <c r="O3" t="s">
        <v>34</v>
      </c>
      <c r="P3" t="s">
        <v>26</v>
      </c>
    </row>
    <row r="4" spans="1:16">
      <c r="A4" t="s">
        <v>35</v>
      </c>
      <c r="B4" s="2">
        <v>45576</v>
      </c>
      <c r="C4" t="s">
        <v>36</v>
      </c>
      <c r="D4" t="s">
        <v>37</v>
      </c>
      <c r="E4" t="s">
        <v>38</v>
      </c>
      <c r="F4" t="s">
        <v>39</v>
      </c>
      <c r="G4" t="s">
        <v>40</v>
      </c>
      <c r="H4" t="s">
        <v>41</v>
      </c>
      <c r="I4" t="s">
        <v>42</v>
      </c>
      <c r="J4" t="s">
        <v>43</v>
      </c>
      <c r="K4" s="3">
        <v>727.13</v>
      </c>
      <c r="L4" s="3">
        <v>525.88</v>
      </c>
      <c r="M4">
        <v>1</v>
      </c>
      <c r="N4" s="4">
        <v>0.15</v>
      </c>
      <c r="O4" t="s">
        <v>44</v>
      </c>
      <c r="P4" t="s">
        <v>45</v>
      </c>
    </row>
    <row r="5" spans="1:16">
      <c r="A5" t="s">
        <v>46</v>
      </c>
      <c r="B5" s="2">
        <v>45636</v>
      </c>
      <c r="C5" t="s">
        <v>47</v>
      </c>
      <c r="D5" t="s">
        <v>48</v>
      </c>
      <c r="E5" t="s">
        <v>49</v>
      </c>
      <c r="F5" t="s">
        <v>50</v>
      </c>
      <c r="G5" t="s">
        <v>51</v>
      </c>
      <c r="H5" t="s">
        <v>52</v>
      </c>
      <c r="I5" t="s">
        <v>53</v>
      </c>
      <c r="J5" t="s">
        <v>54</v>
      </c>
      <c r="K5" s="3">
        <v>7940.38</v>
      </c>
      <c r="L5" s="3">
        <v>6429.84</v>
      </c>
      <c r="M5">
        <v>1</v>
      </c>
      <c r="N5" s="4">
        <v>0.1</v>
      </c>
      <c r="O5" t="s">
        <v>34</v>
      </c>
      <c r="P5" t="s">
        <v>45</v>
      </c>
    </row>
    <row r="6" spans="1:16">
      <c r="A6" t="s">
        <v>55</v>
      </c>
      <c r="B6" s="2">
        <v>45419</v>
      </c>
      <c r="C6" t="s">
        <v>28</v>
      </c>
      <c r="D6" t="s">
        <v>29</v>
      </c>
      <c r="E6" t="s">
        <v>38</v>
      </c>
      <c r="F6" t="s">
        <v>39</v>
      </c>
      <c r="G6" t="s">
        <v>40</v>
      </c>
      <c r="H6" t="s">
        <v>41</v>
      </c>
      <c r="I6" t="s">
        <v>56</v>
      </c>
      <c r="J6" t="s">
        <v>57</v>
      </c>
      <c r="K6" s="3">
        <v>3421.09</v>
      </c>
      <c r="L6" s="3">
        <v>1831.52</v>
      </c>
      <c r="M6">
        <v>4</v>
      </c>
      <c r="N6" s="4">
        <v>0.2</v>
      </c>
      <c r="O6" t="s">
        <v>44</v>
      </c>
      <c r="P6" t="s">
        <v>58</v>
      </c>
    </row>
    <row r="7" spans="1:16">
      <c r="A7" t="s">
        <v>59</v>
      </c>
      <c r="B7" s="2">
        <v>45969</v>
      </c>
      <c r="C7" t="s">
        <v>60</v>
      </c>
      <c r="D7" t="s">
        <v>61</v>
      </c>
      <c r="E7" t="s">
        <v>62</v>
      </c>
      <c r="F7" t="s">
        <v>63</v>
      </c>
      <c r="G7" t="s">
        <v>21</v>
      </c>
      <c r="H7" t="s">
        <v>64</v>
      </c>
      <c r="I7" t="s">
        <v>23</v>
      </c>
      <c r="J7" t="s">
        <v>24</v>
      </c>
      <c r="K7" s="3">
        <v>12224.09</v>
      </c>
      <c r="L7" s="3">
        <v>3796.6</v>
      </c>
      <c r="M7">
        <v>2</v>
      </c>
      <c r="N7" s="4">
        <v>0.05</v>
      </c>
      <c r="O7" t="s">
        <v>25</v>
      </c>
      <c r="P7" t="s">
        <v>26</v>
      </c>
    </row>
    <row r="8" spans="1:16">
      <c r="A8" t="s">
        <v>65</v>
      </c>
      <c r="B8" s="2">
        <v>45665</v>
      </c>
      <c r="C8" t="s">
        <v>66</v>
      </c>
      <c r="D8" t="s">
        <v>67</v>
      </c>
      <c r="E8" t="s">
        <v>38</v>
      </c>
      <c r="F8" t="s">
        <v>39</v>
      </c>
      <c r="G8" t="s">
        <v>40</v>
      </c>
      <c r="H8" t="s">
        <v>41</v>
      </c>
      <c r="I8" t="s">
        <v>42</v>
      </c>
      <c r="J8" t="s">
        <v>68</v>
      </c>
      <c r="K8" s="3">
        <v>1683.38</v>
      </c>
      <c r="L8" s="3">
        <v>974.04</v>
      </c>
      <c r="M8">
        <v>2</v>
      </c>
      <c r="N8" s="4">
        <v>0.1</v>
      </c>
      <c r="O8" t="s">
        <v>25</v>
      </c>
      <c r="P8" t="s">
        <v>58</v>
      </c>
    </row>
    <row r="9" spans="1:16">
      <c r="A9" t="s">
        <v>69</v>
      </c>
      <c r="B9" s="2">
        <v>45765</v>
      </c>
      <c r="C9" t="s">
        <v>70</v>
      </c>
      <c r="D9" t="s">
        <v>71</v>
      </c>
      <c r="E9" t="s">
        <v>72</v>
      </c>
      <c r="F9" t="s">
        <v>73</v>
      </c>
      <c r="G9" t="s">
        <v>51</v>
      </c>
      <c r="H9" t="s">
        <v>74</v>
      </c>
      <c r="I9" t="s">
        <v>23</v>
      </c>
      <c r="J9" t="s">
        <v>75</v>
      </c>
      <c r="K9" s="3">
        <v>30682.11</v>
      </c>
      <c r="L9" s="3">
        <v>15263.84</v>
      </c>
      <c r="M9">
        <v>4</v>
      </c>
      <c r="N9" s="4">
        <v>0.2</v>
      </c>
      <c r="O9" t="s">
        <v>76</v>
      </c>
      <c r="P9" t="s">
        <v>77</v>
      </c>
    </row>
    <row r="10" spans="1:16">
      <c r="A10" t="s">
        <v>78</v>
      </c>
      <c r="B10" s="2">
        <v>45324</v>
      </c>
      <c r="C10" t="s">
        <v>79</v>
      </c>
      <c r="D10" t="s">
        <v>80</v>
      </c>
      <c r="E10" t="s">
        <v>81</v>
      </c>
      <c r="F10" t="s">
        <v>82</v>
      </c>
      <c r="G10" t="s">
        <v>21</v>
      </c>
      <c r="H10" t="s">
        <v>83</v>
      </c>
      <c r="I10" t="s">
        <v>84</v>
      </c>
      <c r="J10" t="s">
        <v>85</v>
      </c>
      <c r="K10" s="3">
        <v>50741.38</v>
      </c>
      <c r="L10" s="3">
        <v>52932.57</v>
      </c>
      <c r="M10">
        <v>3</v>
      </c>
      <c r="N10" s="4">
        <v>0.2</v>
      </c>
      <c r="O10" t="s">
        <v>44</v>
      </c>
      <c r="P10" t="s">
        <v>58</v>
      </c>
    </row>
    <row r="11" spans="1:16">
      <c r="A11" t="s">
        <v>86</v>
      </c>
      <c r="B11" s="2">
        <v>45950</v>
      </c>
      <c r="C11" t="s">
        <v>17</v>
      </c>
      <c r="D11" t="s">
        <v>18</v>
      </c>
      <c r="E11" t="s">
        <v>87</v>
      </c>
      <c r="F11" t="s">
        <v>88</v>
      </c>
      <c r="G11" t="s">
        <v>89</v>
      </c>
      <c r="H11" t="s">
        <v>90</v>
      </c>
      <c r="I11" t="s">
        <v>56</v>
      </c>
      <c r="J11" t="s">
        <v>91</v>
      </c>
      <c r="K11" s="3">
        <v>8007.9</v>
      </c>
      <c r="L11" s="3">
        <v>6685.72</v>
      </c>
      <c r="M11">
        <v>4</v>
      </c>
      <c r="N11" s="4">
        <v>0.2</v>
      </c>
      <c r="O11" t="s">
        <v>34</v>
      </c>
      <c r="P11" t="s">
        <v>45</v>
      </c>
    </row>
    <row r="12" spans="1:16">
      <c r="A12" t="s">
        <v>92</v>
      </c>
      <c r="B12" s="2">
        <v>45889</v>
      </c>
      <c r="C12" t="s">
        <v>93</v>
      </c>
      <c r="D12" t="s">
        <v>94</v>
      </c>
      <c r="E12" t="s">
        <v>95</v>
      </c>
      <c r="F12" t="s">
        <v>96</v>
      </c>
      <c r="G12" t="s">
        <v>89</v>
      </c>
      <c r="H12" t="s">
        <v>97</v>
      </c>
      <c r="I12" t="s">
        <v>56</v>
      </c>
      <c r="J12" t="s">
        <v>91</v>
      </c>
      <c r="K12" s="3">
        <v>34148.36</v>
      </c>
      <c r="L12" s="3">
        <v>13613.6</v>
      </c>
      <c r="M12">
        <v>4</v>
      </c>
      <c r="N12" s="4">
        <v>0.05</v>
      </c>
      <c r="O12" t="s">
        <v>34</v>
      </c>
      <c r="P12" t="s">
        <v>98</v>
      </c>
    </row>
    <row r="13" spans="1:16">
      <c r="A13" t="s">
        <v>99</v>
      </c>
      <c r="B13" s="2">
        <v>45404</v>
      </c>
      <c r="C13" t="s">
        <v>100</v>
      </c>
      <c r="D13" t="s">
        <v>101</v>
      </c>
      <c r="E13" t="s">
        <v>81</v>
      </c>
      <c r="F13" t="s">
        <v>82</v>
      </c>
      <c r="G13" t="s">
        <v>21</v>
      </c>
      <c r="H13" t="s">
        <v>83</v>
      </c>
      <c r="I13" t="s">
        <v>53</v>
      </c>
      <c r="J13" t="s">
        <v>102</v>
      </c>
      <c r="K13" s="3">
        <v>54254.58</v>
      </c>
      <c r="L13" s="3">
        <v>36917.620000000003</v>
      </c>
      <c r="M13">
        <v>2</v>
      </c>
      <c r="N13" s="4">
        <v>0.15</v>
      </c>
      <c r="O13" t="s">
        <v>34</v>
      </c>
      <c r="P13" t="s">
        <v>58</v>
      </c>
    </row>
    <row r="14" spans="1:16">
      <c r="A14" t="s">
        <v>103</v>
      </c>
      <c r="B14" s="2">
        <v>45771</v>
      </c>
      <c r="C14" t="s">
        <v>104</v>
      </c>
      <c r="D14" t="s">
        <v>105</v>
      </c>
      <c r="E14" t="s">
        <v>106</v>
      </c>
      <c r="F14" t="s">
        <v>107</v>
      </c>
      <c r="G14" t="s">
        <v>40</v>
      </c>
      <c r="H14" t="s">
        <v>108</v>
      </c>
      <c r="I14" t="s">
        <v>42</v>
      </c>
      <c r="J14" t="s">
        <v>43</v>
      </c>
      <c r="K14" s="3">
        <v>10085.5</v>
      </c>
      <c r="L14" s="3">
        <v>3326</v>
      </c>
      <c r="M14">
        <v>5</v>
      </c>
      <c r="N14" s="4">
        <v>0</v>
      </c>
      <c r="O14" t="s">
        <v>25</v>
      </c>
      <c r="P14" t="s">
        <v>45</v>
      </c>
    </row>
    <row r="15" spans="1:16">
      <c r="A15" t="s">
        <v>109</v>
      </c>
      <c r="B15" s="2">
        <v>45592</v>
      </c>
      <c r="C15" t="s">
        <v>79</v>
      </c>
      <c r="D15" t="s">
        <v>80</v>
      </c>
      <c r="E15" t="s">
        <v>110</v>
      </c>
      <c r="F15" t="s">
        <v>111</v>
      </c>
      <c r="G15" t="s">
        <v>40</v>
      </c>
      <c r="H15" t="s">
        <v>112</v>
      </c>
      <c r="I15" t="s">
        <v>23</v>
      </c>
      <c r="J15" t="s">
        <v>33</v>
      </c>
      <c r="K15" s="3">
        <v>4881.1000000000004</v>
      </c>
      <c r="L15" s="3">
        <v>4471.84</v>
      </c>
      <c r="M15">
        <v>4</v>
      </c>
      <c r="N15" s="4">
        <v>0.1</v>
      </c>
      <c r="O15" t="s">
        <v>34</v>
      </c>
      <c r="P15" t="s">
        <v>58</v>
      </c>
    </row>
    <row r="16" spans="1:16">
      <c r="A16" t="s">
        <v>113</v>
      </c>
      <c r="B16" s="2">
        <v>45932</v>
      </c>
      <c r="C16" t="s">
        <v>114</v>
      </c>
      <c r="D16" t="s">
        <v>115</v>
      </c>
      <c r="E16" t="s">
        <v>19</v>
      </c>
      <c r="F16" t="s">
        <v>20</v>
      </c>
      <c r="G16" t="s">
        <v>21</v>
      </c>
      <c r="H16" t="s">
        <v>22</v>
      </c>
      <c r="I16" t="s">
        <v>53</v>
      </c>
      <c r="J16" t="s">
        <v>102</v>
      </c>
      <c r="K16" s="3">
        <v>17736.18</v>
      </c>
      <c r="L16" s="3">
        <v>9615</v>
      </c>
      <c r="M16">
        <v>3</v>
      </c>
      <c r="N16" s="4">
        <v>0.05</v>
      </c>
      <c r="O16" t="s">
        <v>76</v>
      </c>
      <c r="P16" t="s">
        <v>77</v>
      </c>
    </row>
    <row r="17" spans="1:16">
      <c r="A17" t="s">
        <v>116</v>
      </c>
      <c r="B17" s="2">
        <v>45835</v>
      </c>
      <c r="C17" t="s">
        <v>79</v>
      </c>
      <c r="D17" t="s">
        <v>80</v>
      </c>
      <c r="E17" t="s">
        <v>117</v>
      </c>
      <c r="F17" t="s">
        <v>118</v>
      </c>
      <c r="G17" t="s">
        <v>51</v>
      </c>
      <c r="H17" t="s">
        <v>119</v>
      </c>
      <c r="I17" t="s">
        <v>56</v>
      </c>
      <c r="J17" t="s">
        <v>57</v>
      </c>
      <c r="K17" s="3">
        <v>7952.09</v>
      </c>
      <c r="L17" s="3">
        <v>4589.05</v>
      </c>
      <c r="M17">
        <v>1</v>
      </c>
      <c r="N17" s="4">
        <v>0</v>
      </c>
      <c r="O17" t="s">
        <v>44</v>
      </c>
      <c r="P17" t="s">
        <v>45</v>
      </c>
    </row>
    <row r="18" spans="1:16">
      <c r="A18" t="s">
        <v>120</v>
      </c>
      <c r="B18" s="2">
        <v>45872</v>
      </c>
      <c r="C18" t="s">
        <v>36</v>
      </c>
      <c r="D18" t="s">
        <v>37</v>
      </c>
      <c r="E18" t="s">
        <v>81</v>
      </c>
      <c r="F18" t="s">
        <v>82</v>
      </c>
      <c r="G18" t="s">
        <v>21</v>
      </c>
      <c r="H18" t="s">
        <v>83</v>
      </c>
      <c r="I18" t="s">
        <v>84</v>
      </c>
      <c r="J18" t="s">
        <v>85</v>
      </c>
      <c r="K18" s="3">
        <v>27372.1</v>
      </c>
      <c r="L18" s="3">
        <v>16508.349999999999</v>
      </c>
      <c r="M18">
        <v>1</v>
      </c>
      <c r="N18" s="4">
        <v>0</v>
      </c>
      <c r="O18" t="s">
        <v>34</v>
      </c>
      <c r="P18" t="s">
        <v>58</v>
      </c>
    </row>
    <row r="19" spans="1:16">
      <c r="A19" t="s">
        <v>121</v>
      </c>
      <c r="B19" s="2">
        <v>45461</v>
      </c>
      <c r="C19" t="s">
        <v>47</v>
      </c>
      <c r="D19" t="s">
        <v>48</v>
      </c>
      <c r="E19" t="s">
        <v>87</v>
      </c>
      <c r="F19" t="s">
        <v>88</v>
      </c>
      <c r="G19" t="s">
        <v>89</v>
      </c>
      <c r="H19" t="s">
        <v>90</v>
      </c>
      <c r="I19" t="s">
        <v>56</v>
      </c>
      <c r="J19" t="s">
        <v>57</v>
      </c>
      <c r="K19" s="3">
        <v>11768.7</v>
      </c>
      <c r="L19" s="3">
        <v>5429.88</v>
      </c>
      <c r="M19">
        <v>3</v>
      </c>
      <c r="N19" s="4">
        <v>0.05</v>
      </c>
      <c r="O19" t="s">
        <v>34</v>
      </c>
      <c r="P19" t="s">
        <v>58</v>
      </c>
    </row>
    <row r="20" spans="1:16">
      <c r="A20" t="s">
        <v>122</v>
      </c>
      <c r="B20" s="2">
        <v>45979</v>
      </c>
      <c r="C20" t="s">
        <v>60</v>
      </c>
      <c r="D20" t="s">
        <v>61</v>
      </c>
      <c r="E20" t="s">
        <v>123</v>
      </c>
      <c r="F20" t="s">
        <v>124</v>
      </c>
      <c r="G20" t="s">
        <v>51</v>
      </c>
      <c r="H20" t="s">
        <v>125</v>
      </c>
      <c r="I20" t="s">
        <v>56</v>
      </c>
      <c r="J20" t="s">
        <v>91</v>
      </c>
      <c r="K20" s="3">
        <v>88180.65</v>
      </c>
      <c r="L20" s="3">
        <v>53331.48</v>
      </c>
      <c r="M20">
        <v>3</v>
      </c>
      <c r="N20" s="4">
        <v>0</v>
      </c>
      <c r="O20" t="s">
        <v>76</v>
      </c>
      <c r="P20" t="s">
        <v>58</v>
      </c>
    </row>
    <row r="21" spans="1:16">
      <c r="A21" t="s">
        <v>126</v>
      </c>
      <c r="B21" s="2">
        <v>45894</v>
      </c>
      <c r="C21" t="s">
        <v>100</v>
      </c>
      <c r="D21" t="s">
        <v>101</v>
      </c>
      <c r="E21" t="s">
        <v>110</v>
      </c>
      <c r="F21" t="s">
        <v>111</v>
      </c>
      <c r="G21" t="s">
        <v>40</v>
      </c>
      <c r="H21" t="s">
        <v>112</v>
      </c>
      <c r="I21" t="s">
        <v>23</v>
      </c>
      <c r="J21" t="s">
        <v>24</v>
      </c>
      <c r="K21" s="3">
        <v>10745.55</v>
      </c>
      <c r="L21" s="3">
        <v>5676.15</v>
      </c>
      <c r="M21">
        <v>5</v>
      </c>
      <c r="N21" s="4">
        <v>0</v>
      </c>
      <c r="O21" t="s">
        <v>25</v>
      </c>
      <c r="P21" t="s">
        <v>58</v>
      </c>
    </row>
    <row r="22" spans="1:16">
      <c r="A22" t="s">
        <v>127</v>
      </c>
      <c r="B22" s="2">
        <v>45630</v>
      </c>
      <c r="C22" t="s">
        <v>100</v>
      </c>
      <c r="D22" t="s">
        <v>101</v>
      </c>
      <c r="E22" t="s">
        <v>81</v>
      </c>
      <c r="F22" t="s">
        <v>82</v>
      </c>
      <c r="G22" t="s">
        <v>21</v>
      </c>
      <c r="H22" t="s">
        <v>83</v>
      </c>
      <c r="I22" t="s">
        <v>53</v>
      </c>
      <c r="J22" t="s">
        <v>102</v>
      </c>
      <c r="K22" s="3">
        <v>20648.71</v>
      </c>
      <c r="L22" s="3">
        <v>18050.96</v>
      </c>
      <c r="M22">
        <v>1</v>
      </c>
      <c r="N22" s="4">
        <v>0.15</v>
      </c>
      <c r="O22" t="s">
        <v>76</v>
      </c>
      <c r="P22" t="s">
        <v>58</v>
      </c>
    </row>
    <row r="23" spans="1:16">
      <c r="A23" t="s">
        <v>128</v>
      </c>
      <c r="B23" s="2">
        <v>45776</v>
      </c>
      <c r="C23" t="s">
        <v>93</v>
      </c>
      <c r="D23" t="s">
        <v>94</v>
      </c>
      <c r="E23" t="s">
        <v>95</v>
      </c>
      <c r="F23" t="s">
        <v>96</v>
      </c>
      <c r="G23" t="s">
        <v>89</v>
      </c>
      <c r="H23" t="s">
        <v>97</v>
      </c>
      <c r="I23" t="s">
        <v>42</v>
      </c>
      <c r="J23" t="s">
        <v>43</v>
      </c>
      <c r="K23" s="3">
        <v>15241.95</v>
      </c>
      <c r="L23" s="3">
        <v>7398.46</v>
      </c>
      <c r="M23">
        <v>2</v>
      </c>
      <c r="N23" s="4">
        <v>0.05</v>
      </c>
      <c r="O23" t="s">
        <v>25</v>
      </c>
      <c r="P23" t="s">
        <v>58</v>
      </c>
    </row>
    <row r="24" spans="1:16">
      <c r="A24" t="s">
        <v>129</v>
      </c>
      <c r="B24" s="2">
        <v>45725</v>
      </c>
      <c r="C24" t="s">
        <v>130</v>
      </c>
      <c r="D24" t="s">
        <v>131</v>
      </c>
      <c r="E24" t="s">
        <v>132</v>
      </c>
      <c r="F24" t="s">
        <v>133</v>
      </c>
      <c r="G24" t="s">
        <v>40</v>
      </c>
      <c r="H24" t="s">
        <v>41</v>
      </c>
      <c r="I24" t="s">
        <v>84</v>
      </c>
      <c r="J24" t="s">
        <v>134</v>
      </c>
      <c r="K24" s="3">
        <v>3878.84</v>
      </c>
      <c r="L24" s="3">
        <v>993.4</v>
      </c>
      <c r="M24">
        <v>4</v>
      </c>
      <c r="N24" s="4">
        <v>0</v>
      </c>
      <c r="O24" t="s">
        <v>25</v>
      </c>
      <c r="P24" t="s">
        <v>26</v>
      </c>
    </row>
    <row r="25" spans="1:16">
      <c r="A25" t="s">
        <v>135</v>
      </c>
      <c r="B25" s="2">
        <v>45403</v>
      </c>
      <c r="C25" t="s">
        <v>93</v>
      </c>
      <c r="D25" t="s">
        <v>94</v>
      </c>
      <c r="E25" t="s">
        <v>110</v>
      </c>
      <c r="F25" t="s">
        <v>111</v>
      </c>
      <c r="G25" t="s">
        <v>40</v>
      </c>
      <c r="H25" t="s">
        <v>112</v>
      </c>
      <c r="I25" t="s">
        <v>53</v>
      </c>
      <c r="J25" t="s">
        <v>54</v>
      </c>
      <c r="K25" s="3">
        <v>6278.85</v>
      </c>
      <c r="L25" s="3">
        <v>2251.96</v>
      </c>
      <c r="M25">
        <v>2</v>
      </c>
      <c r="N25" s="4">
        <v>0.05</v>
      </c>
      <c r="O25" t="s">
        <v>136</v>
      </c>
      <c r="P25" t="s">
        <v>58</v>
      </c>
    </row>
    <row r="26" spans="1:16">
      <c r="A26" t="s">
        <v>137</v>
      </c>
      <c r="B26" s="2">
        <v>45369</v>
      </c>
      <c r="C26" t="s">
        <v>66</v>
      </c>
      <c r="D26" t="s">
        <v>67</v>
      </c>
      <c r="E26" t="s">
        <v>38</v>
      </c>
      <c r="F26" t="s">
        <v>39</v>
      </c>
      <c r="G26" t="s">
        <v>40</v>
      </c>
      <c r="H26" t="s">
        <v>41</v>
      </c>
      <c r="I26" t="s">
        <v>84</v>
      </c>
      <c r="J26" t="s">
        <v>85</v>
      </c>
      <c r="K26" s="3">
        <v>7878.2</v>
      </c>
      <c r="L26" s="3">
        <v>2123.1999999999998</v>
      </c>
      <c r="M26">
        <v>4</v>
      </c>
      <c r="N26" s="4">
        <v>0</v>
      </c>
      <c r="O26" t="s">
        <v>25</v>
      </c>
      <c r="P26" t="s">
        <v>58</v>
      </c>
    </row>
    <row r="27" spans="1:16">
      <c r="A27" t="s">
        <v>138</v>
      </c>
      <c r="B27" s="2">
        <v>45708</v>
      </c>
      <c r="C27" t="s">
        <v>100</v>
      </c>
      <c r="D27" t="s">
        <v>101</v>
      </c>
      <c r="E27" t="s">
        <v>72</v>
      </c>
      <c r="F27" t="s">
        <v>73</v>
      </c>
      <c r="G27" t="s">
        <v>51</v>
      </c>
      <c r="H27" t="s">
        <v>74</v>
      </c>
      <c r="I27" t="s">
        <v>23</v>
      </c>
      <c r="J27" t="s">
        <v>75</v>
      </c>
      <c r="K27" s="3">
        <v>37011.480000000003</v>
      </c>
      <c r="L27" s="3">
        <v>15940.36</v>
      </c>
      <c r="M27">
        <v>4</v>
      </c>
      <c r="N27" s="4">
        <v>0</v>
      </c>
      <c r="O27" t="s">
        <v>76</v>
      </c>
      <c r="P27" t="s">
        <v>26</v>
      </c>
    </row>
    <row r="28" spans="1:16">
      <c r="A28" t="s">
        <v>139</v>
      </c>
      <c r="B28" s="2">
        <v>45757</v>
      </c>
      <c r="C28" t="s">
        <v>140</v>
      </c>
      <c r="D28" t="s">
        <v>141</v>
      </c>
      <c r="E28" t="s">
        <v>106</v>
      </c>
      <c r="F28" t="s">
        <v>107</v>
      </c>
      <c r="G28" t="s">
        <v>40</v>
      </c>
      <c r="H28" t="s">
        <v>108</v>
      </c>
      <c r="I28" t="s">
        <v>84</v>
      </c>
      <c r="J28" t="s">
        <v>142</v>
      </c>
      <c r="K28" s="3">
        <v>6974.64</v>
      </c>
      <c r="L28" s="3">
        <v>2067.66</v>
      </c>
      <c r="M28">
        <v>3</v>
      </c>
      <c r="N28" s="4">
        <v>0.2</v>
      </c>
      <c r="O28" t="s">
        <v>136</v>
      </c>
      <c r="P28" t="s">
        <v>58</v>
      </c>
    </row>
    <row r="29" spans="1:16">
      <c r="A29" t="s">
        <v>143</v>
      </c>
      <c r="B29" s="2">
        <v>45351</v>
      </c>
      <c r="C29" t="s">
        <v>144</v>
      </c>
      <c r="D29" t="s">
        <v>145</v>
      </c>
      <c r="E29" t="s">
        <v>123</v>
      </c>
      <c r="F29" t="s">
        <v>124</v>
      </c>
      <c r="G29" t="s">
        <v>51</v>
      </c>
      <c r="H29" t="s">
        <v>125</v>
      </c>
      <c r="I29" t="s">
        <v>84</v>
      </c>
      <c r="J29" t="s">
        <v>85</v>
      </c>
      <c r="K29" s="3">
        <v>95613.66</v>
      </c>
      <c r="L29" s="3">
        <v>94243.25</v>
      </c>
      <c r="M29">
        <v>5</v>
      </c>
      <c r="N29" s="4">
        <v>0.1</v>
      </c>
      <c r="O29" t="s">
        <v>25</v>
      </c>
      <c r="P29" t="s">
        <v>58</v>
      </c>
    </row>
    <row r="30" spans="1:16">
      <c r="A30" t="s">
        <v>146</v>
      </c>
      <c r="B30" s="2">
        <v>45835</v>
      </c>
      <c r="C30" t="s">
        <v>147</v>
      </c>
      <c r="D30" t="s">
        <v>148</v>
      </c>
      <c r="E30" t="s">
        <v>87</v>
      </c>
      <c r="F30" t="s">
        <v>88</v>
      </c>
      <c r="G30" t="s">
        <v>89</v>
      </c>
      <c r="H30" t="s">
        <v>90</v>
      </c>
      <c r="I30" t="s">
        <v>56</v>
      </c>
      <c r="J30" t="s">
        <v>57</v>
      </c>
      <c r="K30" s="3">
        <v>7192.01</v>
      </c>
      <c r="L30" s="3">
        <v>3280.96</v>
      </c>
      <c r="M30">
        <v>2</v>
      </c>
      <c r="N30" s="4">
        <v>0.05</v>
      </c>
      <c r="O30" t="s">
        <v>25</v>
      </c>
      <c r="P30" t="s">
        <v>58</v>
      </c>
    </row>
    <row r="31" spans="1:16">
      <c r="A31" t="s">
        <v>149</v>
      </c>
      <c r="B31" s="2">
        <v>45414</v>
      </c>
      <c r="C31" t="s">
        <v>130</v>
      </c>
      <c r="D31" t="s">
        <v>131</v>
      </c>
      <c r="E31" t="s">
        <v>72</v>
      </c>
      <c r="F31" t="s">
        <v>73</v>
      </c>
      <c r="G31" t="s">
        <v>51</v>
      </c>
      <c r="H31" t="s">
        <v>74</v>
      </c>
      <c r="I31" t="s">
        <v>56</v>
      </c>
      <c r="J31" t="s">
        <v>91</v>
      </c>
      <c r="K31" s="3">
        <v>31047</v>
      </c>
      <c r="L31" s="3">
        <v>18984.849999999999</v>
      </c>
      <c r="M31">
        <v>5</v>
      </c>
      <c r="N31" s="4">
        <v>0.2</v>
      </c>
      <c r="O31" t="s">
        <v>25</v>
      </c>
      <c r="P31" t="s">
        <v>26</v>
      </c>
    </row>
    <row r="32" spans="1:16">
      <c r="A32" t="s">
        <v>150</v>
      </c>
      <c r="B32" s="2">
        <v>45827</v>
      </c>
      <c r="C32" t="s">
        <v>130</v>
      </c>
      <c r="D32" t="s">
        <v>131</v>
      </c>
      <c r="E32" t="s">
        <v>95</v>
      </c>
      <c r="F32" t="s">
        <v>96</v>
      </c>
      <c r="G32" t="s">
        <v>89</v>
      </c>
      <c r="H32" t="s">
        <v>97</v>
      </c>
      <c r="I32" t="s">
        <v>42</v>
      </c>
      <c r="J32" t="s">
        <v>43</v>
      </c>
      <c r="K32" s="3">
        <v>13385.63</v>
      </c>
      <c r="L32" s="3">
        <v>11412.87</v>
      </c>
      <c r="M32">
        <v>3</v>
      </c>
      <c r="N32" s="4">
        <v>0.1</v>
      </c>
      <c r="O32" t="s">
        <v>76</v>
      </c>
      <c r="P32" t="s">
        <v>45</v>
      </c>
    </row>
    <row r="33" spans="1:16">
      <c r="A33" t="s">
        <v>151</v>
      </c>
      <c r="B33" s="2">
        <v>45952</v>
      </c>
      <c r="C33" t="s">
        <v>104</v>
      </c>
      <c r="D33" t="s">
        <v>105</v>
      </c>
      <c r="E33" t="s">
        <v>152</v>
      </c>
      <c r="F33" t="s">
        <v>153</v>
      </c>
      <c r="G33" t="s">
        <v>21</v>
      </c>
      <c r="H33" t="s">
        <v>32</v>
      </c>
      <c r="I33" t="s">
        <v>42</v>
      </c>
      <c r="J33" t="s">
        <v>68</v>
      </c>
      <c r="K33" s="3">
        <v>46500.87</v>
      </c>
      <c r="L33" s="3">
        <v>23794.68</v>
      </c>
      <c r="M33">
        <v>3</v>
      </c>
      <c r="N33" s="4">
        <v>0</v>
      </c>
      <c r="O33" t="s">
        <v>25</v>
      </c>
      <c r="P33" t="s">
        <v>98</v>
      </c>
    </row>
    <row r="34" spans="1:16">
      <c r="A34" t="s">
        <v>154</v>
      </c>
      <c r="B34" s="2">
        <v>45367</v>
      </c>
      <c r="C34" t="s">
        <v>155</v>
      </c>
      <c r="D34" t="s">
        <v>156</v>
      </c>
      <c r="E34" t="s">
        <v>95</v>
      </c>
      <c r="F34" t="s">
        <v>96</v>
      </c>
      <c r="G34" t="s">
        <v>89</v>
      </c>
      <c r="H34" t="s">
        <v>97</v>
      </c>
      <c r="I34" t="s">
        <v>23</v>
      </c>
      <c r="J34" t="s">
        <v>33</v>
      </c>
      <c r="K34" s="3">
        <v>23702.49</v>
      </c>
      <c r="L34" s="3">
        <v>16496.05</v>
      </c>
      <c r="M34">
        <v>5</v>
      </c>
      <c r="N34" s="4">
        <v>0.1</v>
      </c>
      <c r="O34" t="s">
        <v>25</v>
      </c>
      <c r="P34" t="s">
        <v>58</v>
      </c>
    </row>
    <row r="35" spans="1:16">
      <c r="A35" t="s">
        <v>157</v>
      </c>
      <c r="B35" s="2">
        <v>45740</v>
      </c>
      <c r="C35" t="s">
        <v>158</v>
      </c>
      <c r="D35" t="s">
        <v>159</v>
      </c>
      <c r="E35" t="s">
        <v>123</v>
      </c>
      <c r="F35" t="s">
        <v>124</v>
      </c>
      <c r="G35" t="s">
        <v>51</v>
      </c>
      <c r="H35" t="s">
        <v>125</v>
      </c>
      <c r="I35" t="s">
        <v>23</v>
      </c>
      <c r="J35" t="s">
        <v>75</v>
      </c>
      <c r="K35" s="3">
        <v>124289.32</v>
      </c>
      <c r="L35" s="3">
        <v>93663.7</v>
      </c>
      <c r="M35">
        <v>5</v>
      </c>
      <c r="N35" s="4">
        <v>0.2</v>
      </c>
      <c r="O35" t="s">
        <v>25</v>
      </c>
      <c r="P35" t="s">
        <v>45</v>
      </c>
    </row>
    <row r="36" spans="1:16">
      <c r="A36" t="s">
        <v>160</v>
      </c>
      <c r="B36" s="2">
        <v>45562</v>
      </c>
      <c r="C36" t="s">
        <v>130</v>
      </c>
      <c r="D36" t="s">
        <v>131</v>
      </c>
      <c r="E36" t="s">
        <v>19</v>
      </c>
      <c r="F36" t="s">
        <v>20</v>
      </c>
      <c r="G36" t="s">
        <v>21</v>
      </c>
      <c r="H36" t="s">
        <v>22</v>
      </c>
      <c r="I36" t="s">
        <v>23</v>
      </c>
      <c r="J36" t="s">
        <v>75</v>
      </c>
      <c r="K36" s="3">
        <v>7169.87</v>
      </c>
      <c r="L36" s="3">
        <v>3233.83</v>
      </c>
      <c r="M36">
        <v>1</v>
      </c>
      <c r="N36" s="4">
        <v>0.05</v>
      </c>
      <c r="O36" t="s">
        <v>44</v>
      </c>
      <c r="P36" t="s">
        <v>45</v>
      </c>
    </row>
    <row r="37" spans="1:16">
      <c r="A37" t="s">
        <v>161</v>
      </c>
      <c r="B37" s="2">
        <v>45643</v>
      </c>
      <c r="C37" t="s">
        <v>155</v>
      </c>
      <c r="D37" t="s">
        <v>156</v>
      </c>
      <c r="E37" t="s">
        <v>49</v>
      </c>
      <c r="F37" t="s">
        <v>50</v>
      </c>
      <c r="G37" t="s">
        <v>51</v>
      </c>
      <c r="H37" t="s">
        <v>52</v>
      </c>
      <c r="I37" t="s">
        <v>42</v>
      </c>
      <c r="J37" t="s">
        <v>162</v>
      </c>
      <c r="K37" s="3">
        <v>26408.94</v>
      </c>
      <c r="L37" s="3">
        <v>14525</v>
      </c>
      <c r="M37">
        <v>2</v>
      </c>
      <c r="N37" s="4">
        <v>0.2</v>
      </c>
      <c r="O37" t="s">
        <v>136</v>
      </c>
      <c r="P37" t="s">
        <v>45</v>
      </c>
    </row>
    <row r="38" spans="1:16">
      <c r="A38" t="s">
        <v>163</v>
      </c>
      <c r="B38" s="2">
        <v>45725</v>
      </c>
      <c r="C38" t="s">
        <v>28</v>
      </c>
      <c r="D38" t="s">
        <v>29</v>
      </c>
      <c r="E38" t="s">
        <v>62</v>
      </c>
      <c r="F38" t="s">
        <v>63</v>
      </c>
      <c r="G38" t="s">
        <v>21</v>
      </c>
      <c r="H38" t="s">
        <v>64</v>
      </c>
      <c r="I38" t="s">
        <v>42</v>
      </c>
      <c r="J38" t="s">
        <v>68</v>
      </c>
      <c r="K38" s="3">
        <v>10008.26</v>
      </c>
      <c r="L38" s="3">
        <v>4907.6099999999997</v>
      </c>
      <c r="M38">
        <v>3</v>
      </c>
      <c r="N38" s="4">
        <v>0.05</v>
      </c>
      <c r="O38" t="s">
        <v>44</v>
      </c>
      <c r="P38" t="s">
        <v>58</v>
      </c>
    </row>
    <row r="39" spans="1:16">
      <c r="A39" t="s">
        <v>164</v>
      </c>
      <c r="B39" s="2">
        <v>46014</v>
      </c>
      <c r="C39" t="s">
        <v>93</v>
      </c>
      <c r="D39" t="s">
        <v>94</v>
      </c>
      <c r="E39" t="s">
        <v>38</v>
      </c>
      <c r="F39" t="s">
        <v>39</v>
      </c>
      <c r="G39" t="s">
        <v>40</v>
      </c>
      <c r="H39" t="s">
        <v>41</v>
      </c>
      <c r="I39" t="s">
        <v>56</v>
      </c>
      <c r="J39" t="s">
        <v>57</v>
      </c>
      <c r="K39" s="3">
        <v>2960.2</v>
      </c>
      <c r="L39" s="3">
        <v>2024.36</v>
      </c>
      <c r="M39">
        <v>4</v>
      </c>
      <c r="N39" s="4">
        <v>0.05</v>
      </c>
      <c r="O39" t="s">
        <v>34</v>
      </c>
      <c r="P39" t="s">
        <v>58</v>
      </c>
    </row>
    <row r="40" spans="1:16">
      <c r="A40" t="s">
        <v>165</v>
      </c>
      <c r="B40" s="2">
        <v>45443</v>
      </c>
      <c r="C40" t="s">
        <v>158</v>
      </c>
      <c r="D40" t="s">
        <v>159</v>
      </c>
      <c r="E40" t="s">
        <v>95</v>
      </c>
      <c r="F40" t="s">
        <v>96</v>
      </c>
      <c r="G40" t="s">
        <v>89</v>
      </c>
      <c r="H40" t="s">
        <v>97</v>
      </c>
      <c r="I40" t="s">
        <v>56</v>
      </c>
      <c r="J40" t="s">
        <v>57</v>
      </c>
      <c r="K40" s="3">
        <v>21943.8</v>
      </c>
      <c r="L40" s="3">
        <v>12956.84</v>
      </c>
      <c r="M40">
        <v>4</v>
      </c>
      <c r="N40" s="4">
        <v>0</v>
      </c>
      <c r="O40" t="s">
        <v>44</v>
      </c>
      <c r="P40" t="s">
        <v>58</v>
      </c>
    </row>
    <row r="41" spans="1:16">
      <c r="A41" t="s">
        <v>166</v>
      </c>
      <c r="B41" s="2">
        <v>45397</v>
      </c>
      <c r="C41" t="s">
        <v>130</v>
      </c>
      <c r="D41" t="s">
        <v>131</v>
      </c>
      <c r="E41" t="s">
        <v>72</v>
      </c>
      <c r="F41" t="s">
        <v>73</v>
      </c>
      <c r="G41" t="s">
        <v>51</v>
      </c>
      <c r="H41" t="s">
        <v>74</v>
      </c>
      <c r="I41" t="s">
        <v>42</v>
      </c>
      <c r="J41" t="s">
        <v>68</v>
      </c>
      <c r="K41" s="3">
        <v>23869.07</v>
      </c>
      <c r="L41" s="3">
        <v>12672.27</v>
      </c>
      <c r="M41">
        <v>3</v>
      </c>
      <c r="N41" s="4">
        <v>0.15</v>
      </c>
      <c r="O41" t="s">
        <v>34</v>
      </c>
      <c r="P41" t="s">
        <v>58</v>
      </c>
    </row>
    <row r="42" spans="1:16">
      <c r="A42" t="s">
        <v>167</v>
      </c>
      <c r="B42" s="2">
        <v>45473</v>
      </c>
      <c r="C42" t="s">
        <v>36</v>
      </c>
      <c r="D42" t="s">
        <v>37</v>
      </c>
      <c r="E42" t="s">
        <v>117</v>
      </c>
      <c r="F42" t="s">
        <v>118</v>
      </c>
      <c r="G42" t="s">
        <v>51</v>
      </c>
      <c r="H42" t="s">
        <v>119</v>
      </c>
      <c r="I42" t="s">
        <v>53</v>
      </c>
      <c r="J42" t="s">
        <v>54</v>
      </c>
      <c r="K42" s="3">
        <v>33947.71</v>
      </c>
      <c r="L42" s="3">
        <v>16289.24</v>
      </c>
      <c r="M42">
        <v>4</v>
      </c>
      <c r="N42" s="4">
        <v>0.1</v>
      </c>
      <c r="O42" t="s">
        <v>136</v>
      </c>
      <c r="P42" t="s">
        <v>58</v>
      </c>
    </row>
    <row r="43" spans="1:16">
      <c r="A43" t="s">
        <v>168</v>
      </c>
      <c r="B43" s="2">
        <v>46010</v>
      </c>
      <c r="C43" t="s">
        <v>66</v>
      </c>
      <c r="D43" t="s">
        <v>67</v>
      </c>
      <c r="E43" t="s">
        <v>117</v>
      </c>
      <c r="F43" t="s">
        <v>118</v>
      </c>
      <c r="G43" t="s">
        <v>51</v>
      </c>
      <c r="H43" t="s">
        <v>119</v>
      </c>
      <c r="I43" t="s">
        <v>53</v>
      </c>
      <c r="J43" t="s">
        <v>54</v>
      </c>
      <c r="K43" s="3">
        <v>4480.18</v>
      </c>
      <c r="L43" s="3">
        <v>4394.29</v>
      </c>
      <c r="M43">
        <v>1</v>
      </c>
      <c r="N43" s="4">
        <v>0.15</v>
      </c>
      <c r="O43" t="s">
        <v>76</v>
      </c>
      <c r="P43" t="s">
        <v>58</v>
      </c>
    </row>
    <row r="44" spans="1:16">
      <c r="A44" t="s">
        <v>169</v>
      </c>
      <c r="B44" s="2">
        <v>45525</v>
      </c>
      <c r="C44" t="s">
        <v>170</v>
      </c>
      <c r="D44" t="s">
        <v>171</v>
      </c>
      <c r="E44" t="s">
        <v>172</v>
      </c>
      <c r="F44" t="s">
        <v>173</v>
      </c>
      <c r="G44" t="s">
        <v>40</v>
      </c>
      <c r="H44" t="s">
        <v>41</v>
      </c>
      <c r="I44" t="s">
        <v>84</v>
      </c>
      <c r="J44" t="s">
        <v>142</v>
      </c>
      <c r="K44" s="3">
        <v>2854.51</v>
      </c>
      <c r="L44" s="3">
        <v>1628.52</v>
      </c>
      <c r="M44">
        <v>2</v>
      </c>
      <c r="N44" s="4">
        <v>0.1</v>
      </c>
      <c r="O44" t="s">
        <v>44</v>
      </c>
      <c r="P44" t="s">
        <v>58</v>
      </c>
    </row>
    <row r="45" spans="1:16">
      <c r="A45" t="s">
        <v>174</v>
      </c>
      <c r="B45" s="2">
        <v>45948</v>
      </c>
      <c r="C45" t="s">
        <v>79</v>
      </c>
      <c r="D45" t="s">
        <v>80</v>
      </c>
      <c r="E45" t="s">
        <v>175</v>
      </c>
      <c r="F45" t="s">
        <v>176</v>
      </c>
      <c r="G45" t="s">
        <v>51</v>
      </c>
      <c r="H45" t="s">
        <v>177</v>
      </c>
      <c r="I45" t="s">
        <v>84</v>
      </c>
      <c r="J45" t="s">
        <v>134</v>
      </c>
      <c r="K45" s="3">
        <v>126938.36</v>
      </c>
      <c r="L45" s="3">
        <v>78394.850000000006</v>
      </c>
      <c r="M45">
        <v>5</v>
      </c>
      <c r="N45" s="4">
        <v>0.2</v>
      </c>
      <c r="O45" t="s">
        <v>44</v>
      </c>
      <c r="P45" t="s">
        <v>58</v>
      </c>
    </row>
    <row r="46" spans="1:16">
      <c r="A46" t="s">
        <v>178</v>
      </c>
      <c r="B46" s="2">
        <v>45886</v>
      </c>
      <c r="C46" t="s">
        <v>179</v>
      </c>
      <c r="D46" t="s">
        <v>180</v>
      </c>
      <c r="E46" t="s">
        <v>175</v>
      </c>
      <c r="F46" t="s">
        <v>176</v>
      </c>
      <c r="G46" t="s">
        <v>51</v>
      </c>
      <c r="H46" t="s">
        <v>177</v>
      </c>
      <c r="I46" t="s">
        <v>23</v>
      </c>
      <c r="J46" t="s">
        <v>75</v>
      </c>
      <c r="K46" s="3">
        <v>71063.240000000005</v>
      </c>
      <c r="L46" s="3">
        <v>43567.26</v>
      </c>
      <c r="M46">
        <v>3</v>
      </c>
      <c r="N46" s="4">
        <v>0.1</v>
      </c>
      <c r="O46" t="s">
        <v>44</v>
      </c>
      <c r="P46" t="s">
        <v>26</v>
      </c>
    </row>
    <row r="47" spans="1:16">
      <c r="A47" t="s">
        <v>181</v>
      </c>
      <c r="B47" s="2">
        <v>45686</v>
      </c>
      <c r="C47" t="s">
        <v>155</v>
      </c>
      <c r="D47" t="s">
        <v>156</v>
      </c>
      <c r="E47" t="s">
        <v>182</v>
      </c>
      <c r="F47" t="s">
        <v>183</v>
      </c>
      <c r="G47" t="s">
        <v>89</v>
      </c>
      <c r="H47" t="s">
        <v>90</v>
      </c>
      <c r="I47" t="s">
        <v>23</v>
      </c>
      <c r="J47" t="s">
        <v>33</v>
      </c>
      <c r="K47" s="3">
        <v>29933.3</v>
      </c>
      <c r="L47" s="3">
        <v>28140.45</v>
      </c>
      <c r="M47">
        <v>5</v>
      </c>
      <c r="N47" s="4">
        <v>0.15</v>
      </c>
      <c r="O47" t="s">
        <v>25</v>
      </c>
      <c r="P47" t="s">
        <v>58</v>
      </c>
    </row>
    <row r="48" spans="1:16">
      <c r="A48" t="s">
        <v>184</v>
      </c>
      <c r="B48" s="2">
        <v>45972</v>
      </c>
      <c r="C48" t="s">
        <v>158</v>
      </c>
      <c r="D48" t="s">
        <v>159</v>
      </c>
      <c r="E48" t="s">
        <v>132</v>
      </c>
      <c r="F48" t="s">
        <v>133</v>
      </c>
      <c r="G48" t="s">
        <v>40</v>
      </c>
      <c r="H48" t="s">
        <v>41</v>
      </c>
      <c r="I48" t="s">
        <v>23</v>
      </c>
      <c r="J48" t="s">
        <v>33</v>
      </c>
      <c r="K48" s="3">
        <v>2741.64</v>
      </c>
      <c r="L48" s="3">
        <v>768.48</v>
      </c>
      <c r="M48">
        <v>3</v>
      </c>
      <c r="N48" s="4">
        <v>0</v>
      </c>
      <c r="O48" t="s">
        <v>44</v>
      </c>
      <c r="P48" t="s">
        <v>45</v>
      </c>
    </row>
    <row r="49" spans="1:16">
      <c r="A49" t="s">
        <v>185</v>
      </c>
      <c r="B49" s="2">
        <v>45704</v>
      </c>
      <c r="C49" t="s">
        <v>130</v>
      </c>
      <c r="D49" t="s">
        <v>131</v>
      </c>
      <c r="E49" t="s">
        <v>132</v>
      </c>
      <c r="F49" t="s">
        <v>133</v>
      </c>
      <c r="G49" t="s">
        <v>40</v>
      </c>
      <c r="H49" t="s">
        <v>41</v>
      </c>
      <c r="I49" t="s">
        <v>84</v>
      </c>
      <c r="J49" t="s">
        <v>134</v>
      </c>
      <c r="K49" s="3">
        <v>1308.3</v>
      </c>
      <c r="L49" s="3">
        <v>758.16</v>
      </c>
      <c r="M49">
        <v>3</v>
      </c>
      <c r="N49" s="4">
        <v>0.15</v>
      </c>
      <c r="O49" t="s">
        <v>76</v>
      </c>
      <c r="P49" t="s">
        <v>45</v>
      </c>
    </row>
    <row r="50" spans="1:16">
      <c r="A50" t="s">
        <v>186</v>
      </c>
      <c r="B50" s="2">
        <v>45292</v>
      </c>
      <c r="C50" t="s">
        <v>104</v>
      </c>
      <c r="D50" t="s">
        <v>105</v>
      </c>
      <c r="E50" t="s">
        <v>187</v>
      </c>
      <c r="F50" t="s">
        <v>188</v>
      </c>
      <c r="G50" t="s">
        <v>89</v>
      </c>
      <c r="H50" t="s">
        <v>189</v>
      </c>
      <c r="I50" t="s">
        <v>53</v>
      </c>
      <c r="J50" t="s">
        <v>102</v>
      </c>
      <c r="K50" s="3">
        <v>21841.03</v>
      </c>
      <c r="L50" s="3">
        <v>15796.83</v>
      </c>
      <c r="M50">
        <v>3</v>
      </c>
      <c r="N50" s="4">
        <v>0.2</v>
      </c>
      <c r="O50" t="s">
        <v>34</v>
      </c>
      <c r="P50" t="s">
        <v>77</v>
      </c>
    </row>
    <row r="51" spans="1:16">
      <c r="A51" t="s">
        <v>190</v>
      </c>
      <c r="B51" s="2">
        <v>45983</v>
      </c>
      <c r="C51" t="s">
        <v>170</v>
      </c>
      <c r="D51" t="s">
        <v>171</v>
      </c>
      <c r="E51" t="s">
        <v>38</v>
      </c>
      <c r="F51" t="s">
        <v>39</v>
      </c>
      <c r="G51" t="s">
        <v>40</v>
      </c>
      <c r="H51" t="s">
        <v>41</v>
      </c>
      <c r="I51" t="s">
        <v>56</v>
      </c>
      <c r="J51" t="s">
        <v>191</v>
      </c>
      <c r="K51" s="3">
        <v>3552.96</v>
      </c>
      <c r="L51" s="3">
        <v>1002.24</v>
      </c>
      <c r="M51">
        <v>2</v>
      </c>
      <c r="N51" s="4">
        <v>0.05</v>
      </c>
      <c r="O51" t="s">
        <v>25</v>
      </c>
      <c r="P51" t="s">
        <v>45</v>
      </c>
    </row>
    <row r="52" spans="1:16">
      <c r="A52" t="s">
        <v>192</v>
      </c>
      <c r="B52" s="2">
        <v>45387</v>
      </c>
      <c r="C52" t="s">
        <v>114</v>
      </c>
      <c r="D52" t="s">
        <v>115</v>
      </c>
      <c r="E52" t="s">
        <v>193</v>
      </c>
      <c r="F52" t="s">
        <v>194</v>
      </c>
      <c r="G52" t="s">
        <v>89</v>
      </c>
      <c r="H52" t="s">
        <v>90</v>
      </c>
      <c r="I52" t="s">
        <v>84</v>
      </c>
      <c r="J52" t="s">
        <v>134</v>
      </c>
      <c r="K52" s="3">
        <v>1652.18</v>
      </c>
      <c r="L52" s="3">
        <v>1034.56</v>
      </c>
      <c r="M52">
        <v>2</v>
      </c>
      <c r="N52" s="4">
        <v>0.05</v>
      </c>
      <c r="O52" t="s">
        <v>76</v>
      </c>
      <c r="P52" t="s">
        <v>58</v>
      </c>
    </row>
    <row r="53" spans="1:16">
      <c r="A53" t="s">
        <v>195</v>
      </c>
      <c r="B53" s="2">
        <v>45917</v>
      </c>
      <c r="C53" t="s">
        <v>28</v>
      </c>
      <c r="D53" t="s">
        <v>29</v>
      </c>
      <c r="E53" t="s">
        <v>72</v>
      </c>
      <c r="F53" t="s">
        <v>73</v>
      </c>
      <c r="G53" t="s">
        <v>51</v>
      </c>
      <c r="H53" t="s">
        <v>74</v>
      </c>
      <c r="I53" t="s">
        <v>56</v>
      </c>
      <c r="J53" t="s">
        <v>191</v>
      </c>
      <c r="K53" s="3">
        <v>7497.18</v>
      </c>
      <c r="L53" s="3">
        <v>3964.33</v>
      </c>
      <c r="M53">
        <v>1</v>
      </c>
      <c r="N53" s="4">
        <v>0.2</v>
      </c>
      <c r="O53" t="s">
        <v>76</v>
      </c>
      <c r="P53" t="s">
        <v>26</v>
      </c>
    </row>
    <row r="54" spans="1:16">
      <c r="A54" t="s">
        <v>196</v>
      </c>
      <c r="B54" s="2">
        <v>45443</v>
      </c>
      <c r="C54" t="s">
        <v>197</v>
      </c>
      <c r="D54" t="s">
        <v>198</v>
      </c>
      <c r="E54" t="s">
        <v>106</v>
      </c>
      <c r="F54" t="s">
        <v>107</v>
      </c>
      <c r="G54" t="s">
        <v>40</v>
      </c>
      <c r="H54" t="s">
        <v>108</v>
      </c>
      <c r="I54" t="s">
        <v>84</v>
      </c>
      <c r="J54" t="s">
        <v>85</v>
      </c>
      <c r="K54" s="3">
        <v>2692.97</v>
      </c>
      <c r="L54" s="3">
        <v>754.97</v>
      </c>
      <c r="M54">
        <v>1</v>
      </c>
      <c r="N54" s="4">
        <v>0</v>
      </c>
      <c r="O54" t="s">
        <v>136</v>
      </c>
      <c r="P54" t="s">
        <v>58</v>
      </c>
    </row>
    <row r="55" spans="1:16">
      <c r="A55" t="s">
        <v>199</v>
      </c>
      <c r="B55" s="2">
        <v>45343</v>
      </c>
      <c r="C55" t="s">
        <v>200</v>
      </c>
      <c r="D55" t="s">
        <v>201</v>
      </c>
      <c r="E55" t="s">
        <v>182</v>
      </c>
      <c r="F55" t="s">
        <v>183</v>
      </c>
      <c r="G55" t="s">
        <v>89</v>
      </c>
      <c r="H55" t="s">
        <v>90</v>
      </c>
      <c r="I55" t="s">
        <v>56</v>
      </c>
      <c r="J55" t="s">
        <v>191</v>
      </c>
      <c r="K55" s="3">
        <v>54807.53</v>
      </c>
      <c r="L55" s="3">
        <v>28495.200000000001</v>
      </c>
      <c r="M55">
        <v>5</v>
      </c>
      <c r="N55" s="4">
        <v>0.15</v>
      </c>
      <c r="O55" t="s">
        <v>76</v>
      </c>
      <c r="P55" t="s">
        <v>98</v>
      </c>
    </row>
    <row r="56" spans="1:16">
      <c r="A56" t="s">
        <v>202</v>
      </c>
      <c r="B56" s="2">
        <v>45901</v>
      </c>
      <c r="C56" t="s">
        <v>130</v>
      </c>
      <c r="D56" t="s">
        <v>131</v>
      </c>
      <c r="E56" t="s">
        <v>182</v>
      </c>
      <c r="F56" t="s">
        <v>183</v>
      </c>
      <c r="G56" t="s">
        <v>89</v>
      </c>
      <c r="H56" t="s">
        <v>90</v>
      </c>
      <c r="I56" t="s">
        <v>56</v>
      </c>
      <c r="J56" t="s">
        <v>57</v>
      </c>
      <c r="K56" s="3">
        <v>31702.99</v>
      </c>
      <c r="L56" s="3">
        <v>19620.150000000001</v>
      </c>
      <c r="M56">
        <v>3</v>
      </c>
      <c r="N56" s="4">
        <v>0.2</v>
      </c>
      <c r="O56" t="s">
        <v>34</v>
      </c>
      <c r="P56" t="s">
        <v>26</v>
      </c>
    </row>
    <row r="57" spans="1:16">
      <c r="A57" t="s">
        <v>203</v>
      </c>
      <c r="B57" s="2">
        <v>45778</v>
      </c>
      <c r="C57" t="s">
        <v>70</v>
      </c>
      <c r="D57" t="s">
        <v>71</v>
      </c>
      <c r="E57" t="s">
        <v>38</v>
      </c>
      <c r="F57" t="s">
        <v>39</v>
      </c>
      <c r="G57" t="s">
        <v>40</v>
      </c>
      <c r="H57" t="s">
        <v>41</v>
      </c>
      <c r="I57" t="s">
        <v>23</v>
      </c>
      <c r="J57" t="s">
        <v>75</v>
      </c>
      <c r="K57" s="3">
        <v>3584.09</v>
      </c>
      <c r="L57" s="3">
        <v>1903.68</v>
      </c>
      <c r="M57">
        <v>4</v>
      </c>
      <c r="N57" s="4">
        <v>0.1</v>
      </c>
      <c r="O57" t="s">
        <v>34</v>
      </c>
      <c r="P57" t="s">
        <v>98</v>
      </c>
    </row>
    <row r="58" spans="1:16">
      <c r="A58" t="s">
        <v>204</v>
      </c>
      <c r="B58" s="2">
        <v>45742</v>
      </c>
      <c r="C58" t="s">
        <v>17</v>
      </c>
      <c r="D58" t="s">
        <v>18</v>
      </c>
      <c r="E58" t="s">
        <v>72</v>
      </c>
      <c r="F58" t="s">
        <v>73</v>
      </c>
      <c r="G58" t="s">
        <v>51</v>
      </c>
      <c r="H58" t="s">
        <v>74</v>
      </c>
      <c r="I58" t="s">
        <v>84</v>
      </c>
      <c r="J58" t="s">
        <v>142</v>
      </c>
      <c r="K58" s="3">
        <v>5196.96</v>
      </c>
      <c r="L58" s="3">
        <v>4170.84</v>
      </c>
      <c r="M58">
        <v>1</v>
      </c>
      <c r="N58" s="4">
        <v>0.1</v>
      </c>
      <c r="O58" t="s">
        <v>44</v>
      </c>
      <c r="P58" t="s">
        <v>58</v>
      </c>
    </row>
    <row r="59" spans="1:16">
      <c r="A59" t="s">
        <v>205</v>
      </c>
      <c r="B59" s="2">
        <v>45684</v>
      </c>
      <c r="C59" t="s">
        <v>47</v>
      </c>
      <c r="D59" t="s">
        <v>48</v>
      </c>
      <c r="E59" t="s">
        <v>152</v>
      </c>
      <c r="F59" t="s">
        <v>153</v>
      </c>
      <c r="G59" t="s">
        <v>21</v>
      </c>
      <c r="H59" t="s">
        <v>32</v>
      </c>
      <c r="I59" t="s">
        <v>84</v>
      </c>
      <c r="J59" t="s">
        <v>85</v>
      </c>
      <c r="K59" s="3">
        <v>16000.69</v>
      </c>
      <c r="L59" s="3">
        <v>16660.54</v>
      </c>
      <c r="M59">
        <v>2</v>
      </c>
      <c r="N59" s="4">
        <v>0.15</v>
      </c>
      <c r="O59" t="s">
        <v>44</v>
      </c>
      <c r="P59" t="s">
        <v>98</v>
      </c>
    </row>
    <row r="60" spans="1:16">
      <c r="A60" t="s">
        <v>206</v>
      </c>
      <c r="B60" s="2">
        <v>45722</v>
      </c>
      <c r="C60" t="s">
        <v>207</v>
      </c>
      <c r="D60" t="s">
        <v>208</v>
      </c>
      <c r="E60" t="s">
        <v>81</v>
      </c>
      <c r="F60" t="s">
        <v>82</v>
      </c>
      <c r="G60" t="s">
        <v>21</v>
      </c>
      <c r="H60" t="s">
        <v>83</v>
      </c>
      <c r="I60" t="s">
        <v>84</v>
      </c>
      <c r="J60" t="s">
        <v>85</v>
      </c>
      <c r="K60" s="3">
        <v>115310.96</v>
      </c>
      <c r="L60" s="3">
        <v>77829.679999999993</v>
      </c>
      <c r="M60">
        <v>4</v>
      </c>
      <c r="N60" s="4">
        <v>0</v>
      </c>
      <c r="O60" t="s">
        <v>34</v>
      </c>
      <c r="P60" t="s">
        <v>26</v>
      </c>
    </row>
    <row r="61" spans="1:16">
      <c r="A61" t="s">
        <v>209</v>
      </c>
      <c r="B61" s="2">
        <v>45597</v>
      </c>
      <c r="C61" t="s">
        <v>197</v>
      </c>
      <c r="D61" t="s">
        <v>198</v>
      </c>
      <c r="E61" t="s">
        <v>30</v>
      </c>
      <c r="F61" t="s">
        <v>31</v>
      </c>
      <c r="G61" t="s">
        <v>21</v>
      </c>
      <c r="H61" t="s">
        <v>32</v>
      </c>
      <c r="I61" t="s">
        <v>84</v>
      </c>
      <c r="J61" t="s">
        <v>134</v>
      </c>
      <c r="K61" s="3">
        <v>219220.3</v>
      </c>
      <c r="L61" s="3">
        <v>205572.4</v>
      </c>
      <c r="M61">
        <v>4</v>
      </c>
      <c r="N61" s="4">
        <v>0.15</v>
      </c>
      <c r="O61" t="s">
        <v>34</v>
      </c>
      <c r="P61" t="s">
        <v>58</v>
      </c>
    </row>
    <row r="62" spans="1:16">
      <c r="A62" t="s">
        <v>210</v>
      </c>
      <c r="B62" s="2">
        <v>45738</v>
      </c>
      <c r="C62" t="s">
        <v>197</v>
      </c>
      <c r="D62" t="s">
        <v>198</v>
      </c>
      <c r="E62" t="s">
        <v>72</v>
      </c>
      <c r="F62" t="s">
        <v>73</v>
      </c>
      <c r="G62" t="s">
        <v>51</v>
      </c>
      <c r="H62" t="s">
        <v>74</v>
      </c>
      <c r="I62" t="s">
        <v>84</v>
      </c>
      <c r="J62" t="s">
        <v>142</v>
      </c>
      <c r="K62" s="3">
        <v>21540.5</v>
      </c>
      <c r="L62" s="3">
        <v>14492.88</v>
      </c>
      <c r="M62">
        <v>4</v>
      </c>
      <c r="N62" s="4">
        <v>0.15</v>
      </c>
      <c r="O62" t="s">
        <v>76</v>
      </c>
      <c r="P62" t="s">
        <v>98</v>
      </c>
    </row>
    <row r="63" spans="1:16">
      <c r="A63" t="s">
        <v>211</v>
      </c>
      <c r="B63" s="2">
        <v>45319</v>
      </c>
      <c r="C63" t="s">
        <v>47</v>
      </c>
      <c r="D63" t="s">
        <v>48</v>
      </c>
      <c r="E63" t="s">
        <v>193</v>
      </c>
      <c r="F63" t="s">
        <v>194</v>
      </c>
      <c r="G63" t="s">
        <v>89</v>
      </c>
      <c r="H63" t="s">
        <v>90</v>
      </c>
      <c r="I63" t="s">
        <v>56</v>
      </c>
      <c r="J63" t="s">
        <v>57</v>
      </c>
      <c r="K63" s="3">
        <v>5582.4</v>
      </c>
      <c r="L63" s="3">
        <v>2036.76</v>
      </c>
      <c r="M63">
        <v>4</v>
      </c>
      <c r="N63" s="4">
        <v>0</v>
      </c>
      <c r="O63" t="s">
        <v>136</v>
      </c>
      <c r="P63" t="s">
        <v>58</v>
      </c>
    </row>
    <row r="64" spans="1:16">
      <c r="A64" t="s">
        <v>212</v>
      </c>
      <c r="B64" s="2">
        <v>45558</v>
      </c>
      <c r="C64" t="s">
        <v>170</v>
      </c>
      <c r="D64" t="s">
        <v>171</v>
      </c>
      <c r="E64" t="s">
        <v>117</v>
      </c>
      <c r="F64" t="s">
        <v>118</v>
      </c>
      <c r="G64" t="s">
        <v>51</v>
      </c>
      <c r="H64" t="s">
        <v>119</v>
      </c>
      <c r="I64" t="s">
        <v>23</v>
      </c>
      <c r="J64" t="s">
        <v>24</v>
      </c>
      <c r="K64" s="3">
        <v>27900.04</v>
      </c>
      <c r="L64" s="3">
        <v>17378.48</v>
      </c>
      <c r="M64">
        <v>4</v>
      </c>
      <c r="N64" s="4">
        <v>0.1</v>
      </c>
      <c r="O64" t="s">
        <v>136</v>
      </c>
      <c r="P64" t="s">
        <v>45</v>
      </c>
    </row>
    <row r="65" spans="1:16">
      <c r="A65" t="s">
        <v>213</v>
      </c>
      <c r="B65" s="2">
        <v>45375</v>
      </c>
      <c r="C65" t="s">
        <v>79</v>
      </c>
      <c r="D65" t="s">
        <v>80</v>
      </c>
      <c r="E65" t="s">
        <v>132</v>
      </c>
      <c r="F65" t="s">
        <v>133</v>
      </c>
      <c r="G65" t="s">
        <v>40</v>
      </c>
      <c r="H65" t="s">
        <v>41</v>
      </c>
      <c r="I65" t="s">
        <v>84</v>
      </c>
      <c r="J65" t="s">
        <v>142</v>
      </c>
      <c r="K65" s="3">
        <v>2910.64</v>
      </c>
      <c r="L65" s="3">
        <v>903.88</v>
      </c>
      <c r="M65">
        <v>4</v>
      </c>
      <c r="N65" s="4">
        <v>0.1</v>
      </c>
      <c r="O65" t="s">
        <v>76</v>
      </c>
      <c r="P65" t="s">
        <v>58</v>
      </c>
    </row>
    <row r="66" spans="1:16">
      <c r="A66" t="s">
        <v>214</v>
      </c>
      <c r="B66" s="2">
        <v>45323</v>
      </c>
      <c r="C66" t="s">
        <v>79</v>
      </c>
      <c r="D66" t="s">
        <v>80</v>
      </c>
      <c r="E66" t="s">
        <v>81</v>
      </c>
      <c r="F66" t="s">
        <v>82</v>
      </c>
      <c r="G66" t="s">
        <v>21</v>
      </c>
      <c r="H66" t="s">
        <v>83</v>
      </c>
      <c r="I66" t="s">
        <v>53</v>
      </c>
      <c r="J66" t="s">
        <v>54</v>
      </c>
      <c r="K66" s="3">
        <v>38878.639999999999</v>
      </c>
      <c r="L66" s="3">
        <v>33835.4</v>
      </c>
      <c r="M66">
        <v>2</v>
      </c>
      <c r="N66" s="4">
        <v>0.05</v>
      </c>
      <c r="O66" t="s">
        <v>76</v>
      </c>
      <c r="P66" t="s">
        <v>58</v>
      </c>
    </row>
    <row r="67" spans="1:16">
      <c r="A67" t="s">
        <v>215</v>
      </c>
      <c r="B67" s="2">
        <v>45515</v>
      </c>
      <c r="C67" t="s">
        <v>197</v>
      </c>
      <c r="D67" t="s">
        <v>198</v>
      </c>
      <c r="E67" t="s">
        <v>19</v>
      </c>
      <c r="F67" t="s">
        <v>20</v>
      </c>
      <c r="G67" t="s">
        <v>21</v>
      </c>
      <c r="H67" t="s">
        <v>22</v>
      </c>
      <c r="I67" t="s">
        <v>42</v>
      </c>
      <c r="J67" t="s">
        <v>43</v>
      </c>
      <c r="K67" s="3">
        <v>29204.18</v>
      </c>
      <c r="L67" s="3">
        <v>12478.72</v>
      </c>
      <c r="M67">
        <v>4</v>
      </c>
      <c r="N67" s="4">
        <v>0.05</v>
      </c>
      <c r="O67" t="s">
        <v>34</v>
      </c>
      <c r="P67" t="s">
        <v>58</v>
      </c>
    </row>
    <row r="68" spans="1:16">
      <c r="A68" t="s">
        <v>216</v>
      </c>
      <c r="B68" s="2">
        <v>45402</v>
      </c>
      <c r="C68" t="s">
        <v>79</v>
      </c>
      <c r="D68" t="s">
        <v>80</v>
      </c>
      <c r="E68" t="s">
        <v>117</v>
      </c>
      <c r="F68" t="s">
        <v>118</v>
      </c>
      <c r="G68" t="s">
        <v>51</v>
      </c>
      <c r="H68" t="s">
        <v>119</v>
      </c>
      <c r="I68" t="s">
        <v>84</v>
      </c>
      <c r="J68" t="s">
        <v>142</v>
      </c>
      <c r="K68" s="3">
        <v>29321.9</v>
      </c>
      <c r="L68" s="3">
        <v>20365.55</v>
      </c>
      <c r="M68">
        <v>5</v>
      </c>
      <c r="N68" s="4">
        <v>0.15</v>
      </c>
      <c r="O68" t="s">
        <v>136</v>
      </c>
      <c r="P68" t="s">
        <v>58</v>
      </c>
    </row>
    <row r="69" spans="1:16">
      <c r="A69" t="s">
        <v>217</v>
      </c>
      <c r="B69" s="2">
        <v>45934</v>
      </c>
      <c r="C69" t="s">
        <v>100</v>
      </c>
      <c r="D69" t="s">
        <v>101</v>
      </c>
      <c r="E69" t="s">
        <v>95</v>
      </c>
      <c r="F69" t="s">
        <v>96</v>
      </c>
      <c r="G69" t="s">
        <v>89</v>
      </c>
      <c r="H69" t="s">
        <v>97</v>
      </c>
      <c r="I69" t="s">
        <v>42</v>
      </c>
      <c r="J69" t="s">
        <v>162</v>
      </c>
      <c r="K69" s="3">
        <v>12550.72</v>
      </c>
      <c r="L69" s="3">
        <v>6442.66</v>
      </c>
      <c r="M69">
        <v>2</v>
      </c>
      <c r="N69" s="4">
        <v>0.2</v>
      </c>
      <c r="O69" t="s">
        <v>25</v>
      </c>
      <c r="P69" t="s">
        <v>58</v>
      </c>
    </row>
    <row r="70" spans="1:16">
      <c r="A70" t="s">
        <v>218</v>
      </c>
      <c r="B70" s="2">
        <v>45969</v>
      </c>
      <c r="C70" t="s">
        <v>158</v>
      </c>
      <c r="D70" t="s">
        <v>159</v>
      </c>
      <c r="E70" t="s">
        <v>187</v>
      </c>
      <c r="F70" t="s">
        <v>188</v>
      </c>
      <c r="G70" t="s">
        <v>89</v>
      </c>
      <c r="H70" t="s">
        <v>189</v>
      </c>
      <c r="I70" t="s">
        <v>56</v>
      </c>
      <c r="J70" t="s">
        <v>91</v>
      </c>
      <c r="K70" s="3">
        <v>31767.599999999999</v>
      </c>
      <c r="L70" s="3">
        <v>15077.55</v>
      </c>
      <c r="M70">
        <v>3</v>
      </c>
      <c r="N70" s="4">
        <v>0</v>
      </c>
      <c r="O70" t="s">
        <v>136</v>
      </c>
      <c r="P70" t="s">
        <v>98</v>
      </c>
    </row>
    <row r="71" spans="1:16">
      <c r="A71" t="s">
        <v>219</v>
      </c>
      <c r="B71" s="2">
        <v>45942</v>
      </c>
      <c r="C71" t="s">
        <v>179</v>
      </c>
      <c r="D71" t="s">
        <v>180</v>
      </c>
      <c r="E71" t="s">
        <v>132</v>
      </c>
      <c r="F71" t="s">
        <v>133</v>
      </c>
      <c r="G71" t="s">
        <v>40</v>
      </c>
      <c r="H71" t="s">
        <v>41</v>
      </c>
      <c r="I71" t="s">
        <v>84</v>
      </c>
      <c r="J71" t="s">
        <v>134</v>
      </c>
      <c r="K71" s="3">
        <v>2304.5100000000002</v>
      </c>
      <c r="L71" s="3">
        <v>1041.48</v>
      </c>
      <c r="M71">
        <v>4</v>
      </c>
      <c r="N71" s="4">
        <v>0.2</v>
      </c>
      <c r="O71" t="s">
        <v>44</v>
      </c>
      <c r="P71" t="s">
        <v>98</v>
      </c>
    </row>
    <row r="72" spans="1:16">
      <c r="A72" t="s">
        <v>220</v>
      </c>
      <c r="B72" s="2">
        <v>45898</v>
      </c>
      <c r="C72" t="s">
        <v>170</v>
      </c>
      <c r="D72" t="s">
        <v>171</v>
      </c>
      <c r="E72" t="s">
        <v>132</v>
      </c>
      <c r="F72" t="s">
        <v>133</v>
      </c>
      <c r="G72" t="s">
        <v>40</v>
      </c>
      <c r="H72" t="s">
        <v>41</v>
      </c>
      <c r="I72" t="s">
        <v>53</v>
      </c>
      <c r="J72" t="s">
        <v>102</v>
      </c>
      <c r="K72" s="3">
        <v>1676.01</v>
      </c>
      <c r="L72" s="3">
        <v>723.36</v>
      </c>
      <c r="M72">
        <v>3</v>
      </c>
      <c r="N72" s="4">
        <v>0</v>
      </c>
      <c r="O72" t="s">
        <v>44</v>
      </c>
      <c r="P72" t="s">
        <v>98</v>
      </c>
    </row>
    <row r="73" spans="1:16">
      <c r="A73" t="s">
        <v>221</v>
      </c>
      <c r="B73" s="2">
        <v>45916</v>
      </c>
      <c r="C73" t="s">
        <v>36</v>
      </c>
      <c r="D73" t="s">
        <v>37</v>
      </c>
      <c r="E73" t="s">
        <v>38</v>
      </c>
      <c r="F73" t="s">
        <v>39</v>
      </c>
      <c r="G73" t="s">
        <v>40</v>
      </c>
      <c r="H73" t="s">
        <v>41</v>
      </c>
      <c r="I73" t="s">
        <v>42</v>
      </c>
      <c r="J73" t="s">
        <v>43</v>
      </c>
      <c r="K73" s="3">
        <v>5007.2</v>
      </c>
      <c r="L73" s="3">
        <v>1934.56</v>
      </c>
      <c r="M73">
        <v>4</v>
      </c>
      <c r="N73" s="4">
        <v>0.1</v>
      </c>
      <c r="O73" t="s">
        <v>76</v>
      </c>
      <c r="P73" t="s">
        <v>98</v>
      </c>
    </row>
    <row r="74" spans="1:16">
      <c r="A74" t="s">
        <v>222</v>
      </c>
      <c r="B74" s="2">
        <v>45556</v>
      </c>
      <c r="C74" t="s">
        <v>144</v>
      </c>
      <c r="D74" t="s">
        <v>145</v>
      </c>
      <c r="E74" t="s">
        <v>172</v>
      </c>
      <c r="F74" t="s">
        <v>173</v>
      </c>
      <c r="G74" t="s">
        <v>40</v>
      </c>
      <c r="H74" t="s">
        <v>41</v>
      </c>
      <c r="I74" t="s">
        <v>53</v>
      </c>
      <c r="J74" t="s">
        <v>54</v>
      </c>
      <c r="K74" s="3">
        <v>7537.59</v>
      </c>
      <c r="L74" s="3">
        <v>2581.02</v>
      </c>
      <c r="M74">
        <v>3</v>
      </c>
      <c r="N74" s="4">
        <v>0.1</v>
      </c>
      <c r="O74" t="s">
        <v>34</v>
      </c>
      <c r="P74" t="s">
        <v>58</v>
      </c>
    </row>
    <row r="75" spans="1:16">
      <c r="A75" t="s">
        <v>223</v>
      </c>
      <c r="B75" s="2">
        <v>45539</v>
      </c>
      <c r="C75" t="s">
        <v>114</v>
      </c>
      <c r="D75" t="s">
        <v>115</v>
      </c>
      <c r="E75" t="s">
        <v>49</v>
      </c>
      <c r="F75" t="s">
        <v>50</v>
      </c>
      <c r="G75" t="s">
        <v>51</v>
      </c>
      <c r="H75" t="s">
        <v>52</v>
      </c>
      <c r="I75" t="s">
        <v>23</v>
      </c>
      <c r="J75" t="s">
        <v>33</v>
      </c>
      <c r="K75" s="3">
        <v>52846.03</v>
      </c>
      <c r="L75" s="3">
        <v>27936.04</v>
      </c>
      <c r="M75">
        <v>4</v>
      </c>
      <c r="N75" s="4">
        <v>0.15</v>
      </c>
      <c r="O75" t="s">
        <v>136</v>
      </c>
      <c r="P75" t="s">
        <v>98</v>
      </c>
    </row>
    <row r="76" spans="1:16">
      <c r="A76" t="s">
        <v>224</v>
      </c>
      <c r="B76" s="2">
        <v>45518</v>
      </c>
      <c r="C76" t="s">
        <v>140</v>
      </c>
      <c r="D76" t="s">
        <v>141</v>
      </c>
      <c r="E76" t="s">
        <v>62</v>
      </c>
      <c r="F76" t="s">
        <v>63</v>
      </c>
      <c r="G76" t="s">
        <v>21</v>
      </c>
      <c r="H76" t="s">
        <v>64</v>
      </c>
      <c r="I76" t="s">
        <v>84</v>
      </c>
      <c r="J76" t="s">
        <v>142</v>
      </c>
      <c r="K76" s="3">
        <v>10844.9</v>
      </c>
      <c r="L76" s="3">
        <v>7476.16</v>
      </c>
      <c r="M76">
        <v>4</v>
      </c>
      <c r="N76" s="4">
        <v>0.2</v>
      </c>
      <c r="O76" t="s">
        <v>44</v>
      </c>
      <c r="P76" t="s">
        <v>98</v>
      </c>
    </row>
    <row r="77" spans="1:16">
      <c r="A77" t="s">
        <v>225</v>
      </c>
      <c r="B77" s="2">
        <v>45727</v>
      </c>
      <c r="C77" t="s">
        <v>70</v>
      </c>
      <c r="D77" t="s">
        <v>71</v>
      </c>
      <c r="E77" t="s">
        <v>182</v>
      </c>
      <c r="F77" t="s">
        <v>183</v>
      </c>
      <c r="G77" t="s">
        <v>89</v>
      </c>
      <c r="H77" t="s">
        <v>90</v>
      </c>
      <c r="I77" t="s">
        <v>84</v>
      </c>
      <c r="J77" t="s">
        <v>134</v>
      </c>
      <c r="K77" s="3">
        <v>53265.51</v>
      </c>
      <c r="L77" s="3">
        <v>28984.75</v>
      </c>
      <c r="M77">
        <v>5</v>
      </c>
      <c r="N77" s="4">
        <v>0.1</v>
      </c>
      <c r="O77" t="s">
        <v>44</v>
      </c>
      <c r="P77" t="s">
        <v>45</v>
      </c>
    </row>
    <row r="78" spans="1:16">
      <c r="A78" t="s">
        <v>226</v>
      </c>
      <c r="B78" s="2">
        <v>45489</v>
      </c>
      <c r="C78" t="s">
        <v>36</v>
      </c>
      <c r="D78" t="s">
        <v>37</v>
      </c>
      <c r="E78" t="s">
        <v>19</v>
      </c>
      <c r="F78" t="s">
        <v>20</v>
      </c>
      <c r="G78" t="s">
        <v>21</v>
      </c>
      <c r="H78" t="s">
        <v>22</v>
      </c>
      <c r="I78" t="s">
        <v>42</v>
      </c>
      <c r="J78" t="s">
        <v>162</v>
      </c>
      <c r="K78" s="3">
        <v>18189.47</v>
      </c>
      <c r="L78" s="3">
        <v>8315.19</v>
      </c>
      <c r="M78">
        <v>3</v>
      </c>
      <c r="N78" s="4">
        <v>0.05</v>
      </c>
      <c r="O78" t="s">
        <v>76</v>
      </c>
      <c r="P78" t="s">
        <v>58</v>
      </c>
    </row>
    <row r="79" spans="1:16">
      <c r="A79" t="s">
        <v>227</v>
      </c>
      <c r="B79" s="2">
        <v>45895</v>
      </c>
      <c r="C79" t="s">
        <v>93</v>
      </c>
      <c r="D79" t="s">
        <v>94</v>
      </c>
      <c r="E79" t="s">
        <v>87</v>
      </c>
      <c r="F79" t="s">
        <v>88</v>
      </c>
      <c r="G79" t="s">
        <v>89</v>
      </c>
      <c r="H79" t="s">
        <v>90</v>
      </c>
      <c r="I79" t="s">
        <v>84</v>
      </c>
      <c r="J79" t="s">
        <v>142</v>
      </c>
      <c r="K79" s="3">
        <v>25802.47</v>
      </c>
      <c r="L79" s="3">
        <v>9174.2000000000007</v>
      </c>
      <c r="M79">
        <v>5</v>
      </c>
      <c r="N79" s="4">
        <v>0.05</v>
      </c>
      <c r="O79" t="s">
        <v>44</v>
      </c>
      <c r="P79" t="s">
        <v>58</v>
      </c>
    </row>
    <row r="80" spans="1:16">
      <c r="A80" t="s">
        <v>228</v>
      </c>
      <c r="B80" s="2">
        <v>45306</v>
      </c>
      <c r="C80" t="s">
        <v>158</v>
      </c>
      <c r="D80" t="s">
        <v>159</v>
      </c>
      <c r="E80" t="s">
        <v>117</v>
      </c>
      <c r="F80" t="s">
        <v>118</v>
      </c>
      <c r="G80" t="s">
        <v>51</v>
      </c>
      <c r="H80" t="s">
        <v>119</v>
      </c>
      <c r="I80" t="s">
        <v>84</v>
      </c>
      <c r="J80" t="s">
        <v>142</v>
      </c>
      <c r="K80" s="3">
        <v>26556.35</v>
      </c>
      <c r="L80" s="3">
        <v>20819.599999999999</v>
      </c>
      <c r="M80">
        <v>5</v>
      </c>
      <c r="N80" s="4">
        <v>0</v>
      </c>
      <c r="O80" t="s">
        <v>34</v>
      </c>
      <c r="P80" t="s">
        <v>45</v>
      </c>
    </row>
    <row r="81" spans="1:16">
      <c r="A81" t="s">
        <v>229</v>
      </c>
      <c r="B81" s="2">
        <v>45794</v>
      </c>
      <c r="C81" t="s">
        <v>60</v>
      </c>
      <c r="D81" t="s">
        <v>61</v>
      </c>
      <c r="E81" t="s">
        <v>152</v>
      </c>
      <c r="F81" t="s">
        <v>153</v>
      </c>
      <c r="G81" t="s">
        <v>21</v>
      </c>
      <c r="H81" t="s">
        <v>32</v>
      </c>
      <c r="I81" t="s">
        <v>42</v>
      </c>
      <c r="J81" t="s">
        <v>68</v>
      </c>
      <c r="K81" s="3">
        <v>11051.2</v>
      </c>
      <c r="L81" s="3">
        <v>8596.35</v>
      </c>
      <c r="M81">
        <v>1</v>
      </c>
      <c r="N81" s="4">
        <v>0.15</v>
      </c>
      <c r="O81" t="s">
        <v>136</v>
      </c>
      <c r="P81" t="s">
        <v>98</v>
      </c>
    </row>
    <row r="82" spans="1:16">
      <c r="A82" t="s">
        <v>230</v>
      </c>
      <c r="B82" s="2">
        <v>45550</v>
      </c>
      <c r="C82" t="s">
        <v>231</v>
      </c>
      <c r="D82" t="s">
        <v>232</v>
      </c>
      <c r="E82" t="s">
        <v>117</v>
      </c>
      <c r="F82" t="s">
        <v>118</v>
      </c>
      <c r="G82" t="s">
        <v>51</v>
      </c>
      <c r="H82" t="s">
        <v>119</v>
      </c>
      <c r="I82" t="s">
        <v>23</v>
      </c>
      <c r="J82" t="s">
        <v>24</v>
      </c>
      <c r="K82" s="3">
        <v>18460.13</v>
      </c>
      <c r="L82" s="3">
        <v>16610.72</v>
      </c>
      <c r="M82">
        <v>4</v>
      </c>
      <c r="N82" s="4">
        <v>0.15</v>
      </c>
      <c r="O82" t="s">
        <v>25</v>
      </c>
      <c r="P82" t="s">
        <v>58</v>
      </c>
    </row>
    <row r="83" spans="1:16">
      <c r="A83" t="s">
        <v>233</v>
      </c>
      <c r="B83" s="2">
        <v>45868</v>
      </c>
      <c r="C83" t="s">
        <v>47</v>
      </c>
      <c r="D83" t="s">
        <v>48</v>
      </c>
      <c r="E83" t="s">
        <v>152</v>
      </c>
      <c r="F83" t="s">
        <v>153</v>
      </c>
      <c r="G83" t="s">
        <v>21</v>
      </c>
      <c r="H83" t="s">
        <v>32</v>
      </c>
      <c r="I83" t="s">
        <v>53</v>
      </c>
      <c r="J83" t="s">
        <v>54</v>
      </c>
      <c r="K83" s="3">
        <v>25697.42</v>
      </c>
      <c r="L83" s="3">
        <v>22008.87</v>
      </c>
      <c r="M83">
        <v>3</v>
      </c>
      <c r="N83" s="4">
        <v>0.2</v>
      </c>
      <c r="O83" t="s">
        <v>136</v>
      </c>
      <c r="P83" t="s">
        <v>58</v>
      </c>
    </row>
    <row r="84" spans="1:16">
      <c r="A84" t="s">
        <v>234</v>
      </c>
      <c r="B84" s="2">
        <v>45753</v>
      </c>
      <c r="C84" t="s">
        <v>79</v>
      </c>
      <c r="D84" t="s">
        <v>80</v>
      </c>
      <c r="E84" t="s">
        <v>182</v>
      </c>
      <c r="F84" t="s">
        <v>183</v>
      </c>
      <c r="G84" t="s">
        <v>89</v>
      </c>
      <c r="H84" t="s">
        <v>90</v>
      </c>
      <c r="I84" t="s">
        <v>56</v>
      </c>
      <c r="J84" t="s">
        <v>91</v>
      </c>
      <c r="K84" s="3">
        <v>37415.160000000003</v>
      </c>
      <c r="L84" s="3">
        <v>23027.279999999999</v>
      </c>
      <c r="M84">
        <v>4</v>
      </c>
      <c r="N84" s="4">
        <v>0.15</v>
      </c>
      <c r="O84" t="s">
        <v>44</v>
      </c>
      <c r="P84" t="s">
        <v>58</v>
      </c>
    </row>
    <row r="85" spans="1:16">
      <c r="A85" t="s">
        <v>235</v>
      </c>
      <c r="B85" s="2">
        <v>45504</v>
      </c>
      <c r="C85" t="s">
        <v>155</v>
      </c>
      <c r="D85" t="s">
        <v>156</v>
      </c>
      <c r="E85" t="s">
        <v>19</v>
      </c>
      <c r="F85" t="s">
        <v>20</v>
      </c>
      <c r="G85" t="s">
        <v>21</v>
      </c>
      <c r="H85" t="s">
        <v>22</v>
      </c>
      <c r="I85" t="s">
        <v>53</v>
      </c>
      <c r="J85" t="s">
        <v>54</v>
      </c>
      <c r="K85" s="3">
        <v>7254.01</v>
      </c>
      <c r="L85" s="3">
        <v>5717.58</v>
      </c>
      <c r="M85">
        <v>2</v>
      </c>
      <c r="N85" s="4">
        <v>0.05</v>
      </c>
      <c r="O85" t="s">
        <v>76</v>
      </c>
      <c r="P85" t="s">
        <v>58</v>
      </c>
    </row>
    <row r="86" spans="1:16">
      <c r="A86" t="s">
        <v>236</v>
      </c>
      <c r="B86" s="2">
        <v>45753</v>
      </c>
      <c r="C86" t="s">
        <v>200</v>
      </c>
      <c r="D86" t="s">
        <v>201</v>
      </c>
      <c r="E86" t="s">
        <v>30</v>
      </c>
      <c r="F86" t="s">
        <v>31</v>
      </c>
      <c r="G86" t="s">
        <v>21</v>
      </c>
      <c r="H86" t="s">
        <v>32</v>
      </c>
      <c r="I86" t="s">
        <v>56</v>
      </c>
      <c r="J86" t="s">
        <v>91</v>
      </c>
      <c r="K86" s="3">
        <v>243570.91</v>
      </c>
      <c r="L86" s="3">
        <v>238555.8</v>
      </c>
      <c r="M86">
        <v>5</v>
      </c>
      <c r="N86" s="4">
        <v>0.1</v>
      </c>
      <c r="O86" t="s">
        <v>44</v>
      </c>
      <c r="P86" t="s">
        <v>98</v>
      </c>
    </row>
    <row r="87" spans="1:16">
      <c r="A87" t="s">
        <v>237</v>
      </c>
      <c r="B87" s="2">
        <v>45932</v>
      </c>
      <c r="C87" t="s">
        <v>100</v>
      </c>
      <c r="D87" t="s">
        <v>101</v>
      </c>
      <c r="E87" t="s">
        <v>72</v>
      </c>
      <c r="F87" t="s">
        <v>73</v>
      </c>
      <c r="G87" t="s">
        <v>51</v>
      </c>
      <c r="H87" t="s">
        <v>74</v>
      </c>
      <c r="I87" t="s">
        <v>84</v>
      </c>
      <c r="J87" t="s">
        <v>142</v>
      </c>
      <c r="K87" s="3">
        <v>40943.86</v>
      </c>
      <c r="L87" s="3">
        <v>20644.75</v>
      </c>
      <c r="M87">
        <v>5</v>
      </c>
      <c r="N87" s="4">
        <v>0.15</v>
      </c>
      <c r="O87" t="s">
        <v>25</v>
      </c>
      <c r="P87" t="s">
        <v>58</v>
      </c>
    </row>
    <row r="88" spans="1:16">
      <c r="A88" t="s">
        <v>238</v>
      </c>
      <c r="B88" s="2">
        <v>45437</v>
      </c>
      <c r="C88" t="s">
        <v>17</v>
      </c>
      <c r="D88" t="s">
        <v>18</v>
      </c>
      <c r="E88" t="s">
        <v>152</v>
      </c>
      <c r="F88" t="s">
        <v>153</v>
      </c>
      <c r="G88" t="s">
        <v>21</v>
      </c>
      <c r="H88" t="s">
        <v>32</v>
      </c>
      <c r="I88" t="s">
        <v>84</v>
      </c>
      <c r="J88" t="s">
        <v>142</v>
      </c>
      <c r="K88" s="3">
        <v>11632.09</v>
      </c>
      <c r="L88" s="3">
        <v>7295.42</v>
      </c>
      <c r="M88">
        <v>1</v>
      </c>
      <c r="N88" s="4">
        <v>0.2</v>
      </c>
      <c r="O88" t="s">
        <v>34</v>
      </c>
      <c r="P88" t="s">
        <v>45</v>
      </c>
    </row>
    <row r="89" spans="1:16">
      <c r="A89" t="s">
        <v>239</v>
      </c>
      <c r="B89" s="2">
        <v>45997</v>
      </c>
      <c r="C89" t="s">
        <v>170</v>
      </c>
      <c r="D89" t="s">
        <v>171</v>
      </c>
      <c r="E89" t="s">
        <v>19</v>
      </c>
      <c r="F89" t="s">
        <v>20</v>
      </c>
      <c r="G89" t="s">
        <v>21</v>
      </c>
      <c r="H89" t="s">
        <v>22</v>
      </c>
      <c r="I89" t="s">
        <v>56</v>
      </c>
      <c r="J89" t="s">
        <v>191</v>
      </c>
      <c r="K89" s="3">
        <v>20824.060000000001</v>
      </c>
      <c r="L89" s="3">
        <v>9359.52</v>
      </c>
      <c r="M89">
        <v>3</v>
      </c>
      <c r="N89" s="4">
        <v>0.2</v>
      </c>
      <c r="O89" t="s">
        <v>34</v>
      </c>
      <c r="P89" t="s">
        <v>98</v>
      </c>
    </row>
    <row r="90" spans="1:16">
      <c r="A90" t="s">
        <v>240</v>
      </c>
      <c r="B90" s="2">
        <v>45332</v>
      </c>
      <c r="C90" t="s">
        <v>170</v>
      </c>
      <c r="D90" t="s">
        <v>171</v>
      </c>
      <c r="E90" t="s">
        <v>62</v>
      </c>
      <c r="F90" t="s">
        <v>63</v>
      </c>
      <c r="G90" t="s">
        <v>21</v>
      </c>
      <c r="H90" t="s">
        <v>64</v>
      </c>
      <c r="I90" t="s">
        <v>42</v>
      </c>
      <c r="J90" t="s">
        <v>43</v>
      </c>
      <c r="K90" s="3">
        <v>18892.2</v>
      </c>
      <c r="L90" s="3">
        <v>7537.72</v>
      </c>
      <c r="M90">
        <v>4</v>
      </c>
      <c r="N90" s="4">
        <v>0</v>
      </c>
      <c r="O90" t="s">
        <v>25</v>
      </c>
      <c r="P90" t="s">
        <v>58</v>
      </c>
    </row>
    <row r="91" spans="1:16">
      <c r="A91" t="s">
        <v>241</v>
      </c>
      <c r="B91" s="2">
        <v>45313</v>
      </c>
      <c r="C91" t="s">
        <v>130</v>
      </c>
      <c r="D91" t="s">
        <v>131</v>
      </c>
      <c r="E91" t="s">
        <v>95</v>
      </c>
      <c r="F91" t="s">
        <v>96</v>
      </c>
      <c r="G91" t="s">
        <v>89</v>
      </c>
      <c r="H91" t="s">
        <v>97</v>
      </c>
      <c r="I91" t="s">
        <v>42</v>
      </c>
      <c r="J91" t="s">
        <v>43</v>
      </c>
      <c r="K91" s="3">
        <v>22220.28</v>
      </c>
      <c r="L91" s="3">
        <v>10660.11</v>
      </c>
      <c r="M91">
        <v>3</v>
      </c>
      <c r="N91" s="4">
        <v>0.05</v>
      </c>
      <c r="O91" t="s">
        <v>136</v>
      </c>
      <c r="P91" t="s">
        <v>98</v>
      </c>
    </row>
    <row r="92" spans="1:16">
      <c r="A92" t="s">
        <v>242</v>
      </c>
      <c r="B92" s="2">
        <v>45738</v>
      </c>
      <c r="C92" t="s">
        <v>66</v>
      </c>
      <c r="D92" t="s">
        <v>67</v>
      </c>
      <c r="E92" t="s">
        <v>117</v>
      </c>
      <c r="F92" t="s">
        <v>118</v>
      </c>
      <c r="G92" t="s">
        <v>51</v>
      </c>
      <c r="H92" t="s">
        <v>119</v>
      </c>
      <c r="I92" t="s">
        <v>42</v>
      </c>
      <c r="J92" t="s">
        <v>43</v>
      </c>
      <c r="K92" s="3">
        <v>26660.28</v>
      </c>
      <c r="L92" s="3">
        <v>19688.599999999999</v>
      </c>
      <c r="M92">
        <v>4</v>
      </c>
      <c r="N92" s="4">
        <v>0.15</v>
      </c>
      <c r="O92" t="s">
        <v>44</v>
      </c>
      <c r="P92" t="s">
        <v>77</v>
      </c>
    </row>
    <row r="93" spans="1:16">
      <c r="A93" t="s">
        <v>243</v>
      </c>
      <c r="B93" s="2">
        <v>45456</v>
      </c>
      <c r="C93" t="s">
        <v>130</v>
      </c>
      <c r="D93" t="s">
        <v>131</v>
      </c>
      <c r="E93" t="s">
        <v>19</v>
      </c>
      <c r="F93" t="s">
        <v>20</v>
      </c>
      <c r="G93" t="s">
        <v>21</v>
      </c>
      <c r="H93" t="s">
        <v>22</v>
      </c>
      <c r="I93" t="s">
        <v>53</v>
      </c>
      <c r="J93" t="s">
        <v>102</v>
      </c>
      <c r="K93" s="3">
        <v>15693.85</v>
      </c>
      <c r="L93" s="3">
        <v>8840.9699999999993</v>
      </c>
      <c r="M93">
        <v>3</v>
      </c>
      <c r="N93" s="4">
        <v>0.15</v>
      </c>
      <c r="O93" t="s">
        <v>34</v>
      </c>
      <c r="P93" t="s">
        <v>58</v>
      </c>
    </row>
    <row r="94" spans="1:16">
      <c r="A94" t="s">
        <v>244</v>
      </c>
      <c r="B94" s="2">
        <v>45550</v>
      </c>
      <c r="C94" t="s">
        <v>170</v>
      </c>
      <c r="D94" t="s">
        <v>171</v>
      </c>
      <c r="E94" t="s">
        <v>62</v>
      </c>
      <c r="F94" t="s">
        <v>63</v>
      </c>
      <c r="G94" t="s">
        <v>21</v>
      </c>
      <c r="H94" t="s">
        <v>64</v>
      </c>
      <c r="I94" t="s">
        <v>84</v>
      </c>
      <c r="J94" t="s">
        <v>134</v>
      </c>
      <c r="K94" s="3">
        <v>13152.24</v>
      </c>
      <c r="L94" s="3">
        <v>4985.1899999999996</v>
      </c>
      <c r="M94">
        <v>3</v>
      </c>
      <c r="N94" s="4">
        <v>0.2</v>
      </c>
      <c r="O94" t="s">
        <v>25</v>
      </c>
      <c r="P94" t="s">
        <v>98</v>
      </c>
    </row>
    <row r="95" spans="1:16">
      <c r="A95" t="s">
        <v>245</v>
      </c>
      <c r="B95" s="2">
        <v>45822</v>
      </c>
      <c r="C95" t="s">
        <v>207</v>
      </c>
      <c r="D95" t="s">
        <v>208</v>
      </c>
      <c r="E95" t="s">
        <v>81</v>
      </c>
      <c r="F95" t="s">
        <v>82</v>
      </c>
      <c r="G95" t="s">
        <v>21</v>
      </c>
      <c r="H95" t="s">
        <v>83</v>
      </c>
      <c r="I95" t="s">
        <v>84</v>
      </c>
      <c r="J95" t="s">
        <v>85</v>
      </c>
      <c r="K95" s="3">
        <v>70271.98</v>
      </c>
      <c r="L95" s="3">
        <v>55324.44</v>
      </c>
      <c r="M95">
        <v>3</v>
      </c>
      <c r="N95" s="4">
        <v>0.15</v>
      </c>
      <c r="O95" t="s">
        <v>25</v>
      </c>
      <c r="P95" t="s">
        <v>58</v>
      </c>
    </row>
    <row r="96" spans="1:16">
      <c r="A96" t="s">
        <v>246</v>
      </c>
      <c r="B96" s="2">
        <v>45586</v>
      </c>
      <c r="C96" t="s">
        <v>66</v>
      </c>
      <c r="D96" t="s">
        <v>67</v>
      </c>
      <c r="E96" t="s">
        <v>187</v>
      </c>
      <c r="F96" t="s">
        <v>188</v>
      </c>
      <c r="G96" t="s">
        <v>89</v>
      </c>
      <c r="H96" t="s">
        <v>189</v>
      </c>
      <c r="I96" t="s">
        <v>23</v>
      </c>
      <c r="J96" t="s">
        <v>75</v>
      </c>
      <c r="K96" s="3">
        <v>37901.72</v>
      </c>
      <c r="L96" s="3">
        <v>23675.72</v>
      </c>
      <c r="M96">
        <v>4</v>
      </c>
      <c r="N96" s="4">
        <v>0</v>
      </c>
      <c r="O96" t="s">
        <v>34</v>
      </c>
      <c r="P96" t="s">
        <v>58</v>
      </c>
    </row>
    <row r="97" spans="1:16">
      <c r="A97" t="s">
        <v>247</v>
      </c>
      <c r="B97" s="2">
        <v>45856</v>
      </c>
      <c r="C97" t="s">
        <v>60</v>
      </c>
      <c r="D97" t="s">
        <v>61</v>
      </c>
      <c r="E97" t="s">
        <v>117</v>
      </c>
      <c r="F97" t="s">
        <v>118</v>
      </c>
      <c r="G97" t="s">
        <v>51</v>
      </c>
      <c r="H97" t="s">
        <v>119</v>
      </c>
      <c r="I97" t="s">
        <v>84</v>
      </c>
      <c r="J97" t="s">
        <v>142</v>
      </c>
      <c r="K97" s="3">
        <v>5595.53</v>
      </c>
      <c r="L97" s="3">
        <v>4547.03</v>
      </c>
      <c r="M97">
        <v>1</v>
      </c>
      <c r="N97" s="4">
        <v>0</v>
      </c>
      <c r="O97" t="s">
        <v>136</v>
      </c>
      <c r="P97" t="s">
        <v>58</v>
      </c>
    </row>
    <row r="98" spans="1:16">
      <c r="A98" t="s">
        <v>248</v>
      </c>
      <c r="B98" s="2">
        <v>45590</v>
      </c>
      <c r="C98" t="s">
        <v>17</v>
      </c>
      <c r="D98" t="s">
        <v>18</v>
      </c>
      <c r="E98" t="s">
        <v>152</v>
      </c>
      <c r="F98" t="s">
        <v>153</v>
      </c>
      <c r="G98" t="s">
        <v>21</v>
      </c>
      <c r="H98" t="s">
        <v>32</v>
      </c>
      <c r="I98" t="s">
        <v>56</v>
      </c>
      <c r="J98" t="s">
        <v>191</v>
      </c>
      <c r="K98" s="3">
        <v>50511.46</v>
      </c>
      <c r="L98" s="3">
        <v>41643.300000000003</v>
      </c>
      <c r="M98">
        <v>5</v>
      </c>
      <c r="N98" s="4">
        <v>0.15</v>
      </c>
      <c r="O98" t="s">
        <v>136</v>
      </c>
      <c r="P98" t="s">
        <v>58</v>
      </c>
    </row>
    <row r="99" spans="1:16">
      <c r="A99" t="s">
        <v>249</v>
      </c>
      <c r="B99" s="2">
        <v>45684</v>
      </c>
      <c r="C99" t="s">
        <v>170</v>
      </c>
      <c r="D99" t="s">
        <v>171</v>
      </c>
      <c r="E99" t="s">
        <v>187</v>
      </c>
      <c r="F99" t="s">
        <v>188</v>
      </c>
      <c r="G99" t="s">
        <v>89</v>
      </c>
      <c r="H99" t="s">
        <v>189</v>
      </c>
      <c r="I99" t="s">
        <v>23</v>
      </c>
      <c r="J99" t="s">
        <v>75</v>
      </c>
      <c r="K99" s="3">
        <v>18309.099999999999</v>
      </c>
      <c r="L99" s="3">
        <v>11928.1</v>
      </c>
      <c r="M99">
        <v>2</v>
      </c>
      <c r="N99" s="4">
        <v>0.05</v>
      </c>
      <c r="O99" t="s">
        <v>25</v>
      </c>
      <c r="P99" t="s">
        <v>45</v>
      </c>
    </row>
    <row r="100" spans="1:16">
      <c r="A100" t="s">
        <v>250</v>
      </c>
      <c r="B100" s="2">
        <v>45811</v>
      </c>
      <c r="C100" t="s">
        <v>79</v>
      </c>
      <c r="D100" t="s">
        <v>80</v>
      </c>
      <c r="E100" t="s">
        <v>132</v>
      </c>
      <c r="F100" t="s">
        <v>133</v>
      </c>
      <c r="G100" t="s">
        <v>40</v>
      </c>
      <c r="H100" t="s">
        <v>41</v>
      </c>
      <c r="I100" t="s">
        <v>84</v>
      </c>
      <c r="J100" t="s">
        <v>134</v>
      </c>
      <c r="K100" s="3">
        <v>1594.11</v>
      </c>
      <c r="L100" s="3">
        <v>798.09</v>
      </c>
      <c r="M100">
        <v>3</v>
      </c>
      <c r="N100" s="4">
        <v>0.1</v>
      </c>
      <c r="O100" t="s">
        <v>34</v>
      </c>
      <c r="P100" t="s">
        <v>98</v>
      </c>
    </row>
    <row r="101" spans="1:16">
      <c r="A101" t="s">
        <v>251</v>
      </c>
      <c r="B101" s="2">
        <v>45787</v>
      </c>
      <c r="C101" t="s">
        <v>47</v>
      </c>
      <c r="D101" t="s">
        <v>48</v>
      </c>
      <c r="E101" t="s">
        <v>38</v>
      </c>
      <c r="F101" t="s">
        <v>39</v>
      </c>
      <c r="G101" t="s">
        <v>40</v>
      </c>
      <c r="H101" t="s">
        <v>41</v>
      </c>
      <c r="I101" t="s">
        <v>56</v>
      </c>
      <c r="J101" t="s">
        <v>57</v>
      </c>
      <c r="K101" s="3">
        <v>4642.53</v>
      </c>
      <c r="L101" s="3">
        <v>1449.72</v>
      </c>
      <c r="M101">
        <v>3</v>
      </c>
      <c r="N101" s="4">
        <v>0.15</v>
      </c>
      <c r="O101" t="s">
        <v>136</v>
      </c>
      <c r="P101" t="s">
        <v>77</v>
      </c>
    </row>
    <row r="102" spans="1:16">
      <c r="A102" t="s">
        <v>252</v>
      </c>
      <c r="B102" s="2">
        <v>45684</v>
      </c>
      <c r="C102" t="s">
        <v>144</v>
      </c>
      <c r="D102" t="s">
        <v>145</v>
      </c>
      <c r="E102" t="s">
        <v>72</v>
      </c>
      <c r="F102" t="s">
        <v>73</v>
      </c>
      <c r="G102" t="s">
        <v>51</v>
      </c>
      <c r="H102" t="s">
        <v>74</v>
      </c>
      <c r="I102" t="s">
        <v>42</v>
      </c>
      <c r="J102" t="s">
        <v>43</v>
      </c>
      <c r="K102" s="3">
        <v>12145.46</v>
      </c>
      <c r="L102" s="3">
        <v>8569.6200000000008</v>
      </c>
      <c r="M102">
        <v>2</v>
      </c>
      <c r="N102" s="4">
        <v>0.1</v>
      </c>
      <c r="O102" t="s">
        <v>136</v>
      </c>
      <c r="P102" t="s">
        <v>26</v>
      </c>
    </row>
    <row r="103" spans="1:16">
      <c r="A103" t="s">
        <v>253</v>
      </c>
      <c r="B103" s="2">
        <v>45329</v>
      </c>
      <c r="C103" t="s">
        <v>104</v>
      </c>
      <c r="D103" t="s">
        <v>105</v>
      </c>
      <c r="E103" t="s">
        <v>152</v>
      </c>
      <c r="F103" t="s">
        <v>153</v>
      </c>
      <c r="G103" t="s">
        <v>21</v>
      </c>
      <c r="H103" t="s">
        <v>32</v>
      </c>
      <c r="I103" t="s">
        <v>56</v>
      </c>
      <c r="J103" t="s">
        <v>191</v>
      </c>
      <c r="K103" s="3">
        <v>26229.74</v>
      </c>
      <c r="L103" s="3">
        <v>16007.34</v>
      </c>
      <c r="M103">
        <v>2</v>
      </c>
      <c r="N103" s="4">
        <v>0</v>
      </c>
      <c r="O103" t="s">
        <v>136</v>
      </c>
      <c r="P103" t="s">
        <v>58</v>
      </c>
    </row>
    <row r="104" spans="1:16">
      <c r="A104" t="s">
        <v>254</v>
      </c>
      <c r="B104" s="2">
        <v>45439</v>
      </c>
      <c r="C104" t="s">
        <v>114</v>
      </c>
      <c r="D104" t="s">
        <v>115</v>
      </c>
      <c r="E104" t="s">
        <v>38</v>
      </c>
      <c r="F104" t="s">
        <v>39</v>
      </c>
      <c r="G104" t="s">
        <v>40</v>
      </c>
      <c r="H104" t="s">
        <v>41</v>
      </c>
      <c r="I104" t="s">
        <v>23</v>
      </c>
      <c r="J104" t="s">
        <v>24</v>
      </c>
      <c r="K104" s="3">
        <v>8607.7199999999993</v>
      </c>
      <c r="L104" s="3">
        <v>2148.36</v>
      </c>
      <c r="M104">
        <v>4</v>
      </c>
      <c r="N104" s="4">
        <v>0</v>
      </c>
      <c r="O104" t="s">
        <v>136</v>
      </c>
      <c r="P104" t="s">
        <v>45</v>
      </c>
    </row>
    <row r="105" spans="1:16">
      <c r="A105" t="s">
        <v>255</v>
      </c>
      <c r="B105" s="2">
        <v>45699</v>
      </c>
      <c r="C105" t="s">
        <v>231</v>
      </c>
      <c r="D105" t="s">
        <v>232</v>
      </c>
      <c r="E105" t="s">
        <v>193</v>
      </c>
      <c r="F105" t="s">
        <v>194</v>
      </c>
      <c r="G105" t="s">
        <v>89</v>
      </c>
      <c r="H105" t="s">
        <v>90</v>
      </c>
      <c r="I105" t="s">
        <v>42</v>
      </c>
      <c r="J105" t="s">
        <v>162</v>
      </c>
      <c r="K105" s="3">
        <v>1298.25</v>
      </c>
      <c r="L105" s="3">
        <v>535.17999999999995</v>
      </c>
      <c r="M105">
        <v>1</v>
      </c>
      <c r="N105" s="4">
        <v>0.2</v>
      </c>
      <c r="O105" t="s">
        <v>136</v>
      </c>
      <c r="P105" t="s">
        <v>77</v>
      </c>
    </row>
    <row r="106" spans="1:16">
      <c r="A106" t="s">
        <v>256</v>
      </c>
      <c r="B106" s="2">
        <v>45846</v>
      </c>
      <c r="C106" t="s">
        <v>17</v>
      </c>
      <c r="D106" t="s">
        <v>18</v>
      </c>
      <c r="E106" t="s">
        <v>87</v>
      </c>
      <c r="F106" t="s">
        <v>88</v>
      </c>
      <c r="G106" t="s">
        <v>89</v>
      </c>
      <c r="H106" t="s">
        <v>90</v>
      </c>
      <c r="I106" t="s">
        <v>53</v>
      </c>
      <c r="J106" t="s">
        <v>102</v>
      </c>
      <c r="K106" s="3">
        <v>2550.5500000000002</v>
      </c>
      <c r="L106" s="3">
        <v>1842.29</v>
      </c>
      <c r="M106">
        <v>1</v>
      </c>
      <c r="N106" s="4">
        <v>0.1</v>
      </c>
      <c r="O106" t="s">
        <v>76</v>
      </c>
      <c r="P106" t="s">
        <v>58</v>
      </c>
    </row>
    <row r="107" spans="1:16">
      <c r="A107" t="s">
        <v>257</v>
      </c>
      <c r="B107" s="2">
        <v>45940</v>
      </c>
      <c r="C107" t="s">
        <v>207</v>
      </c>
      <c r="D107" t="s">
        <v>208</v>
      </c>
      <c r="E107" t="s">
        <v>19</v>
      </c>
      <c r="F107" t="s">
        <v>20</v>
      </c>
      <c r="G107" t="s">
        <v>21</v>
      </c>
      <c r="H107" t="s">
        <v>22</v>
      </c>
      <c r="I107" t="s">
        <v>53</v>
      </c>
      <c r="J107" t="s">
        <v>54</v>
      </c>
      <c r="K107" s="3">
        <v>7274.17</v>
      </c>
      <c r="L107" s="3">
        <v>2966.21</v>
      </c>
      <c r="M107">
        <v>1</v>
      </c>
      <c r="N107" s="4">
        <v>0</v>
      </c>
      <c r="O107" t="s">
        <v>25</v>
      </c>
      <c r="P107" t="s">
        <v>77</v>
      </c>
    </row>
    <row r="108" spans="1:16">
      <c r="A108" t="s">
        <v>258</v>
      </c>
      <c r="B108" s="2">
        <v>45675</v>
      </c>
      <c r="C108" t="s">
        <v>28</v>
      </c>
      <c r="D108" t="s">
        <v>29</v>
      </c>
      <c r="E108" t="s">
        <v>123</v>
      </c>
      <c r="F108" t="s">
        <v>124</v>
      </c>
      <c r="G108" t="s">
        <v>51</v>
      </c>
      <c r="H108" t="s">
        <v>125</v>
      </c>
      <c r="I108" t="s">
        <v>84</v>
      </c>
      <c r="J108" t="s">
        <v>134</v>
      </c>
      <c r="K108" s="3">
        <v>94835.23</v>
      </c>
      <c r="L108" s="3">
        <v>66896.2</v>
      </c>
      <c r="M108">
        <v>4</v>
      </c>
      <c r="N108" s="4">
        <v>0.2</v>
      </c>
      <c r="O108" t="s">
        <v>76</v>
      </c>
      <c r="P108" t="s">
        <v>58</v>
      </c>
    </row>
    <row r="109" spans="1:16">
      <c r="A109" t="s">
        <v>259</v>
      </c>
      <c r="B109" s="2">
        <v>45683</v>
      </c>
      <c r="C109" t="s">
        <v>200</v>
      </c>
      <c r="D109" t="s">
        <v>201</v>
      </c>
      <c r="E109" t="s">
        <v>62</v>
      </c>
      <c r="F109" t="s">
        <v>63</v>
      </c>
      <c r="G109" t="s">
        <v>21</v>
      </c>
      <c r="H109" t="s">
        <v>64</v>
      </c>
      <c r="I109" t="s">
        <v>42</v>
      </c>
      <c r="J109" t="s">
        <v>43</v>
      </c>
      <c r="K109" s="3">
        <v>16990.16</v>
      </c>
      <c r="L109" s="3">
        <v>9329.65</v>
      </c>
      <c r="M109">
        <v>5</v>
      </c>
      <c r="N109" s="4">
        <v>0.2</v>
      </c>
      <c r="O109" t="s">
        <v>76</v>
      </c>
      <c r="P109" t="s">
        <v>58</v>
      </c>
    </row>
    <row r="110" spans="1:16">
      <c r="A110" t="s">
        <v>260</v>
      </c>
      <c r="B110" s="2">
        <v>45553</v>
      </c>
      <c r="C110" t="s">
        <v>170</v>
      </c>
      <c r="D110" t="s">
        <v>171</v>
      </c>
      <c r="E110" t="s">
        <v>175</v>
      </c>
      <c r="F110" t="s">
        <v>176</v>
      </c>
      <c r="G110" t="s">
        <v>51</v>
      </c>
      <c r="H110" t="s">
        <v>177</v>
      </c>
      <c r="I110" t="s">
        <v>56</v>
      </c>
      <c r="J110" t="s">
        <v>191</v>
      </c>
      <c r="K110" s="3">
        <v>22023.69</v>
      </c>
      <c r="L110" s="3">
        <v>17276.509999999998</v>
      </c>
      <c r="M110">
        <v>1</v>
      </c>
      <c r="N110" s="4">
        <v>0.1</v>
      </c>
      <c r="O110" t="s">
        <v>34</v>
      </c>
      <c r="P110" t="s">
        <v>58</v>
      </c>
    </row>
    <row r="111" spans="1:16">
      <c r="A111" t="s">
        <v>261</v>
      </c>
      <c r="B111" s="2">
        <v>45893</v>
      </c>
      <c r="C111" t="s">
        <v>100</v>
      </c>
      <c r="D111" t="s">
        <v>101</v>
      </c>
      <c r="E111" t="s">
        <v>38</v>
      </c>
      <c r="F111" t="s">
        <v>39</v>
      </c>
      <c r="G111" t="s">
        <v>40</v>
      </c>
      <c r="H111" t="s">
        <v>41</v>
      </c>
      <c r="I111" t="s">
        <v>84</v>
      </c>
      <c r="J111" t="s">
        <v>134</v>
      </c>
      <c r="K111" s="3">
        <v>3453</v>
      </c>
      <c r="L111" s="3">
        <v>1541.67</v>
      </c>
      <c r="M111">
        <v>3</v>
      </c>
      <c r="N111" s="4">
        <v>0.1</v>
      </c>
      <c r="O111" t="s">
        <v>136</v>
      </c>
      <c r="P111" t="s">
        <v>45</v>
      </c>
    </row>
    <row r="112" spans="1:16">
      <c r="A112" t="s">
        <v>262</v>
      </c>
      <c r="B112" s="2">
        <v>45786</v>
      </c>
      <c r="C112" t="s">
        <v>144</v>
      </c>
      <c r="D112" t="s">
        <v>145</v>
      </c>
      <c r="E112" t="s">
        <v>106</v>
      </c>
      <c r="F112" t="s">
        <v>107</v>
      </c>
      <c r="G112" t="s">
        <v>40</v>
      </c>
      <c r="H112" t="s">
        <v>108</v>
      </c>
      <c r="I112" t="s">
        <v>53</v>
      </c>
      <c r="J112" t="s">
        <v>102</v>
      </c>
      <c r="K112" s="3">
        <v>1646.58</v>
      </c>
      <c r="L112" s="3">
        <v>663.21</v>
      </c>
      <c r="M112">
        <v>1</v>
      </c>
      <c r="N112" s="4">
        <v>0.2</v>
      </c>
      <c r="O112" t="s">
        <v>44</v>
      </c>
      <c r="P112" t="s">
        <v>45</v>
      </c>
    </row>
    <row r="113" spans="1:16">
      <c r="A113" t="s">
        <v>263</v>
      </c>
      <c r="B113" s="2">
        <v>45300</v>
      </c>
      <c r="C113" t="s">
        <v>140</v>
      </c>
      <c r="D113" t="s">
        <v>141</v>
      </c>
      <c r="E113" t="s">
        <v>106</v>
      </c>
      <c r="F113" t="s">
        <v>107</v>
      </c>
      <c r="G113" t="s">
        <v>40</v>
      </c>
      <c r="H113" t="s">
        <v>108</v>
      </c>
      <c r="I113" t="s">
        <v>84</v>
      </c>
      <c r="J113" t="s">
        <v>142</v>
      </c>
      <c r="K113" s="3">
        <v>12561.45</v>
      </c>
      <c r="L113" s="3">
        <v>3755.55</v>
      </c>
      <c r="M113">
        <v>5</v>
      </c>
      <c r="N113" s="4">
        <v>0</v>
      </c>
      <c r="O113" t="s">
        <v>34</v>
      </c>
      <c r="P113" t="s">
        <v>98</v>
      </c>
    </row>
    <row r="114" spans="1:16">
      <c r="A114" t="s">
        <v>264</v>
      </c>
      <c r="B114" s="2">
        <v>45652</v>
      </c>
      <c r="C114" t="s">
        <v>265</v>
      </c>
      <c r="D114" t="s">
        <v>266</v>
      </c>
      <c r="E114" t="s">
        <v>72</v>
      </c>
      <c r="F114" t="s">
        <v>73</v>
      </c>
      <c r="G114" t="s">
        <v>51</v>
      </c>
      <c r="H114" t="s">
        <v>74</v>
      </c>
      <c r="I114" t="s">
        <v>42</v>
      </c>
      <c r="J114" t="s">
        <v>43</v>
      </c>
      <c r="K114" s="3">
        <v>15023.91</v>
      </c>
      <c r="L114" s="3">
        <v>8218.58</v>
      </c>
      <c r="M114">
        <v>2</v>
      </c>
      <c r="N114" s="4">
        <v>0.05</v>
      </c>
      <c r="O114" t="s">
        <v>25</v>
      </c>
      <c r="P114" t="s">
        <v>58</v>
      </c>
    </row>
    <row r="115" spans="1:16">
      <c r="A115" t="s">
        <v>267</v>
      </c>
      <c r="B115" s="2">
        <v>45885</v>
      </c>
      <c r="C115" t="s">
        <v>265</v>
      </c>
      <c r="D115" t="s">
        <v>266</v>
      </c>
      <c r="E115" t="s">
        <v>38</v>
      </c>
      <c r="F115" t="s">
        <v>39</v>
      </c>
      <c r="G115" t="s">
        <v>40</v>
      </c>
      <c r="H115" t="s">
        <v>41</v>
      </c>
      <c r="I115" t="s">
        <v>23</v>
      </c>
      <c r="J115" t="s">
        <v>24</v>
      </c>
      <c r="K115" s="3">
        <v>2009.37</v>
      </c>
      <c r="L115" s="3">
        <v>1569.72</v>
      </c>
      <c r="M115">
        <v>3</v>
      </c>
      <c r="N115" s="4">
        <v>0.1</v>
      </c>
      <c r="O115" t="s">
        <v>44</v>
      </c>
      <c r="P115" t="s">
        <v>26</v>
      </c>
    </row>
    <row r="116" spans="1:16">
      <c r="A116" t="s">
        <v>268</v>
      </c>
      <c r="B116" s="2">
        <v>45844</v>
      </c>
      <c r="C116" t="s">
        <v>200</v>
      </c>
      <c r="D116" t="s">
        <v>201</v>
      </c>
      <c r="E116" t="s">
        <v>49</v>
      </c>
      <c r="F116" t="s">
        <v>50</v>
      </c>
      <c r="G116" t="s">
        <v>51</v>
      </c>
      <c r="H116" t="s">
        <v>52</v>
      </c>
      <c r="I116" t="s">
        <v>23</v>
      </c>
      <c r="J116" t="s">
        <v>75</v>
      </c>
      <c r="K116" s="3">
        <v>48794.94</v>
      </c>
      <c r="L116" s="3">
        <v>21129.57</v>
      </c>
      <c r="M116">
        <v>3</v>
      </c>
      <c r="N116" s="4">
        <v>0.05</v>
      </c>
      <c r="O116" t="s">
        <v>44</v>
      </c>
      <c r="P116" t="s">
        <v>98</v>
      </c>
    </row>
    <row r="117" spans="1:16">
      <c r="A117" t="s">
        <v>269</v>
      </c>
      <c r="B117" s="2">
        <v>45409</v>
      </c>
      <c r="C117" t="s">
        <v>265</v>
      </c>
      <c r="D117" t="s">
        <v>266</v>
      </c>
      <c r="E117" t="s">
        <v>110</v>
      </c>
      <c r="F117" t="s">
        <v>111</v>
      </c>
      <c r="G117" t="s">
        <v>40</v>
      </c>
      <c r="H117" t="s">
        <v>112</v>
      </c>
      <c r="I117" t="s">
        <v>53</v>
      </c>
      <c r="J117" t="s">
        <v>54</v>
      </c>
      <c r="K117" s="3">
        <v>7062.72</v>
      </c>
      <c r="L117" s="3">
        <v>5244.36</v>
      </c>
      <c r="M117">
        <v>4</v>
      </c>
      <c r="N117" s="4">
        <v>0.05</v>
      </c>
      <c r="O117" t="s">
        <v>136</v>
      </c>
      <c r="P117" t="s">
        <v>77</v>
      </c>
    </row>
    <row r="118" spans="1:16">
      <c r="A118" t="s">
        <v>270</v>
      </c>
      <c r="B118" s="2">
        <v>45562</v>
      </c>
      <c r="C118" t="s">
        <v>100</v>
      </c>
      <c r="D118" t="s">
        <v>101</v>
      </c>
      <c r="E118" t="s">
        <v>106</v>
      </c>
      <c r="F118" t="s">
        <v>107</v>
      </c>
      <c r="G118" t="s">
        <v>40</v>
      </c>
      <c r="H118" t="s">
        <v>108</v>
      </c>
      <c r="I118" t="s">
        <v>23</v>
      </c>
      <c r="J118" t="s">
        <v>24</v>
      </c>
      <c r="K118" s="3">
        <v>7249.01</v>
      </c>
      <c r="L118" s="3">
        <v>3236.5</v>
      </c>
      <c r="M118">
        <v>5</v>
      </c>
      <c r="N118" s="4">
        <v>0.1</v>
      </c>
      <c r="O118" t="s">
        <v>34</v>
      </c>
      <c r="P118" t="s">
        <v>26</v>
      </c>
    </row>
    <row r="119" spans="1:16">
      <c r="A119" t="s">
        <v>271</v>
      </c>
      <c r="B119" s="2">
        <v>45983</v>
      </c>
      <c r="C119" t="s">
        <v>17</v>
      </c>
      <c r="D119" t="s">
        <v>18</v>
      </c>
      <c r="E119" t="s">
        <v>172</v>
      </c>
      <c r="F119" t="s">
        <v>173</v>
      </c>
      <c r="G119" t="s">
        <v>40</v>
      </c>
      <c r="H119" t="s">
        <v>41</v>
      </c>
      <c r="I119" t="s">
        <v>23</v>
      </c>
      <c r="J119" t="s">
        <v>33</v>
      </c>
      <c r="K119" s="3">
        <v>4578.6899999999996</v>
      </c>
      <c r="L119" s="3">
        <v>1789.74</v>
      </c>
      <c r="M119">
        <v>2</v>
      </c>
      <c r="N119" s="4">
        <v>0.2</v>
      </c>
      <c r="O119" t="s">
        <v>44</v>
      </c>
      <c r="P119" t="s">
        <v>58</v>
      </c>
    </row>
    <row r="120" spans="1:16">
      <c r="A120" t="s">
        <v>272</v>
      </c>
      <c r="B120" s="2">
        <v>45767</v>
      </c>
      <c r="C120" t="s">
        <v>17</v>
      </c>
      <c r="D120" t="s">
        <v>18</v>
      </c>
      <c r="E120" t="s">
        <v>62</v>
      </c>
      <c r="F120" t="s">
        <v>63</v>
      </c>
      <c r="G120" t="s">
        <v>21</v>
      </c>
      <c r="H120" t="s">
        <v>64</v>
      </c>
      <c r="I120" t="s">
        <v>42</v>
      </c>
      <c r="J120" t="s">
        <v>68</v>
      </c>
      <c r="K120" s="3">
        <v>7617.51</v>
      </c>
      <c r="L120" s="3">
        <v>5561.19</v>
      </c>
      <c r="M120">
        <v>3</v>
      </c>
      <c r="N120" s="4">
        <v>0</v>
      </c>
      <c r="O120" t="s">
        <v>25</v>
      </c>
      <c r="P120" t="s">
        <v>45</v>
      </c>
    </row>
    <row r="121" spans="1:16">
      <c r="A121" t="s">
        <v>273</v>
      </c>
      <c r="B121" s="2">
        <v>45532</v>
      </c>
      <c r="C121" t="s">
        <v>197</v>
      </c>
      <c r="D121" t="s">
        <v>198</v>
      </c>
      <c r="E121" t="s">
        <v>19</v>
      </c>
      <c r="F121" t="s">
        <v>20</v>
      </c>
      <c r="G121" t="s">
        <v>21</v>
      </c>
      <c r="H121" t="s">
        <v>22</v>
      </c>
      <c r="I121" t="s">
        <v>23</v>
      </c>
      <c r="J121" t="s">
        <v>33</v>
      </c>
      <c r="K121" s="3">
        <v>23674.2</v>
      </c>
      <c r="L121" s="3">
        <v>13907</v>
      </c>
      <c r="M121">
        <v>5</v>
      </c>
      <c r="N121" s="4">
        <v>0.2</v>
      </c>
      <c r="O121" t="s">
        <v>136</v>
      </c>
      <c r="P121" t="s">
        <v>58</v>
      </c>
    </row>
    <row r="122" spans="1:16">
      <c r="A122" t="s">
        <v>274</v>
      </c>
      <c r="B122" s="2">
        <v>45793</v>
      </c>
      <c r="C122" t="s">
        <v>207</v>
      </c>
      <c r="D122" t="s">
        <v>208</v>
      </c>
      <c r="E122" t="s">
        <v>19</v>
      </c>
      <c r="F122" t="s">
        <v>20</v>
      </c>
      <c r="G122" t="s">
        <v>21</v>
      </c>
      <c r="H122" t="s">
        <v>22</v>
      </c>
      <c r="I122" t="s">
        <v>53</v>
      </c>
      <c r="J122" t="s">
        <v>102</v>
      </c>
      <c r="K122" s="3">
        <v>43632.9</v>
      </c>
      <c r="L122" s="3">
        <v>14724.35</v>
      </c>
      <c r="M122">
        <v>5</v>
      </c>
      <c r="N122" s="4">
        <v>0</v>
      </c>
      <c r="O122" t="s">
        <v>44</v>
      </c>
      <c r="P122" t="s">
        <v>58</v>
      </c>
    </row>
    <row r="123" spans="1:16">
      <c r="A123" t="s">
        <v>275</v>
      </c>
      <c r="B123" s="2">
        <v>45663</v>
      </c>
      <c r="C123" t="s">
        <v>170</v>
      </c>
      <c r="D123" t="s">
        <v>171</v>
      </c>
      <c r="E123" t="s">
        <v>38</v>
      </c>
      <c r="F123" t="s">
        <v>39</v>
      </c>
      <c r="G123" t="s">
        <v>40</v>
      </c>
      <c r="H123" t="s">
        <v>41</v>
      </c>
      <c r="I123" t="s">
        <v>84</v>
      </c>
      <c r="J123" t="s">
        <v>85</v>
      </c>
      <c r="K123" s="3">
        <v>1068.97</v>
      </c>
      <c r="L123" s="3">
        <v>548.09</v>
      </c>
      <c r="M123">
        <v>1</v>
      </c>
      <c r="N123" s="4">
        <v>0.1</v>
      </c>
      <c r="O123" t="s">
        <v>25</v>
      </c>
      <c r="P123" t="s">
        <v>26</v>
      </c>
    </row>
    <row r="124" spans="1:16">
      <c r="A124" t="s">
        <v>276</v>
      </c>
      <c r="B124" s="2">
        <v>45757</v>
      </c>
      <c r="C124" t="s">
        <v>66</v>
      </c>
      <c r="D124" t="s">
        <v>67</v>
      </c>
      <c r="E124" t="s">
        <v>49</v>
      </c>
      <c r="F124" t="s">
        <v>50</v>
      </c>
      <c r="G124" t="s">
        <v>51</v>
      </c>
      <c r="H124" t="s">
        <v>52</v>
      </c>
      <c r="I124" t="s">
        <v>23</v>
      </c>
      <c r="J124" t="s">
        <v>33</v>
      </c>
      <c r="K124" s="3">
        <v>11487.78</v>
      </c>
      <c r="L124" s="3">
        <v>7227.88</v>
      </c>
      <c r="M124">
        <v>1</v>
      </c>
      <c r="N124" s="4">
        <v>0.2</v>
      </c>
      <c r="O124" t="s">
        <v>25</v>
      </c>
      <c r="P124" t="s">
        <v>58</v>
      </c>
    </row>
    <row r="125" spans="1:16">
      <c r="A125" t="s">
        <v>277</v>
      </c>
      <c r="B125" s="2">
        <v>45870</v>
      </c>
      <c r="C125" t="s">
        <v>231</v>
      </c>
      <c r="D125" t="s">
        <v>232</v>
      </c>
      <c r="E125" t="s">
        <v>72</v>
      </c>
      <c r="F125" t="s">
        <v>73</v>
      </c>
      <c r="G125" t="s">
        <v>51</v>
      </c>
      <c r="H125" t="s">
        <v>74</v>
      </c>
      <c r="I125" t="s">
        <v>23</v>
      </c>
      <c r="J125" t="s">
        <v>75</v>
      </c>
      <c r="K125" s="3">
        <v>16536.97</v>
      </c>
      <c r="L125" s="3">
        <v>7309.78</v>
      </c>
      <c r="M125">
        <v>2</v>
      </c>
      <c r="N125" s="4">
        <v>0.05</v>
      </c>
      <c r="O125" t="s">
        <v>34</v>
      </c>
      <c r="P125" t="s">
        <v>58</v>
      </c>
    </row>
    <row r="126" spans="1:16">
      <c r="A126" t="s">
        <v>278</v>
      </c>
      <c r="B126" s="2">
        <v>45443</v>
      </c>
      <c r="C126" t="s">
        <v>36</v>
      </c>
      <c r="D126" t="s">
        <v>37</v>
      </c>
      <c r="E126" t="s">
        <v>110</v>
      </c>
      <c r="F126" t="s">
        <v>111</v>
      </c>
      <c r="G126" t="s">
        <v>40</v>
      </c>
      <c r="H126" t="s">
        <v>112</v>
      </c>
      <c r="I126" t="s">
        <v>53</v>
      </c>
      <c r="J126" t="s">
        <v>54</v>
      </c>
      <c r="K126" s="3">
        <v>21291.07</v>
      </c>
      <c r="L126" s="3">
        <v>5403.4</v>
      </c>
      <c r="M126">
        <v>5</v>
      </c>
      <c r="N126" s="4">
        <v>0.05</v>
      </c>
      <c r="O126" t="s">
        <v>76</v>
      </c>
      <c r="P126" t="s">
        <v>45</v>
      </c>
    </row>
    <row r="127" spans="1:16">
      <c r="A127" t="s">
        <v>279</v>
      </c>
      <c r="B127" s="2">
        <v>45318</v>
      </c>
      <c r="C127" t="s">
        <v>200</v>
      </c>
      <c r="D127" t="s">
        <v>201</v>
      </c>
      <c r="E127" t="s">
        <v>19</v>
      </c>
      <c r="F127" t="s">
        <v>20</v>
      </c>
      <c r="G127" t="s">
        <v>21</v>
      </c>
      <c r="H127" t="s">
        <v>22</v>
      </c>
      <c r="I127" t="s">
        <v>42</v>
      </c>
      <c r="J127" t="s">
        <v>68</v>
      </c>
      <c r="K127" s="3">
        <v>14849.47</v>
      </c>
      <c r="L127" s="3">
        <v>5417.84</v>
      </c>
      <c r="M127">
        <v>2</v>
      </c>
      <c r="N127" s="4">
        <v>0.05</v>
      </c>
      <c r="O127" t="s">
        <v>34</v>
      </c>
      <c r="P127" t="s">
        <v>77</v>
      </c>
    </row>
    <row r="128" spans="1:16">
      <c r="A128" t="s">
        <v>280</v>
      </c>
      <c r="B128" s="2">
        <v>45345</v>
      </c>
      <c r="C128" t="s">
        <v>140</v>
      </c>
      <c r="D128" t="s">
        <v>141</v>
      </c>
      <c r="E128" t="s">
        <v>117</v>
      </c>
      <c r="F128" t="s">
        <v>118</v>
      </c>
      <c r="G128" t="s">
        <v>51</v>
      </c>
      <c r="H128" t="s">
        <v>119</v>
      </c>
      <c r="I128" t="s">
        <v>84</v>
      </c>
      <c r="J128" t="s">
        <v>142</v>
      </c>
      <c r="K128" s="3">
        <v>16350.94</v>
      </c>
      <c r="L128" s="3">
        <v>9435.1</v>
      </c>
      <c r="M128">
        <v>2</v>
      </c>
      <c r="N128" s="4">
        <v>0</v>
      </c>
      <c r="O128" t="s">
        <v>136</v>
      </c>
      <c r="P128" t="s">
        <v>98</v>
      </c>
    </row>
    <row r="129" spans="1:16">
      <c r="A129" t="s">
        <v>281</v>
      </c>
      <c r="B129" s="2">
        <v>45899</v>
      </c>
      <c r="C129" t="s">
        <v>79</v>
      </c>
      <c r="D129" t="s">
        <v>80</v>
      </c>
      <c r="E129" t="s">
        <v>172</v>
      </c>
      <c r="F129" t="s">
        <v>173</v>
      </c>
      <c r="G129" t="s">
        <v>40</v>
      </c>
      <c r="H129" t="s">
        <v>41</v>
      </c>
      <c r="I129" t="s">
        <v>56</v>
      </c>
      <c r="J129" t="s">
        <v>57</v>
      </c>
      <c r="K129" s="3">
        <v>1336.7</v>
      </c>
      <c r="L129" s="3">
        <v>891.36</v>
      </c>
      <c r="M129">
        <v>1</v>
      </c>
      <c r="N129" s="4">
        <v>0.2</v>
      </c>
      <c r="O129" t="s">
        <v>25</v>
      </c>
      <c r="P129" t="s">
        <v>45</v>
      </c>
    </row>
    <row r="130" spans="1:16">
      <c r="A130" t="s">
        <v>282</v>
      </c>
      <c r="B130" s="2">
        <v>45782</v>
      </c>
      <c r="C130" t="s">
        <v>170</v>
      </c>
      <c r="D130" t="s">
        <v>171</v>
      </c>
      <c r="E130" t="s">
        <v>30</v>
      </c>
      <c r="F130" t="s">
        <v>31</v>
      </c>
      <c r="G130" t="s">
        <v>21</v>
      </c>
      <c r="H130" t="s">
        <v>32</v>
      </c>
      <c r="I130" t="s">
        <v>23</v>
      </c>
      <c r="J130" t="s">
        <v>24</v>
      </c>
      <c r="K130" s="3">
        <v>186909.87</v>
      </c>
      <c r="L130" s="3">
        <v>189168.92</v>
      </c>
      <c r="M130">
        <v>4</v>
      </c>
      <c r="N130" s="4">
        <v>0.15</v>
      </c>
      <c r="O130" t="s">
        <v>25</v>
      </c>
      <c r="P130" t="s">
        <v>58</v>
      </c>
    </row>
    <row r="131" spans="1:16">
      <c r="A131" t="s">
        <v>283</v>
      </c>
      <c r="B131" s="2">
        <v>45359</v>
      </c>
      <c r="C131" t="s">
        <v>231</v>
      </c>
      <c r="D131" t="s">
        <v>232</v>
      </c>
      <c r="E131" t="s">
        <v>193</v>
      </c>
      <c r="F131" t="s">
        <v>194</v>
      </c>
      <c r="G131" t="s">
        <v>89</v>
      </c>
      <c r="H131" t="s">
        <v>90</v>
      </c>
      <c r="I131" t="s">
        <v>23</v>
      </c>
      <c r="J131" t="s">
        <v>75</v>
      </c>
      <c r="K131" s="3">
        <v>2175.5</v>
      </c>
      <c r="L131" s="3">
        <v>955</v>
      </c>
      <c r="M131">
        <v>2</v>
      </c>
      <c r="N131" s="4">
        <v>0.2</v>
      </c>
      <c r="O131" t="s">
        <v>44</v>
      </c>
      <c r="P131" t="s">
        <v>26</v>
      </c>
    </row>
    <row r="132" spans="1:16">
      <c r="A132" t="s">
        <v>284</v>
      </c>
      <c r="B132" s="2">
        <v>45756</v>
      </c>
      <c r="C132" t="s">
        <v>155</v>
      </c>
      <c r="D132" t="s">
        <v>156</v>
      </c>
      <c r="E132" t="s">
        <v>182</v>
      </c>
      <c r="F132" t="s">
        <v>183</v>
      </c>
      <c r="G132" t="s">
        <v>89</v>
      </c>
      <c r="H132" t="s">
        <v>90</v>
      </c>
      <c r="I132" t="s">
        <v>84</v>
      </c>
      <c r="J132" t="s">
        <v>142</v>
      </c>
      <c r="K132" s="3">
        <v>37210.1</v>
      </c>
      <c r="L132" s="3">
        <v>30632.55</v>
      </c>
      <c r="M132">
        <v>5</v>
      </c>
      <c r="N132" s="4">
        <v>0</v>
      </c>
      <c r="O132" t="s">
        <v>34</v>
      </c>
      <c r="P132" t="s">
        <v>58</v>
      </c>
    </row>
    <row r="133" spans="1:16">
      <c r="A133" t="s">
        <v>285</v>
      </c>
      <c r="B133" s="2">
        <v>45715</v>
      </c>
      <c r="C133" t="s">
        <v>207</v>
      </c>
      <c r="D133" t="s">
        <v>208</v>
      </c>
      <c r="E133" t="s">
        <v>38</v>
      </c>
      <c r="F133" t="s">
        <v>39</v>
      </c>
      <c r="G133" t="s">
        <v>40</v>
      </c>
      <c r="H133" t="s">
        <v>41</v>
      </c>
      <c r="I133" t="s">
        <v>84</v>
      </c>
      <c r="J133" t="s">
        <v>85</v>
      </c>
      <c r="K133" s="3">
        <v>3713.91</v>
      </c>
      <c r="L133" s="3">
        <v>1598.22</v>
      </c>
      <c r="M133">
        <v>3</v>
      </c>
      <c r="N133" s="4">
        <v>0</v>
      </c>
      <c r="O133" t="s">
        <v>44</v>
      </c>
      <c r="P133" t="s">
        <v>26</v>
      </c>
    </row>
    <row r="134" spans="1:16">
      <c r="A134" t="s">
        <v>286</v>
      </c>
      <c r="B134" s="2">
        <v>45448</v>
      </c>
      <c r="C134" t="s">
        <v>231</v>
      </c>
      <c r="D134" t="s">
        <v>232</v>
      </c>
      <c r="E134" t="s">
        <v>175</v>
      </c>
      <c r="F134" t="s">
        <v>176</v>
      </c>
      <c r="G134" t="s">
        <v>51</v>
      </c>
      <c r="H134" t="s">
        <v>177</v>
      </c>
      <c r="I134" t="s">
        <v>84</v>
      </c>
      <c r="J134" t="s">
        <v>134</v>
      </c>
      <c r="K134" s="3">
        <v>118525.4</v>
      </c>
      <c r="L134" s="3">
        <v>58459.32</v>
      </c>
      <c r="M134">
        <v>4</v>
      </c>
      <c r="N134" s="4">
        <v>0</v>
      </c>
      <c r="O134" t="s">
        <v>136</v>
      </c>
      <c r="P134" t="s">
        <v>58</v>
      </c>
    </row>
    <row r="135" spans="1:16">
      <c r="A135" t="s">
        <v>287</v>
      </c>
      <c r="B135" s="2">
        <v>45425</v>
      </c>
      <c r="C135" t="s">
        <v>93</v>
      </c>
      <c r="D135" t="s">
        <v>94</v>
      </c>
      <c r="E135" t="s">
        <v>172</v>
      </c>
      <c r="F135" t="s">
        <v>173</v>
      </c>
      <c r="G135" t="s">
        <v>40</v>
      </c>
      <c r="H135" t="s">
        <v>41</v>
      </c>
      <c r="I135" t="s">
        <v>53</v>
      </c>
      <c r="J135" t="s">
        <v>54</v>
      </c>
      <c r="K135" s="3">
        <v>15480.88</v>
      </c>
      <c r="L135" s="3">
        <v>4104</v>
      </c>
      <c r="M135">
        <v>5</v>
      </c>
      <c r="N135" s="4">
        <v>0.2</v>
      </c>
      <c r="O135" t="s">
        <v>44</v>
      </c>
      <c r="P135" t="s">
        <v>58</v>
      </c>
    </row>
    <row r="136" spans="1:16">
      <c r="A136" t="s">
        <v>288</v>
      </c>
      <c r="B136" s="2">
        <v>45973</v>
      </c>
      <c r="C136" t="s">
        <v>207</v>
      </c>
      <c r="D136" t="s">
        <v>208</v>
      </c>
      <c r="E136" t="s">
        <v>172</v>
      </c>
      <c r="F136" t="s">
        <v>173</v>
      </c>
      <c r="G136" t="s">
        <v>40</v>
      </c>
      <c r="H136" t="s">
        <v>41</v>
      </c>
      <c r="I136" t="s">
        <v>53</v>
      </c>
      <c r="J136" t="s">
        <v>102</v>
      </c>
      <c r="K136" s="3">
        <v>11395.48</v>
      </c>
      <c r="L136" s="3">
        <v>3865.04</v>
      </c>
      <c r="M136">
        <v>4</v>
      </c>
      <c r="N136" s="4">
        <v>0.1</v>
      </c>
      <c r="O136" t="s">
        <v>34</v>
      </c>
      <c r="P136" t="s">
        <v>45</v>
      </c>
    </row>
    <row r="137" spans="1:16">
      <c r="A137" t="s">
        <v>289</v>
      </c>
      <c r="B137" s="2">
        <v>45811</v>
      </c>
      <c r="C137" t="s">
        <v>158</v>
      </c>
      <c r="D137" t="s">
        <v>159</v>
      </c>
      <c r="E137" t="s">
        <v>19</v>
      </c>
      <c r="F137" t="s">
        <v>20</v>
      </c>
      <c r="G137" t="s">
        <v>21</v>
      </c>
      <c r="H137" t="s">
        <v>22</v>
      </c>
      <c r="I137" t="s">
        <v>42</v>
      </c>
      <c r="J137" t="s">
        <v>43</v>
      </c>
      <c r="K137" s="3">
        <v>12159.1</v>
      </c>
      <c r="L137" s="3">
        <v>5585.68</v>
      </c>
      <c r="M137">
        <v>2</v>
      </c>
      <c r="N137" s="4">
        <v>0</v>
      </c>
      <c r="O137" t="s">
        <v>44</v>
      </c>
      <c r="P137" t="s">
        <v>77</v>
      </c>
    </row>
    <row r="138" spans="1:16">
      <c r="A138" t="s">
        <v>290</v>
      </c>
      <c r="B138" s="2">
        <v>45523</v>
      </c>
      <c r="C138" t="s">
        <v>179</v>
      </c>
      <c r="D138" t="s">
        <v>180</v>
      </c>
      <c r="E138" t="s">
        <v>175</v>
      </c>
      <c r="F138" t="s">
        <v>176</v>
      </c>
      <c r="G138" t="s">
        <v>51</v>
      </c>
      <c r="H138" t="s">
        <v>177</v>
      </c>
      <c r="I138" t="s">
        <v>42</v>
      </c>
      <c r="J138" t="s">
        <v>43</v>
      </c>
      <c r="K138" s="3">
        <v>101253.18</v>
      </c>
      <c r="L138" s="3">
        <v>68418</v>
      </c>
      <c r="M138">
        <v>4</v>
      </c>
      <c r="N138" s="4">
        <v>0.2</v>
      </c>
      <c r="O138" t="s">
        <v>34</v>
      </c>
      <c r="P138" t="s">
        <v>58</v>
      </c>
    </row>
    <row r="139" spans="1:16">
      <c r="A139" t="s">
        <v>291</v>
      </c>
      <c r="B139" s="2">
        <v>45476</v>
      </c>
      <c r="C139" t="s">
        <v>155</v>
      </c>
      <c r="D139" t="s">
        <v>156</v>
      </c>
      <c r="E139" t="s">
        <v>175</v>
      </c>
      <c r="F139" t="s">
        <v>176</v>
      </c>
      <c r="G139" t="s">
        <v>51</v>
      </c>
      <c r="H139" t="s">
        <v>177</v>
      </c>
      <c r="I139" t="s">
        <v>23</v>
      </c>
      <c r="J139" t="s">
        <v>24</v>
      </c>
      <c r="K139" s="3">
        <v>60130.35</v>
      </c>
      <c r="L139" s="3">
        <v>49945.919999999998</v>
      </c>
      <c r="M139">
        <v>3</v>
      </c>
      <c r="N139" s="4">
        <v>0.1</v>
      </c>
      <c r="O139" t="s">
        <v>44</v>
      </c>
      <c r="P139" t="s">
        <v>58</v>
      </c>
    </row>
    <row r="140" spans="1:16">
      <c r="A140" t="s">
        <v>292</v>
      </c>
      <c r="B140" s="2">
        <v>45965</v>
      </c>
      <c r="C140" t="s">
        <v>200</v>
      </c>
      <c r="D140" t="s">
        <v>201</v>
      </c>
      <c r="E140" t="s">
        <v>152</v>
      </c>
      <c r="F140" t="s">
        <v>153</v>
      </c>
      <c r="G140" t="s">
        <v>21</v>
      </c>
      <c r="H140" t="s">
        <v>32</v>
      </c>
      <c r="I140" t="s">
        <v>42</v>
      </c>
      <c r="J140" t="s">
        <v>43</v>
      </c>
      <c r="K140" s="3">
        <v>56705.68</v>
      </c>
      <c r="L140" s="3">
        <v>29245.360000000001</v>
      </c>
      <c r="M140">
        <v>4</v>
      </c>
      <c r="N140" s="4">
        <v>0</v>
      </c>
      <c r="O140" t="s">
        <v>25</v>
      </c>
      <c r="P140" t="s">
        <v>58</v>
      </c>
    </row>
    <row r="141" spans="1:16">
      <c r="A141" t="s">
        <v>293</v>
      </c>
      <c r="B141" s="2">
        <v>45641</v>
      </c>
      <c r="C141" t="s">
        <v>104</v>
      </c>
      <c r="D141" t="s">
        <v>105</v>
      </c>
      <c r="E141" t="s">
        <v>132</v>
      </c>
      <c r="F141" t="s">
        <v>133</v>
      </c>
      <c r="G141" t="s">
        <v>40</v>
      </c>
      <c r="H141" t="s">
        <v>41</v>
      </c>
      <c r="I141" t="s">
        <v>56</v>
      </c>
      <c r="J141" t="s">
        <v>191</v>
      </c>
      <c r="K141" s="3">
        <v>1541.38</v>
      </c>
      <c r="L141" s="3">
        <v>487</v>
      </c>
      <c r="M141">
        <v>2</v>
      </c>
      <c r="N141" s="4">
        <v>0.2</v>
      </c>
      <c r="O141" t="s">
        <v>34</v>
      </c>
      <c r="P141" t="s">
        <v>58</v>
      </c>
    </row>
    <row r="142" spans="1:16">
      <c r="A142" t="s">
        <v>294</v>
      </c>
      <c r="B142" s="2">
        <v>45924</v>
      </c>
      <c r="C142" t="s">
        <v>28</v>
      </c>
      <c r="D142" t="s">
        <v>29</v>
      </c>
      <c r="E142" t="s">
        <v>152</v>
      </c>
      <c r="F142" t="s">
        <v>153</v>
      </c>
      <c r="G142" t="s">
        <v>21</v>
      </c>
      <c r="H142" t="s">
        <v>32</v>
      </c>
      <c r="I142" t="s">
        <v>23</v>
      </c>
      <c r="J142" t="s">
        <v>75</v>
      </c>
      <c r="K142" s="3">
        <v>9244.26</v>
      </c>
      <c r="L142" s="3">
        <v>8278.35</v>
      </c>
      <c r="M142">
        <v>1</v>
      </c>
      <c r="N142" s="4">
        <v>0.15</v>
      </c>
      <c r="O142" t="s">
        <v>136</v>
      </c>
      <c r="P142" t="s">
        <v>98</v>
      </c>
    </row>
    <row r="143" spans="1:16">
      <c r="A143" t="s">
        <v>295</v>
      </c>
      <c r="B143" s="2">
        <v>45816</v>
      </c>
      <c r="C143" t="s">
        <v>207</v>
      </c>
      <c r="D143" t="s">
        <v>208</v>
      </c>
      <c r="E143" t="s">
        <v>175</v>
      </c>
      <c r="F143" t="s">
        <v>176</v>
      </c>
      <c r="G143" t="s">
        <v>51</v>
      </c>
      <c r="H143" t="s">
        <v>177</v>
      </c>
      <c r="I143" t="s">
        <v>84</v>
      </c>
      <c r="J143" t="s">
        <v>85</v>
      </c>
      <c r="K143" s="3">
        <v>15585.06</v>
      </c>
      <c r="L143" s="3">
        <v>15504.55</v>
      </c>
      <c r="M143">
        <v>1</v>
      </c>
      <c r="N143" s="4">
        <v>0.2</v>
      </c>
      <c r="O143" t="s">
        <v>136</v>
      </c>
      <c r="P143" t="s">
        <v>45</v>
      </c>
    </row>
    <row r="144" spans="1:16">
      <c r="A144" t="s">
        <v>296</v>
      </c>
      <c r="B144" s="2">
        <v>45905</v>
      </c>
      <c r="C144" t="s">
        <v>28</v>
      </c>
      <c r="D144" t="s">
        <v>29</v>
      </c>
      <c r="E144" t="s">
        <v>72</v>
      </c>
      <c r="F144" t="s">
        <v>73</v>
      </c>
      <c r="G144" t="s">
        <v>51</v>
      </c>
      <c r="H144" t="s">
        <v>74</v>
      </c>
      <c r="I144" t="s">
        <v>56</v>
      </c>
      <c r="J144" t="s">
        <v>91</v>
      </c>
      <c r="K144" s="3">
        <v>5836.64</v>
      </c>
      <c r="L144" s="3">
        <v>3606.15</v>
      </c>
      <c r="M144">
        <v>1</v>
      </c>
      <c r="N144" s="4">
        <v>0.05</v>
      </c>
      <c r="O144" t="s">
        <v>76</v>
      </c>
      <c r="P144" t="s">
        <v>45</v>
      </c>
    </row>
    <row r="145" spans="1:16">
      <c r="A145" t="s">
        <v>297</v>
      </c>
      <c r="B145" s="2">
        <v>45299</v>
      </c>
      <c r="C145" t="s">
        <v>265</v>
      </c>
      <c r="D145" t="s">
        <v>266</v>
      </c>
      <c r="E145" t="s">
        <v>110</v>
      </c>
      <c r="F145" t="s">
        <v>111</v>
      </c>
      <c r="G145" t="s">
        <v>40</v>
      </c>
      <c r="H145" t="s">
        <v>112</v>
      </c>
      <c r="I145" t="s">
        <v>23</v>
      </c>
      <c r="J145" t="s">
        <v>33</v>
      </c>
      <c r="K145" s="3">
        <v>6753.56</v>
      </c>
      <c r="L145" s="3">
        <v>5037.12</v>
      </c>
      <c r="M145">
        <v>4</v>
      </c>
      <c r="N145" s="4">
        <v>0.15</v>
      </c>
      <c r="O145" t="s">
        <v>34</v>
      </c>
      <c r="P145" t="s">
        <v>58</v>
      </c>
    </row>
    <row r="146" spans="1:16">
      <c r="A146" t="s">
        <v>298</v>
      </c>
      <c r="B146" s="2">
        <v>45976</v>
      </c>
      <c r="C146" t="s">
        <v>114</v>
      </c>
      <c r="D146" t="s">
        <v>115</v>
      </c>
      <c r="E146" t="s">
        <v>187</v>
      </c>
      <c r="F146" t="s">
        <v>188</v>
      </c>
      <c r="G146" t="s">
        <v>89</v>
      </c>
      <c r="H146" t="s">
        <v>189</v>
      </c>
      <c r="I146" t="s">
        <v>53</v>
      </c>
      <c r="J146" t="s">
        <v>102</v>
      </c>
      <c r="K146" s="3">
        <v>36163.410000000003</v>
      </c>
      <c r="L146" s="3">
        <v>15087.84</v>
      </c>
      <c r="M146">
        <v>3</v>
      </c>
      <c r="N146" s="4">
        <v>0</v>
      </c>
      <c r="O146" t="s">
        <v>136</v>
      </c>
      <c r="P146" t="s">
        <v>58</v>
      </c>
    </row>
    <row r="147" spans="1:16">
      <c r="A147" t="s">
        <v>299</v>
      </c>
      <c r="B147" s="2">
        <v>45612</v>
      </c>
      <c r="C147" t="s">
        <v>170</v>
      </c>
      <c r="D147" t="s">
        <v>171</v>
      </c>
      <c r="E147" t="s">
        <v>62</v>
      </c>
      <c r="F147" t="s">
        <v>63</v>
      </c>
      <c r="G147" t="s">
        <v>21</v>
      </c>
      <c r="H147" t="s">
        <v>64</v>
      </c>
      <c r="I147" t="s">
        <v>53</v>
      </c>
      <c r="J147" t="s">
        <v>102</v>
      </c>
      <c r="K147" s="3">
        <v>16275.08</v>
      </c>
      <c r="L147" s="3">
        <v>8872.7000000000007</v>
      </c>
      <c r="M147">
        <v>5</v>
      </c>
      <c r="N147" s="4">
        <v>0.15</v>
      </c>
      <c r="O147" t="s">
        <v>44</v>
      </c>
      <c r="P147" t="s">
        <v>58</v>
      </c>
    </row>
    <row r="148" spans="1:16">
      <c r="A148" t="s">
        <v>300</v>
      </c>
      <c r="B148" s="2">
        <v>45467</v>
      </c>
      <c r="C148" t="s">
        <v>104</v>
      </c>
      <c r="D148" t="s">
        <v>105</v>
      </c>
      <c r="E148" t="s">
        <v>30</v>
      </c>
      <c r="F148" t="s">
        <v>31</v>
      </c>
      <c r="G148" t="s">
        <v>21</v>
      </c>
      <c r="H148" t="s">
        <v>32</v>
      </c>
      <c r="I148" t="s">
        <v>84</v>
      </c>
      <c r="J148" t="s">
        <v>134</v>
      </c>
      <c r="K148" s="3">
        <v>276800.49</v>
      </c>
      <c r="L148" s="3">
        <v>238084.65</v>
      </c>
      <c r="M148">
        <v>5</v>
      </c>
      <c r="N148" s="4">
        <v>0.1</v>
      </c>
      <c r="O148" t="s">
        <v>25</v>
      </c>
      <c r="P148" t="s">
        <v>26</v>
      </c>
    </row>
    <row r="149" spans="1:16">
      <c r="A149" t="s">
        <v>301</v>
      </c>
      <c r="B149" s="2">
        <v>45895</v>
      </c>
      <c r="C149" t="s">
        <v>179</v>
      </c>
      <c r="D149" t="s">
        <v>180</v>
      </c>
      <c r="E149" t="s">
        <v>72</v>
      </c>
      <c r="F149" t="s">
        <v>73</v>
      </c>
      <c r="G149" t="s">
        <v>51</v>
      </c>
      <c r="H149" t="s">
        <v>74</v>
      </c>
      <c r="I149" t="s">
        <v>56</v>
      </c>
      <c r="J149" t="s">
        <v>91</v>
      </c>
      <c r="K149" s="3">
        <v>23992.67</v>
      </c>
      <c r="L149" s="3">
        <v>16076.68</v>
      </c>
      <c r="M149">
        <v>4</v>
      </c>
      <c r="N149" s="4">
        <v>0.1</v>
      </c>
      <c r="O149" t="s">
        <v>44</v>
      </c>
      <c r="P149" t="s">
        <v>58</v>
      </c>
    </row>
    <row r="150" spans="1:16">
      <c r="A150" t="s">
        <v>302</v>
      </c>
      <c r="B150" s="2">
        <v>45814</v>
      </c>
      <c r="C150" t="s">
        <v>231</v>
      </c>
      <c r="D150" t="s">
        <v>232</v>
      </c>
      <c r="E150" t="s">
        <v>117</v>
      </c>
      <c r="F150" t="s">
        <v>118</v>
      </c>
      <c r="G150" t="s">
        <v>51</v>
      </c>
      <c r="H150" t="s">
        <v>119</v>
      </c>
      <c r="I150" t="s">
        <v>23</v>
      </c>
      <c r="J150" t="s">
        <v>33</v>
      </c>
      <c r="K150" s="3">
        <v>5576.1</v>
      </c>
      <c r="L150" s="3">
        <v>4527.54</v>
      </c>
      <c r="M150">
        <v>1</v>
      </c>
      <c r="N150" s="4">
        <v>0.1</v>
      </c>
      <c r="O150" t="s">
        <v>44</v>
      </c>
      <c r="P150" t="s">
        <v>58</v>
      </c>
    </row>
    <row r="151" spans="1:16">
      <c r="A151" t="s">
        <v>303</v>
      </c>
      <c r="B151" s="2">
        <v>45554</v>
      </c>
      <c r="C151" t="s">
        <v>36</v>
      </c>
      <c r="D151" t="s">
        <v>37</v>
      </c>
      <c r="E151" t="s">
        <v>19</v>
      </c>
      <c r="F151" t="s">
        <v>20</v>
      </c>
      <c r="G151" t="s">
        <v>21</v>
      </c>
      <c r="H151" t="s">
        <v>22</v>
      </c>
      <c r="I151" t="s">
        <v>23</v>
      </c>
      <c r="J151" t="s">
        <v>75</v>
      </c>
      <c r="K151" s="3">
        <v>8444.3799999999992</v>
      </c>
      <c r="L151" s="3">
        <v>5608.2</v>
      </c>
      <c r="M151">
        <v>2</v>
      </c>
      <c r="N151" s="4">
        <v>0</v>
      </c>
      <c r="O151" t="s">
        <v>76</v>
      </c>
      <c r="P151" t="s">
        <v>98</v>
      </c>
    </row>
    <row r="152" spans="1:16">
      <c r="A152" t="s">
        <v>304</v>
      </c>
      <c r="B152" s="2">
        <v>45885</v>
      </c>
      <c r="C152" t="s">
        <v>170</v>
      </c>
      <c r="D152" t="s">
        <v>171</v>
      </c>
      <c r="E152" t="s">
        <v>95</v>
      </c>
      <c r="F152" t="s">
        <v>96</v>
      </c>
      <c r="G152" t="s">
        <v>89</v>
      </c>
      <c r="H152" t="s">
        <v>97</v>
      </c>
      <c r="I152" t="s">
        <v>53</v>
      </c>
      <c r="J152" t="s">
        <v>54</v>
      </c>
      <c r="K152" s="3">
        <v>26882.560000000001</v>
      </c>
      <c r="L152" s="3">
        <v>14507.16</v>
      </c>
      <c r="M152">
        <v>4</v>
      </c>
      <c r="N152" s="4">
        <v>0.2</v>
      </c>
      <c r="O152" t="s">
        <v>44</v>
      </c>
      <c r="P152" t="s">
        <v>77</v>
      </c>
    </row>
    <row r="153" spans="1:16">
      <c r="A153" t="s">
        <v>305</v>
      </c>
      <c r="B153" s="2">
        <v>45772</v>
      </c>
      <c r="C153" t="s">
        <v>47</v>
      </c>
      <c r="D153" t="s">
        <v>48</v>
      </c>
      <c r="E153" t="s">
        <v>38</v>
      </c>
      <c r="F153" t="s">
        <v>39</v>
      </c>
      <c r="G153" t="s">
        <v>40</v>
      </c>
      <c r="H153" t="s">
        <v>41</v>
      </c>
      <c r="I153" t="s">
        <v>23</v>
      </c>
      <c r="J153" t="s">
        <v>33</v>
      </c>
      <c r="K153" s="3">
        <v>5997.22</v>
      </c>
      <c r="L153" s="3">
        <v>2052.56</v>
      </c>
      <c r="M153">
        <v>4</v>
      </c>
      <c r="N153" s="4">
        <v>0.2</v>
      </c>
      <c r="O153" t="s">
        <v>25</v>
      </c>
      <c r="P153" t="s">
        <v>77</v>
      </c>
    </row>
    <row r="154" spans="1:16">
      <c r="A154" t="s">
        <v>306</v>
      </c>
      <c r="B154" s="2">
        <v>45764</v>
      </c>
      <c r="C154" t="s">
        <v>114</v>
      </c>
      <c r="D154" t="s">
        <v>115</v>
      </c>
      <c r="E154" t="s">
        <v>62</v>
      </c>
      <c r="F154" t="s">
        <v>63</v>
      </c>
      <c r="G154" t="s">
        <v>21</v>
      </c>
      <c r="H154" t="s">
        <v>64</v>
      </c>
      <c r="I154" t="s">
        <v>84</v>
      </c>
      <c r="J154" t="s">
        <v>142</v>
      </c>
      <c r="K154" s="3">
        <v>13209.91</v>
      </c>
      <c r="L154" s="3">
        <v>6534.16</v>
      </c>
      <c r="M154">
        <v>4</v>
      </c>
      <c r="N154" s="4">
        <v>0.1</v>
      </c>
      <c r="O154" t="s">
        <v>25</v>
      </c>
      <c r="P154" t="s">
        <v>58</v>
      </c>
    </row>
    <row r="155" spans="1:16">
      <c r="A155" t="s">
        <v>307</v>
      </c>
      <c r="B155" s="2">
        <v>45685</v>
      </c>
      <c r="C155" t="s">
        <v>155</v>
      </c>
      <c r="D155" t="s">
        <v>156</v>
      </c>
      <c r="E155" t="s">
        <v>193</v>
      </c>
      <c r="F155" t="s">
        <v>194</v>
      </c>
      <c r="G155" t="s">
        <v>89</v>
      </c>
      <c r="H155" t="s">
        <v>90</v>
      </c>
      <c r="I155" t="s">
        <v>56</v>
      </c>
      <c r="J155" t="s">
        <v>57</v>
      </c>
      <c r="K155" s="3">
        <v>6980.32</v>
      </c>
      <c r="L155" s="3">
        <v>2032.12</v>
      </c>
      <c r="M155">
        <v>4</v>
      </c>
      <c r="N155" s="4">
        <v>0</v>
      </c>
      <c r="O155" t="s">
        <v>136</v>
      </c>
      <c r="P155" t="s">
        <v>58</v>
      </c>
    </row>
    <row r="156" spans="1:16">
      <c r="A156" t="s">
        <v>308</v>
      </c>
      <c r="B156" s="2">
        <v>45805</v>
      </c>
      <c r="C156" t="s">
        <v>231</v>
      </c>
      <c r="D156" t="s">
        <v>232</v>
      </c>
      <c r="E156" t="s">
        <v>193</v>
      </c>
      <c r="F156" t="s">
        <v>194</v>
      </c>
      <c r="G156" t="s">
        <v>89</v>
      </c>
      <c r="H156" t="s">
        <v>90</v>
      </c>
      <c r="I156" t="s">
        <v>56</v>
      </c>
      <c r="J156" t="s">
        <v>191</v>
      </c>
      <c r="K156" s="3">
        <v>2053.13</v>
      </c>
      <c r="L156" s="3">
        <v>1091.54</v>
      </c>
      <c r="M156">
        <v>2</v>
      </c>
      <c r="N156" s="4">
        <v>0.1</v>
      </c>
      <c r="O156" t="s">
        <v>25</v>
      </c>
      <c r="P156" t="s">
        <v>58</v>
      </c>
    </row>
    <row r="157" spans="1:16">
      <c r="A157" t="s">
        <v>309</v>
      </c>
      <c r="B157" s="2">
        <v>45740</v>
      </c>
      <c r="C157" t="s">
        <v>28</v>
      </c>
      <c r="D157" t="s">
        <v>29</v>
      </c>
      <c r="E157" t="s">
        <v>72</v>
      </c>
      <c r="F157" t="s">
        <v>73</v>
      </c>
      <c r="G157" t="s">
        <v>51</v>
      </c>
      <c r="H157" t="s">
        <v>74</v>
      </c>
      <c r="I157" t="s">
        <v>42</v>
      </c>
      <c r="J157" t="s">
        <v>162</v>
      </c>
      <c r="K157" s="3">
        <v>28246.07</v>
      </c>
      <c r="L157" s="3">
        <v>16077</v>
      </c>
      <c r="M157">
        <v>4</v>
      </c>
      <c r="N157" s="4">
        <v>0.1</v>
      </c>
      <c r="O157" t="s">
        <v>44</v>
      </c>
      <c r="P157" t="s">
        <v>45</v>
      </c>
    </row>
    <row r="158" spans="1:16">
      <c r="A158" t="s">
        <v>310</v>
      </c>
      <c r="B158" s="2">
        <v>45638</v>
      </c>
      <c r="C158" t="s">
        <v>104</v>
      </c>
      <c r="D158" t="s">
        <v>105</v>
      </c>
      <c r="E158" t="s">
        <v>132</v>
      </c>
      <c r="F158" t="s">
        <v>133</v>
      </c>
      <c r="G158" t="s">
        <v>40</v>
      </c>
      <c r="H158" t="s">
        <v>41</v>
      </c>
      <c r="I158" t="s">
        <v>53</v>
      </c>
      <c r="J158" t="s">
        <v>54</v>
      </c>
      <c r="K158" s="3">
        <v>3988.12</v>
      </c>
      <c r="L158" s="3">
        <v>1138.0999999999999</v>
      </c>
      <c r="M158">
        <v>5</v>
      </c>
      <c r="N158" s="4">
        <v>0.1</v>
      </c>
      <c r="O158" t="s">
        <v>25</v>
      </c>
      <c r="P158" t="s">
        <v>77</v>
      </c>
    </row>
    <row r="159" spans="1:16">
      <c r="A159" t="s">
        <v>311</v>
      </c>
      <c r="B159" s="2">
        <v>45687</v>
      </c>
      <c r="C159" t="s">
        <v>179</v>
      </c>
      <c r="D159" t="s">
        <v>180</v>
      </c>
      <c r="E159" t="s">
        <v>187</v>
      </c>
      <c r="F159" t="s">
        <v>188</v>
      </c>
      <c r="G159" t="s">
        <v>89</v>
      </c>
      <c r="H159" t="s">
        <v>189</v>
      </c>
      <c r="I159" t="s">
        <v>42</v>
      </c>
      <c r="J159" t="s">
        <v>68</v>
      </c>
      <c r="K159" s="3">
        <v>28763.3</v>
      </c>
      <c r="L159" s="3">
        <v>15681.6</v>
      </c>
      <c r="M159">
        <v>3</v>
      </c>
      <c r="N159" s="4">
        <v>0.2</v>
      </c>
      <c r="O159" t="s">
        <v>76</v>
      </c>
      <c r="P159" t="s">
        <v>77</v>
      </c>
    </row>
    <row r="160" spans="1:16">
      <c r="A160" t="s">
        <v>312</v>
      </c>
      <c r="B160" s="2">
        <v>45436</v>
      </c>
      <c r="C160" t="s">
        <v>100</v>
      </c>
      <c r="D160" t="s">
        <v>101</v>
      </c>
      <c r="E160" t="s">
        <v>95</v>
      </c>
      <c r="F160" t="s">
        <v>96</v>
      </c>
      <c r="G160" t="s">
        <v>89</v>
      </c>
      <c r="H160" t="s">
        <v>97</v>
      </c>
      <c r="I160" t="s">
        <v>42</v>
      </c>
      <c r="J160" t="s">
        <v>68</v>
      </c>
      <c r="K160" s="3">
        <v>18494.54</v>
      </c>
      <c r="L160" s="3">
        <v>10101.48</v>
      </c>
      <c r="M160">
        <v>3</v>
      </c>
      <c r="N160" s="4">
        <v>0.15</v>
      </c>
      <c r="O160" t="s">
        <v>76</v>
      </c>
      <c r="P160" t="s">
        <v>58</v>
      </c>
    </row>
    <row r="161" spans="1:16">
      <c r="A161" t="s">
        <v>313</v>
      </c>
      <c r="B161" s="2">
        <v>45950</v>
      </c>
      <c r="C161" t="s">
        <v>265</v>
      </c>
      <c r="D161" t="s">
        <v>266</v>
      </c>
      <c r="E161" t="s">
        <v>187</v>
      </c>
      <c r="F161" t="s">
        <v>188</v>
      </c>
      <c r="G161" t="s">
        <v>89</v>
      </c>
      <c r="H161" t="s">
        <v>189</v>
      </c>
      <c r="I161" t="s">
        <v>56</v>
      </c>
      <c r="J161" t="s">
        <v>91</v>
      </c>
      <c r="K161" s="3">
        <v>25784.639999999999</v>
      </c>
      <c r="L161" s="3">
        <v>17533.5</v>
      </c>
      <c r="M161">
        <v>3</v>
      </c>
      <c r="N161" s="4">
        <v>0.2</v>
      </c>
      <c r="O161" t="s">
        <v>25</v>
      </c>
      <c r="P161" t="s">
        <v>26</v>
      </c>
    </row>
    <row r="162" spans="1:16">
      <c r="A162" t="s">
        <v>314</v>
      </c>
      <c r="B162" s="2">
        <v>45663</v>
      </c>
      <c r="C162" t="s">
        <v>114</v>
      </c>
      <c r="D162" t="s">
        <v>115</v>
      </c>
      <c r="E162" t="s">
        <v>172</v>
      </c>
      <c r="F162" t="s">
        <v>173</v>
      </c>
      <c r="G162" t="s">
        <v>40</v>
      </c>
      <c r="H162" t="s">
        <v>41</v>
      </c>
      <c r="I162" t="s">
        <v>23</v>
      </c>
      <c r="J162" t="s">
        <v>24</v>
      </c>
      <c r="K162" s="3">
        <v>4204.59</v>
      </c>
      <c r="L162" s="3">
        <v>2527.35</v>
      </c>
      <c r="M162">
        <v>3</v>
      </c>
      <c r="N162" s="4">
        <v>0.15</v>
      </c>
      <c r="O162" t="s">
        <v>76</v>
      </c>
      <c r="P162" t="s">
        <v>58</v>
      </c>
    </row>
    <row r="163" spans="1:16">
      <c r="A163" t="s">
        <v>315</v>
      </c>
      <c r="B163" s="2">
        <v>45594</v>
      </c>
      <c r="C163" t="s">
        <v>47</v>
      </c>
      <c r="D163" t="s">
        <v>48</v>
      </c>
      <c r="E163" t="s">
        <v>152</v>
      </c>
      <c r="F163" t="s">
        <v>153</v>
      </c>
      <c r="G163" t="s">
        <v>21</v>
      </c>
      <c r="H163" t="s">
        <v>32</v>
      </c>
      <c r="I163" t="s">
        <v>23</v>
      </c>
      <c r="J163" t="s">
        <v>33</v>
      </c>
      <c r="K163" s="3">
        <v>10207.99</v>
      </c>
      <c r="L163" s="3">
        <v>8012.3</v>
      </c>
      <c r="M163">
        <v>1</v>
      </c>
      <c r="N163" s="4">
        <v>0.2</v>
      </c>
      <c r="O163" t="s">
        <v>25</v>
      </c>
      <c r="P163" t="s">
        <v>77</v>
      </c>
    </row>
    <row r="164" spans="1:16">
      <c r="A164" t="s">
        <v>316</v>
      </c>
      <c r="B164" s="2">
        <v>45903</v>
      </c>
      <c r="C164" t="s">
        <v>79</v>
      </c>
      <c r="D164" t="s">
        <v>80</v>
      </c>
      <c r="E164" t="s">
        <v>193</v>
      </c>
      <c r="F164" t="s">
        <v>194</v>
      </c>
      <c r="G164" t="s">
        <v>89</v>
      </c>
      <c r="H164" t="s">
        <v>90</v>
      </c>
      <c r="I164" t="s">
        <v>23</v>
      </c>
      <c r="J164" t="s">
        <v>75</v>
      </c>
      <c r="K164" s="3">
        <v>2614.46</v>
      </c>
      <c r="L164" s="3">
        <v>1861.72</v>
      </c>
      <c r="M164">
        <v>4</v>
      </c>
      <c r="N164" s="4">
        <v>0.2</v>
      </c>
      <c r="O164" t="s">
        <v>76</v>
      </c>
      <c r="P164" t="s">
        <v>98</v>
      </c>
    </row>
    <row r="165" spans="1:16">
      <c r="A165" t="s">
        <v>317</v>
      </c>
      <c r="B165" s="2">
        <v>45984</v>
      </c>
      <c r="C165" t="s">
        <v>28</v>
      </c>
      <c r="D165" t="s">
        <v>29</v>
      </c>
      <c r="E165" t="s">
        <v>132</v>
      </c>
      <c r="F165" t="s">
        <v>133</v>
      </c>
      <c r="G165" t="s">
        <v>40</v>
      </c>
      <c r="H165" t="s">
        <v>41</v>
      </c>
      <c r="I165" t="s">
        <v>84</v>
      </c>
      <c r="J165" t="s">
        <v>134</v>
      </c>
      <c r="K165" s="3">
        <v>1477.32</v>
      </c>
      <c r="L165" s="3">
        <v>546.96</v>
      </c>
      <c r="M165">
        <v>2</v>
      </c>
      <c r="N165" s="4">
        <v>0.15</v>
      </c>
      <c r="O165" t="s">
        <v>76</v>
      </c>
      <c r="P165" t="s">
        <v>58</v>
      </c>
    </row>
    <row r="166" spans="1:16">
      <c r="A166" t="s">
        <v>318</v>
      </c>
      <c r="B166" s="2">
        <v>45490</v>
      </c>
      <c r="C166" t="s">
        <v>265</v>
      </c>
      <c r="D166" t="s">
        <v>266</v>
      </c>
      <c r="E166" t="s">
        <v>87</v>
      </c>
      <c r="F166" t="s">
        <v>88</v>
      </c>
      <c r="G166" t="s">
        <v>89</v>
      </c>
      <c r="H166" t="s">
        <v>90</v>
      </c>
      <c r="I166" t="s">
        <v>53</v>
      </c>
      <c r="J166" t="s">
        <v>102</v>
      </c>
      <c r="K166" s="3">
        <v>10208.52</v>
      </c>
      <c r="L166" s="3">
        <v>5592.57</v>
      </c>
      <c r="M166">
        <v>3</v>
      </c>
      <c r="N166" s="4">
        <v>0.15</v>
      </c>
      <c r="O166" t="s">
        <v>136</v>
      </c>
      <c r="P166" t="s">
        <v>45</v>
      </c>
    </row>
    <row r="167" spans="1:16">
      <c r="A167" t="s">
        <v>319</v>
      </c>
      <c r="B167" s="2">
        <v>45832</v>
      </c>
      <c r="C167" t="s">
        <v>79</v>
      </c>
      <c r="D167" t="s">
        <v>80</v>
      </c>
      <c r="E167" t="s">
        <v>106</v>
      </c>
      <c r="F167" t="s">
        <v>107</v>
      </c>
      <c r="G167" t="s">
        <v>40</v>
      </c>
      <c r="H167" t="s">
        <v>108</v>
      </c>
      <c r="I167" t="s">
        <v>56</v>
      </c>
      <c r="J167" t="s">
        <v>57</v>
      </c>
      <c r="K167" s="3">
        <v>8310.91</v>
      </c>
      <c r="L167" s="3">
        <v>3061.12</v>
      </c>
      <c r="M167">
        <v>4</v>
      </c>
      <c r="N167" s="4">
        <v>0.2</v>
      </c>
      <c r="O167" t="s">
        <v>76</v>
      </c>
      <c r="P167" t="s">
        <v>45</v>
      </c>
    </row>
    <row r="168" spans="1:16">
      <c r="A168" t="s">
        <v>320</v>
      </c>
      <c r="B168" s="2">
        <v>45672</v>
      </c>
      <c r="C168" t="s">
        <v>28</v>
      </c>
      <c r="D168" t="s">
        <v>29</v>
      </c>
      <c r="E168" t="s">
        <v>87</v>
      </c>
      <c r="F168" t="s">
        <v>88</v>
      </c>
      <c r="G168" t="s">
        <v>89</v>
      </c>
      <c r="H168" t="s">
        <v>90</v>
      </c>
      <c r="I168" t="s">
        <v>53</v>
      </c>
      <c r="J168" t="s">
        <v>102</v>
      </c>
      <c r="K168" s="3">
        <v>17978.080000000002</v>
      </c>
      <c r="L168" s="3">
        <v>9781.75</v>
      </c>
      <c r="M168">
        <v>5</v>
      </c>
      <c r="N168" s="4">
        <v>0.2</v>
      </c>
      <c r="O168" t="s">
        <v>25</v>
      </c>
      <c r="P168" t="s">
        <v>45</v>
      </c>
    </row>
    <row r="169" spans="1:16">
      <c r="A169" t="s">
        <v>321</v>
      </c>
      <c r="B169" s="2">
        <v>45752</v>
      </c>
      <c r="C169" t="s">
        <v>100</v>
      </c>
      <c r="D169" t="s">
        <v>101</v>
      </c>
      <c r="E169" t="s">
        <v>117</v>
      </c>
      <c r="F169" t="s">
        <v>118</v>
      </c>
      <c r="G169" t="s">
        <v>51</v>
      </c>
      <c r="H169" t="s">
        <v>119</v>
      </c>
      <c r="I169" t="s">
        <v>84</v>
      </c>
      <c r="J169" t="s">
        <v>142</v>
      </c>
      <c r="K169" s="3">
        <v>36324.86</v>
      </c>
      <c r="L169" s="3">
        <v>20913.05</v>
      </c>
      <c r="M169">
        <v>5</v>
      </c>
      <c r="N169" s="4">
        <v>0.05</v>
      </c>
      <c r="O169" t="s">
        <v>136</v>
      </c>
      <c r="P169" t="s">
        <v>77</v>
      </c>
    </row>
    <row r="170" spans="1:16">
      <c r="A170" t="s">
        <v>322</v>
      </c>
      <c r="B170" s="2">
        <v>45697</v>
      </c>
      <c r="C170" t="s">
        <v>140</v>
      </c>
      <c r="D170" t="s">
        <v>141</v>
      </c>
      <c r="E170" t="s">
        <v>132</v>
      </c>
      <c r="F170" t="s">
        <v>133</v>
      </c>
      <c r="G170" t="s">
        <v>40</v>
      </c>
      <c r="H170" t="s">
        <v>41</v>
      </c>
      <c r="I170" t="s">
        <v>23</v>
      </c>
      <c r="J170" t="s">
        <v>24</v>
      </c>
      <c r="K170" s="3">
        <v>3391.2</v>
      </c>
      <c r="L170" s="3">
        <v>1218.5</v>
      </c>
      <c r="M170">
        <v>5</v>
      </c>
      <c r="N170" s="4">
        <v>0</v>
      </c>
      <c r="O170" t="s">
        <v>44</v>
      </c>
      <c r="P170" t="s">
        <v>58</v>
      </c>
    </row>
    <row r="171" spans="1:16">
      <c r="A171" t="s">
        <v>323</v>
      </c>
      <c r="B171" s="2">
        <v>45957</v>
      </c>
      <c r="C171" t="s">
        <v>140</v>
      </c>
      <c r="D171" t="s">
        <v>141</v>
      </c>
      <c r="E171" t="s">
        <v>110</v>
      </c>
      <c r="F171" t="s">
        <v>111</v>
      </c>
      <c r="G171" t="s">
        <v>40</v>
      </c>
      <c r="H171" t="s">
        <v>112</v>
      </c>
      <c r="I171" t="s">
        <v>23</v>
      </c>
      <c r="J171" t="s">
        <v>33</v>
      </c>
      <c r="K171" s="3">
        <v>4987.0600000000004</v>
      </c>
      <c r="L171" s="3">
        <v>3809.79</v>
      </c>
      <c r="M171">
        <v>3</v>
      </c>
      <c r="N171" s="4">
        <v>0.1</v>
      </c>
      <c r="O171" t="s">
        <v>136</v>
      </c>
      <c r="P171" t="s">
        <v>58</v>
      </c>
    </row>
    <row r="172" spans="1:16">
      <c r="A172" t="s">
        <v>324</v>
      </c>
      <c r="B172" s="2">
        <v>45922</v>
      </c>
      <c r="C172" t="s">
        <v>79</v>
      </c>
      <c r="D172" t="s">
        <v>80</v>
      </c>
      <c r="E172" t="s">
        <v>87</v>
      </c>
      <c r="F172" t="s">
        <v>88</v>
      </c>
      <c r="G172" t="s">
        <v>89</v>
      </c>
      <c r="H172" t="s">
        <v>90</v>
      </c>
      <c r="I172" t="s">
        <v>56</v>
      </c>
      <c r="J172" t="s">
        <v>191</v>
      </c>
      <c r="K172" s="3">
        <v>1978.1</v>
      </c>
      <c r="L172" s="3">
        <v>1946.11</v>
      </c>
      <c r="M172">
        <v>1</v>
      </c>
      <c r="N172" s="4">
        <v>0.05</v>
      </c>
      <c r="O172" t="s">
        <v>76</v>
      </c>
      <c r="P172" t="s">
        <v>26</v>
      </c>
    </row>
    <row r="173" spans="1:16">
      <c r="A173" t="s">
        <v>325</v>
      </c>
      <c r="B173" s="2">
        <v>45600</v>
      </c>
      <c r="C173" t="s">
        <v>179</v>
      </c>
      <c r="D173" t="s">
        <v>180</v>
      </c>
      <c r="E173" t="s">
        <v>123</v>
      </c>
      <c r="F173" t="s">
        <v>124</v>
      </c>
      <c r="G173" t="s">
        <v>51</v>
      </c>
      <c r="H173" t="s">
        <v>125</v>
      </c>
      <c r="I173" t="s">
        <v>84</v>
      </c>
      <c r="J173" t="s">
        <v>85</v>
      </c>
      <c r="K173" s="3">
        <v>22119.75</v>
      </c>
      <c r="L173" s="3">
        <v>16371.9</v>
      </c>
      <c r="M173">
        <v>1</v>
      </c>
      <c r="N173" s="4">
        <v>0.2</v>
      </c>
      <c r="O173" t="s">
        <v>136</v>
      </c>
      <c r="P173" t="s">
        <v>58</v>
      </c>
    </row>
    <row r="174" spans="1:16">
      <c r="A174" t="s">
        <v>326</v>
      </c>
      <c r="B174" s="2">
        <v>45840</v>
      </c>
      <c r="C174" t="s">
        <v>179</v>
      </c>
      <c r="D174" t="s">
        <v>180</v>
      </c>
      <c r="E174" t="s">
        <v>87</v>
      </c>
      <c r="F174" t="s">
        <v>88</v>
      </c>
      <c r="G174" t="s">
        <v>89</v>
      </c>
      <c r="H174" t="s">
        <v>90</v>
      </c>
      <c r="I174" t="s">
        <v>42</v>
      </c>
      <c r="J174" t="s">
        <v>43</v>
      </c>
      <c r="K174" s="3">
        <v>3818.5</v>
      </c>
      <c r="L174" s="3">
        <v>1847.5</v>
      </c>
      <c r="M174">
        <v>1</v>
      </c>
      <c r="N174" s="4">
        <v>0.05</v>
      </c>
      <c r="O174" t="s">
        <v>44</v>
      </c>
      <c r="P174" t="s">
        <v>26</v>
      </c>
    </row>
    <row r="175" spans="1:16">
      <c r="A175" t="s">
        <v>327</v>
      </c>
      <c r="B175" s="2">
        <v>45538</v>
      </c>
      <c r="C175" t="s">
        <v>140</v>
      </c>
      <c r="D175" t="s">
        <v>141</v>
      </c>
      <c r="E175" t="s">
        <v>193</v>
      </c>
      <c r="F175" t="s">
        <v>194</v>
      </c>
      <c r="G175" t="s">
        <v>89</v>
      </c>
      <c r="H175" t="s">
        <v>90</v>
      </c>
      <c r="I175" t="s">
        <v>84</v>
      </c>
      <c r="J175" t="s">
        <v>134</v>
      </c>
      <c r="K175" s="3">
        <v>6986.25</v>
      </c>
      <c r="L175" s="3">
        <v>2458.3000000000002</v>
      </c>
      <c r="M175">
        <v>5</v>
      </c>
      <c r="N175" s="4">
        <v>0</v>
      </c>
      <c r="O175" t="s">
        <v>34</v>
      </c>
      <c r="P175" t="s">
        <v>77</v>
      </c>
    </row>
    <row r="176" spans="1:16">
      <c r="A176" t="s">
        <v>328</v>
      </c>
      <c r="B176" s="2">
        <v>45811</v>
      </c>
      <c r="C176" t="s">
        <v>100</v>
      </c>
      <c r="D176" t="s">
        <v>101</v>
      </c>
      <c r="E176" t="s">
        <v>182</v>
      </c>
      <c r="F176" t="s">
        <v>183</v>
      </c>
      <c r="G176" t="s">
        <v>89</v>
      </c>
      <c r="H176" t="s">
        <v>90</v>
      </c>
      <c r="I176" t="s">
        <v>56</v>
      </c>
      <c r="J176" t="s">
        <v>57</v>
      </c>
      <c r="K176" s="3">
        <v>40640.620000000003</v>
      </c>
      <c r="L176" s="3">
        <v>30324.9</v>
      </c>
      <c r="M176">
        <v>5</v>
      </c>
      <c r="N176" s="4">
        <v>0.15</v>
      </c>
      <c r="O176" t="s">
        <v>25</v>
      </c>
      <c r="P176" t="s">
        <v>26</v>
      </c>
    </row>
    <row r="177" spans="1:16">
      <c r="A177" t="s">
        <v>329</v>
      </c>
      <c r="B177" s="2">
        <v>45308</v>
      </c>
      <c r="C177" t="s">
        <v>158</v>
      </c>
      <c r="D177" t="s">
        <v>159</v>
      </c>
      <c r="E177" t="s">
        <v>175</v>
      </c>
      <c r="F177" t="s">
        <v>176</v>
      </c>
      <c r="G177" t="s">
        <v>51</v>
      </c>
      <c r="H177" t="s">
        <v>177</v>
      </c>
      <c r="I177" t="s">
        <v>42</v>
      </c>
      <c r="J177" t="s">
        <v>162</v>
      </c>
      <c r="K177" s="3">
        <v>68324.460000000006</v>
      </c>
      <c r="L177" s="3">
        <v>50769.78</v>
      </c>
      <c r="M177">
        <v>3</v>
      </c>
      <c r="N177" s="4">
        <v>0</v>
      </c>
      <c r="O177" t="s">
        <v>34</v>
      </c>
      <c r="P177" t="s">
        <v>77</v>
      </c>
    </row>
    <row r="178" spans="1:16">
      <c r="A178" t="s">
        <v>330</v>
      </c>
      <c r="B178" s="2">
        <v>45851</v>
      </c>
      <c r="C178" t="s">
        <v>47</v>
      </c>
      <c r="D178" t="s">
        <v>48</v>
      </c>
      <c r="E178" t="s">
        <v>81</v>
      </c>
      <c r="F178" t="s">
        <v>82</v>
      </c>
      <c r="G178" t="s">
        <v>21</v>
      </c>
      <c r="H178" t="s">
        <v>83</v>
      </c>
      <c r="I178" t="s">
        <v>84</v>
      </c>
      <c r="J178" t="s">
        <v>134</v>
      </c>
      <c r="K178" s="3">
        <v>58033.72</v>
      </c>
      <c r="L178" s="3">
        <v>57385.89</v>
      </c>
      <c r="M178">
        <v>3</v>
      </c>
      <c r="N178" s="4">
        <v>0.15</v>
      </c>
      <c r="O178" t="s">
        <v>136</v>
      </c>
      <c r="P178" t="s">
        <v>58</v>
      </c>
    </row>
    <row r="179" spans="1:16">
      <c r="A179" t="s">
        <v>331</v>
      </c>
      <c r="B179" s="2">
        <v>45760</v>
      </c>
      <c r="C179" t="s">
        <v>47</v>
      </c>
      <c r="D179" t="s">
        <v>48</v>
      </c>
      <c r="E179" t="s">
        <v>62</v>
      </c>
      <c r="F179" t="s">
        <v>63</v>
      </c>
      <c r="G179" t="s">
        <v>21</v>
      </c>
      <c r="H179" t="s">
        <v>64</v>
      </c>
      <c r="I179" t="s">
        <v>42</v>
      </c>
      <c r="J179" t="s">
        <v>162</v>
      </c>
      <c r="K179" s="3">
        <v>2101.81</v>
      </c>
      <c r="L179" s="3">
        <v>1725.64</v>
      </c>
      <c r="M179">
        <v>1</v>
      </c>
      <c r="N179" s="4">
        <v>0.05</v>
      </c>
      <c r="O179" t="s">
        <v>25</v>
      </c>
      <c r="P179" t="s">
        <v>77</v>
      </c>
    </row>
    <row r="180" spans="1:16">
      <c r="A180" t="s">
        <v>332</v>
      </c>
      <c r="B180" s="2">
        <v>45848</v>
      </c>
      <c r="C180" t="s">
        <v>265</v>
      </c>
      <c r="D180" t="s">
        <v>266</v>
      </c>
      <c r="E180" t="s">
        <v>182</v>
      </c>
      <c r="F180" t="s">
        <v>183</v>
      </c>
      <c r="G180" t="s">
        <v>89</v>
      </c>
      <c r="H180" t="s">
        <v>90</v>
      </c>
      <c r="I180" t="s">
        <v>56</v>
      </c>
      <c r="J180" t="s">
        <v>91</v>
      </c>
      <c r="K180" s="3">
        <v>46375.05</v>
      </c>
      <c r="L180" s="3">
        <v>22815.919999999998</v>
      </c>
      <c r="M180">
        <v>4</v>
      </c>
      <c r="N180" s="4">
        <v>0.05</v>
      </c>
      <c r="O180" t="s">
        <v>44</v>
      </c>
      <c r="P180" t="s">
        <v>77</v>
      </c>
    </row>
    <row r="181" spans="1:16">
      <c r="A181" t="s">
        <v>333</v>
      </c>
      <c r="B181" s="2">
        <v>45963</v>
      </c>
      <c r="C181" t="s">
        <v>79</v>
      </c>
      <c r="D181" t="s">
        <v>80</v>
      </c>
      <c r="E181" t="s">
        <v>81</v>
      </c>
      <c r="F181" t="s">
        <v>82</v>
      </c>
      <c r="G181" t="s">
        <v>21</v>
      </c>
      <c r="H181" t="s">
        <v>83</v>
      </c>
      <c r="I181" t="s">
        <v>53</v>
      </c>
      <c r="J181" t="s">
        <v>102</v>
      </c>
      <c r="K181" s="3">
        <v>81656.710000000006</v>
      </c>
      <c r="L181" s="3">
        <v>51550.74</v>
      </c>
      <c r="M181">
        <v>3</v>
      </c>
      <c r="N181" s="4">
        <v>0.15</v>
      </c>
      <c r="O181" t="s">
        <v>136</v>
      </c>
      <c r="P181" t="s">
        <v>98</v>
      </c>
    </row>
    <row r="182" spans="1:16">
      <c r="A182" t="s">
        <v>334</v>
      </c>
      <c r="B182" s="2">
        <v>45800</v>
      </c>
      <c r="C182" t="s">
        <v>104</v>
      </c>
      <c r="D182" t="s">
        <v>105</v>
      </c>
      <c r="E182" t="s">
        <v>110</v>
      </c>
      <c r="F182" t="s">
        <v>111</v>
      </c>
      <c r="G182" t="s">
        <v>40</v>
      </c>
      <c r="H182" t="s">
        <v>112</v>
      </c>
      <c r="I182" t="s">
        <v>23</v>
      </c>
      <c r="J182" t="s">
        <v>75</v>
      </c>
      <c r="K182" s="3">
        <v>15332.04</v>
      </c>
      <c r="L182" s="3">
        <v>4672.6400000000003</v>
      </c>
      <c r="M182">
        <v>4</v>
      </c>
      <c r="N182" s="4">
        <v>0.1</v>
      </c>
      <c r="O182" t="s">
        <v>25</v>
      </c>
      <c r="P182" t="s">
        <v>26</v>
      </c>
    </row>
    <row r="183" spans="1:16">
      <c r="A183" t="s">
        <v>335</v>
      </c>
      <c r="B183" s="2">
        <v>45476</v>
      </c>
      <c r="C183" t="s">
        <v>100</v>
      </c>
      <c r="D183" t="s">
        <v>101</v>
      </c>
      <c r="E183" t="s">
        <v>132</v>
      </c>
      <c r="F183" t="s">
        <v>133</v>
      </c>
      <c r="G183" t="s">
        <v>40</v>
      </c>
      <c r="H183" t="s">
        <v>41</v>
      </c>
      <c r="I183" t="s">
        <v>42</v>
      </c>
      <c r="J183" t="s">
        <v>43</v>
      </c>
      <c r="K183" s="3">
        <v>1967.45</v>
      </c>
      <c r="L183" s="3">
        <v>1198.45</v>
      </c>
      <c r="M183">
        <v>5</v>
      </c>
      <c r="N183" s="4">
        <v>0.1</v>
      </c>
      <c r="O183" t="s">
        <v>44</v>
      </c>
      <c r="P183" t="s">
        <v>45</v>
      </c>
    </row>
    <row r="184" spans="1:16">
      <c r="A184" t="s">
        <v>336</v>
      </c>
      <c r="B184" s="2">
        <v>45728</v>
      </c>
      <c r="C184" t="s">
        <v>170</v>
      </c>
      <c r="D184" t="s">
        <v>171</v>
      </c>
      <c r="E184" t="s">
        <v>193</v>
      </c>
      <c r="F184" t="s">
        <v>194</v>
      </c>
      <c r="G184" t="s">
        <v>89</v>
      </c>
      <c r="H184" t="s">
        <v>90</v>
      </c>
      <c r="I184" t="s">
        <v>42</v>
      </c>
      <c r="J184" t="s">
        <v>162</v>
      </c>
      <c r="K184" s="3">
        <v>2043.72</v>
      </c>
      <c r="L184" s="3">
        <v>1037.96</v>
      </c>
      <c r="M184">
        <v>2</v>
      </c>
      <c r="N184" s="4">
        <v>0</v>
      </c>
      <c r="O184" t="s">
        <v>44</v>
      </c>
      <c r="P184" t="s">
        <v>26</v>
      </c>
    </row>
    <row r="185" spans="1:16">
      <c r="A185" t="s">
        <v>337</v>
      </c>
      <c r="B185" s="2">
        <v>45979</v>
      </c>
      <c r="C185" t="s">
        <v>66</v>
      </c>
      <c r="D185" t="s">
        <v>67</v>
      </c>
      <c r="E185" t="s">
        <v>81</v>
      </c>
      <c r="F185" t="s">
        <v>82</v>
      </c>
      <c r="G185" t="s">
        <v>21</v>
      </c>
      <c r="H185" t="s">
        <v>83</v>
      </c>
      <c r="I185" t="s">
        <v>23</v>
      </c>
      <c r="J185" t="s">
        <v>33</v>
      </c>
      <c r="K185" s="3">
        <v>121783.39</v>
      </c>
      <c r="L185" s="3">
        <v>70031.679999999993</v>
      </c>
      <c r="M185">
        <v>4</v>
      </c>
      <c r="N185" s="4">
        <v>0.05</v>
      </c>
      <c r="O185" t="s">
        <v>25</v>
      </c>
      <c r="P185" t="s">
        <v>58</v>
      </c>
    </row>
    <row r="186" spans="1:16">
      <c r="A186" t="s">
        <v>338</v>
      </c>
      <c r="B186" s="2">
        <v>45421</v>
      </c>
      <c r="C186" t="s">
        <v>155</v>
      </c>
      <c r="D186" t="s">
        <v>156</v>
      </c>
      <c r="E186" t="s">
        <v>38</v>
      </c>
      <c r="F186" t="s">
        <v>39</v>
      </c>
      <c r="G186" t="s">
        <v>40</v>
      </c>
      <c r="H186" t="s">
        <v>41</v>
      </c>
      <c r="I186" t="s">
        <v>23</v>
      </c>
      <c r="J186" t="s">
        <v>24</v>
      </c>
      <c r="K186" s="3">
        <v>1469.03</v>
      </c>
      <c r="L186" s="3">
        <v>473.6</v>
      </c>
      <c r="M186">
        <v>1</v>
      </c>
      <c r="N186" s="4">
        <v>0.1</v>
      </c>
      <c r="O186" t="s">
        <v>136</v>
      </c>
      <c r="P186" t="s">
        <v>58</v>
      </c>
    </row>
    <row r="187" spans="1:16">
      <c r="A187" t="s">
        <v>339</v>
      </c>
      <c r="B187" s="2">
        <v>45752</v>
      </c>
      <c r="C187" t="s">
        <v>155</v>
      </c>
      <c r="D187" t="s">
        <v>156</v>
      </c>
      <c r="E187" t="s">
        <v>152</v>
      </c>
      <c r="F187" t="s">
        <v>153</v>
      </c>
      <c r="G187" t="s">
        <v>21</v>
      </c>
      <c r="H187" t="s">
        <v>32</v>
      </c>
      <c r="I187" t="s">
        <v>42</v>
      </c>
      <c r="J187" t="s">
        <v>68</v>
      </c>
      <c r="K187" s="3">
        <v>34397.06</v>
      </c>
      <c r="L187" s="3">
        <v>23385.66</v>
      </c>
      <c r="M187">
        <v>3</v>
      </c>
      <c r="N187" s="4">
        <v>0.2</v>
      </c>
      <c r="O187" t="s">
        <v>76</v>
      </c>
      <c r="P187" t="s">
        <v>77</v>
      </c>
    </row>
    <row r="188" spans="1:16">
      <c r="A188" t="s">
        <v>340</v>
      </c>
      <c r="B188" s="2">
        <v>45577</v>
      </c>
      <c r="C188" t="s">
        <v>104</v>
      </c>
      <c r="D188" t="s">
        <v>105</v>
      </c>
      <c r="E188" t="s">
        <v>110</v>
      </c>
      <c r="F188" t="s">
        <v>111</v>
      </c>
      <c r="G188" t="s">
        <v>40</v>
      </c>
      <c r="H188" t="s">
        <v>112</v>
      </c>
      <c r="I188" t="s">
        <v>42</v>
      </c>
      <c r="J188" t="s">
        <v>68</v>
      </c>
      <c r="K188" s="3">
        <v>2733.61</v>
      </c>
      <c r="L188" s="3">
        <v>2621.04</v>
      </c>
      <c r="M188">
        <v>2</v>
      </c>
      <c r="N188" s="4">
        <v>0.05</v>
      </c>
      <c r="O188" t="s">
        <v>136</v>
      </c>
      <c r="P188" t="s">
        <v>26</v>
      </c>
    </row>
    <row r="189" spans="1:16">
      <c r="A189" t="s">
        <v>341</v>
      </c>
      <c r="B189" s="2">
        <v>45558</v>
      </c>
      <c r="C189" t="s">
        <v>70</v>
      </c>
      <c r="D189" t="s">
        <v>71</v>
      </c>
      <c r="E189" t="s">
        <v>19</v>
      </c>
      <c r="F189" t="s">
        <v>20</v>
      </c>
      <c r="G189" t="s">
        <v>21</v>
      </c>
      <c r="H189" t="s">
        <v>22</v>
      </c>
      <c r="I189" t="s">
        <v>84</v>
      </c>
      <c r="J189" t="s">
        <v>142</v>
      </c>
      <c r="K189" s="3">
        <v>23157.37</v>
      </c>
      <c r="L189" s="3">
        <v>11314.96</v>
      </c>
      <c r="M189">
        <v>4</v>
      </c>
      <c r="N189" s="4">
        <v>0.15</v>
      </c>
      <c r="O189" t="s">
        <v>76</v>
      </c>
      <c r="P189" t="s">
        <v>58</v>
      </c>
    </row>
    <row r="190" spans="1:16">
      <c r="A190" t="s">
        <v>342</v>
      </c>
      <c r="B190" s="2">
        <v>45468</v>
      </c>
      <c r="C190" t="s">
        <v>47</v>
      </c>
      <c r="D190" t="s">
        <v>48</v>
      </c>
      <c r="E190" t="s">
        <v>62</v>
      </c>
      <c r="F190" t="s">
        <v>63</v>
      </c>
      <c r="G190" t="s">
        <v>21</v>
      </c>
      <c r="H190" t="s">
        <v>64</v>
      </c>
      <c r="I190" t="s">
        <v>56</v>
      </c>
      <c r="J190" t="s">
        <v>191</v>
      </c>
      <c r="K190" s="3">
        <v>20341.22</v>
      </c>
      <c r="L190" s="3">
        <v>7916.04</v>
      </c>
      <c r="M190">
        <v>4</v>
      </c>
      <c r="N190" s="4">
        <v>0.1</v>
      </c>
      <c r="O190" t="s">
        <v>44</v>
      </c>
      <c r="P190" t="s">
        <v>58</v>
      </c>
    </row>
    <row r="191" spans="1:16">
      <c r="A191" t="s">
        <v>343</v>
      </c>
      <c r="B191" s="2">
        <v>45599</v>
      </c>
      <c r="C191" t="s">
        <v>70</v>
      </c>
      <c r="D191" t="s">
        <v>71</v>
      </c>
      <c r="E191" t="s">
        <v>187</v>
      </c>
      <c r="F191" t="s">
        <v>188</v>
      </c>
      <c r="G191" t="s">
        <v>89</v>
      </c>
      <c r="H191" t="s">
        <v>189</v>
      </c>
      <c r="I191" t="s">
        <v>84</v>
      </c>
      <c r="J191" t="s">
        <v>142</v>
      </c>
      <c r="K191" s="3">
        <v>23755.51</v>
      </c>
      <c r="L191" s="3">
        <v>11465.98</v>
      </c>
      <c r="M191">
        <v>2</v>
      </c>
      <c r="N191" s="4">
        <v>0.05</v>
      </c>
      <c r="O191" t="s">
        <v>44</v>
      </c>
      <c r="P191" t="s">
        <v>58</v>
      </c>
    </row>
    <row r="192" spans="1:16">
      <c r="A192" t="s">
        <v>344</v>
      </c>
      <c r="B192" s="2">
        <v>45434</v>
      </c>
      <c r="C192" t="s">
        <v>179</v>
      </c>
      <c r="D192" t="s">
        <v>180</v>
      </c>
      <c r="E192" t="s">
        <v>49</v>
      </c>
      <c r="F192" t="s">
        <v>50</v>
      </c>
      <c r="G192" t="s">
        <v>51</v>
      </c>
      <c r="H192" t="s">
        <v>52</v>
      </c>
      <c r="I192" t="s">
        <v>53</v>
      </c>
      <c r="J192" t="s">
        <v>54</v>
      </c>
      <c r="K192" s="3">
        <v>12971.28</v>
      </c>
      <c r="L192" s="3">
        <v>14813.04</v>
      </c>
      <c r="M192">
        <v>2</v>
      </c>
      <c r="N192" s="4">
        <v>0.2</v>
      </c>
      <c r="O192" t="s">
        <v>34</v>
      </c>
      <c r="P192" t="s">
        <v>77</v>
      </c>
    </row>
    <row r="193" spans="1:16">
      <c r="A193" t="s">
        <v>345</v>
      </c>
      <c r="B193" s="2">
        <v>45918</v>
      </c>
      <c r="C193" t="s">
        <v>170</v>
      </c>
      <c r="D193" t="s">
        <v>171</v>
      </c>
      <c r="E193" t="s">
        <v>187</v>
      </c>
      <c r="F193" t="s">
        <v>188</v>
      </c>
      <c r="G193" t="s">
        <v>89</v>
      </c>
      <c r="H193" t="s">
        <v>189</v>
      </c>
      <c r="I193" t="s">
        <v>23</v>
      </c>
      <c r="J193" t="s">
        <v>75</v>
      </c>
      <c r="K193" s="3">
        <v>7550.9</v>
      </c>
      <c r="L193" s="3">
        <v>5022.32</v>
      </c>
      <c r="M193">
        <v>1</v>
      </c>
      <c r="N193" s="4">
        <v>0.15</v>
      </c>
      <c r="O193" t="s">
        <v>34</v>
      </c>
      <c r="P193" t="s">
        <v>26</v>
      </c>
    </row>
    <row r="194" spans="1:16">
      <c r="A194" t="s">
        <v>346</v>
      </c>
      <c r="B194" s="2">
        <v>45880</v>
      </c>
      <c r="C194" t="s">
        <v>79</v>
      </c>
      <c r="D194" t="s">
        <v>80</v>
      </c>
      <c r="E194" t="s">
        <v>132</v>
      </c>
      <c r="F194" t="s">
        <v>133</v>
      </c>
      <c r="G194" t="s">
        <v>40</v>
      </c>
      <c r="H194" t="s">
        <v>41</v>
      </c>
      <c r="I194" t="s">
        <v>53</v>
      </c>
      <c r="J194" t="s">
        <v>102</v>
      </c>
      <c r="K194" s="3">
        <v>619.47</v>
      </c>
      <c r="L194" s="3">
        <v>231.27</v>
      </c>
      <c r="M194">
        <v>1</v>
      </c>
      <c r="N194" s="4">
        <v>0</v>
      </c>
      <c r="O194" t="s">
        <v>136</v>
      </c>
      <c r="P194" t="s">
        <v>98</v>
      </c>
    </row>
    <row r="195" spans="1:16">
      <c r="A195" t="s">
        <v>347</v>
      </c>
      <c r="B195" s="2">
        <v>45423</v>
      </c>
      <c r="C195" t="s">
        <v>130</v>
      </c>
      <c r="D195" t="s">
        <v>131</v>
      </c>
      <c r="E195" t="s">
        <v>182</v>
      </c>
      <c r="F195" t="s">
        <v>183</v>
      </c>
      <c r="G195" t="s">
        <v>89</v>
      </c>
      <c r="H195" t="s">
        <v>90</v>
      </c>
      <c r="I195" t="s">
        <v>84</v>
      </c>
      <c r="J195" t="s">
        <v>134</v>
      </c>
      <c r="K195" s="3">
        <v>38212.28</v>
      </c>
      <c r="L195" s="3">
        <v>30838.75</v>
      </c>
      <c r="M195">
        <v>5</v>
      </c>
      <c r="N195" s="4">
        <v>0.05</v>
      </c>
      <c r="O195" t="s">
        <v>136</v>
      </c>
      <c r="P195" t="s">
        <v>58</v>
      </c>
    </row>
    <row r="196" spans="1:16">
      <c r="A196" t="s">
        <v>348</v>
      </c>
      <c r="B196" s="2">
        <v>45603</v>
      </c>
      <c r="C196" t="s">
        <v>179</v>
      </c>
      <c r="D196" t="s">
        <v>180</v>
      </c>
      <c r="E196" t="s">
        <v>182</v>
      </c>
      <c r="F196" t="s">
        <v>183</v>
      </c>
      <c r="G196" t="s">
        <v>89</v>
      </c>
      <c r="H196" t="s">
        <v>90</v>
      </c>
      <c r="I196" t="s">
        <v>23</v>
      </c>
      <c r="J196" t="s">
        <v>75</v>
      </c>
      <c r="K196" s="3">
        <v>25697.29</v>
      </c>
      <c r="L196" s="3">
        <v>11188.72</v>
      </c>
      <c r="M196">
        <v>2</v>
      </c>
      <c r="N196" s="4">
        <v>0.05</v>
      </c>
      <c r="O196" t="s">
        <v>44</v>
      </c>
      <c r="P196" t="s">
        <v>45</v>
      </c>
    </row>
    <row r="197" spans="1:16">
      <c r="A197" t="s">
        <v>349</v>
      </c>
      <c r="B197" s="2">
        <v>45942</v>
      </c>
      <c r="C197" t="s">
        <v>100</v>
      </c>
      <c r="D197" t="s">
        <v>101</v>
      </c>
      <c r="E197" t="s">
        <v>175</v>
      </c>
      <c r="F197" t="s">
        <v>176</v>
      </c>
      <c r="G197" t="s">
        <v>51</v>
      </c>
      <c r="H197" t="s">
        <v>177</v>
      </c>
      <c r="I197" t="s">
        <v>84</v>
      </c>
      <c r="J197" t="s">
        <v>85</v>
      </c>
      <c r="K197" s="3">
        <v>106881.24</v>
      </c>
      <c r="L197" s="3">
        <v>76391.199999999997</v>
      </c>
      <c r="M197">
        <v>5</v>
      </c>
      <c r="N197" s="4">
        <v>0.2</v>
      </c>
      <c r="O197" t="s">
        <v>34</v>
      </c>
      <c r="P197" t="s">
        <v>58</v>
      </c>
    </row>
    <row r="198" spans="1:16">
      <c r="A198" t="s">
        <v>350</v>
      </c>
      <c r="B198" s="2">
        <v>45886</v>
      </c>
      <c r="C198" t="s">
        <v>114</v>
      </c>
      <c r="D198" t="s">
        <v>115</v>
      </c>
      <c r="E198" t="s">
        <v>117</v>
      </c>
      <c r="F198" t="s">
        <v>118</v>
      </c>
      <c r="G198" t="s">
        <v>51</v>
      </c>
      <c r="H198" t="s">
        <v>119</v>
      </c>
      <c r="I198" t="s">
        <v>42</v>
      </c>
      <c r="J198" t="s">
        <v>43</v>
      </c>
      <c r="K198" s="3">
        <v>14019.04</v>
      </c>
      <c r="L198" s="3">
        <v>8408.16</v>
      </c>
      <c r="M198">
        <v>2</v>
      </c>
      <c r="N198" s="4">
        <v>0.2</v>
      </c>
      <c r="O198" t="s">
        <v>44</v>
      </c>
      <c r="P198" t="s">
        <v>58</v>
      </c>
    </row>
    <row r="199" spans="1:16">
      <c r="A199" t="s">
        <v>351</v>
      </c>
      <c r="B199" s="2">
        <v>45948</v>
      </c>
      <c r="C199" t="s">
        <v>140</v>
      </c>
      <c r="D199" t="s">
        <v>141</v>
      </c>
      <c r="E199" t="s">
        <v>62</v>
      </c>
      <c r="F199" t="s">
        <v>63</v>
      </c>
      <c r="G199" t="s">
        <v>21</v>
      </c>
      <c r="H199" t="s">
        <v>64</v>
      </c>
      <c r="I199" t="s">
        <v>23</v>
      </c>
      <c r="J199" t="s">
        <v>24</v>
      </c>
      <c r="K199" s="3">
        <v>11845.04</v>
      </c>
      <c r="L199" s="3">
        <v>8576.4</v>
      </c>
      <c r="M199">
        <v>5</v>
      </c>
      <c r="N199" s="4">
        <v>0.2</v>
      </c>
      <c r="O199" t="s">
        <v>136</v>
      </c>
      <c r="P199" t="s">
        <v>58</v>
      </c>
    </row>
    <row r="200" spans="1:16">
      <c r="A200" t="s">
        <v>352</v>
      </c>
      <c r="B200" s="2">
        <v>45949</v>
      </c>
      <c r="C200" t="s">
        <v>197</v>
      </c>
      <c r="D200" t="s">
        <v>198</v>
      </c>
      <c r="E200" t="s">
        <v>187</v>
      </c>
      <c r="F200" t="s">
        <v>188</v>
      </c>
      <c r="G200" t="s">
        <v>89</v>
      </c>
      <c r="H200" t="s">
        <v>189</v>
      </c>
      <c r="I200" t="s">
        <v>84</v>
      </c>
      <c r="J200" t="s">
        <v>142</v>
      </c>
      <c r="K200" s="3">
        <v>29743.38</v>
      </c>
      <c r="L200" s="3">
        <v>16443.72</v>
      </c>
      <c r="M200">
        <v>3</v>
      </c>
      <c r="N200" s="4">
        <v>0.15</v>
      </c>
      <c r="O200" t="s">
        <v>44</v>
      </c>
      <c r="P200" t="s">
        <v>98</v>
      </c>
    </row>
    <row r="201" spans="1:16">
      <c r="A201" t="s">
        <v>353</v>
      </c>
      <c r="B201" s="2">
        <v>45742</v>
      </c>
      <c r="C201" t="s">
        <v>100</v>
      </c>
      <c r="D201" t="s">
        <v>101</v>
      </c>
      <c r="E201" t="s">
        <v>81</v>
      </c>
      <c r="F201" t="s">
        <v>82</v>
      </c>
      <c r="G201" t="s">
        <v>21</v>
      </c>
      <c r="H201" t="s">
        <v>83</v>
      </c>
      <c r="I201" t="s">
        <v>23</v>
      </c>
      <c r="J201" t="s">
        <v>75</v>
      </c>
      <c r="K201" s="3">
        <v>74200.639999999999</v>
      </c>
      <c r="L201" s="3">
        <v>71773.2</v>
      </c>
      <c r="M201">
        <v>4</v>
      </c>
      <c r="N201" s="4">
        <v>0.2</v>
      </c>
      <c r="O201" t="s">
        <v>76</v>
      </c>
      <c r="P201" t="s">
        <v>77</v>
      </c>
    </row>
    <row r="202" spans="1:16">
      <c r="A202" t="s">
        <v>354</v>
      </c>
      <c r="B202" s="2">
        <v>45645</v>
      </c>
      <c r="C202" t="s">
        <v>60</v>
      </c>
      <c r="D202" t="s">
        <v>61</v>
      </c>
      <c r="E202" t="s">
        <v>110</v>
      </c>
      <c r="F202" t="s">
        <v>111</v>
      </c>
      <c r="G202" t="s">
        <v>40</v>
      </c>
      <c r="H202" t="s">
        <v>112</v>
      </c>
      <c r="I202" t="s">
        <v>42</v>
      </c>
      <c r="J202" t="s">
        <v>162</v>
      </c>
      <c r="K202" s="3">
        <v>8635.81</v>
      </c>
      <c r="L202" s="3">
        <v>4445.5200000000004</v>
      </c>
      <c r="M202">
        <v>4</v>
      </c>
      <c r="N202" s="4">
        <v>0.2</v>
      </c>
      <c r="O202" t="s">
        <v>25</v>
      </c>
      <c r="P202" t="s">
        <v>77</v>
      </c>
    </row>
    <row r="203" spans="1:16">
      <c r="A203" t="s">
        <v>355</v>
      </c>
      <c r="B203" s="2">
        <v>45565</v>
      </c>
      <c r="C203" t="s">
        <v>36</v>
      </c>
      <c r="D203" t="s">
        <v>37</v>
      </c>
      <c r="E203" t="s">
        <v>38</v>
      </c>
      <c r="F203" t="s">
        <v>39</v>
      </c>
      <c r="G203" t="s">
        <v>40</v>
      </c>
      <c r="H203" t="s">
        <v>41</v>
      </c>
      <c r="I203" t="s">
        <v>23</v>
      </c>
      <c r="J203" t="s">
        <v>33</v>
      </c>
      <c r="K203" s="3">
        <v>2717.64</v>
      </c>
      <c r="L203" s="3">
        <v>1899.16</v>
      </c>
      <c r="M203">
        <v>4</v>
      </c>
      <c r="N203" s="4">
        <v>0.1</v>
      </c>
      <c r="O203" t="s">
        <v>136</v>
      </c>
      <c r="P203" t="s">
        <v>26</v>
      </c>
    </row>
    <row r="204" spans="1:16">
      <c r="A204" t="s">
        <v>356</v>
      </c>
      <c r="B204" s="2">
        <v>45627</v>
      </c>
      <c r="C204" t="s">
        <v>36</v>
      </c>
      <c r="D204" t="s">
        <v>37</v>
      </c>
      <c r="E204" t="s">
        <v>117</v>
      </c>
      <c r="F204" t="s">
        <v>118</v>
      </c>
      <c r="G204" t="s">
        <v>51</v>
      </c>
      <c r="H204" t="s">
        <v>119</v>
      </c>
      <c r="I204" t="s">
        <v>53</v>
      </c>
      <c r="J204" t="s">
        <v>102</v>
      </c>
      <c r="K204" s="3">
        <v>29314.2</v>
      </c>
      <c r="L204" s="3">
        <v>23495.1</v>
      </c>
      <c r="M204">
        <v>5</v>
      </c>
      <c r="N204" s="4">
        <v>0.05</v>
      </c>
      <c r="O204" t="s">
        <v>136</v>
      </c>
      <c r="P204" t="s">
        <v>98</v>
      </c>
    </row>
    <row r="205" spans="1:16">
      <c r="A205" t="s">
        <v>357</v>
      </c>
      <c r="B205" s="2">
        <v>45315</v>
      </c>
      <c r="C205" t="s">
        <v>197</v>
      </c>
      <c r="D205" t="s">
        <v>198</v>
      </c>
      <c r="E205" t="s">
        <v>123</v>
      </c>
      <c r="F205" t="s">
        <v>124</v>
      </c>
      <c r="G205" t="s">
        <v>51</v>
      </c>
      <c r="H205" t="s">
        <v>125</v>
      </c>
      <c r="I205" t="s">
        <v>56</v>
      </c>
      <c r="J205" t="s">
        <v>191</v>
      </c>
      <c r="K205" s="3">
        <v>27718.27</v>
      </c>
      <c r="L205" s="3">
        <v>19602.84</v>
      </c>
      <c r="M205">
        <v>1</v>
      </c>
      <c r="N205" s="4">
        <v>0.05</v>
      </c>
      <c r="O205" t="s">
        <v>76</v>
      </c>
      <c r="P205" t="s">
        <v>77</v>
      </c>
    </row>
    <row r="206" spans="1:16">
      <c r="A206" t="s">
        <v>358</v>
      </c>
      <c r="B206" s="2">
        <v>45798</v>
      </c>
      <c r="C206" t="s">
        <v>28</v>
      </c>
      <c r="D206" t="s">
        <v>29</v>
      </c>
      <c r="E206" t="s">
        <v>81</v>
      </c>
      <c r="F206" t="s">
        <v>82</v>
      </c>
      <c r="G206" t="s">
        <v>21</v>
      </c>
      <c r="H206" t="s">
        <v>83</v>
      </c>
      <c r="I206" t="s">
        <v>84</v>
      </c>
      <c r="J206" t="s">
        <v>142</v>
      </c>
      <c r="K206" s="3">
        <v>126944.18</v>
      </c>
      <c r="L206" s="3">
        <v>96882.1</v>
      </c>
      <c r="M206">
        <v>5</v>
      </c>
      <c r="N206" s="4">
        <v>0.15</v>
      </c>
      <c r="O206" t="s">
        <v>44</v>
      </c>
      <c r="P206" t="s">
        <v>58</v>
      </c>
    </row>
    <row r="207" spans="1:16">
      <c r="A207" t="s">
        <v>359</v>
      </c>
      <c r="B207" s="2">
        <v>45562</v>
      </c>
      <c r="C207" t="s">
        <v>179</v>
      </c>
      <c r="D207" t="s">
        <v>180</v>
      </c>
      <c r="E207" t="s">
        <v>132</v>
      </c>
      <c r="F207" t="s">
        <v>133</v>
      </c>
      <c r="G207" t="s">
        <v>40</v>
      </c>
      <c r="H207" t="s">
        <v>41</v>
      </c>
      <c r="I207" t="s">
        <v>23</v>
      </c>
      <c r="J207" t="s">
        <v>75</v>
      </c>
      <c r="K207" s="3">
        <v>1685.68</v>
      </c>
      <c r="L207" s="3">
        <v>789.57</v>
      </c>
      <c r="M207">
        <v>3</v>
      </c>
      <c r="N207" s="4">
        <v>0.15</v>
      </c>
      <c r="O207" t="s">
        <v>25</v>
      </c>
      <c r="P207" t="s">
        <v>58</v>
      </c>
    </row>
    <row r="208" spans="1:16">
      <c r="A208" t="s">
        <v>360</v>
      </c>
      <c r="B208" s="2">
        <v>45367</v>
      </c>
      <c r="C208" t="s">
        <v>158</v>
      </c>
      <c r="D208" t="s">
        <v>159</v>
      </c>
      <c r="E208" t="s">
        <v>187</v>
      </c>
      <c r="F208" t="s">
        <v>188</v>
      </c>
      <c r="G208" t="s">
        <v>89</v>
      </c>
      <c r="H208" t="s">
        <v>189</v>
      </c>
      <c r="I208" t="s">
        <v>84</v>
      </c>
      <c r="J208" t="s">
        <v>142</v>
      </c>
      <c r="K208" s="3">
        <v>40998.67</v>
      </c>
      <c r="L208" s="3">
        <v>22018.720000000001</v>
      </c>
      <c r="M208">
        <v>4</v>
      </c>
      <c r="N208" s="4">
        <v>0.1</v>
      </c>
      <c r="O208" t="s">
        <v>34</v>
      </c>
      <c r="P208" t="s">
        <v>58</v>
      </c>
    </row>
    <row r="209" spans="1:16">
      <c r="A209" t="s">
        <v>361</v>
      </c>
      <c r="B209" s="2">
        <v>45674</v>
      </c>
      <c r="C209" t="s">
        <v>47</v>
      </c>
      <c r="D209" t="s">
        <v>48</v>
      </c>
      <c r="E209" t="s">
        <v>19</v>
      </c>
      <c r="F209" t="s">
        <v>20</v>
      </c>
      <c r="G209" t="s">
        <v>21</v>
      </c>
      <c r="H209" t="s">
        <v>22</v>
      </c>
      <c r="I209" t="s">
        <v>56</v>
      </c>
      <c r="J209" t="s">
        <v>91</v>
      </c>
      <c r="K209" s="3">
        <v>15452.76</v>
      </c>
      <c r="L209" s="3">
        <v>9104.1</v>
      </c>
      <c r="M209">
        <v>3</v>
      </c>
      <c r="N209" s="4">
        <v>0.05</v>
      </c>
      <c r="O209" t="s">
        <v>76</v>
      </c>
      <c r="P209" t="s">
        <v>26</v>
      </c>
    </row>
    <row r="210" spans="1:16">
      <c r="A210" t="s">
        <v>362</v>
      </c>
      <c r="B210" s="2">
        <v>45331</v>
      </c>
      <c r="C210" t="s">
        <v>114</v>
      </c>
      <c r="D210" t="s">
        <v>115</v>
      </c>
      <c r="E210" t="s">
        <v>81</v>
      </c>
      <c r="F210" t="s">
        <v>82</v>
      </c>
      <c r="G210" t="s">
        <v>21</v>
      </c>
      <c r="H210" t="s">
        <v>83</v>
      </c>
      <c r="I210" t="s">
        <v>23</v>
      </c>
      <c r="J210" t="s">
        <v>24</v>
      </c>
      <c r="K210" s="3">
        <v>51345.36</v>
      </c>
      <c r="L210" s="3">
        <v>37537.86</v>
      </c>
      <c r="M210">
        <v>2</v>
      </c>
      <c r="N210" s="4">
        <v>0.2</v>
      </c>
      <c r="O210" t="s">
        <v>136</v>
      </c>
      <c r="P210" t="s">
        <v>58</v>
      </c>
    </row>
    <row r="211" spans="1:16">
      <c r="A211" t="s">
        <v>363</v>
      </c>
      <c r="B211" s="2">
        <v>45627</v>
      </c>
      <c r="C211" t="s">
        <v>155</v>
      </c>
      <c r="D211" t="s">
        <v>156</v>
      </c>
      <c r="E211" t="s">
        <v>182</v>
      </c>
      <c r="F211" t="s">
        <v>183</v>
      </c>
      <c r="G211" t="s">
        <v>89</v>
      </c>
      <c r="H211" t="s">
        <v>90</v>
      </c>
      <c r="I211" t="s">
        <v>23</v>
      </c>
      <c r="J211" t="s">
        <v>75</v>
      </c>
      <c r="K211" s="3">
        <v>38322.839999999997</v>
      </c>
      <c r="L211" s="3">
        <v>28911.200000000001</v>
      </c>
      <c r="M211">
        <v>5</v>
      </c>
      <c r="N211" s="4">
        <v>0.2</v>
      </c>
      <c r="O211" t="s">
        <v>44</v>
      </c>
      <c r="P211" t="s">
        <v>77</v>
      </c>
    </row>
    <row r="212" spans="1:16">
      <c r="A212" t="s">
        <v>364</v>
      </c>
      <c r="B212" s="2">
        <v>45793</v>
      </c>
      <c r="C212" t="s">
        <v>114</v>
      </c>
      <c r="D212" t="s">
        <v>115</v>
      </c>
      <c r="E212" t="s">
        <v>182</v>
      </c>
      <c r="F212" t="s">
        <v>183</v>
      </c>
      <c r="G212" t="s">
        <v>89</v>
      </c>
      <c r="H212" t="s">
        <v>90</v>
      </c>
      <c r="I212" t="s">
        <v>56</v>
      </c>
      <c r="J212" t="s">
        <v>57</v>
      </c>
      <c r="K212" s="3">
        <v>56963.93</v>
      </c>
      <c r="L212" s="3">
        <v>28798.75</v>
      </c>
      <c r="M212">
        <v>5</v>
      </c>
      <c r="N212" s="4">
        <v>0.1</v>
      </c>
      <c r="O212" t="s">
        <v>44</v>
      </c>
      <c r="P212" t="s">
        <v>58</v>
      </c>
    </row>
    <row r="213" spans="1:16">
      <c r="A213" t="s">
        <v>365</v>
      </c>
      <c r="B213" s="2">
        <v>45996</v>
      </c>
      <c r="C213" t="s">
        <v>207</v>
      </c>
      <c r="D213" t="s">
        <v>208</v>
      </c>
      <c r="E213" t="s">
        <v>95</v>
      </c>
      <c r="F213" t="s">
        <v>96</v>
      </c>
      <c r="G213" t="s">
        <v>89</v>
      </c>
      <c r="H213" t="s">
        <v>97</v>
      </c>
      <c r="I213" t="s">
        <v>84</v>
      </c>
      <c r="J213" t="s">
        <v>142</v>
      </c>
      <c r="K213" s="3">
        <v>4215.1099999999997</v>
      </c>
      <c r="L213" s="3">
        <v>3567.84</v>
      </c>
      <c r="M213">
        <v>1</v>
      </c>
      <c r="N213" s="4">
        <v>0.2</v>
      </c>
      <c r="O213" t="s">
        <v>34</v>
      </c>
      <c r="P213" t="s">
        <v>58</v>
      </c>
    </row>
    <row r="214" spans="1:16">
      <c r="A214" t="s">
        <v>366</v>
      </c>
      <c r="B214" s="2">
        <v>45783</v>
      </c>
      <c r="C214" t="s">
        <v>93</v>
      </c>
      <c r="D214" t="s">
        <v>94</v>
      </c>
      <c r="E214" t="s">
        <v>81</v>
      </c>
      <c r="F214" t="s">
        <v>82</v>
      </c>
      <c r="G214" t="s">
        <v>21</v>
      </c>
      <c r="H214" t="s">
        <v>83</v>
      </c>
      <c r="I214" t="s">
        <v>42</v>
      </c>
      <c r="J214" t="s">
        <v>43</v>
      </c>
      <c r="K214" s="3">
        <v>52465.99</v>
      </c>
      <c r="L214" s="3">
        <v>36174.480000000003</v>
      </c>
      <c r="M214">
        <v>2</v>
      </c>
      <c r="N214" s="4">
        <v>0.15</v>
      </c>
      <c r="O214" t="s">
        <v>76</v>
      </c>
      <c r="P214" t="s">
        <v>58</v>
      </c>
    </row>
    <row r="215" spans="1:16">
      <c r="A215" t="s">
        <v>367</v>
      </c>
      <c r="B215" s="2">
        <v>45404</v>
      </c>
      <c r="C215" t="s">
        <v>28</v>
      </c>
      <c r="D215" t="s">
        <v>29</v>
      </c>
      <c r="E215" t="s">
        <v>95</v>
      </c>
      <c r="F215" t="s">
        <v>96</v>
      </c>
      <c r="G215" t="s">
        <v>89</v>
      </c>
      <c r="H215" t="s">
        <v>97</v>
      </c>
      <c r="I215" t="s">
        <v>42</v>
      </c>
      <c r="J215" t="s">
        <v>162</v>
      </c>
      <c r="K215" s="3">
        <v>10475.76</v>
      </c>
      <c r="L215" s="3">
        <v>6326.52</v>
      </c>
      <c r="M215">
        <v>2</v>
      </c>
      <c r="N215" s="4">
        <v>0.05</v>
      </c>
      <c r="O215" t="s">
        <v>136</v>
      </c>
      <c r="P215" t="s">
        <v>58</v>
      </c>
    </row>
    <row r="216" spans="1:16">
      <c r="A216" t="s">
        <v>368</v>
      </c>
      <c r="B216" s="2">
        <v>45918</v>
      </c>
      <c r="C216" t="s">
        <v>207</v>
      </c>
      <c r="D216" t="s">
        <v>208</v>
      </c>
      <c r="E216" t="s">
        <v>182</v>
      </c>
      <c r="F216" t="s">
        <v>183</v>
      </c>
      <c r="G216" t="s">
        <v>89</v>
      </c>
      <c r="H216" t="s">
        <v>90</v>
      </c>
      <c r="I216" t="s">
        <v>53</v>
      </c>
      <c r="J216" t="s">
        <v>54</v>
      </c>
      <c r="K216" s="3">
        <v>48307.6</v>
      </c>
      <c r="L216" s="3">
        <v>25789.52</v>
      </c>
      <c r="M216">
        <v>4</v>
      </c>
      <c r="N216" s="4">
        <v>0</v>
      </c>
      <c r="O216" t="s">
        <v>76</v>
      </c>
      <c r="P216" t="s">
        <v>58</v>
      </c>
    </row>
    <row r="217" spans="1:16">
      <c r="A217" t="s">
        <v>369</v>
      </c>
      <c r="B217" s="2">
        <v>45781</v>
      </c>
      <c r="C217" t="s">
        <v>70</v>
      </c>
      <c r="D217" t="s">
        <v>71</v>
      </c>
      <c r="E217" t="s">
        <v>110</v>
      </c>
      <c r="F217" t="s">
        <v>111</v>
      </c>
      <c r="G217" t="s">
        <v>40</v>
      </c>
      <c r="H217" t="s">
        <v>112</v>
      </c>
      <c r="I217" t="s">
        <v>42</v>
      </c>
      <c r="J217" t="s">
        <v>68</v>
      </c>
      <c r="K217" s="3">
        <v>20576.97</v>
      </c>
      <c r="L217" s="3">
        <v>5852.2</v>
      </c>
      <c r="M217">
        <v>5</v>
      </c>
      <c r="N217" s="4">
        <v>0.15</v>
      </c>
      <c r="O217" t="s">
        <v>34</v>
      </c>
      <c r="P217" t="s">
        <v>77</v>
      </c>
    </row>
    <row r="218" spans="1:16">
      <c r="A218" t="s">
        <v>370</v>
      </c>
      <c r="B218" s="2">
        <v>45989</v>
      </c>
      <c r="C218" t="s">
        <v>70</v>
      </c>
      <c r="D218" t="s">
        <v>71</v>
      </c>
      <c r="E218" t="s">
        <v>172</v>
      </c>
      <c r="F218" t="s">
        <v>173</v>
      </c>
      <c r="G218" t="s">
        <v>40</v>
      </c>
      <c r="H218" t="s">
        <v>41</v>
      </c>
      <c r="I218" t="s">
        <v>42</v>
      </c>
      <c r="J218" t="s">
        <v>68</v>
      </c>
      <c r="K218" s="3">
        <v>4512.26</v>
      </c>
      <c r="L218" s="3">
        <v>2759.43</v>
      </c>
      <c r="M218">
        <v>3</v>
      </c>
      <c r="N218" s="4">
        <v>0.05</v>
      </c>
      <c r="O218" t="s">
        <v>44</v>
      </c>
      <c r="P218" t="s">
        <v>45</v>
      </c>
    </row>
    <row r="219" spans="1:16">
      <c r="A219" t="s">
        <v>371</v>
      </c>
      <c r="B219" s="2">
        <v>45587</v>
      </c>
      <c r="C219" t="s">
        <v>36</v>
      </c>
      <c r="D219" t="s">
        <v>37</v>
      </c>
      <c r="E219" t="s">
        <v>123</v>
      </c>
      <c r="F219" t="s">
        <v>124</v>
      </c>
      <c r="G219" t="s">
        <v>51</v>
      </c>
      <c r="H219" t="s">
        <v>125</v>
      </c>
      <c r="I219" t="s">
        <v>53</v>
      </c>
      <c r="J219" t="s">
        <v>54</v>
      </c>
      <c r="K219" s="3">
        <v>49102.48</v>
      </c>
      <c r="L219" s="3">
        <v>37369.72</v>
      </c>
      <c r="M219">
        <v>2</v>
      </c>
      <c r="N219" s="4">
        <v>0.15</v>
      </c>
      <c r="O219" t="s">
        <v>44</v>
      </c>
      <c r="P219" t="s">
        <v>45</v>
      </c>
    </row>
    <row r="220" spans="1:16">
      <c r="A220" t="s">
        <v>372</v>
      </c>
      <c r="B220" s="2">
        <v>45984</v>
      </c>
      <c r="C220" t="s">
        <v>265</v>
      </c>
      <c r="D220" t="s">
        <v>266</v>
      </c>
      <c r="E220" t="s">
        <v>19</v>
      </c>
      <c r="F220" t="s">
        <v>20</v>
      </c>
      <c r="G220" t="s">
        <v>21</v>
      </c>
      <c r="H220" t="s">
        <v>22</v>
      </c>
      <c r="I220" t="s">
        <v>42</v>
      </c>
      <c r="J220" t="s">
        <v>43</v>
      </c>
      <c r="K220" s="3">
        <v>39996.5</v>
      </c>
      <c r="L220" s="3">
        <v>14639.1</v>
      </c>
      <c r="M220">
        <v>5</v>
      </c>
      <c r="N220" s="4">
        <v>0.1</v>
      </c>
      <c r="O220" t="s">
        <v>76</v>
      </c>
      <c r="P220" t="s">
        <v>45</v>
      </c>
    </row>
    <row r="221" spans="1:16">
      <c r="A221" t="s">
        <v>373</v>
      </c>
      <c r="B221" s="2">
        <v>45372</v>
      </c>
      <c r="C221" t="s">
        <v>28</v>
      </c>
      <c r="D221" t="s">
        <v>29</v>
      </c>
      <c r="E221" t="s">
        <v>123</v>
      </c>
      <c r="F221" t="s">
        <v>124</v>
      </c>
      <c r="G221" t="s">
        <v>51</v>
      </c>
      <c r="H221" t="s">
        <v>125</v>
      </c>
      <c r="I221" t="s">
        <v>42</v>
      </c>
      <c r="J221" t="s">
        <v>162</v>
      </c>
      <c r="K221" s="3">
        <v>81249.48</v>
      </c>
      <c r="L221" s="3">
        <v>58579.29</v>
      </c>
      <c r="M221">
        <v>3</v>
      </c>
      <c r="N221" s="4">
        <v>0.15</v>
      </c>
      <c r="O221" t="s">
        <v>76</v>
      </c>
      <c r="P221" t="s">
        <v>58</v>
      </c>
    </row>
    <row r="222" spans="1:16">
      <c r="A222" t="s">
        <v>374</v>
      </c>
      <c r="B222" s="2">
        <v>46004</v>
      </c>
      <c r="C222" t="s">
        <v>70</v>
      </c>
      <c r="D222" t="s">
        <v>71</v>
      </c>
      <c r="E222" t="s">
        <v>175</v>
      </c>
      <c r="F222" t="s">
        <v>176</v>
      </c>
      <c r="G222" t="s">
        <v>51</v>
      </c>
      <c r="H222" t="s">
        <v>177</v>
      </c>
      <c r="I222" t="s">
        <v>56</v>
      </c>
      <c r="J222" t="s">
        <v>57</v>
      </c>
      <c r="K222" s="3">
        <v>63812.95</v>
      </c>
      <c r="L222" s="3">
        <v>44517.81</v>
      </c>
      <c r="M222">
        <v>3</v>
      </c>
      <c r="N222" s="4">
        <v>0.2</v>
      </c>
      <c r="O222" t="s">
        <v>76</v>
      </c>
      <c r="P222" t="s">
        <v>58</v>
      </c>
    </row>
    <row r="223" spans="1:16">
      <c r="A223" t="s">
        <v>375</v>
      </c>
      <c r="B223" s="2">
        <v>45945</v>
      </c>
      <c r="C223" t="s">
        <v>28</v>
      </c>
      <c r="D223" t="s">
        <v>29</v>
      </c>
      <c r="E223" t="s">
        <v>182</v>
      </c>
      <c r="F223" t="s">
        <v>183</v>
      </c>
      <c r="G223" t="s">
        <v>89</v>
      </c>
      <c r="H223" t="s">
        <v>90</v>
      </c>
      <c r="I223" t="s">
        <v>84</v>
      </c>
      <c r="J223" t="s">
        <v>85</v>
      </c>
      <c r="K223" s="3">
        <v>16539.009999999998</v>
      </c>
      <c r="L223" s="3">
        <v>10925.98</v>
      </c>
      <c r="M223">
        <v>2</v>
      </c>
      <c r="N223" s="4">
        <v>0.15</v>
      </c>
      <c r="O223" t="s">
        <v>25</v>
      </c>
      <c r="P223" t="s">
        <v>58</v>
      </c>
    </row>
    <row r="224" spans="1:16">
      <c r="A224" t="s">
        <v>376</v>
      </c>
      <c r="B224" s="2">
        <v>45708</v>
      </c>
      <c r="C224" t="s">
        <v>140</v>
      </c>
      <c r="D224" t="s">
        <v>141</v>
      </c>
      <c r="E224" t="s">
        <v>187</v>
      </c>
      <c r="F224" t="s">
        <v>188</v>
      </c>
      <c r="G224" t="s">
        <v>89</v>
      </c>
      <c r="H224" t="s">
        <v>189</v>
      </c>
      <c r="I224" t="s">
        <v>23</v>
      </c>
      <c r="J224" t="s">
        <v>75</v>
      </c>
      <c r="K224" s="3">
        <v>27087.41</v>
      </c>
      <c r="L224" s="3">
        <v>21900.76</v>
      </c>
      <c r="M224">
        <v>4</v>
      </c>
      <c r="N224" s="4">
        <v>0.1</v>
      </c>
      <c r="O224" t="s">
        <v>44</v>
      </c>
      <c r="P224" t="s">
        <v>45</v>
      </c>
    </row>
    <row r="225" spans="1:16">
      <c r="A225" t="s">
        <v>377</v>
      </c>
      <c r="B225" s="2">
        <v>45383</v>
      </c>
      <c r="C225" t="s">
        <v>17</v>
      </c>
      <c r="D225" t="s">
        <v>18</v>
      </c>
      <c r="E225" t="s">
        <v>81</v>
      </c>
      <c r="F225" t="s">
        <v>82</v>
      </c>
      <c r="G225" t="s">
        <v>21</v>
      </c>
      <c r="H225" t="s">
        <v>83</v>
      </c>
      <c r="I225" t="s">
        <v>53</v>
      </c>
      <c r="J225" t="s">
        <v>54</v>
      </c>
      <c r="K225" s="3">
        <v>155610.54999999999</v>
      </c>
      <c r="L225" s="3">
        <v>85179.95</v>
      </c>
      <c r="M225">
        <v>5</v>
      </c>
      <c r="N225" s="4">
        <v>0</v>
      </c>
      <c r="O225" t="s">
        <v>76</v>
      </c>
      <c r="P225" t="s">
        <v>26</v>
      </c>
    </row>
    <row r="226" spans="1:16">
      <c r="A226" t="s">
        <v>378</v>
      </c>
      <c r="B226" s="2">
        <v>45698</v>
      </c>
      <c r="C226" t="s">
        <v>200</v>
      </c>
      <c r="D226" t="s">
        <v>201</v>
      </c>
      <c r="E226" t="s">
        <v>81</v>
      </c>
      <c r="F226" t="s">
        <v>82</v>
      </c>
      <c r="G226" t="s">
        <v>21</v>
      </c>
      <c r="H226" t="s">
        <v>83</v>
      </c>
      <c r="I226" t="s">
        <v>53</v>
      </c>
      <c r="J226" t="s">
        <v>102</v>
      </c>
      <c r="K226" s="3">
        <v>112590.76</v>
      </c>
      <c r="L226" s="3">
        <v>67482.880000000005</v>
      </c>
      <c r="M226">
        <v>4</v>
      </c>
      <c r="N226" s="4">
        <v>0.1</v>
      </c>
      <c r="O226" t="s">
        <v>25</v>
      </c>
      <c r="P226" t="s">
        <v>58</v>
      </c>
    </row>
    <row r="227" spans="1:16">
      <c r="A227" t="s">
        <v>379</v>
      </c>
      <c r="B227" s="2">
        <v>45401</v>
      </c>
      <c r="C227" t="s">
        <v>265</v>
      </c>
      <c r="D227" t="s">
        <v>266</v>
      </c>
      <c r="E227" t="s">
        <v>95</v>
      </c>
      <c r="F227" t="s">
        <v>96</v>
      </c>
      <c r="G227" t="s">
        <v>89</v>
      </c>
      <c r="H227" t="s">
        <v>97</v>
      </c>
      <c r="I227" t="s">
        <v>42</v>
      </c>
      <c r="J227" t="s">
        <v>43</v>
      </c>
      <c r="K227" s="3">
        <v>21467.11</v>
      </c>
      <c r="L227" s="3">
        <v>10047.57</v>
      </c>
      <c r="M227">
        <v>3</v>
      </c>
      <c r="N227" s="4">
        <v>0.2</v>
      </c>
      <c r="O227" t="s">
        <v>34</v>
      </c>
      <c r="P227" t="s">
        <v>98</v>
      </c>
    </row>
    <row r="228" spans="1:16">
      <c r="A228" t="s">
        <v>380</v>
      </c>
      <c r="B228" s="2">
        <v>45571</v>
      </c>
      <c r="C228" t="s">
        <v>47</v>
      </c>
      <c r="D228" t="s">
        <v>48</v>
      </c>
      <c r="E228" t="s">
        <v>182</v>
      </c>
      <c r="F228" t="s">
        <v>183</v>
      </c>
      <c r="G228" t="s">
        <v>89</v>
      </c>
      <c r="H228" t="s">
        <v>90</v>
      </c>
      <c r="I228" t="s">
        <v>56</v>
      </c>
      <c r="J228" t="s">
        <v>191</v>
      </c>
      <c r="K228" s="3">
        <v>15516.55</v>
      </c>
      <c r="L228" s="3">
        <v>12741.16</v>
      </c>
      <c r="M228">
        <v>2</v>
      </c>
      <c r="N228" s="4">
        <v>0.15</v>
      </c>
      <c r="O228" t="s">
        <v>44</v>
      </c>
      <c r="P228" t="s">
        <v>58</v>
      </c>
    </row>
    <row r="229" spans="1:16">
      <c r="A229" t="s">
        <v>381</v>
      </c>
      <c r="B229" s="2">
        <v>45594</v>
      </c>
      <c r="C229" t="s">
        <v>140</v>
      </c>
      <c r="D229" t="s">
        <v>141</v>
      </c>
      <c r="E229" t="s">
        <v>110</v>
      </c>
      <c r="F229" t="s">
        <v>111</v>
      </c>
      <c r="G229" t="s">
        <v>40</v>
      </c>
      <c r="H229" t="s">
        <v>112</v>
      </c>
      <c r="I229" t="s">
        <v>53</v>
      </c>
      <c r="J229" t="s">
        <v>54</v>
      </c>
      <c r="K229" s="3">
        <v>8200.7999999999993</v>
      </c>
      <c r="L229" s="3">
        <v>6209.3</v>
      </c>
      <c r="M229">
        <v>5</v>
      </c>
      <c r="N229" s="4">
        <v>0.2</v>
      </c>
      <c r="O229" t="s">
        <v>136</v>
      </c>
      <c r="P229" t="s">
        <v>26</v>
      </c>
    </row>
    <row r="230" spans="1:16">
      <c r="A230" t="s">
        <v>382</v>
      </c>
      <c r="B230" s="2">
        <v>45702</v>
      </c>
      <c r="C230" t="s">
        <v>114</v>
      </c>
      <c r="D230" t="s">
        <v>115</v>
      </c>
      <c r="E230" t="s">
        <v>110</v>
      </c>
      <c r="F230" t="s">
        <v>111</v>
      </c>
      <c r="G230" t="s">
        <v>40</v>
      </c>
      <c r="H230" t="s">
        <v>112</v>
      </c>
      <c r="I230" t="s">
        <v>23</v>
      </c>
      <c r="J230" t="s">
        <v>33</v>
      </c>
      <c r="K230" s="3">
        <v>1672.27</v>
      </c>
      <c r="L230" s="3">
        <v>1124.3499999999999</v>
      </c>
      <c r="M230">
        <v>1</v>
      </c>
      <c r="N230" s="4">
        <v>0.1</v>
      </c>
      <c r="O230" t="s">
        <v>76</v>
      </c>
      <c r="P230" t="s">
        <v>58</v>
      </c>
    </row>
    <row r="231" spans="1:16">
      <c r="A231" t="s">
        <v>383</v>
      </c>
      <c r="B231" s="2">
        <v>45749</v>
      </c>
      <c r="C231" t="s">
        <v>66</v>
      </c>
      <c r="D231" t="s">
        <v>67</v>
      </c>
      <c r="E231" t="s">
        <v>106</v>
      </c>
      <c r="F231" t="s">
        <v>107</v>
      </c>
      <c r="G231" t="s">
        <v>40</v>
      </c>
      <c r="H231" t="s">
        <v>108</v>
      </c>
      <c r="I231" t="s">
        <v>84</v>
      </c>
      <c r="J231" t="s">
        <v>85</v>
      </c>
      <c r="K231" s="3">
        <v>3514.27</v>
      </c>
      <c r="L231" s="3">
        <v>2290.6799999999998</v>
      </c>
      <c r="M231">
        <v>3</v>
      </c>
      <c r="N231" s="4">
        <v>0.2</v>
      </c>
      <c r="O231" t="s">
        <v>25</v>
      </c>
      <c r="P231" t="s">
        <v>45</v>
      </c>
    </row>
    <row r="232" spans="1:16">
      <c r="A232" t="s">
        <v>384</v>
      </c>
      <c r="B232" s="2">
        <v>45533</v>
      </c>
      <c r="C232" t="s">
        <v>17</v>
      </c>
      <c r="D232" t="s">
        <v>18</v>
      </c>
      <c r="E232" t="s">
        <v>172</v>
      </c>
      <c r="F232" t="s">
        <v>173</v>
      </c>
      <c r="G232" t="s">
        <v>40</v>
      </c>
      <c r="H232" t="s">
        <v>41</v>
      </c>
      <c r="I232" t="s">
        <v>42</v>
      </c>
      <c r="J232" t="s">
        <v>162</v>
      </c>
      <c r="K232" s="3">
        <v>2280.44</v>
      </c>
      <c r="L232" s="3">
        <v>930.2</v>
      </c>
      <c r="M232">
        <v>1</v>
      </c>
      <c r="N232" s="4">
        <v>0.05</v>
      </c>
      <c r="O232" t="s">
        <v>136</v>
      </c>
      <c r="P232" t="s">
        <v>45</v>
      </c>
    </row>
    <row r="233" spans="1:16">
      <c r="A233" t="s">
        <v>385</v>
      </c>
      <c r="B233" s="2">
        <v>45594</v>
      </c>
      <c r="C233" t="s">
        <v>60</v>
      </c>
      <c r="D233" t="s">
        <v>61</v>
      </c>
      <c r="E233" t="s">
        <v>19</v>
      </c>
      <c r="F233" t="s">
        <v>20</v>
      </c>
      <c r="G233" t="s">
        <v>21</v>
      </c>
      <c r="H233" t="s">
        <v>22</v>
      </c>
      <c r="I233" t="s">
        <v>42</v>
      </c>
      <c r="J233" t="s">
        <v>68</v>
      </c>
      <c r="K233" s="3">
        <v>13098.29</v>
      </c>
      <c r="L233" s="3">
        <v>9206.34</v>
      </c>
      <c r="M233">
        <v>3</v>
      </c>
      <c r="N233" s="4">
        <v>0.05</v>
      </c>
      <c r="O233" t="s">
        <v>136</v>
      </c>
      <c r="P233" t="s">
        <v>58</v>
      </c>
    </row>
    <row r="234" spans="1:16">
      <c r="A234" t="s">
        <v>386</v>
      </c>
      <c r="B234" s="2">
        <v>45717</v>
      </c>
      <c r="C234" t="s">
        <v>170</v>
      </c>
      <c r="D234" t="s">
        <v>171</v>
      </c>
      <c r="E234" t="s">
        <v>193</v>
      </c>
      <c r="F234" t="s">
        <v>194</v>
      </c>
      <c r="G234" t="s">
        <v>89</v>
      </c>
      <c r="H234" t="s">
        <v>90</v>
      </c>
      <c r="I234" t="s">
        <v>84</v>
      </c>
      <c r="J234" t="s">
        <v>134</v>
      </c>
      <c r="K234" s="3">
        <v>7166.9</v>
      </c>
      <c r="L234" s="3">
        <v>2706.4</v>
      </c>
      <c r="M234">
        <v>5</v>
      </c>
      <c r="N234" s="4">
        <v>0.05</v>
      </c>
      <c r="O234" t="s">
        <v>76</v>
      </c>
      <c r="P234" t="s">
        <v>58</v>
      </c>
    </row>
    <row r="235" spans="1:16">
      <c r="A235" t="s">
        <v>387</v>
      </c>
      <c r="B235" s="2">
        <v>46012</v>
      </c>
      <c r="C235" t="s">
        <v>114</v>
      </c>
      <c r="D235" t="s">
        <v>115</v>
      </c>
      <c r="E235" t="s">
        <v>38</v>
      </c>
      <c r="F235" t="s">
        <v>39</v>
      </c>
      <c r="G235" t="s">
        <v>40</v>
      </c>
      <c r="H235" t="s">
        <v>41</v>
      </c>
      <c r="I235" t="s">
        <v>56</v>
      </c>
      <c r="J235" t="s">
        <v>57</v>
      </c>
      <c r="K235" s="3">
        <v>4508.01</v>
      </c>
      <c r="L235" s="3">
        <v>1373.43</v>
      </c>
      <c r="M235">
        <v>3</v>
      </c>
      <c r="N235" s="4">
        <v>0</v>
      </c>
      <c r="O235" t="s">
        <v>34</v>
      </c>
      <c r="P235" t="s">
        <v>58</v>
      </c>
    </row>
    <row r="236" spans="1:16">
      <c r="A236" t="s">
        <v>388</v>
      </c>
      <c r="B236" s="2">
        <v>45460</v>
      </c>
      <c r="C236" t="s">
        <v>147</v>
      </c>
      <c r="D236" t="s">
        <v>148</v>
      </c>
      <c r="E236" t="s">
        <v>187</v>
      </c>
      <c r="F236" t="s">
        <v>188</v>
      </c>
      <c r="G236" t="s">
        <v>89</v>
      </c>
      <c r="H236" t="s">
        <v>189</v>
      </c>
      <c r="I236" t="s">
        <v>23</v>
      </c>
      <c r="J236" t="s">
        <v>75</v>
      </c>
      <c r="K236" s="3">
        <v>26169.24</v>
      </c>
      <c r="L236" s="3">
        <v>17669.79</v>
      </c>
      <c r="M236">
        <v>3</v>
      </c>
      <c r="N236" s="4">
        <v>0.05</v>
      </c>
      <c r="O236" t="s">
        <v>34</v>
      </c>
      <c r="P236" t="s">
        <v>98</v>
      </c>
    </row>
    <row r="237" spans="1:16">
      <c r="A237" t="s">
        <v>389</v>
      </c>
      <c r="B237" s="2">
        <v>45348</v>
      </c>
      <c r="C237" t="s">
        <v>100</v>
      </c>
      <c r="D237" t="s">
        <v>101</v>
      </c>
      <c r="E237" t="s">
        <v>182</v>
      </c>
      <c r="F237" t="s">
        <v>183</v>
      </c>
      <c r="G237" t="s">
        <v>89</v>
      </c>
      <c r="H237" t="s">
        <v>90</v>
      </c>
      <c r="I237" t="s">
        <v>56</v>
      </c>
      <c r="J237" t="s">
        <v>191</v>
      </c>
      <c r="K237" s="3">
        <v>31181.73</v>
      </c>
      <c r="L237" s="3">
        <v>22233.32</v>
      </c>
      <c r="M237">
        <v>4</v>
      </c>
      <c r="N237" s="4">
        <v>0.2</v>
      </c>
      <c r="O237" t="s">
        <v>25</v>
      </c>
      <c r="P237" t="s">
        <v>98</v>
      </c>
    </row>
    <row r="238" spans="1:16">
      <c r="A238" t="s">
        <v>390</v>
      </c>
      <c r="B238" s="2">
        <v>45314</v>
      </c>
      <c r="C238" t="s">
        <v>130</v>
      </c>
      <c r="D238" t="s">
        <v>131</v>
      </c>
      <c r="E238" t="s">
        <v>123</v>
      </c>
      <c r="F238" t="s">
        <v>124</v>
      </c>
      <c r="G238" t="s">
        <v>51</v>
      </c>
      <c r="H238" t="s">
        <v>125</v>
      </c>
      <c r="I238" t="s">
        <v>42</v>
      </c>
      <c r="J238" t="s">
        <v>162</v>
      </c>
      <c r="K238" s="3">
        <v>76812.44</v>
      </c>
      <c r="L238" s="3">
        <v>68464.2</v>
      </c>
      <c r="M238">
        <v>4</v>
      </c>
      <c r="N238" s="4">
        <v>0.05</v>
      </c>
      <c r="O238" t="s">
        <v>34</v>
      </c>
      <c r="P238" t="s">
        <v>58</v>
      </c>
    </row>
    <row r="239" spans="1:16">
      <c r="A239" t="s">
        <v>391</v>
      </c>
      <c r="B239" s="2">
        <v>46009</v>
      </c>
      <c r="C239" t="s">
        <v>28</v>
      </c>
      <c r="D239" t="s">
        <v>29</v>
      </c>
      <c r="E239" t="s">
        <v>132</v>
      </c>
      <c r="F239" t="s">
        <v>133</v>
      </c>
      <c r="G239" t="s">
        <v>40</v>
      </c>
      <c r="H239" t="s">
        <v>41</v>
      </c>
      <c r="I239" t="s">
        <v>84</v>
      </c>
      <c r="J239" t="s">
        <v>134</v>
      </c>
      <c r="K239" s="3">
        <v>401.22</v>
      </c>
      <c r="L239" s="3">
        <v>252.06</v>
      </c>
      <c r="M239">
        <v>1</v>
      </c>
      <c r="N239" s="4">
        <v>0</v>
      </c>
      <c r="O239" t="s">
        <v>136</v>
      </c>
      <c r="P239" t="s">
        <v>58</v>
      </c>
    </row>
    <row r="240" spans="1:16">
      <c r="A240" t="s">
        <v>392</v>
      </c>
      <c r="B240" s="2">
        <v>45430</v>
      </c>
      <c r="C240" t="s">
        <v>265</v>
      </c>
      <c r="D240" t="s">
        <v>266</v>
      </c>
      <c r="E240" t="s">
        <v>132</v>
      </c>
      <c r="F240" t="s">
        <v>133</v>
      </c>
      <c r="G240" t="s">
        <v>40</v>
      </c>
      <c r="H240" t="s">
        <v>41</v>
      </c>
      <c r="I240" t="s">
        <v>23</v>
      </c>
      <c r="J240" t="s">
        <v>75</v>
      </c>
      <c r="K240" s="3">
        <v>3765.94</v>
      </c>
      <c r="L240" s="3">
        <v>974.88</v>
      </c>
      <c r="M240">
        <v>4</v>
      </c>
      <c r="N240" s="4">
        <v>0.15</v>
      </c>
      <c r="O240" t="s">
        <v>136</v>
      </c>
      <c r="P240" t="s">
        <v>26</v>
      </c>
    </row>
    <row r="241" spans="1:16">
      <c r="A241" t="s">
        <v>393</v>
      </c>
      <c r="B241" s="2">
        <v>45961</v>
      </c>
      <c r="C241" t="s">
        <v>100</v>
      </c>
      <c r="D241" t="s">
        <v>101</v>
      </c>
      <c r="E241" t="s">
        <v>187</v>
      </c>
      <c r="F241" t="s">
        <v>188</v>
      </c>
      <c r="G241" t="s">
        <v>89</v>
      </c>
      <c r="H241" t="s">
        <v>189</v>
      </c>
      <c r="I241" t="s">
        <v>23</v>
      </c>
      <c r="J241" t="s">
        <v>75</v>
      </c>
      <c r="K241" s="3">
        <v>33025.230000000003</v>
      </c>
      <c r="L241" s="3">
        <v>15241.5</v>
      </c>
      <c r="M241">
        <v>3</v>
      </c>
      <c r="N241" s="4">
        <v>0.15</v>
      </c>
      <c r="O241" t="s">
        <v>34</v>
      </c>
      <c r="P241" t="s">
        <v>58</v>
      </c>
    </row>
    <row r="242" spans="1:16">
      <c r="A242" t="s">
        <v>394</v>
      </c>
      <c r="B242" s="2">
        <v>45295</v>
      </c>
      <c r="C242" t="s">
        <v>93</v>
      </c>
      <c r="D242" t="s">
        <v>94</v>
      </c>
      <c r="E242" t="s">
        <v>72</v>
      </c>
      <c r="F242" t="s">
        <v>73</v>
      </c>
      <c r="G242" t="s">
        <v>51</v>
      </c>
      <c r="H242" t="s">
        <v>74</v>
      </c>
      <c r="I242" t="s">
        <v>53</v>
      </c>
      <c r="J242" t="s">
        <v>102</v>
      </c>
      <c r="K242" s="3">
        <v>5628.62</v>
      </c>
      <c r="L242" s="3">
        <v>4382.79</v>
      </c>
      <c r="M242">
        <v>1</v>
      </c>
      <c r="N242" s="4">
        <v>0.2</v>
      </c>
      <c r="O242" t="s">
        <v>136</v>
      </c>
      <c r="P242" t="s">
        <v>26</v>
      </c>
    </row>
    <row r="243" spans="1:16">
      <c r="A243" t="s">
        <v>395</v>
      </c>
      <c r="B243" s="2">
        <v>45646</v>
      </c>
      <c r="C243" t="s">
        <v>36</v>
      </c>
      <c r="D243" t="s">
        <v>37</v>
      </c>
      <c r="E243" t="s">
        <v>72</v>
      </c>
      <c r="F243" t="s">
        <v>73</v>
      </c>
      <c r="G243" t="s">
        <v>51</v>
      </c>
      <c r="H243" t="s">
        <v>74</v>
      </c>
      <c r="I243" t="s">
        <v>56</v>
      </c>
      <c r="J243" t="s">
        <v>191</v>
      </c>
      <c r="K243" s="3">
        <v>19309.02</v>
      </c>
      <c r="L243" s="3">
        <v>7641.04</v>
      </c>
      <c r="M243">
        <v>2</v>
      </c>
      <c r="N243" s="4">
        <v>0</v>
      </c>
      <c r="O243" t="s">
        <v>25</v>
      </c>
      <c r="P243" t="s">
        <v>26</v>
      </c>
    </row>
    <row r="244" spans="1:16">
      <c r="A244" t="s">
        <v>396</v>
      </c>
      <c r="B244" s="2">
        <v>45503</v>
      </c>
      <c r="C244" t="s">
        <v>155</v>
      </c>
      <c r="D244" t="s">
        <v>156</v>
      </c>
      <c r="E244" t="s">
        <v>30</v>
      </c>
      <c r="F244" t="s">
        <v>31</v>
      </c>
      <c r="G244" t="s">
        <v>21</v>
      </c>
      <c r="H244" t="s">
        <v>32</v>
      </c>
      <c r="I244" t="s">
        <v>84</v>
      </c>
      <c r="J244" t="s">
        <v>85</v>
      </c>
      <c r="K244" s="3">
        <v>43309.919999999998</v>
      </c>
      <c r="L244" s="3">
        <v>44168.61</v>
      </c>
      <c r="M244">
        <v>1</v>
      </c>
      <c r="N244" s="4">
        <v>0.2</v>
      </c>
      <c r="O244" t="s">
        <v>25</v>
      </c>
      <c r="P244" t="s">
        <v>58</v>
      </c>
    </row>
    <row r="245" spans="1:16">
      <c r="A245" t="s">
        <v>397</v>
      </c>
      <c r="B245" s="2">
        <v>45741</v>
      </c>
      <c r="C245" t="s">
        <v>93</v>
      </c>
      <c r="D245" t="s">
        <v>94</v>
      </c>
      <c r="E245" t="s">
        <v>81</v>
      </c>
      <c r="F245" t="s">
        <v>82</v>
      </c>
      <c r="G245" t="s">
        <v>21</v>
      </c>
      <c r="H245" t="s">
        <v>83</v>
      </c>
      <c r="I245" t="s">
        <v>56</v>
      </c>
      <c r="J245" t="s">
        <v>91</v>
      </c>
      <c r="K245" s="3">
        <v>62710.16</v>
      </c>
      <c r="L245" s="3">
        <v>36286.28</v>
      </c>
      <c r="M245">
        <v>2</v>
      </c>
      <c r="N245" s="4">
        <v>0</v>
      </c>
      <c r="O245" t="s">
        <v>76</v>
      </c>
      <c r="P245" t="s">
        <v>45</v>
      </c>
    </row>
    <row r="246" spans="1:16">
      <c r="A246" t="s">
        <v>398</v>
      </c>
      <c r="B246" s="2">
        <v>45883</v>
      </c>
      <c r="C246" t="s">
        <v>36</v>
      </c>
      <c r="D246" t="s">
        <v>37</v>
      </c>
      <c r="E246" t="s">
        <v>95</v>
      </c>
      <c r="F246" t="s">
        <v>96</v>
      </c>
      <c r="G246" t="s">
        <v>89</v>
      </c>
      <c r="H246" t="s">
        <v>97</v>
      </c>
      <c r="I246" t="s">
        <v>84</v>
      </c>
      <c r="J246" t="s">
        <v>134</v>
      </c>
      <c r="K246" s="3">
        <v>38367.56</v>
      </c>
      <c r="L246" s="3">
        <v>18453.900000000001</v>
      </c>
      <c r="M246">
        <v>5</v>
      </c>
      <c r="N246" s="4">
        <v>0.05</v>
      </c>
      <c r="O246" t="s">
        <v>44</v>
      </c>
      <c r="P246" t="s">
        <v>58</v>
      </c>
    </row>
    <row r="247" spans="1:16">
      <c r="A247" t="s">
        <v>399</v>
      </c>
      <c r="B247" s="2">
        <v>45715</v>
      </c>
      <c r="C247" t="s">
        <v>130</v>
      </c>
      <c r="D247" t="s">
        <v>131</v>
      </c>
      <c r="E247" t="s">
        <v>182</v>
      </c>
      <c r="F247" t="s">
        <v>183</v>
      </c>
      <c r="G247" t="s">
        <v>89</v>
      </c>
      <c r="H247" t="s">
        <v>90</v>
      </c>
      <c r="I247" t="s">
        <v>84</v>
      </c>
      <c r="J247" t="s">
        <v>85</v>
      </c>
      <c r="K247" s="3">
        <v>25854.98</v>
      </c>
      <c r="L247" s="3">
        <v>17190.54</v>
      </c>
      <c r="M247">
        <v>3</v>
      </c>
      <c r="N247" s="4">
        <v>0.2</v>
      </c>
      <c r="O247" t="s">
        <v>76</v>
      </c>
      <c r="P247" t="s">
        <v>26</v>
      </c>
    </row>
    <row r="248" spans="1:16">
      <c r="A248" t="s">
        <v>400</v>
      </c>
      <c r="B248" s="2">
        <v>45644</v>
      </c>
      <c r="C248" t="s">
        <v>70</v>
      </c>
      <c r="D248" t="s">
        <v>71</v>
      </c>
      <c r="E248" t="s">
        <v>87</v>
      </c>
      <c r="F248" t="s">
        <v>88</v>
      </c>
      <c r="G248" t="s">
        <v>89</v>
      </c>
      <c r="H248" t="s">
        <v>90</v>
      </c>
      <c r="I248" t="s">
        <v>23</v>
      </c>
      <c r="J248" t="s">
        <v>24</v>
      </c>
      <c r="K248" s="3">
        <v>10630</v>
      </c>
      <c r="L248" s="3">
        <v>7611.56</v>
      </c>
      <c r="M248">
        <v>4</v>
      </c>
      <c r="N248" s="4">
        <v>0.15</v>
      </c>
      <c r="O248" t="s">
        <v>136</v>
      </c>
      <c r="P248" t="s">
        <v>58</v>
      </c>
    </row>
    <row r="249" spans="1:16">
      <c r="A249" t="s">
        <v>401</v>
      </c>
      <c r="B249" s="2">
        <v>45842</v>
      </c>
      <c r="C249" t="s">
        <v>265</v>
      </c>
      <c r="D249" t="s">
        <v>266</v>
      </c>
      <c r="E249" t="s">
        <v>106</v>
      </c>
      <c r="F249" t="s">
        <v>107</v>
      </c>
      <c r="G249" t="s">
        <v>40</v>
      </c>
      <c r="H249" t="s">
        <v>108</v>
      </c>
      <c r="I249" t="s">
        <v>23</v>
      </c>
      <c r="J249" t="s">
        <v>75</v>
      </c>
      <c r="K249" s="3">
        <v>4923.8900000000003</v>
      </c>
      <c r="L249" s="3">
        <v>2654.96</v>
      </c>
      <c r="M249">
        <v>4</v>
      </c>
      <c r="N249" s="4">
        <v>0.05</v>
      </c>
      <c r="O249" t="s">
        <v>136</v>
      </c>
      <c r="P249" t="s">
        <v>58</v>
      </c>
    </row>
    <row r="250" spans="1:16">
      <c r="A250" t="s">
        <v>402</v>
      </c>
      <c r="B250" s="2">
        <v>45862</v>
      </c>
      <c r="C250" t="s">
        <v>70</v>
      </c>
      <c r="D250" t="s">
        <v>71</v>
      </c>
      <c r="E250" t="s">
        <v>132</v>
      </c>
      <c r="F250" t="s">
        <v>133</v>
      </c>
      <c r="G250" t="s">
        <v>40</v>
      </c>
      <c r="H250" t="s">
        <v>41</v>
      </c>
      <c r="I250" t="s">
        <v>56</v>
      </c>
      <c r="J250" t="s">
        <v>91</v>
      </c>
      <c r="K250" s="3">
        <v>2643.04</v>
      </c>
      <c r="L250" s="3">
        <v>1158.5</v>
      </c>
      <c r="M250">
        <v>5</v>
      </c>
      <c r="N250" s="4">
        <v>0.05</v>
      </c>
      <c r="O250" t="s">
        <v>44</v>
      </c>
      <c r="P250" t="s">
        <v>58</v>
      </c>
    </row>
    <row r="251" spans="1:16">
      <c r="A251" t="s">
        <v>403</v>
      </c>
      <c r="B251" s="2">
        <v>45840</v>
      </c>
      <c r="C251" t="s">
        <v>170</v>
      </c>
      <c r="D251" t="s">
        <v>171</v>
      </c>
      <c r="E251" t="s">
        <v>172</v>
      </c>
      <c r="F251" t="s">
        <v>173</v>
      </c>
      <c r="G251" t="s">
        <v>40</v>
      </c>
      <c r="H251" t="s">
        <v>41</v>
      </c>
      <c r="I251" t="s">
        <v>23</v>
      </c>
      <c r="J251" t="s">
        <v>33</v>
      </c>
      <c r="K251" s="3">
        <v>3418.38</v>
      </c>
      <c r="L251" s="3">
        <v>1638.56</v>
      </c>
      <c r="M251">
        <v>2</v>
      </c>
      <c r="N251" s="4">
        <v>0.2</v>
      </c>
      <c r="O251" t="s">
        <v>34</v>
      </c>
      <c r="P251" t="s">
        <v>58</v>
      </c>
    </row>
    <row r="252" spans="1:16">
      <c r="A252" t="s">
        <v>404</v>
      </c>
      <c r="B252" s="2">
        <v>45893</v>
      </c>
      <c r="C252" t="s">
        <v>100</v>
      </c>
      <c r="D252" t="s">
        <v>101</v>
      </c>
      <c r="E252" t="s">
        <v>49</v>
      </c>
      <c r="F252" t="s">
        <v>50</v>
      </c>
      <c r="G252" t="s">
        <v>51</v>
      </c>
      <c r="H252" t="s">
        <v>52</v>
      </c>
      <c r="I252" t="s">
        <v>53</v>
      </c>
      <c r="J252" t="s">
        <v>54</v>
      </c>
      <c r="K252" s="3">
        <v>44830.400000000001</v>
      </c>
      <c r="L252" s="3">
        <v>33019.1</v>
      </c>
      <c r="M252">
        <v>5</v>
      </c>
      <c r="N252" s="4">
        <v>0.1</v>
      </c>
      <c r="O252" t="s">
        <v>44</v>
      </c>
      <c r="P252" t="s">
        <v>58</v>
      </c>
    </row>
    <row r="253" spans="1:16">
      <c r="A253" t="s">
        <v>405</v>
      </c>
      <c r="B253" s="2">
        <v>45412</v>
      </c>
      <c r="C253" t="s">
        <v>144</v>
      </c>
      <c r="D253" t="s">
        <v>145</v>
      </c>
      <c r="E253" t="s">
        <v>49</v>
      </c>
      <c r="F253" t="s">
        <v>50</v>
      </c>
      <c r="G253" t="s">
        <v>51</v>
      </c>
      <c r="H253" t="s">
        <v>52</v>
      </c>
      <c r="I253" t="s">
        <v>42</v>
      </c>
      <c r="J253" t="s">
        <v>162</v>
      </c>
      <c r="K253" s="3">
        <v>56648.73</v>
      </c>
      <c r="L253" s="3">
        <v>30320.880000000001</v>
      </c>
      <c r="M253">
        <v>4</v>
      </c>
      <c r="N253" s="4">
        <v>0.05</v>
      </c>
      <c r="O253" t="s">
        <v>136</v>
      </c>
      <c r="P253" t="s">
        <v>58</v>
      </c>
    </row>
    <row r="254" spans="1:16">
      <c r="A254" t="s">
        <v>406</v>
      </c>
      <c r="B254" s="2">
        <v>45581</v>
      </c>
      <c r="C254" t="s">
        <v>70</v>
      </c>
      <c r="D254" t="s">
        <v>71</v>
      </c>
      <c r="E254" t="s">
        <v>110</v>
      </c>
      <c r="F254" t="s">
        <v>111</v>
      </c>
      <c r="G254" t="s">
        <v>40</v>
      </c>
      <c r="H254" t="s">
        <v>112</v>
      </c>
      <c r="I254" t="s">
        <v>53</v>
      </c>
      <c r="J254" t="s">
        <v>54</v>
      </c>
      <c r="K254" s="3">
        <v>13376.63</v>
      </c>
      <c r="L254" s="3">
        <v>4767.6000000000004</v>
      </c>
      <c r="M254">
        <v>4</v>
      </c>
      <c r="N254" s="4">
        <v>0.1</v>
      </c>
      <c r="O254" t="s">
        <v>44</v>
      </c>
      <c r="P254" t="s">
        <v>77</v>
      </c>
    </row>
    <row r="255" spans="1:16">
      <c r="A255" t="s">
        <v>407</v>
      </c>
      <c r="B255" s="2">
        <v>45392</v>
      </c>
      <c r="C255" t="s">
        <v>114</v>
      </c>
      <c r="D255" t="s">
        <v>115</v>
      </c>
      <c r="E255" t="s">
        <v>87</v>
      </c>
      <c r="F255" t="s">
        <v>88</v>
      </c>
      <c r="G255" t="s">
        <v>89</v>
      </c>
      <c r="H255" t="s">
        <v>90</v>
      </c>
      <c r="I255" t="s">
        <v>56</v>
      </c>
      <c r="J255" t="s">
        <v>191</v>
      </c>
      <c r="K255" s="3">
        <v>11900.42</v>
      </c>
      <c r="L255" s="3">
        <v>7576.76</v>
      </c>
      <c r="M255">
        <v>4</v>
      </c>
      <c r="N255" s="4">
        <v>0.05</v>
      </c>
      <c r="O255" t="s">
        <v>44</v>
      </c>
      <c r="P255" t="s">
        <v>77</v>
      </c>
    </row>
    <row r="256" spans="1:16">
      <c r="A256" t="s">
        <v>408</v>
      </c>
      <c r="B256" s="2">
        <v>45518</v>
      </c>
      <c r="C256" t="s">
        <v>207</v>
      </c>
      <c r="D256" t="s">
        <v>208</v>
      </c>
      <c r="E256" t="s">
        <v>81</v>
      </c>
      <c r="F256" t="s">
        <v>82</v>
      </c>
      <c r="G256" t="s">
        <v>21</v>
      </c>
      <c r="H256" t="s">
        <v>83</v>
      </c>
      <c r="I256" t="s">
        <v>42</v>
      </c>
      <c r="J256" t="s">
        <v>43</v>
      </c>
      <c r="K256" s="3">
        <v>45393.82</v>
      </c>
      <c r="L256" s="3">
        <v>32516.78</v>
      </c>
      <c r="M256">
        <v>2</v>
      </c>
      <c r="N256" s="4">
        <v>0.2</v>
      </c>
      <c r="O256" t="s">
        <v>34</v>
      </c>
      <c r="P256" t="s">
        <v>26</v>
      </c>
    </row>
    <row r="257" spans="1:16">
      <c r="A257" t="s">
        <v>409</v>
      </c>
      <c r="B257" s="2">
        <v>45629</v>
      </c>
      <c r="C257" t="s">
        <v>265</v>
      </c>
      <c r="D257" t="s">
        <v>266</v>
      </c>
      <c r="E257" t="s">
        <v>152</v>
      </c>
      <c r="F257" t="s">
        <v>153</v>
      </c>
      <c r="G257" t="s">
        <v>21</v>
      </c>
      <c r="H257" t="s">
        <v>32</v>
      </c>
      <c r="I257" t="s">
        <v>84</v>
      </c>
      <c r="J257" t="s">
        <v>85</v>
      </c>
      <c r="K257" s="3">
        <v>25205.68</v>
      </c>
      <c r="L257" s="3">
        <v>15615.48</v>
      </c>
      <c r="M257">
        <v>2</v>
      </c>
      <c r="N257" s="4">
        <v>0.15</v>
      </c>
      <c r="O257" t="s">
        <v>34</v>
      </c>
      <c r="P257" t="s">
        <v>77</v>
      </c>
    </row>
    <row r="258" spans="1:16">
      <c r="A258" t="s">
        <v>410</v>
      </c>
      <c r="B258" s="2">
        <v>45949</v>
      </c>
      <c r="C258" t="s">
        <v>66</v>
      </c>
      <c r="D258" t="s">
        <v>67</v>
      </c>
      <c r="E258" t="s">
        <v>87</v>
      </c>
      <c r="F258" t="s">
        <v>88</v>
      </c>
      <c r="G258" t="s">
        <v>89</v>
      </c>
      <c r="H258" t="s">
        <v>90</v>
      </c>
      <c r="I258" t="s">
        <v>42</v>
      </c>
      <c r="J258" t="s">
        <v>162</v>
      </c>
      <c r="K258" s="3">
        <v>16448.330000000002</v>
      </c>
      <c r="L258" s="3">
        <v>7143.6</v>
      </c>
      <c r="M258">
        <v>4</v>
      </c>
      <c r="N258" s="4">
        <v>0.1</v>
      </c>
      <c r="O258" t="s">
        <v>76</v>
      </c>
      <c r="P258" t="s">
        <v>58</v>
      </c>
    </row>
    <row r="259" spans="1:16">
      <c r="A259" t="s">
        <v>411</v>
      </c>
      <c r="B259" s="2">
        <v>45480</v>
      </c>
      <c r="C259" t="s">
        <v>93</v>
      </c>
      <c r="D259" t="s">
        <v>94</v>
      </c>
      <c r="E259" t="s">
        <v>187</v>
      </c>
      <c r="F259" t="s">
        <v>188</v>
      </c>
      <c r="G259" t="s">
        <v>89</v>
      </c>
      <c r="H259" t="s">
        <v>189</v>
      </c>
      <c r="I259" t="s">
        <v>56</v>
      </c>
      <c r="J259" t="s">
        <v>191</v>
      </c>
      <c r="K259" s="3">
        <v>50830</v>
      </c>
      <c r="L259" s="3">
        <v>30196.799999999999</v>
      </c>
      <c r="M259">
        <v>5</v>
      </c>
      <c r="N259" s="4">
        <v>0.2</v>
      </c>
      <c r="O259" t="s">
        <v>25</v>
      </c>
      <c r="P259" t="s">
        <v>58</v>
      </c>
    </row>
    <row r="260" spans="1:16">
      <c r="A260" t="s">
        <v>412</v>
      </c>
      <c r="B260" s="2">
        <v>45298</v>
      </c>
      <c r="C260" t="s">
        <v>130</v>
      </c>
      <c r="D260" t="s">
        <v>131</v>
      </c>
      <c r="E260" t="s">
        <v>81</v>
      </c>
      <c r="F260" t="s">
        <v>82</v>
      </c>
      <c r="G260" t="s">
        <v>21</v>
      </c>
      <c r="H260" t="s">
        <v>83</v>
      </c>
      <c r="I260" t="s">
        <v>53</v>
      </c>
      <c r="J260" t="s">
        <v>54</v>
      </c>
      <c r="K260" s="3">
        <v>118078.44</v>
      </c>
      <c r="L260" s="3">
        <v>66779.88</v>
      </c>
      <c r="M260">
        <v>4</v>
      </c>
      <c r="N260" s="4">
        <v>0</v>
      </c>
      <c r="O260" t="s">
        <v>76</v>
      </c>
      <c r="P260" t="s">
        <v>58</v>
      </c>
    </row>
    <row r="261" spans="1:16">
      <c r="A261" t="s">
        <v>413</v>
      </c>
      <c r="B261" s="2">
        <v>45674</v>
      </c>
      <c r="C261" t="s">
        <v>144</v>
      </c>
      <c r="D261" t="s">
        <v>145</v>
      </c>
      <c r="E261" t="s">
        <v>182</v>
      </c>
      <c r="F261" t="s">
        <v>183</v>
      </c>
      <c r="G261" t="s">
        <v>89</v>
      </c>
      <c r="H261" t="s">
        <v>90</v>
      </c>
      <c r="I261" t="s">
        <v>56</v>
      </c>
      <c r="J261" t="s">
        <v>191</v>
      </c>
      <c r="K261" s="3">
        <v>9259.18</v>
      </c>
      <c r="L261" s="3">
        <v>6141.4</v>
      </c>
      <c r="M261">
        <v>1</v>
      </c>
      <c r="N261" s="4">
        <v>0.2</v>
      </c>
      <c r="O261" t="s">
        <v>136</v>
      </c>
      <c r="P261" t="s">
        <v>98</v>
      </c>
    </row>
    <row r="262" spans="1:16">
      <c r="A262" t="s">
        <v>414</v>
      </c>
      <c r="B262" s="2">
        <v>45856</v>
      </c>
      <c r="C262" t="s">
        <v>140</v>
      </c>
      <c r="D262" t="s">
        <v>141</v>
      </c>
      <c r="E262" t="s">
        <v>30</v>
      </c>
      <c r="F262" t="s">
        <v>31</v>
      </c>
      <c r="G262" t="s">
        <v>21</v>
      </c>
      <c r="H262" t="s">
        <v>32</v>
      </c>
      <c r="I262" t="s">
        <v>56</v>
      </c>
      <c r="J262" t="s">
        <v>57</v>
      </c>
      <c r="K262" s="3">
        <v>214958.34</v>
      </c>
      <c r="L262" s="3">
        <v>173255.08</v>
      </c>
      <c r="M262">
        <v>4</v>
      </c>
      <c r="N262" s="4">
        <v>0.1</v>
      </c>
      <c r="O262" t="s">
        <v>34</v>
      </c>
      <c r="P262" t="s">
        <v>45</v>
      </c>
    </row>
    <row r="263" spans="1:16">
      <c r="A263" t="s">
        <v>415</v>
      </c>
      <c r="B263" s="2">
        <v>46006</v>
      </c>
      <c r="C263" t="s">
        <v>140</v>
      </c>
      <c r="D263" t="s">
        <v>141</v>
      </c>
      <c r="E263" t="s">
        <v>182</v>
      </c>
      <c r="F263" t="s">
        <v>183</v>
      </c>
      <c r="G263" t="s">
        <v>89</v>
      </c>
      <c r="H263" t="s">
        <v>90</v>
      </c>
      <c r="I263" t="s">
        <v>53</v>
      </c>
      <c r="J263" t="s">
        <v>102</v>
      </c>
      <c r="K263" s="3">
        <v>53372.6</v>
      </c>
      <c r="L263" s="3">
        <v>25469.599999999999</v>
      </c>
      <c r="M263">
        <v>4</v>
      </c>
      <c r="N263" s="4">
        <v>0</v>
      </c>
      <c r="O263" t="s">
        <v>25</v>
      </c>
      <c r="P263" t="s">
        <v>58</v>
      </c>
    </row>
    <row r="264" spans="1:16">
      <c r="A264" t="s">
        <v>416</v>
      </c>
      <c r="B264" s="2">
        <v>45831</v>
      </c>
      <c r="C264" t="s">
        <v>36</v>
      </c>
      <c r="D264" t="s">
        <v>37</v>
      </c>
      <c r="E264" t="s">
        <v>49</v>
      </c>
      <c r="F264" t="s">
        <v>50</v>
      </c>
      <c r="G264" t="s">
        <v>51</v>
      </c>
      <c r="H264" t="s">
        <v>52</v>
      </c>
      <c r="I264" t="s">
        <v>42</v>
      </c>
      <c r="J264" t="s">
        <v>43</v>
      </c>
      <c r="K264" s="3">
        <v>26917.85</v>
      </c>
      <c r="L264" s="3">
        <v>22323.9</v>
      </c>
      <c r="M264">
        <v>3</v>
      </c>
      <c r="N264" s="4">
        <v>0.15</v>
      </c>
      <c r="O264" t="s">
        <v>25</v>
      </c>
      <c r="P264" t="s">
        <v>77</v>
      </c>
    </row>
    <row r="265" spans="1:16">
      <c r="A265" t="s">
        <v>417</v>
      </c>
      <c r="B265" s="2">
        <v>45541</v>
      </c>
      <c r="C265" t="s">
        <v>104</v>
      </c>
      <c r="D265" t="s">
        <v>105</v>
      </c>
      <c r="E265" t="s">
        <v>38</v>
      </c>
      <c r="F265" t="s">
        <v>39</v>
      </c>
      <c r="G265" t="s">
        <v>40</v>
      </c>
      <c r="H265" t="s">
        <v>41</v>
      </c>
      <c r="I265" t="s">
        <v>42</v>
      </c>
      <c r="J265" t="s">
        <v>43</v>
      </c>
      <c r="K265" s="3">
        <v>3849.8</v>
      </c>
      <c r="L265" s="3">
        <v>960</v>
      </c>
      <c r="M265">
        <v>2</v>
      </c>
      <c r="N265" s="4">
        <v>0</v>
      </c>
      <c r="O265" t="s">
        <v>25</v>
      </c>
      <c r="P265" t="s">
        <v>58</v>
      </c>
    </row>
    <row r="266" spans="1:16">
      <c r="A266" t="s">
        <v>418</v>
      </c>
      <c r="B266" s="2">
        <v>45857</v>
      </c>
      <c r="C266" t="s">
        <v>104</v>
      </c>
      <c r="D266" t="s">
        <v>105</v>
      </c>
      <c r="E266" t="s">
        <v>106</v>
      </c>
      <c r="F266" t="s">
        <v>107</v>
      </c>
      <c r="G266" t="s">
        <v>40</v>
      </c>
      <c r="H266" t="s">
        <v>108</v>
      </c>
      <c r="I266" t="s">
        <v>56</v>
      </c>
      <c r="J266" t="s">
        <v>91</v>
      </c>
      <c r="K266" s="3">
        <v>3119</v>
      </c>
      <c r="L266" s="3">
        <v>2551.44</v>
      </c>
      <c r="M266">
        <v>4</v>
      </c>
      <c r="N266" s="4">
        <v>0.05</v>
      </c>
      <c r="O266" t="s">
        <v>25</v>
      </c>
      <c r="P266" t="s">
        <v>98</v>
      </c>
    </row>
    <row r="267" spans="1:16">
      <c r="A267" t="s">
        <v>419</v>
      </c>
      <c r="B267" s="2">
        <v>45389</v>
      </c>
      <c r="C267" t="s">
        <v>207</v>
      </c>
      <c r="D267" t="s">
        <v>208</v>
      </c>
      <c r="E267" t="s">
        <v>110</v>
      </c>
      <c r="F267" t="s">
        <v>111</v>
      </c>
      <c r="G267" t="s">
        <v>40</v>
      </c>
      <c r="H267" t="s">
        <v>112</v>
      </c>
      <c r="I267" t="s">
        <v>42</v>
      </c>
      <c r="J267" t="s">
        <v>43</v>
      </c>
      <c r="K267" s="3">
        <v>8736.1200000000008</v>
      </c>
      <c r="L267" s="3">
        <v>6503</v>
      </c>
      <c r="M267">
        <v>5</v>
      </c>
      <c r="N267" s="4">
        <v>0.2</v>
      </c>
      <c r="O267" t="s">
        <v>136</v>
      </c>
      <c r="P267" t="s">
        <v>45</v>
      </c>
    </row>
    <row r="268" spans="1:16">
      <c r="A268" t="s">
        <v>420</v>
      </c>
      <c r="B268" s="2">
        <v>45579</v>
      </c>
      <c r="C268" t="s">
        <v>28</v>
      </c>
      <c r="D268" t="s">
        <v>29</v>
      </c>
      <c r="E268" t="s">
        <v>62</v>
      </c>
      <c r="F268" t="s">
        <v>63</v>
      </c>
      <c r="G268" t="s">
        <v>21</v>
      </c>
      <c r="H268" t="s">
        <v>64</v>
      </c>
      <c r="I268" t="s">
        <v>42</v>
      </c>
      <c r="J268" t="s">
        <v>68</v>
      </c>
      <c r="K268" s="3">
        <v>9735.89</v>
      </c>
      <c r="L268" s="3">
        <v>9114.2999999999993</v>
      </c>
      <c r="M268">
        <v>5</v>
      </c>
      <c r="N268" s="4">
        <v>0.1</v>
      </c>
      <c r="O268" t="s">
        <v>25</v>
      </c>
      <c r="P268" t="s">
        <v>58</v>
      </c>
    </row>
    <row r="269" spans="1:16">
      <c r="A269" t="s">
        <v>421</v>
      </c>
      <c r="B269" s="2">
        <v>46021</v>
      </c>
      <c r="C269" t="s">
        <v>147</v>
      </c>
      <c r="D269" t="s">
        <v>148</v>
      </c>
      <c r="E269" t="s">
        <v>152</v>
      </c>
      <c r="F269" t="s">
        <v>153</v>
      </c>
      <c r="G269" t="s">
        <v>21</v>
      </c>
      <c r="H269" t="s">
        <v>32</v>
      </c>
      <c r="I269" t="s">
        <v>53</v>
      </c>
      <c r="J269" t="s">
        <v>54</v>
      </c>
      <c r="K269" s="3">
        <v>35414.11</v>
      </c>
      <c r="L269" s="3">
        <v>34744.800000000003</v>
      </c>
      <c r="M269">
        <v>4</v>
      </c>
      <c r="N269" s="4">
        <v>0.2</v>
      </c>
      <c r="O269" t="s">
        <v>76</v>
      </c>
      <c r="P269" t="s">
        <v>26</v>
      </c>
    </row>
    <row r="270" spans="1:16">
      <c r="A270" t="s">
        <v>422</v>
      </c>
      <c r="B270" s="2">
        <v>45685</v>
      </c>
      <c r="C270" t="s">
        <v>130</v>
      </c>
      <c r="D270" t="s">
        <v>131</v>
      </c>
      <c r="E270" t="s">
        <v>187</v>
      </c>
      <c r="F270" t="s">
        <v>188</v>
      </c>
      <c r="G270" t="s">
        <v>89</v>
      </c>
      <c r="H270" t="s">
        <v>189</v>
      </c>
      <c r="I270" t="s">
        <v>84</v>
      </c>
      <c r="J270" t="s">
        <v>134</v>
      </c>
      <c r="K270" s="3">
        <v>21749.759999999998</v>
      </c>
      <c r="L270" s="3">
        <v>11639.1</v>
      </c>
      <c r="M270">
        <v>2</v>
      </c>
      <c r="N270" s="4">
        <v>0</v>
      </c>
      <c r="O270" t="s">
        <v>34</v>
      </c>
      <c r="P270" t="s">
        <v>77</v>
      </c>
    </row>
    <row r="271" spans="1:16">
      <c r="A271" t="s">
        <v>423</v>
      </c>
      <c r="B271" s="2">
        <v>45529</v>
      </c>
      <c r="C271" t="s">
        <v>28</v>
      </c>
      <c r="D271" t="s">
        <v>29</v>
      </c>
      <c r="E271" t="s">
        <v>19</v>
      </c>
      <c r="F271" t="s">
        <v>20</v>
      </c>
      <c r="G271" t="s">
        <v>21</v>
      </c>
      <c r="H271" t="s">
        <v>22</v>
      </c>
      <c r="I271" t="s">
        <v>56</v>
      </c>
      <c r="J271" t="s">
        <v>91</v>
      </c>
      <c r="K271" s="3">
        <v>6157.75</v>
      </c>
      <c r="L271" s="3">
        <v>2904.36</v>
      </c>
      <c r="M271">
        <v>1</v>
      </c>
      <c r="N271" s="4">
        <v>0.2</v>
      </c>
      <c r="O271" t="s">
        <v>136</v>
      </c>
      <c r="P271" t="s">
        <v>77</v>
      </c>
    </row>
    <row r="272" spans="1:16">
      <c r="A272" t="s">
        <v>424</v>
      </c>
      <c r="B272" s="2">
        <v>45753</v>
      </c>
      <c r="C272" t="s">
        <v>140</v>
      </c>
      <c r="D272" t="s">
        <v>141</v>
      </c>
      <c r="E272" t="s">
        <v>175</v>
      </c>
      <c r="F272" t="s">
        <v>176</v>
      </c>
      <c r="G272" t="s">
        <v>51</v>
      </c>
      <c r="H272" t="s">
        <v>177</v>
      </c>
      <c r="I272" t="s">
        <v>53</v>
      </c>
      <c r="J272" t="s">
        <v>54</v>
      </c>
      <c r="K272" s="3">
        <v>87403.02</v>
      </c>
      <c r="L272" s="3">
        <v>60520.160000000003</v>
      </c>
      <c r="M272">
        <v>4</v>
      </c>
      <c r="N272" s="4">
        <v>0.15</v>
      </c>
      <c r="O272" t="s">
        <v>136</v>
      </c>
      <c r="P272" t="s">
        <v>58</v>
      </c>
    </row>
    <row r="273" spans="1:16">
      <c r="A273" t="s">
        <v>425</v>
      </c>
      <c r="B273" s="2">
        <v>45681</v>
      </c>
      <c r="C273" t="s">
        <v>130</v>
      </c>
      <c r="D273" t="s">
        <v>131</v>
      </c>
      <c r="E273" t="s">
        <v>95</v>
      </c>
      <c r="F273" t="s">
        <v>96</v>
      </c>
      <c r="G273" t="s">
        <v>89</v>
      </c>
      <c r="H273" t="s">
        <v>97</v>
      </c>
      <c r="I273" t="s">
        <v>42</v>
      </c>
      <c r="J273" t="s">
        <v>68</v>
      </c>
      <c r="K273" s="3">
        <v>5149.5</v>
      </c>
      <c r="L273" s="3">
        <v>3690.52</v>
      </c>
      <c r="M273">
        <v>1</v>
      </c>
      <c r="N273" s="4">
        <v>0.05</v>
      </c>
      <c r="O273" t="s">
        <v>25</v>
      </c>
      <c r="P273" t="s">
        <v>58</v>
      </c>
    </row>
    <row r="274" spans="1:16">
      <c r="A274" t="s">
        <v>426</v>
      </c>
      <c r="B274" s="2">
        <v>46020</v>
      </c>
      <c r="C274" t="s">
        <v>66</v>
      </c>
      <c r="D274" t="s">
        <v>67</v>
      </c>
      <c r="E274" t="s">
        <v>152</v>
      </c>
      <c r="F274" t="s">
        <v>153</v>
      </c>
      <c r="G274" t="s">
        <v>21</v>
      </c>
      <c r="H274" t="s">
        <v>32</v>
      </c>
      <c r="I274" t="s">
        <v>56</v>
      </c>
      <c r="J274" t="s">
        <v>91</v>
      </c>
      <c r="K274" s="3">
        <v>22378.82</v>
      </c>
      <c r="L274" s="3">
        <v>16766.900000000001</v>
      </c>
      <c r="M274">
        <v>2</v>
      </c>
      <c r="N274" s="4">
        <v>0</v>
      </c>
      <c r="O274" t="s">
        <v>25</v>
      </c>
      <c r="P274" t="s">
        <v>58</v>
      </c>
    </row>
    <row r="275" spans="1:16">
      <c r="A275" t="s">
        <v>427</v>
      </c>
      <c r="B275" s="2">
        <v>45568</v>
      </c>
      <c r="C275" t="s">
        <v>265</v>
      </c>
      <c r="D275" t="s">
        <v>266</v>
      </c>
      <c r="E275" t="s">
        <v>38</v>
      </c>
      <c r="F275" t="s">
        <v>39</v>
      </c>
      <c r="G275" t="s">
        <v>40</v>
      </c>
      <c r="H275" t="s">
        <v>41</v>
      </c>
      <c r="I275" t="s">
        <v>84</v>
      </c>
      <c r="J275" t="s">
        <v>134</v>
      </c>
      <c r="K275" s="3">
        <v>764.86</v>
      </c>
      <c r="L275" s="3">
        <v>463.25</v>
      </c>
      <c r="M275">
        <v>1</v>
      </c>
      <c r="N275" s="4">
        <v>0.15</v>
      </c>
      <c r="O275" t="s">
        <v>34</v>
      </c>
      <c r="P275" t="s">
        <v>26</v>
      </c>
    </row>
    <row r="276" spans="1:16">
      <c r="A276" t="s">
        <v>428</v>
      </c>
      <c r="B276" s="2">
        <v>45654</v>
      </c>
      <c r="C276" t="s">
        <v>179</v>
      </c>
      <c r="D276" t="s">
        <v>180</v>
      </c>
      <c r="E276" t="s">
        <v>30</v>
      </c>
      <c r="F276" t="s">
        <v>31</v>
      </c>
      <c r="G276" t="s">
        <v>21</v>
      </c>
      <c r="H276" t="s">
        <v>32</v>
      </c>
      <c r="I276" t="s">
        <v>23</v>
      </c>
      <c r="J276" t="s">
        <v>33</v>
      </c>
      <c r="K276" s="3">
        <v>272169.03999999998</v>
      </c>
      <c r="L276" s="3">
        <v>220467.1</v>
      </c>
      <c r="M276">
        <v>5</v>
      </c>
      <c r="N276" s="4">
        <v>0.1</v>
      </c>
      <c r="O276" t="s">
        <v>136</v>
      </c>
      <c r="P276" t="s">
        <v>58</v>
      </c>
    </row>
    <row r="277" spans="1:16">
      <c r="A277" t="s">
        <v>429</v>
      </c>
      <c r="B277" s="2">
        <v>45378</v>
      </c>
      <c r="C277" t="s">
        <v>265</v>
      </c>
      <c r="D277" t="s">
        <v>266</v>
      </c>
      <c r="E277" t="s">
        <v>132</v>
      </c>
      <c r="F277" t="s">
        <v>133</v>
      </c>
      <c r="G277" t="s">
        <v>40</v>
      </c>
      <c r="H277" t="s">
        <v>41</v>
      </c>
      <c r="I277" t="s">
        <v>56</v>
      </c>
      <c r="J277" t="s">
        <v>91</v>
      </c>
      <c r="K277" s="3">
        <v>4725.8</v>
      </c>
      <c r="L277" s="3">
        <v>1351.3</v>
      </c>
      <c r="M277">
        <v>5</v>
      </c>
      <c r="N277" s="4">
        <v>0.2</v>
      </c>
      <c r="O277" t="s">
        <v>34</v>
      </c>
      <c r="P277" t="s">
        <v>58</v>
      </c>
    </row>
    <row r="278" spans="1:16">
      <c r="A278" t="s">
        <v>430</v>
      </c>
      <c r="B278" s="2">
        <v>45434</v>
      </c>
      <c r="C278" t="s">
        <v>130</v>
      </c>
      <c r="D278" t="s">
        <v>131</v>
      </c>
      <c r="E278" t="s">
        <v>106</v>
      </c>
      <c r="F278" t="s">
        <v>107</v>
      </c>
      <c r="G278" t="s">
        <v>40</v>
      </c>
      <c r="H278" t="s">
        <v>108</v>
      </c>
      <c r="I278" t="s">
        <v>23</v>
      </c>
      <c r="J278" t="s">
        <v>75</v>
      </c>
      <c r="K278" s="3">
        <v>5654.61</v>
      </c>
      <c r="L278" s="3">
        <v>2016.48</v>
      </c>
      <c r="M278">
        <v>3</v>
      </c>
      <c r="N278" s="4">
        <v>0</v>
      </c>
      <c r="O278" t="s">
        <v>76</v>
      </c>
      <c r="P278" t="s">
        <v>26</v>
      </c>
    </row>
    <row r="279" spans="1:16">
      <c r="A279" t="s">
        <v>431</v>
      </c>
      <c r="B279" s="2">
        <v>45787</v>
      </c>
      <c r="C279" t="s">
        <v>66</v>
      </c>
      <c r="D279" t="s">
        <v>67</v>
      </c>
      <c r="E279" t="s">
        <v>132</v>
      </c>
      <c r="F279" t="s">
        <v>133</v>
      </c>
      <c r="G279" t="s">
        <v>40</v>
      </c>
      <c r="H279" t="s">
        <v>41</v>
      </c>
      <c r="I279" t="s">
        <v>84</v>
      </c>
      <c r="J279" t="s">
        <v>142</v>
      </c>
      <c r="K279" s="3">
        <v>979.7</v>
      </c>
      <c r="L279" s="3">
        <v>243.06</v>
      </c>
      <c r="M279">
        <v>1</v>
      </c>
      <c r="N279" s="4">
        <v>0.15</v>
      </c>
      <c r="O279" t="s">
        <v>34</v>
      </c>
      <c r="P279" t="s">
        <v>58</v>
      </c>
    </row>
    <row r="280" spans="1:16">
      <c r="A280" t="s">
        <v>432</v>
      </c>
      <c r="B280" s="2">
        <v>45603</v>
      </c>
      <c r="C280" t="s">
        <v>170</v>
      </c>
      <c r="D280" t="s">
        <v>171</v>
      </c>
      <c r="E280" t="s">
        <v>19</v>
      </c>
      <c r="F280" t="s">
        <v>20</v>
      </c>
      <c r="G280" t="s">
        <v>21</v>
      </c>
      <c r="H280" t="s">
        <v>22</v>
      </c>
      <c r="I280" t="s">
        <v>23</v>
      </c>
      <c r="J280" t="s">
        <v>75</v>
      </c>
      <c r="K280" s="3">
        <v>4186.97</v>
      </c>
      <c r="L280" s="3">
        <v>3269.29</v>
      </c>
      <c r="M280">
        <v>1</v>
      </c>
      <c r="N280" s="4">
        <v>0.2</v>
      </c>
      <c r="O280" t="s">
        <v>136</v>
      </c>
      <c r="P280" t="s">
        <v>77</v>
      </c>
    </row>
    <row r="281" spans="1:16">
      <c r="A281" t="s">
        <v>433</v>
      </c>
      <c r="B281" s="2">
        <v>45958</v>
      </c>
      <c r="C281" t="s">
        <v>170</v>
      </c>
      <c r="D281" t="s">
        <v>171</v>
      </c>
      <c r="E281" t="s">
        <v>110</v>
      </c>
      <c r="F281" t="s">
        <v>111</v>
      </c>
      <c r="G281" t="s">
        <v>40</v>
      </c>
      <c r="H281" t="s">
        <v>112</v>
      </c>
      <c r="I281" t="s">
        <v>56</v>
      </c>
      <c r="J281" t="s">
        <v>91</v>
      </c>
      <c r="K281" s="3">
        <v>11952.66</v>
      </c>
      <c r="L281" s="3">
        <v>5563.35</v>
      </c>
      <c r="M281">
        <v>5</v>
      </c>
      <c r="N281" s="4">
        <v>0.05</v>
      </c>
      <c r="O281" t="s">
        <v>136</v>
      </c>
      <c r="P281" t="s">
        <v>77</v>
      </c>
    </row>
    <row r="282" spans="1:16">
      <c r="A282" t="s">
        <v>434</v>
      </c>
      <c r="B282" s="2">
        <v>45590</v>
      </c>
      <c r="C282" t="s">
        <v>200</v>
      </c>
      <c r="D282" t="s">
        <v>201</v>
      </c>
      <c r="E282" t="s">
        <v>106</v>
      </c>
      <c r="F282" t="s">
        <v>107</v>
      </c>
      <c r="G282" t="s">
        <v>40</v>
      </c>
      <c r="H282" t="s">
        <v>108</v>
      </c>
      <c r="I282" t="s">
        <v>84</v>
      </c>
      <c r="J282" t="s">
        <v>134</v>
      </c>
      <c r="K282" s="3">
        <v>9073.2199999999993</v>
      </c>
      <c r="L282" s="3">
        <v>3061.96</v>
      </c>
      <c r="M282">
        <v>4</v>
      </c>
      <c r="N282" s="4">
        <v>0.1</v>
      </c>
      <c r="O282" t="s">
        <v>136</v>
      </c>
      <c r="P282" t="s">
        <v>45</v>
      </c>
    </row>
    <row r="283" spans="1:16">
      <c r="A283" t="s">
        <v>435</v>
      </c>
      <c r="B283" s="2">
        <v>45869</v>
      </c>
      <c r="C283" t="s">
        <v>104</v>
      </c>
      <c r="D283" t="s">
        <v>105</v>
      </c>
      <c r="E283" t="s">
        <v>172</v>
      </c>
      <c r="F283" t="s">
        <v>173</v>
      </c>
      <c r="G283" t="s">
        <v>40</v>
      </c>
      <c r="H283" t="s">
        <v>41</v>
      </c>
      <c r="I283" t="s">
        <v>23</v>
      </c>
      <c r="J283" t="s">
        <v>33</v>
      </c>
      <c r="K283" s="3">
        <v>4224.83</v>
      </c>
      <c r="L283" s="3">
        <v>1833.2</v>
      </c>
      <c r="M283">
        <v>2</v>
      </c>
      <c r="N283" s="4">
        <v>0.2</v>
      </c>
      <c r="O283" t="s">
        <v>25</v>
      </c>
      <c r="P283" t="s">
        <v>98</v>
      </c>
    </row>
    <row r="284" spans="1:16">
      <c r="A284" t="s">
        <v>436</v>
      </c>
      <c r="B284" s="2">
        <v>45590</v>
      </c>
      <c r="C284" t="s">
        <v>60</v>
      </c>
      <c r="D284" t="s">
        <v>61</v>
      </c>
      <c r="E284" t="s">
        <v>49</v>
      </c>
      <c r="F284" t="s">
        <v>50</v>
      </c>
      <c r="G284" t="s">
        <v>51</v>
      </c>
      <c r="H284" t="s">
        <v>52</v>
      </c>
      <c r="I284" t="s">
        <v>56</v>
      </c>
      <c r="J284" t="s">
        <v>191</v>
      </c>
      <c r="K284" s="3">
        <v>13535.29</v>
      </c>
      <c r="L284" s="3">
        <v>7446.55</v>
      </c>
      <c r="M284">
        <v>1</v>
      </c>
      <c r="N284" s="4">
        <v>0.15</v>
      </c>
      <c r="O284" t="s">
        <v>136</v>
      </c>
      <c r="P284" t="s">
        <v>58</v>
      </c>
    </row>
    <row r="285" spans="1:16">
      <c r="A285" t="s">
        <v>437</v>
      </c>
      <c r="B285" s="2">
        <v>45550</v>
      </c>
      <c r="C285" t="s">
        <v>17</v>
      </c>
      <c r="D285" t="s">
        <v>18</v>
      </c>
      <c r="E285" t="s">
        <v>123</v>
      </c>
      <c r="F285" t="s">
        <v>124</v>
      </c>
      <c r="G285" t="s">
        <v>51</v>
      </c>
      <c r="H285" t="s">
        <v>125</v>
      </c>
      <c r="I285" t="s">
        <v>84</v>
      </c>
      <c r="J285" t="s">
        <v>85</v>
      </c>
      <c r="K285" s="3">
        <v>68474.259999999995</v>
      </c>
      <c r="L285" s="3">
        <v>37549.699999999997</v>
      </c>
      <c r="M285">
        <v>2</v>
      </c>
      <c r="N285" s="4">
        <v>0</v>
      </c>
      <c r="O285" t="s">
        <v>136</v>
      </c>
      <c r="P285" t="s">
        <v>98</v>
      </c>
    </row>
    <row r="286" spans="1:16">
      <c r="A286" t="s">
        <v>438</v>
      </c>
      <c r="B286" s="2">
        <v>45810</v>
      </c>
      <c r="C286" t="s">
        <v>147</v>
      </c>
      <c r="D286" t="s">
        <v>148</v>
      </c>
      <c r="E286" t="s">
        <v>106</v>
      </c>
      <c r="F286" t="s">
        <v>107</v>
      </c>
      <c r="G286" t="s">
        <v>40</v>
      </c>
      <c r="H286" t="s">
        <v>108</v>
      </c>
      <c r="I286" t="s">
        <v>56</v>
      </c>
      <c r="J286" t="s">
        <v>57</v>
      </c>
      <c r="K286" s="3">
        <v>9142.52</v>
      </c>
      <c r="L286" s="3">
        <v>2824.44</v>
      </c>
      <c r="M286">
        <v>4</v>
      </c>
      <c r="N286" s="4">
        <v>0.1</v>
      </c>
      <c r="O286" t="s">
        <v>34</v>
      </c>
      <c r="P286" t="s">
        <v>58</v>
      </c>
    </row>
    <row r="287" spans="1:16">
      <c r="A287" t="s">
        <v>439</v>
      </c>
      <c r="B287" s="2">
        <v>45972</v>
      </c>
      <c r="C287" t="s">
        <v>179</v>
      </c>
      <c r="D287" t="s">
        <v>180</v>
      </c>
      <c r="E287" t="s">
        <v>72</v>
      </c>
      <c r="F287" t="s">
        <v>73</v>
      </c>
      <c r="G287" t="s">
        <v>51</v>
      </c>
      <c r="H287" t="s">
        <v>74</v>
      </c>
      <c r="I287" t="s">
        <v>42</v>
      </c>
      <c r="J287" t="s">
        <v>68</v>
      </c>
      <c r="K287" s="3">
        <v>18868.75</v>
      </c>
      <c r="L287" s="3">
        <v>11199.21</v>
      </c>
      <c r="M287">
        <v>3</v>
      </c>
      <c r="N287" s="4">
        <v>0.2</v>
      </c>
      <c r="O287" t="s">
        <v>136</v>
      </c>
      <c r="P287" t="s">
        <v>77</v>
      </c>
    </row>
    <row r="288" spans="1:16">
      <c r="A288" t="s">
        <v>440</v>
      </c>
      <c r="B288" s="2">
        <v>45392</v>
      </c>
      <c r="C288" t="s">
        <v>207</v>
      </c>
      <c r="D288" t="s">
        <v>208</v>
      </c>
      <c r="E288" t="s">
        <v>19</v>
      </c>
      <c r="F288" t="s">
        <v>20</v>
      </c>
      <c r="G288" t="s">
        <v>21</v>
      </c>
      <c r="H288" t="s">
        <v>22</v>
      </c>
      <c r="I288" t="s">
        <v>23</v>
      </c>
      <c r="J288" t="s">
        <v>24</v>
      </c>
      <c r="K288" s="3">
        <v>18173.400000000001</v>
      </c>
      <c r="L288" s="3">
        <v>8499.6</v>
      </c>
      <c r="M288">
        <v>3</v>
      </c>
      <c r="N288" s="4">
        <v>0.2</v>
      </c>
      <c r="O288" t="s">
        <v>34</v>
      </c>
      <c r="P288" t="s">
        <v>58</v>
      </c>
    </row>
    <row r="289" spans="1:16">
      <c r="A289" t="s">
        <v>441</v>
      </c>
      <c r="B289" s="2">
        <v>45766</v>
      </c>
      <c r="C289" t="s">
        <v>170</v>
      </c>
      <c r="D289" t="s">
        <v>171</v>
      </c>
      <c r="E289" t="s">
        <v>172</v>
      </c>
      <c r="F289" t="s">
        <v>173</v>
      </c>
      <c r="G289" t="s">
        <v>40</v>
      </c>
      <c r="H289" t="s">
        <v>41</v>
      </c>
      <c r="I289" t="s">
        <v>56</v>
      </c>
      <c r="J289" t="s">
        <v>91</v>
      </c>
      <c r="K289" s="3">
        <v>7295.15</v>
      </c>
      <c r="L289" s="3">
        <v>4671.3999999999996</v>
      </c>
      <c r="M289">
        <v>5</v>
      </c>
      <c r="N289" s="4">
        <v>0</v>
      </c>
      <c r="O289" t="s">
        <v>136</v>
      </c>
      <c r="P289" t="s">
        <v>58</v>
      </c>
    </row>
    <row r="290" spans="1:16">
      <c r="A290" t="s">
        <v>442</v>
      </c>
      <c r="B290" s="2">
        <v>45410</v>
      </c>
      <c r="C290" t="s">
        <v>265</v>
      </c>
      <c r="D290" t="s">
        <v>266</v>
      </c>
      <c r="E290" t="s">
        <v>132</v>
      </c>
      <c r="F290" t="s">
        <v>133</v>
      </c>
      <c r="G290" t="s">
        <v>40</v>
      </c>
      <c r="H290" t="s">
        <v>41</v>
      </c>
      <c r="I290" t="s">
        <v>23</v>
      </c>
      <c r="J290" t="s">
        <v>33</v>
      </c>
      <c r="K290" s="3">
        <v>1219.06</v>
      </c>
      <c r="L290" s="3">
        <v>484.84</v>
      </c>
      <c r="M290">
        <v>2</v>
      </c>
      <c r="N290" s="4">
        <v>0.05</v>
      </c>
      <c r="O290" t="s">
        <v>34</v>
      </c>
      <c r="P290" t="s">
        <v>98</v>
      </c>
    </row>
    <row r="291" spans="1:16">
      <c r="A291" t="s">
        <v>443</v>
      </c>
      <c r="B291" s="2">
        <v>45740</v>
      </c>
      <c r="C291" t="s">
        <v>158</v>
      </c>
      <c r="D291" t="s">
        <v>159</v>
      </c>
      <c r="E291" t="s">
        <v>87</v>
      </c>
      <c r="F291" t="s">
        <v>88</v>
      </c>
      <c r="G291" t="s">
        <v>89</v>
      </c>
      <c r="H291" t="s">
        <v>90</v>
      </c>
      <c r="I291" t="s">
        <v>23</v>
      </c>
      <c r="J291" t="s">
        <v>33</v>
      </c>
      <c r="K291" s="3">
        <v>12248.48</v>
      </c>
      <c r="L291" s="3">
        <v>6939.24</v>
      </c>
      <c r="M291">
        <v>4</v>
      </c>
      <c r="N291" s="4">
        <v>0</v>
      </c>
      <c r="O291" t="s">
        <v>25</v>
      </c>
      <c r="P291" t="s">
        <v>77</v>
      </c>
    </row>
    <row r="292" spans="1:16">
      <c r="A292" t="s">
        <v>444</v>
      </c>
      <c r="B292" s="2">
        <v>45460</v>
      </c>
      <c r="C292" t="s">
        <v>17</v>
      </c>
      <c r="D292" t="s">
        <v>18</v>
      </c>
      <c r="E292" t="s">
        <v>19</v>
      </c>
      <c r="F292" t="s">
        <v>20</v>
      </c>
      <c r="G292" t="s">
        <v>21</v>
      </c>
      <c r="H292" t="s">
        <v>22</v>
      </c>
      <c r="I292" t="s">
        <v>42</v>
      </c>
      <c r="J292" t="s">
        <v>68</v>
      </c>
      <c r="K292" s="3">
        <v>11650.99</v>
      </c>
      <c r="L292" s="3">
        <v>6019.2</v>
      </c>
      <c r="M292">
        <v>2</v>
      </c>
      <c r="N292" s="4">
        <v>0.1</v>
      </c>
      <c r="O292" t="s">
        <v>34</v>
      </c>
      <c r="P292" t="s">
        <v>26</v>
      </c>
    </row>
    <row r="293" spans="1:16">
      <c r="A293" t="s">
        <v>445</v>
      </c>
      <c r="B293" s="2">
        <v>45706</v>
      </c>
      <c r="C293" t="s">
        <v>170</v>
      </c>
      <c r="D293" t="s">
        <v>171</v>
      </c>
      <c r="E293" t="s">
        <v>72</v>
      </c>
      <c r="F293" t="s">
        <v>73</v>
      </c>
      <c r="G293" t="s">
        <v>51</v>
      </c>
      <c r="H293" t="s">
        <v>74</v>
      </c>
      <c r="I293" t="s">
        <v>53</v>
      </c>
      <c r="J293" t="s">
        <v>54</v>
      </c>
      <c r="K293" s="3">
        <v>13784.18</v>
      </c>
      <c r="L293" s="3">
        <v>7498.22</v>
      </c>
      <c r="M293">
        <v>2</v>
      </c>
      <c r="N293" s="4">
        <v>0.15</v>
      </c>
      <c r="O293" t="s">
        <v>25</v>
      </c>
      <c r="P293" t="s">
        <v>58</v>
      </c>
    </row>
    <row r="294" spans="1:16">
      <c r="A294" t="s">
        <v>446</v>
      </c>
      <c r="B294" s="2">
        <v>45690</v>
      </c>
      <c r="C294" t="s">
        <v>170</v>
      </c>
      <c r="D294" t="s">
        <v>171</v>
      </c>
      <c r="E294" t="s">
        <v>95</v>
      </c>
      <c r="F294" t="s">
        <v>96</v>
      </c>
      <c r="G294" t="s">
        <v>89</v>
      </c>
      <c r="H294" t="s">
        <v>97</v>
      </c>
      <c r="I294" t="s">
        <v>56</v>
      </c>
      <c r="J294" t="s">
        <v>91</v>
      </c>
      <c r="K294" s="3">
        <v>4965.3900000000003</v>
      </c>
      <c r="L294" s="3">
        <v>3643.31</v>
      </c>
      <c r="M294">
        <v>1</v>
      </c>
      <c r="N294" s="4">
        <v>0</v>
      </c>
      <c r="O294" t="s">
        <v>34</v>
      </c>
      <c r="P294" t="s">
        <v>58</v>
      </c>
    </row>
    <row r="295" spans="1:16">
      <c r="A295" t="s">
        <v>447</v>
      </c>
      <c r="B295" s="2">
        <v>45625</v>
      </c>
      <c r="C295" t="s">
        <v>70</v>
      </c>
      <c r="D295" t="s">
        <v>71</v>
      </c>
      <c r="E295" t="s">
        <v>117</v>
      </c>
      <c r="F295" t="s">
        <v>118</v>
      </c>
      <c r="G295" t="s">
        <v>51</v>
      </c>
      <c r="H295" t="s">
        <v>119</v>
      </c>
      <c r="I295" t="s">
        <v>84</v>
      </c>
      <c r="J295" t="s">
        <v>134</v>
      </c>
      <c r="K295" s="3">
        <v>11226.17</v>
      </c>
      <c r="L295" s="3">
        <v>8923.6</v>
      </c>
      <c r="M295">
        <v>2</v>
      </c>
      <c r="N295" s="4">
        <v>0.15</v>
      </c>
      <c r="O295" t="s">
        <v>34</v>
      </c>
      <c r="P295" t="s">
        <v>77</v>
      </c>
    </row>
    <row r="296" spans="1:16">
      <c r="A296" t="s">
        <v>448</v>
      </c>
      <c r="B296" s="2">
        <v>45693</v>
      </c>
      <c r="C296" t="s">
        <v>155</v>
      </c>
      <c r="D296" t="s">
        <v>156</v>
      </c>
      <c r="E296" t="s">
        <v>106</v>
      </c>
      <c r="F296" t="s">
        <v>107</v>
      </c>
      <c r="G296" t="s">
        <v>40</v>
      </c>
      <c r="H296" t="s">
        <v>108</v>
      </c>
      <c r="I296" t="s">
        <v>42</v>
      </c>
      <c r="J296" t="s">
        <v>43</v>
      </c>
      <c r="K296" s="3">
        <v>6691.07</v>
      </c>
      <c r="L296" s="3">
        <v>3229.95</v>
      </c>
      <c r="M296">
        <v>5</v>
      </c>
      <c r="N296" s="4">
        <v>0.15</v>
      </c>
      <c r="O296" t="s">
        <v>34</v>
      </c>
      <c r="P296" t="s">
        <v>58</v>
      </c>
    </row>
    <row r="297" spans="1:16">
      <c r="A297" t="s">
        <v>449</v>
      </c>
      <c r="B297" s="2">
        <v>45896</v>
      </c>
      <c r="C297" t="s">
        <v>130</v>
      </c>
      <c r="D297" t="s">
        <v>131</v>
      </c>
      <c r="E297" t="s">
        <v>123</v>
      </c>
      <c r="F297" t="s">
        <v>124</v>
      </c>
      <c r="G297" t="s">
        <v>51</v>
      </c>
      <c r="H297" t="s">
        <v>125</v>
      </c>
      <c r="I297" t="s">
        <v>42</v>
      </c>
      <c r="J297" t="s">
        <v>43</v>
      </c>
      <c r="K297" s="3">
        <v>24459.87</v>
      </c>
      <c r="L297" s="3">
        <v>18619.599999999999</v>
      </c>
      <c r="M297">
        <v>1</v>
      </c>
      <c r="N297" s="4">
        <v>0.05</v>
      </c>
      <c r="O297" t="s">
        <v>44</v>
      </c>
      <c r="P297" t="s">
        <v>58</v>
      </c>
    </row>
    <row r="298" spans="1:16">
      <c r="A298" t="s">
        <v>450</v>
      </c>
      <c r="B298" s="2">
        <v>45436</v>
      </c>
      <c r="C298" t="s">
        <v>200</v>
      </c>
      <c r="D298" t="s">
        <v>201</v>
      </c>
      <c r="E298" t="s">
        <v>172</v>
      </c>
      <c r="F298" t="s">
        <v>173</v>
      </c>
      <c r="G298" t="s">
        <v>40</v>
      </c>
      <c r="H298" t="s">
        <v>41</v>
      </c>
      <c r="I298" t="s">
        <v>42</v>
      </c>
      <c r="J298" t="s">
        <v>162</v>
      </c>
      <c r="K298" s="3">
        <v>11170.04</v>
      </c>
      <c r="L298" s="3">
        <v>4399.6000000000004</v>
      </c>
      <c r="M298">
        <v>5</v>
      </c>
      <c r="N298" s="4">
        <v>0.2</v>
      </c>
      <c r="O298" t="s">
        <v>136</v>
      </c>
      <c r="P298" t="s">
        <v>26</v>
      </c>
    </row>
    <row r="299" spans="1:16">
      <c r="A299" t="s">
        <v>451</v>
      </c>
      <c r="B299" s="2">
        <v>45842</v>
      </c>
      <c r="C299" t="s">
        <v>200</v>
      </c>
      <c r="D299" t="s">
        <v>201</v>
      </c>
      <c r="E299" t="s">
        <v>87</v>
      </c>
      <c r="F299" t="s">
        <v>88</v>
      </c>
      <c r="G299" t="s">
        <v>89</v>
      </c>
      <c r="H299" t="s">
        <v>90</v>
      </c>
      <c r="I299" t="s">
        <v>42</v>
      </c>
      <c r="J299" t="s">
        <v>68</v>
      </c>
      <c r="K299" s="3">
        <v>7071.63</v>
      </c>
      <c r="L299" s="3">
        <v>3639.54</v>
      </c>
      <c r="M299">
        <v>2</v>
      </c>
      <c r="N299" s="4">
        <v>0.05</v>
      </c>
      <c r="O299" t="s">
        <v>76</v>
      </c>
      <c r="P299" t="s">
        <v>77</v>
      </c>
    </row>
    <row r="300" spans="1:16">
      <c r="A300" t="s">
        <v>452</v>
      </c>
      <c r="B300" s="2">
        <v>45659</v>
      </c>
      <c r="C300" t="s">
        <v>170</v>
      </c>
      <c r="D300" t="s">
        <v>171</v>
      </c>
      <c r="E300" t="s">
        <v>193</v>
      </c>
      <c r="F300" t="s">
        <v>194</v>
      </c>
      <c r="G300" t="s">
        <v>89</v>
      </c>
      <c r="H300" t="s">
        <v>90</v>
      </c>
      <c r="I300" t="s">
        <v>23</v>
      </c>
      <c r="J300" t="s">
        <v>24</v>
      </c>
      <c r="K300" s="3">
        <v>709.03</v>
      </c>
      <c r="L300" s="3">
        <v>498.46</v>
      </c>
      <c r="M300">
        <v>1</v>
      </c>
      <c r="N300" s="4">
        <v>0.15</v>
      </c>
      <c r="O300" t="s">
        <v>34</v>
      </c>
      <c r="P300" t="s">
        <v>98</v>
      </c>
    </row>
    <row r="301" spans="1:16">
      <c r="A301" t="s">
        <v>453</v>
      </c>
      <c r="B301" s="2">
        <v>46019</v>
      </c>
      <c r="C301" t="s">
        <v>207</v>
      </c>
      <c r="D301" t="s">
        <v>208</v>
      </c>
      <c r="E301" t="s">
        <v>87</v>
      </c>
      <c r="F301" t="s">
        <v>88</v>
      </c>
      <c r="G301" t="s">
        <v>89</v>
      </c>
      <c r="H301" t="s">
        <v>90</v>
      </c>
      <c r="I301" t="s">
        <v>56</v>
      </c>
      <c r="J301" t="s">
        <v>91</v>
      </c>
      <c r="K301" s="3">
        <v>9216.08</v>
      </c>
      <c r="L301" s="3">
        <v>7183.72</v>
      </c>
      <c r="M301">
        <v>4</v>
      </c>
      <c r="N301" s="4">
        <v>0</v>
      </c>
      <c r="O301" t="s">
        <v>76</v>
      </c>
      <c r="P301" t="s">
        <v>45</v>
      </c>
    </row>
    <row r="302" spans="1:16">
      <c r="A302" t="s">
        <v>454</v>
      </c>
      <c r="B302" s="2">
        <v>45842</v>
      </c>
      <c r="C302" t="s">
        <v>28</v>
      </c>
      <c r="D302" t="s">
        <v>29</v>
      </c>
      <c r="E302" t="s">
        <v>175</v>
      </c>
      <c r="F302" t="s">
        <v>176</v>
      </c>
      <c r="G302" t="s">
        <v>51</v>
      </c>
      <c r="H302" t="s">
        <v>177</v>
      </c>
      <c r="I302" t="s">
        <v>84</v>
      </c>
      <c r="J302" t="s">
        <v>85</v>
      </c>
      <c r="K302" s="3">
        <v>62115.68</v>
      </c>
      <c r="L302" s="3">
        <v>44814.81</v>
      </c>
      <c r="M302">
        <v>3</v>
      </c>
      <c r="N302" s="4">
        <v>0.15</v>
      </c>
      <c r="O302" t="s">
        <v>34</v>
      </c>
      <c r="P302" t="s">
        <v>58</v>
      </c>
    </row>
    <row r="303" spans="1:16">
      <c r="A303" t="s">
        <v>455</v>
      </c>
      <c r="B303" s="2">
        <v>45848</v>
      </c>
      <c r="C303" t="s">
        <v>147</v>
      </c>
      <c r="D303" t="s">
        <v>148</v>
      </c>
      <c r="E303" t="s">
        <v>19</v>
      </c>
      <c r="F303" t="s">
        <v>20</v>
      </c>
      <c r="G303" t="s">
        <v>21</v>
      </c>
      <c r="H303" t="s">
        <v>22</v>
      </c>
      <c r="I303" t="s">
        <v>84</v>
      </c>
      <c r="J303" t="s">
        <v>142</v>
      </c>
      <c r="K303" s="3">
        <v>19452.09</v>
      </c>
      <c r="L303" s="3">
        <v>9075.69</v>
      </c>
      <c r="M303">
        <v>3</v>
      </c>
      <c r="N303" s="4">
        <v>0.15</v>
      </c>
      <c r="O303" t="s">
        <v>34</v>
      </c>
      <c r="P303" t="s">
        <v>58</v>
      </c>
    </row>
    <row r="304" spans="1:16">
      <c r="A304" t="s">
        <v>456</v>
      </c>
      <c r="B304" s="2">
        <v>45961</v>
      </c>
      <c r="C304" t="s">
        <v>207</v>
      </c>
      <c r="D304" t="s">
        <v>208</v>
      </c>
      <c r="E304" t="s">
        <v>19</v>
      </c>
      <c r="F304" t="s">
        <v>20</v>
      </c>
      <c r="G304" t="s">
        <v>21</v>
      </c>
      <c r="H304" t="s">
        <v>22</v>
      </c>
      <c r="I304" t="s">
        <v>42</v>
      </c>
      <c r="J304" t="s">
        <v>162</v>
      </c>
      <c r="K304" s="3">
        <v>15293.4</v>
      </c>
      <c r="L304" s="3">
        <v>5757.26</v>
      </c>
      <c r="M304">
        <v>2</v>
      </c>
      <c r="N304" s="4">
        <v>0.15</v>
      </c>
      <c r="O304" t="s">
        <v>44</v>
      </c>
      <c r="P304" t="s">
        <v>77</v>
      </c>
    </row>
    <row r="305" spans="1:16">
      <c r="A305" t="s">
        <v>457</v>
      </c>
      <c r="B305" s="2">
        <v>45412</v>
      </c>
      <c r="C305" t="s">
        <v>100</v>
      </c>
      <c r="D305" t="s">
        <v>101</v>
      </c>
      <c r="E305" t="s">
        <v>38</v>
      </c>
      <c r="F305" t="s">
        <v>39</v>
      </c>
      <c r="G305" t="s">
        <v>40</v>
      </c>
      <c r="H305" t="s">
        <v>41</v>
      </c>
      <c r="I305" t="s">
        <v>53</v>
      </c>
      <c r="J305" t="s">
        <v>102</v>
      </c>
      <c r="K305" s="3">
        <v>3204.32</v>
      </c>
      <c r="L305" s="3">
        <v>941.98</v>
      </c>
      <c r="M305">
        <v>2</v>
      </c>
      <c r="N305" s="4">
        <v>0.1</v>
      </c>
      <c r="O305" t="s">
        <v>34</v>
      </c>
      <c r="P305" t="s">
        <v>26</v>
      </c>
    </row>
    <row r="306" spans="1:16">
      <c r="A306" t="s">
        <v>458</v>
      </c>
      <c r="B306" s="2">
        <v>45503</v>
      </c>
      <c r="C306" t="s">
        <v>200</v>
      </c>
      <c r="D306" t="s">
        <v>201</v>
      </c>
      <c r="E306" t="s">
        <v>193</v>
      </c>
      <c r="F306" t="s">
        <v>194</v>
      </c>
      <c r="G306" t="s">
        <v>89</v>
      </c>
      <c r="H306" t="s">
        <v>90</v>
      </c>
      <c r="I306" t="s">
        <v>23</v>
      </c>
      <c r="J306" t="s">
        <v>75</v>
      </c>
      <c r="K306" s="3">
        <v>2054.54</v>
      </c>
      <c r="L306" s="3">
        <v>1061.08</v>
      </c>
      <c r="M306">
        <v>2</v>
      </c>
      <c r="N306" s="4">
        <v>0.2</v>
      </c>
      <c r="O306" t="s">
        <v>44</v>
      </c>
      <c r="P306" t="s">
        <v>58</v>
      </c>
    </row>
    <row r="307" spans="1:16">
      <c r="A307" t="s">
        <v>459</v>
      </c>
      <c r="B307" s="2">
        <v>45878</v>
      </c>
      <c r="C307" t="s">
        <v>231</v>
      </c>
      <c r="D307" t="s">
        <v>232</v>
      </c>
      <c r="E307" t="s">
        <v>123</v>
      </c>
      <c r="F307" t="s">
        <v>124</v>
      </c>
      <c r="G307" t="s">
        <v>51</v>
      </c>
      <c r="H307" t="s">
        <v>125</v>
      </c>
      <c r="I307" t="s">
        <v>84</v>
      </c>
      <c r="J307" t="s">
        <v>142</v>
      </c>
      <c r="K307" s="3">
        <v>88011.48</v>
      </c>
      <c r="L307" s="3">
        <v>58885.89</v>
      </c>
      <c r="M307">
        <v>3</v>
      </c>
      <c r="N307" s="4">
        <v>0</v>
      </c>
      <c r="O307" t="s">
        <v>76</v>
      </c>
      <c r="P307" t="s">
        <v>26</v>
      </c>
    </row>
    <row r="308" spans="1:16">
      <c r="A308" t="s">
        <v>460</v>
      </c>
      <c r="B308" s="2">
        <v>45963</v>
      </c>
      <c r="C308" t="s">
        <v>28</v>
      </c>
      <c r="D308" t="s">
        <v>29</v>
      </c>
      <c r="E308" t="s">
        <v>175</v>
      </c>
      <c r="F308" t="s">
        <v>176</v>
      </c>
      <c r="G308" t="s">
        <v>51</v>
      </c>
      <c r="H308" t="s">
        <v>177</v>
      </c>
      <c r="I308" t="s">
        <v>53</v>
      </c>
      <c r="J308" t="s">
        <v>102</v>
      </c>
      <c r="K308" s="3">
        <v>37597.75</v>
      </c>
      <c r="L308" s="3">
        <v>33289.120000000003</v>
      </c>
      <c r="M308">
        <v>2</v>
      </c>
      <c r="N308" s="4">
        <v>0.05</v>
      </c>
      <c r="O308" t="s">
        <v>44</v>
      </c>
      <c r="P308" t="s">
        <v>58</v>
      </c>
    </row>
    <row r="309" spans="1:16">
      <c r="A309" t="s">
        <v>461</v>
      </c>
      <c r="B309" s="2">
        <v>45437</v>
      </c>
      <c r="C309" t="s">
        <v>79</v>
      </c>
      <c r="D309" t="s">
        <v>80</v>
      </c>
      <c r="E309" t="s">
        <v>106</v>
      </c>
      <c r="F309" t="s">
        <v>107</v>
      </c>
      <c r="G309" t="s">
        <v>40</v>
      </c>
      <c r="H309" t="s">
        <v>108</v>
      </c>
      <c r="I309" t="s">
        <v>56</v>
      </c>
      <c r="J309" t="s">
        <v>191</v>
      </c>
      <c r="K309" s="3">
        <v>9270.06</v>
      </c>
      <c r="L309" s="3">
        <v>3592.7</v>
      </c>
      <c r="M309">
        <v>5</v>
      </c>
      <c r="N309" s="4">
        <v>0.15</v>
      </c>
      <c r="O309" t="s">
        <v>136</v>
      </c>
      <c r="P309" t="s">
        <v>58</v>
      </c>
    </row>
    <row r="310" spans="1:16">
      <c r="A310" t="s">
        <v>462</v>
      </c>
      <c r="B310" s="2">
        <v>45819</v>
      </c>
      <c r="C310" t="s">
        <v>17</v>
      </c>
      <c r="D310" t="s">
        <v>18</v>
      </c>
      <c r="E310" t="s">
        <v>62</v>
      </c>
      <c r="F310" t="s">
        <v>63</v>
      </c>
      <c r="G310" t="s">
        <v>21</v>
      </c>
      <c r="H310" t="s">
        <v>64</v>
      </c>
      <c r="I310" t="s">
        <v>56</v>
      </c>
      <c r="J310" t="s">
        <v>91</v>
      </c>
      <c r="K310" s="3">
        <v>15172.22</v>
      </c>
      <c r="L310" s="3">
        <v>5610.27</v>
      </c>
      <c r="M310">
        <v>3</v>
      </c>
      <c r="N310" s="4">
        <v>0.15</v>
      </c>
      <c r="O310" t="s">
        <v>136</v>
      </c>
      <c r="P310" t="s">
        <v>77</v>
      </c>
    </row>
    <row r="311" spans="1:16">
      <c r="A311" t="s">
        <v>463</v>
      </c>
      <c r="B311" s="2">
        <v>45387</v>
      </c>
      <c r="C311" t="s">
        <v>147</v>
      </c>
      <c r="D311" t="s">
        <v>148</v>
      </c>
      <c r="E311" t="s">
        <v>30</v>
      </c>
      <c r="F311" t="s">
        <v>31</v>
      </c>
      <c r="G311" t="s">
        <v>21</v>
      </c>
      <c r="H311" t="s">
        <v>32</v>
      </c>
      <c r="I311" t="s">
        <v>53</v>
      </c>
      <c r="J311" t="s">
        <v>102</v>
      </c>
      <c r="K311" s="3">
        <v>246390.12</v>
      </c>
      <c r="L311" s="3">
        <v>197177.88</v>
      </c>
      <c r="M311">
        <v>4</v>
      </c>
      <c r="N311" s="4">
        <v>0</v>
      </c>
      <c r="O311" t="s">
        <v>34</v>
      </c>
      <c r="P311" t="s">
        <v>26</v>
      </c>
    </row>
    <row r="312" spans="1:16">
      <c r="A312" t="s">
        <v>464</v>
      </c>
      <c r="B312" s="2">
        <v>45508</v>
      </c>
      <c r="C312" t="s">
        <v>144</v>
      </c>
      <c r="D312" t="s">
        <v>145</v>
      </c>
      <c r="E312" t="s">
        <v>132</v>
      </c>
      <c r="F312" t="s">
        <v>133</v>
      </c>
      <c r="G312" t="s">
        <v>40</v>
      </c>
      <c r="H312" t="s">
        <v>41</v>
      </c>
      <c r="I312" t="s">
        <v>53</v>
      </c>
      <c r="J312" t="s">
        <v>102</v>
      </c>
      <c r="K312" s="3">
        <v>3794.72</v>
      </c>
      <c r="L312" s="3">
        <v>953.72</v>
      </c>
      <c r="M312">
        <v>4</v>
      </c>
      <c r="N312" s="4">
        <v>0.1</v>
      </c>
      <c r="O312" t="s">
        <v>34</v>
      </c>
      <c r="P312" t="s">
        <v>58</v>
      </c>
    </row>
    <row r="313" spans="1:16">
      <c r="A313" t="s">
        <v>465</v>
      </c>
      <c r="B313" s="2">
        <v>45643</v>
      </c>
      <c r="C313" t="s">
        <v>147</v>
      </c>
      <c r="D313" t="s">
        <v>148</v>
      </c>
      <c r="E313" t="s">
        <v>87</v>
      </c>
      <c r="F313" t="s">
        <v>88</v>
      </c>
      <c r="G313" t="s">
        <v>89</v>
      </c>
      <c r="H313" t="s">
        <v>90</v>
      </c>
      <c r="I313" t="s">
        <v>53</v>
      </c>
      <c r="J313" t="s">
        <v>54</v>
      </c>
      <c r="K313" s="3">
        <v>3567.97</v>
      </c>
      <c r="L313" s="3">
        <v>1636.54</v>
      </c>
      <c r="M313">
        <v>1</v>
      </c>
      <c r="N313" s="4">
        <v>0.15</v>
      </c>
      <c r="O313" t="s">
        <v>25</v>
      </c>
      <c r="P313" t="s">
        <v>58</v>
      </c>
    </row>
    <row r="314" spans="1:16">
      <c r="A314" t="s">
        <v>466</v>
      </c>
      <c r="B314" s="2">
        <v>45292</v>
      </c>
      <c r="C314" t="s">
        <v>200</v>
      </c>
      <c r="D314" t="s">
        <v>201</v>
      </c>
      <c r="E314" t="s">
        <v>38</v>
      </c>
      <c r="F314" t="s">
        <v>39</v>
      </c>
      <c r="G314" t="s">
        <v>40</v>
      </c>
      <c r="H314" t="s">
        <v>41</v>
      </c>
      <c r="I314" t="s">
        <v>56</v>
      </c>
      <c r="J314" t="s">
        <v>191</v>
      </c>
      <c r="K314" s="3">
        <v>6466.65</v>
      </c>
      <c r="L314" s="3">
        <v>1880.92</v>
      </c>
      <c r="M314">
        <v>4</v>
      </c>
      <c r="N314" s="4">
        <v>0.05</v>
      </c>
      <c r="O314" t="s">
        <v>44</v>
      </c>
      <c r="P314" t="s">
        <v>58</v>
      </c>
    </row>
    <row r="315" spans="1:16">
      <c r="A315" t="s">
        <v>467</v>
      </c>
      <c r="B315" s="2">
        <v>45661</v>
      </c>
      <c r="C315" t="s">
        <v>66</v>
      </c>
      <c r="D315" t="s">
        <v>67</v>
      </c>
      <c r="E315" t="s">
        <v>62</v>
      </c>
      <c r="F315" t="s">
        <v>63</v>
      </c>
      <c r="G315" t="s">
        <v>21</v>
      </c>
      <c r="H315" t="s">
        <v>64</v>
      </c>
      <c r="I315" t="s">
        <v>42</v>
      </c>
      <c r="J315" t="s">
        <v>68</v>
      </c>
      <c r="K315" s="3">
        <v>14237.63</v>
      </c>
      <c r="L315" s="3">
        <v>4949.01</v>
      </c>
      <c r="M315">
        <v>3</v>
      </c>
      <c r="N315" s="4">
        <v>0.05</v>
      </c>
      <c r="O315" t="s">
        <v>25</v>
      </c>
      <c r="P315" t="s">
        <v>26</v>
      </c>
    </row>
    <row r="316" spans="1:16">
      <c r="A316" t="s">
        <v>468</v>
      </c>
      <c r="B316" s="2">
        <v>46008</v>
      </c>
      <c r="C316" t="s">
        <v>17</v>
      </c>
      <c r="D316" t="s">
        <v>18</v>
      </c>
      <c r="E316" t="s">
        <v>123</v>
      </c>
      <c r="F316" t="s">
        <v>124</v>
      </c>
      <c r="G316" t="s">
        <v>51</v>
      </c>
      <c r="H316" t="s">
        <v>125</v>
      </c>
      <c r="I316" t="s">
        <v>42</v>
      </c>
      <c r="J316" t="s">
        <v>162</v>
      </c>
      <c r="K316" s="3">
        <v>43573.98</v>
      </c>
      <c r="L316" s="3">
        <v>35490.46</v>
      </c>
      <c r="M316">
        <v>2</v>
      </c>
      <c r="N316" s="4">
        <v>0</v>
      </c>
      <c r="O316" t="s">
        <v>25</v>
      </c>
      <c r="P316" t="s">
        <v>58</v>
      </c>
    </row>
    <row r="317" spans="1:16">
      <c r="A317" t="s">
        <v>469</v>
      </c>
      <c r="B317" s="2">
        <v>45899</v>
      </c>
      <c r="C317" t="s">
        <v>197</v>
      </c>
      <c r="D317" t="s">
        <v>198</v>
      </c>
      <c r="E317" t="s">
        <v>62</v>
      </c>
      <c r="F317" t="s">
        <v>63</v>
      </c>
      <c r="G317" t="s">
        <v>21</v>
      </c>
      <c r="H317" t="s">
        <v>64</v>
      </c>
      <c r="I317" t="s">
        <v>23</v>
      </c>
      <c r="J317" t="s">
        <v>75</v>
      </c>
      <c r="K317" s="3">
        <v>8023.36</v>
      </c>
      <c r="L317" s="3">
        <v>3614</v>
      </c>
      <c r="M317">
        <v>2</v>
      </c>
      <c r="N317" s="4">
        <v>0</v>
      </c>
      <c r="O317" t="s">
        <v>44</v>
      </c>
      <c r="P317" t="s">
        <v>58</v>
      </c>
    </row>
    <row r="318" spans="1:16">
      <c r="A318" t="s">
        <v>470</v>
      </c>
      <c r="B318" s="2">
        <v>45364</v>
      </c>
      <c r="C318" t="s">
        <v>207</v>
      </c>
      <c r="D318" t="s">
        <v>208</v>
      </c>
      <c r="E318" t="s">
        <v>152</v>
      </c>
      <c r="F318" t="s">
        <v>153</v>
      </c>
      <c r="G318" t="s">
        <v>21</v>
      </c>
      <c r="H318" t="s">
        <v>32</v>
      </c>
      <c r="I318" t="s">
        <v>56</v>
      </c>
      <c r="J318" t="s">
        <v>191</v>
      </c>
      <c r="K318" s="3">
        <v>28209.14</v>
      </c>
      <c r="L318" s="3">
        <v>15625.82</v>
      </c>
      <c r="M318">
        <v>2</v>
      </c>
      <c r="N318" s="4">
        <v>0</v>
      </c>
      <c r="O318" t="s">
        <v>25</v>
      </c>
      <c r="P318" t="s">
        <v>77</v>
      </c>
    </row>
    <row r="319" spans="1:16">
      <c r="A319" t="s">
        <v>471</v>
      </c>
      <c r="B319" s="2">
        <v>45683</v>
      </c>
      <c r="C319" t="s">
        <v>158</v>
      </c>
      <c r="D319" t="s">
        <v>159</v>
      </c>
      <c r="E319" t="s">
        <v>123</v>
      </c>
      <c r="F319" t="s">
        <v>124</v>
      </c>
      <c r="G319" t="s">
        <v>51</v>
      </c>
      <c r="H319" t="s">
        <v>125</v>
      </c>
      <c r="I319" t="s">
        <v>23</v>
      </c>
      <c r="J319" t="s">
        <v>75</v>
      </c>
      <c r="K319" s="3">
        <v>64480.26</v>
      </c>
      <c r="L319" s="3">
        <v>37019.339999999997</v>
      </c>
      <c r="M319">
        <v>2</v>
      </c>
      <c r="N319" s="4">
        <v>0</v>
      </c>
      <c r="O319" t="s">
        <v>34</v>
      </c>
      <c r="P319" t="s">
        <v>58</v>
      </c>
    </row>
    <row r="320" spans="1:16">
      <c r="A320" t="s">
        <v>472</v>
      </c>
      <c r="B320" s="2">
        <v>45651</v>
      </c>
      <c r="C320" t="s">
        <v>155</v>
      </c>
      <c r="D320" t="s">
        <v>156</v>
      </c>
      <c r="E320" t="s">
        <v>117</v>
      </c>
      <c r="F320" t="s">
        <v>118</v>
      </c>
      <c r="G320" t="s">
        <v>51</v>
      </c>
      <c r="H320" t="s">
        <v>119</v>
      </c>
      <c r="I320" t="s">
        <v>56</v>
      </c>
      <c r="J320" t="s">
        <v>191</v>
      </c>
      <c r="K320" s="3">
        <v>10101.719999999999</v>
      </c>
      <c r="L320" s="3">
        <v>9230.5400000000009</v>
      </c>
      <c r="M320">
        <v>2</v>
      </c>
      <c r="N320" s="4">
        <v>0.15</v>
      </c>
      <c r="O320" t="s">
        <v>34</v>
      </c>
      <c r="P320" t="s">
        <v>98</v>
      </c>
    </row>
    <row r="321" spans="1:16">
      <c r="A321" t="s">
        <v>473</v>
      </c>
      <c r="B321" s="2">
        <v>45435</v>
      </c>
      <c r="C321" t="s">
        <v>144</v>
      </c>
      <c r="D321" t="s">
        <v>145</v>
      </c>
      <c r="E321" t="s">
        <v>62</v>
      </c>
      <c r="F321" t="s">
        <v>63</v>
      </c>
      <c r="G321" t="s">
        <v>21</v>
      </c>
      <c r="H321" t="s">
        <v>64</v>
      </c>
      <c r="I321" t="s">
        <v>23</v>
      </c>
      <c r="J321" t="s">
        <v>33</v>
      </c>
      <c r="K321" s="3">
        <v>3177.3</v>
      </c>
      <c r="L321" s="3">
        <v>1832.25</v>
      </c>
      <c r="M321">
        <v>1</v>
      </c>
      <c r="N321" s="4">
        <v>0.15</v>
      </c>
      <c r="O321" t="s">
        <v>44</v>
      </c>
      <c r="P321" t="s">
        <v>58</v>
      </c>
    </row>
    <row r="322" spans="1:16">
      <c r="A322" t="s">
        <v>474</v>
      </c>
      <c r="B322" s="2">
        <v>45378</v>
      </c>
      <c r="C322" t="s">
        <v>36</v>
      </c>
      <c r="D322" t="s">
        <v>37</v>
      </c>
      <c r="E322" t="s">
        <v>175</v>
      </c>
      <c r="F322" t="s">
        <v>176</v>
      </c>
      <c r="G322" t="s">
        <v>51</v>
      </c>
      <c r="H322" t="s">
        <v>177</v>
      </c>
      <c r="I322" t="s">
        <v>42</v>
      </c>
      <c r="J322" t="s">
        <v>68</v>
      </c>
      <c r="K322" s="3">
        <v>42188.98</v>
      </c>
      <c r="L322" s="3">
        <v>32341.74</v>
      </c>
      <c r="M322">
        <v>2</v>
      </c>
      <c r="N322" s="4">
        <v>0.2</v>
      </c>
      <c r="O322" t="s">
        <v>44</v>
      </c>
      <c r="P322" t="s">
        <v>58</v>
      </c>
    </row>
    <row r="323" spans="1:16">
      <c r="A323" t="s">
        <v>475</v>
      </c>
      <c r="B323" s="2">
        <v>45822</v>
      </c>
      <c r="C323" t="s">
        <v>130</v>
      </c>
      <c r="D323" t="s">
        <v>131</v>
      </c>
      <c r="E323" t="s">
        <v>123</v>
      </c>
      <c r="F323" t="s">
        <v>124</v>
      </c>
      <c r="G323" t="s">
        <v>51</v>
      </c>
      <c r="H323" t="s">
        <v>125</v>
      </c>
      <c r="I323" t="s">
        <v>84</v>
      </c>
      <c r="J323" t="s">
        <v>85</v>
      </c>
      <c r="K323" s="3">
        <v>150756.89000000001</v>
      </c>
      <c r="L323" s="3">
        <v>90171.4</v>
      </c>
      <c r="M323">
        <v>5</v>
      </c>
      <c r="N323" s="4">
        <v>0.1</v>
      </c>
      <c r="O323" t="s">
        <v>25</v>
      </c>
      <c r="P323" t="s">
        <v>58</v>
      </c>
    </row>
    <row r="324" spans="1:16">
      <c r="A324" t="s">
        <v>476</v>
      </c>
      <c r="B324" s="2">
        <v>45538</v>
      </c>
      <c r="C324" t="s">
        <v>197</v>
      </c>
      <c r="D324" t="s">
        <v>198</v>
      </c>
      <c r="E324" t="s">
        <v>106</v>
      </c>
      <c r="F324" t="s">
        <v>107</v>
      </c>
      <c r="G324" t="s">
        <v>40</v>
      </c>
      <c r="H324" t="s">
        <v>108</v>
      </c>
      <c r="I324" t="s">
        <v>23</v>
      </c>
      <c r="J324" t="s">
        <v>33</v>
      </c>
      <c r="K324" s="3">
        <v>3824.92</v>
      </c>
      <c r="L324" s="3">
        <v>2877.32</v>
      </c>
      <c r="M324">
        <v>4</v>
      </c>
      <c r="N324" s="4">
        <v>0</v>
      </c>
      <c r="O324" t="s">
        <v>44</v>
      </c>
      <c r="P324" t="s">
        <v>77</v>
      </c>
    </row>
    <row r="325" spans="1:16">
      <c r="A325" t="s">
        <v>477</v>
      </c>
      <c r="B325" s="2">
        <v>45874</v>
      </c>
      <c r="C325" t="s">
        <v>47</v>
      </c>
      <c r="D325" t="s">
        <v>48</v>
      </c>
      <c r="E325" t="s">
        <v>106</v>
      </c>
      <c r="F325" t="s">
        <v>107</v>
      </c>
      <c r="G325" t="s">
        <v>40</v>
      </c>
      <c r="H325" t="s">
        <v>108</v>
      </c>
      <c r="I325" t="s">
        <v>53</v>
      </c>
      <c r="J325" t="s">
        <v>102</v>
      </c>
      <c r="K325" s="3">
        <v>7828.4</v>
      </c>
      <c r="L325" s="3">
        <v>2724.64</v>
      </c>
      <c r="M325">
        <v>4</v>
      </c>
      <c r="N325" s="4">
        <v>0.15</v>
      </c>
      <c r="O325" t="s">
        <v>25</v>
      </c>
      <c r="P325" t="s">
        <v>58</v>
      </c>
    </row>
    <row r="326" spans="1:16">
      <c r="A326" t="s">
        <v>478</v>
      </c>
      <c r="B326" s="2">
        <v>45560</v>
      </c>
      <c r="C326" t="s">
        <v>147</v>
      </c>
      <c r="D326" t="s">
        <v>148</v>
      </c>
      <c r="E326" t="s">
        <v>62</v>
      </c>
      <c r="F326" t="s">
        <v>63</v>
      </c>
      <c r="G326" t="s">
        <v>21</v>
      </c>
      <c r="H326" t="s">
        <v>64</v>
      </c>
      <c r="I326" t="s">
        <v>23</v>
      </c>
      <c r="J326" t="s">
        <v>24</v>
      </c>
      <c r="K326" s="3">
        <v>3888.14</v>
      </c>
      <c r="L326" s="3">
        <v>3268.68</v>
      </c>
      <c r="M326">
        <v>2</v>
      </c>
      <c r="N326" s="4">
        <v>0.15</v>
      </c>
      <c r="O326" t="s">
        <v>34</v>
      </c>
      <c r="P326" t="s">
        <v>45</v>
      </c>
    </row>
    <row r="327" spans="1:16">
      <c r="A327" t="s">
        <v>479</v>
      </c>
      <c r="B327" s="2">
        <v>45717</v>
      </c>
      <c r="C327" t="s">
        <v>17</v>
      </c>
      <c r="D327" t="s">
        <v>18</v>
      </c>
      <c r="E327" t="s">
        <v>182</v>
      </c>
      <c r="F327" t="s">
        <v>183</v>
      </c>
      <c r="G327" t="s">
        <v>89</v>
      </c>
      <c r="H327" t="s">
        <v>90</v>
      </c>
      <c r="I327" t="s">
        <v>53</v>
      </c>
      <c r="J327" t="s">
        <v>54</v>
      </c>
      <c r="K327" s="3">
        <v>23424.22</v>
      </c>
      <c r="L327" s="3">
        <v>24968.68</v>
      </c>
      <c r="M327">
        <v>4</v>
      </c>
      <c r="N327" s="4">
        <v>0.2</v>
      </c>
      <c r="O327" t="s">
        <v>34</v>
      </c>
      <c r="P327" t="s">
        <v>58</v>
      </c>
    </row>
    <row r="328" spans="1:16">
      <c r="A328" t="s">
        <v>480</v>
      </c>
      <c r="B328" s="2">
        <v>45372</v>
      </c>
      <c r="C328" t="s">
        <v>66</v>
      </c>
      <c r="D328" t="s">
        <v>67</v>
      </c>
      <c r="E328" t="s">
        <v>62</v>
      </c>
      <c r="F328" t="s">
        <v>63</v>
      </c>
      <c r="G328" t="s">
        <v>21</v>
      </c>
      <c r="H328" t="s">
        <v>64</v>
      </c>
      <c r="I328" t="s">
        <v>84</v>
      </c>
      <c r="J328" t="s">
        <v>142</v>
      </c>
      <c r="K328" s="3">
        <v>30327.89</v>
      </c>
      <c r="L328" s="3">
        <v>9757.65</v>
      </c>
      <c r="M328">
        <v>5</v>
      </c>
      <c r="N328" s="4">
        <v>0.05</v>
      </c>
      <c r="O328" t="s">
        <v>34</v>
      </c>
      <c r="P328" t="s">
        <v>77</v>
      </c>
    </row>
    <row r="329" spans="1:16">
      <c r="A329" t="s">
        <v>481</v>
      </c>
      <c r="B329" s="2">
        <v>45957</v>
      </c>
      <c r="C329" t="s">
        <v>104</v>
      </c>
      <c r="D329" t="s">
        <v>105</v>
      </c>
      <c r="E329" t="s">
        <v>95</v>
      </c>
      <c r="F329" t="s">
        <v>96</v>
      </c>
      <c r="G329" t="s">
        <v>89</v>
      </c>
      <c r="H329" t="s">
        <v>97</v>
      </c>
      <c r="I329" t="s">
        <v>42</v>
      </c>
      <c r="J329" t="s">
        <v>68</v>
      </c>
      <c r="K329" s="3">
        <v>5835.31</v>
      </c>
      <c r="L329" s="3">
        <v>3367.12</v>
      </c>
      <c r="M329">
        <v>1</v>
      </c>
      <c r="N329" s="4">
        <v>0.05</v>
      </c>
      <c r="O329" t="s">
        <v>25</v>
      </c>
      <c r="P329" t="s">
        <v>58</v>
      </c>
    </row>
    <row r="330" spans="1:16">
      <c r="A330" t="s">
        <v>482</v>
      </c>
      <c r="B330" s="2">
        <v>45756</v>
      </c>
      <c r="C330" t="s">
        <v>100</v>
      </c>
      <c r="D330" t="s">
        <v>101</v>
      </c>
      <c r="E330" t="s">
        <v>132</v>
      </c>
      <c r="F330" t="s">
        <v>133</v>
      </c>
      <c r="G330" t="s">
        <v>40</v>
      </c>
      <c r="H330" t="s">
        <v>41</v>
      </c>
      <c r="I330" t="s">
        <v>23</v>
      </c>
      <c r="J330" t="s">
        <v>33</v>
      </c>
      <c r="K330" s="3">
        <v>2911.28</v>
      </c>
      <c r="L330" s="3">
        <v>1277.2</v>
      </c>
      <c r="M330">
        <v>5</v>
      </c>
      <c r="N330" s="4">
        <v>0.05</v>
      </c>
      <c r="O330" t="s">
        <v>25</v>
      </c>
      <c r="P330" t="s">
        <v>58</v>
      </c>
    </row>
    <row r="331" spans="1:16">
      <c r="A331" t="s">
        <v>483</v>
      </c>
      <c r="B331" s="2">
        <v>45303</v>
      </c>
      <c r="C331" t="s">
        <v>60</v>
      </c>
      <c r="D331" t="s">
        <v>61</v>
      </c>
      <c r="E331" t="s">
        <v>152</v>
      </c>
      <c r="F331" t="s">
        <v>153</v>
      </c>
      <c r="G331" t="s">
        <v>21</v>
      </c>
      <c r="H331" t="s">
        <v>32</v>
      </c>
      <c r="I331" t="s">
        <v>42</v>
      </c>
      <c r="J331" t="s">
        <v>162</v>
      </c>
      <c r="K331" s="3">
        <v>18241.28</v>
      </c>
      <c r="L331" s="3">
        <v>15988.52</v>
      </c>
      <c r="M331">
        <v>2</v>
      </c>
      <c r="N331" s="4">
        <v>0.2</v>
      </c>
      <c r="O331" t="s">
        <v>44</v>
      </c>
      <c r="P331" t="s">
        <v>58</v>
      </c>
    </row>
    <row r="332" spans="1:16">
      <c r="A332" t="s">
        <v>484</v>
      </c>
      <c r="B332" s="2">
        <v>45567</v>
      </c>
      <c r="C332" t="s">
        <v>158</v>
      </c>
      <c r="D332" t="s">
        <v>159</v>
      </c>
      <c r="E332" t="s">
        <v>152</v>
      </c>
      <c r="F332" t="s">
        <v>153</v>
      </c>
      <c r="G332" t="s">
        <v>21</v>
      </c>
      <c r="H332" t="s">
        <v>32</v>
      </c>
      <c r="I332" t="s">
        <v>42</v>
      </c>
      <c r="J332" t="s">
        <v>162</v>
      </c>
      <c r="K332" s="3">
        <v>7791.67</v>
      </c>
      <c r="L332" s="3">
        <v>8434.2900000000009</v>
      </c>
      <c r="M332">
        <v>1</v>
      </c>
      <c r="N332" s="4">
        <v>0.15</v>
      </c>
      <c r="O332" t="s">
        <v>44</v>
      </c>
      <c r="P332" t="s">
        <v>58</v>
      </c>
    </row>
    <row r="333" spans="1:16">
      <c r="A333" t="s">
        <v>485</v>
      </c>
      <c r="B333" s="2">
        <v>45370</v>
      </c>
      <c r="C333" t="s">
        <v>66</v>
      </c>
      <c r="D333" t="s">
        <v>67</v>
      </c>
      <c r="E333" t="s">
        <v>95</v>
      </c>
      <c r="F333" t="s">
        <v>96</v>
      </c>
      <c r="G333" t="s">
        <v>89</v>
      </c>
      <c r="H333" t="s">
        <v>97</v>
      </c>
      <c r="I333" t="s">
        <v>42</v>
      </c>
      <c r="J333" t="s">
        <v>68</v>
      </c>
      <c r="K333" s="3">
        <v>19548.060000000001</v>
      </c>
      <c r="L333" s="3">
        <v>13874.56</v>
      </c>
      <c r="M333">
        <v>4</v>
      </c>
      <c r="N333" s="4">
        <v>0.15</v>
      </c>
      <c r="O333" t="s">
        <v>34</v>
      </c>
      <c r="P333" t="s">
        <v>58</v>
      </c>
    </row>
    <row r="334" spans="1:16">
      <c r="A334" t="s">
        <v>486</v>
      </c>
      <c r="B334" s="2">
        <v>45397</v>
      </c>
      <c r="C334" t="s">
        <v>158</v>
      </c>
      <c r="D334" t="s">
        <v>159</v>
      </c>
      <c r="E334" t="s">
        <v>117</v>
      </c>
      <c r="F334" t="s">
        <v>118</v>
      </c>
      <c r="G334" t="s">
        <v>51</v>
      </c>
      <c r="H334" t="s">
        <v>119</v>
      </c>
      <c r="I334" t="s">
        <v>84</v>
      </c>
      <c r="J334" t="s">
        <v>142</v>
      </c>
      <c r="K334" s="3">
        <v>22909.56</v>
      </c>
      <c r="L334" s="3">
        <v>23283.55</v>
      </c>
      <c r="M334">
        <v>5</v>
      </c>
      <c r="N334" s="4">
        <v>0.2</v>
      </c>
      <c r="O334" t="s">
        <v>25</v>
      </c>
      <c r="P334" t="s">
        <v>58</v>
      </c>
    </row>
    <row r="335" spans="1:16">
      <c r="A335" t="s">
        <v>487</v>
      </c>
      <c r="B335" s="2">
        <v>45775</v>
      </c>
      <c r="C335" t="s">
        <v>140</v>
      </c>
      <c r="D335" t="s">
        <v>141</v>
      </c>
      <c r="E335" t="s">
        <v>72</v>
      </c>
      <c r="F335" t="s">
        <v>73</v>
      </c>
      <c r="G335" t="s">
        <v>51</v>
      </c>
      <c r="H335" t="s">
        <v>74</v>
      </c>
      <c r="I335" t="s">
        <v>23</v>
      </c>
      <c r="J335" t="s">
        <v>24</v>
      </c>
      <c r="K335" s="3">
        <v>15925.41</v>
      </c>
      <c r="L335" s="3">
        <v>11719.14</v>
      </c>
      <c r="M335">
        <v>3</v>
      </c>
      <c r="N335" s="4">
        <v>0</v>
      </c>
      <c r="O335" t="s">
        <v>34</v>
      </c>
      <c r="P335" t="s">
        <v>26</v>
      </c>
    </row>
    <row r="336" spans="1:16">
      <c r="A336" t="s">
        <v>488</v>
      </c>
      <c r="B336" s="2">
        <v>45718</v>
      </c>
      <c r="C336" t="s">
        <v>36</v>
      </c>
      <c r="D336" t="s">
        <v>37</v>
      </c>
      <c r="E336" t="s">
        <v>110</v>
      </c>
      <c r="F336" t="s">
        <v>111</v>
      </c>
      <c r="G336" t="s">
        <v>40</v>
      </c>
      <c r="H336" t="s">
        <v>112</v>
      </c>
      <c r="I336" t="s">
        <v>84</v>
      </c>
      <c r="J336" t="s">
        <v>85</v>
      </c>
      <c r="K336" s="3">
        <v>4397.6499999999996</v>
      </c>
      <c r="L336" s="3">
        <v>3435.3</v>
      </c>
      <c r="M336">
        <v>3</v>
      </c>
      <c r="N336" s="4">
        <v>0.1</v>
      </c>
      <c r="O336" t="s">
        <v>25</v>
      </c>
      <c r="P336" t="s">
        <v>58</v>
      </c>
    </row>
    <row r="337" spans="1:16">
      <c r="A337" t="s">
        <v>489</v>
      </c>
      <c r="B337" s="2">
        <v>45820</v>
      </c>
      <c r="C337" t="s">
        <v>200</v>
      </c>
      <c r="D337" t="s">
        <v>201</v>
      </c>
      <c r="E337" t="s">
        <v>72</v>
      </c>
      <c r="F337" t="s">
        <v>73</v>
      </c>
      <c r="G337" t="s">
        <v>51</v>
      </c>
      <c r="H337" t="s">
        <v>74</v>
      </c>
      <c r="I337" t="s">
        <v>53</v>
      </c>
      <c r="J337" t="s">
        <v>54</v>
      </c>
      <c r="K337" s="3">
        <v>4131.3999999999996</v>
      </c>
      <c r="L337" s="3">
        <v>4363.26</v>
      </c>
      <c r="M337">
        <v>1</v>
      </c>
      <c r="N337" s="4">
        <v>0.15</v>
      </c>
      <c r="O337" t="s">
        <v>44</v>
      </c>
      <c r="P337" t="s">
        <v>45</v>
      </c>
    </row>
    <row r="338" spans="1:16">
      <c r="A338" t="s">
        <v>490</v>
      </c>
      <c r="B338" s="2">
        <v>45759</v>
      </c>
      <c r="C338" t="s">
        <v>231</v>
      </c>
      <c r="D338" t="s">
        <v>232</v>
      </c>
      <c r="E338" t="s">
        <v>62</v>
      </c>
      <c r="F338" t="s">
        <v>63</v>
      </c>
      <c r="G338" t="s">
        <v>21</v>
      </c>
      <c r="H338" t="s">
        <v>64</v>
      </c>
      <c r="I338" t="s">
        <v>56</v>
      </c>
      <c r="J338" t="s">
        <v>57</v>
      </c>
      <c r="K338" s="3">
        <v>2991.16</v>
      </c>
      <c r="L338" s="3">
        <v>1752.81</v>
      </c>
      <c r="M338">
        <v>1</v>
      </c>
      <c r="N338" s="4">
        <v>0.1</v>
      </c>
      <c r="O338" t="s">
        <v>34</v>
      </c>
      <c r="P338" t="s">
        <v>58</v>
      </c>
    </row>
    <row r="339" spans="1:16">
      <c r="A339" t="s">
        <v>491</v>
      </c>
      <c r="B339" s="2">
        <v>45797</v>
      </c>
      <c r="C339" t="s">
        <v>170</v>
      </c>
      <c r="D339" t="s">
        <v>171</v>
      </c>
      <c r="E339" t="s">
        <v>172</v>
      </c>
      <c r="F339" t="s">
        <v>173</v>
      </c>
      <c r="G339" t="s">
        <v>40</v>
      </c>
      <c r="H339" t="s">
        <v>41</v>
      </c>
      <c r="I339" t="s">
        <v>42</v>
      </c>
      <c r="J339" t="s">
        <v>43</v>
      </c>
      <c r="K339" s="3">
        <v>5022.29</v>
      </c>
      <c r="L339" s="3">
        <v>1883.68</v>
      </c>
      <c r="M339">
        <v>2</v>
      </c>
      <c r="N339" s="4">
        <v>0.05</v>
      </c>
      <c r="O339" t="s">
        <v>76</v>
      </c>
      <c r="P339" t="s">
        <v>58</v>
      </c>
    </row>
    <row r="340" spans="1:16">
      <c r="A340" t="s">
        <v>492</v>
      </c>
      <c r="B340" s="2">
        <v>45846</v>
      </c>
      <c r="C340" t="s">
        <v>207</v>
      </c>
      <c r="D340" t="s">
        <v>208</v>
      </c>
      <c r="E340" t="s">
        <v>30</v>
      </c>
      <c r="F340" t="s">
        <v>31</v>
      </c>
      <c r="G340" t="s">
        <v>21</v>
      </c>
      <c r="H340" t="s">
        <v>32</v>
      </c>
      <c r="I340" t="s">
        <v>84</v>
      </c>
      <c r="J340" t="s">
        <v>85</v>
      </c>
      <c r="K340" s="3">
        <v>184663.5</v>
      </c>
      <c r="L340" s="3">
        <v>147915.12</v>
      </c>
      <c r="M340">
        <v>3</v>
      </c>
      <c r="N340" s="4">
        <v>0</v>
      </c>
      <c r="O340" t="s">
        <v>44</v>
      </c>
      <c r="P340" t="s">
        <v>58</v>
      </c>
    </row>
    <row r="341" spans="1:16">
      <c r="A341" t="s">
        <v>493</v>
      </c>
      <c r="B341" s="2">
        <v>45606</v>
      </c>
      <c r="C341" t="s">
        <v>79</v>
      </c>
      <c r="D341" t="s">
        <v>80</v>
      </c>
      <c r="E341" t="s">
        <v>106</v>
      </c>
      <c r="F341" t="s">
        <v>107</v>
      </c>
      <c r="G341" t="s">
        <v>40</v>
      </c>
      <c r="H341" t="s">
        <v>108</v>
      </c>
      <c r="I341" t="s">
        <v>53</v>
      </c>
      <c r="J341" t="s">
        <v>102</v>
      </c>
      <c r="K341" s="3">
        <v>2518.42</v>
      </c>
      <c r="L341" s="3">
        <v>658.73</v>
      </c>
      <c r="M341">
        <v>1</v>
      </c>
      <c r="N341" s="4">
        <v>0.15</v>
      </c>
      <c r="O341" t="s">
        <v>136</v>
      </c>
      <c r="P341" t="s">
        <v>58</v>
      </c>
    </row>
    <row r="342" spans="1:16">
      <c r="A342" t="s">
        <v>494</v>
      </c>
      <c r="B342" s="2">
        <v>45336</v>
      </c>
      <c r="C342" t="s">
        <v>47</v>
      </c>
      <c r="D342" t="s">
        <v>48</v>
      </c>
      <c r="E342" t="s">
        <v>175</v>
      </c>
      <c r="F342" t="s">
        <v>176</v>
      </c>
      <c r="G342" t="s">
        <v>51</v>
      </c>
      <c r="H342" t="s">
        <v>177</v>
      </c>
      <c r="I342" t="s">
        <v>23</v>
      </c>
      <c r="J342" t="s">
        <v>33</v>
      </c>
      <c r="K342" s="3">
        <v>45428.78</v>
      </c>
      <c r="L342" s="3">
        <v>34542.639999999999</v>
      </c>
      <c r="M342">
        <v>2</v>
      </c>
      <c r="N342" s="4">
        <v>0.1</v>
      </c>
      <c r="O342" t="s">
        <v>136</v>
      </c>
      <c r="P342" t="s">
        <v>58</v>
      </c>
    </row>
    <row r="343" spans="1:16">
      <c r="A343" t="s">
        <v>495</v>
      </c>
      <c r="B343" s="2">
        <v>45428</v>
      </c>
      <c r="C343" t="s">
        <v>147</v>
      </c>
      <c r="D343" t="s">
        <v>148</v>
      </c>
      <c r="E343" t="s">
        <v>19</v>
      </c>
      <c r="F343" t="s">
        <v>20</v>
      </c>
      <c r="G343" t="s">
        <v>21</v>
      </c>
      <c r="H343" t="s">
        <v>22</v>
      </c>
      <c r="I343" t="s">
        <v>56</v>
      </c>
      <c r="J343" t="s">
        <v>57</v>
      </c>
      <c r="K343" s="3">
        <v>22312.53</v>
      </c>
      <c r="L343" s="3">
        <v>10979.6</v>
      </c>
      <c r="M343">
        <v>4</v>
      </c>
      <c r="N343" s="4">
        <v>0.15</v>
      </c>
      <c r="O343" t="s">
        <v>76</v>
      </c>
      <c r="P343" t="s">
        <v>58</v>
      </c>
    </row>
    <row r="344" spans="1:16">
      <c r="A344" t="s">
        <v>496</v>
      </c>
      <c r="B344" s="2">
        <v>45614</v>
      </c>
      <c r="C344" t="s">
        <v>265</v>
      </c>
      <c r="D344" t="s">
        <v>266</v>
      </c>
      <c r="E344" t="s">
        <v>175</v>
      </c>
      <c r="F344" t="s">
        <v>176</v>
      </c>
      <c r="G344" t="s">
        <v>51</v>
      </c>
      <c r="H344" t="s">
        <v>177</v>
      </c>
      <c r="I344" t="s">
        <v>53</v>
      </c>
      <c r="J344" t="s">
        <v>102</v>
      </c>
      <c r="K344" s="3">
        <v>101785.57</v>
      </c>
      <c r="L344" s="3">
        <v>66569.279999999999</v>
      </c>
      <c r="M344">
        <v>4</v>
      </c>
      <c r="N344" s="4">
        <v>0.1</v>
      </c>
      <c r="O344" t="s">
        <v>136</v>
      </c>
      <c r="P344" t="s">
        <v>45</v>
      </c>
    </row>
    <row r="345" spans="1:16">
      <c r="A345" t="s">
        <v>497</v>
      </c>
      <c r="B345" s="2">
        <v>45431</v>
      </c>
      <c r="C345" t="s">
        <v>36</v>
      </c>
      <c r="D345" t="s">
        <v>37</v>
      </c>
      <c r="E345" t="s">
        <v>62</v>
      </c>
      <c r="F345" t="s">
        <v>63</v>
      </c>
      <c r="G345" t="s">
        <v>21</v>
      </c>
      <c r="H345" t="s">
        <v>64</v>
      </c>
      <c r="I345" t="s">
        <v>84</v>
      </c>
      <c r="J345" t="s">
        <v>85</v>
      </c>
      <c r="K345" s="3">
        <v>10581.52</v>
      </c>
      <c r="L345" s="3">
        <v>8296.15</v>
      </c>
      <c r="M345">
        <v>5</v>
      </c>
      <c r="N345" s="4">
        <v>0.15</v>
      </c>
      <c r="O345" t="s">
        <v>136</v>
      </c>
      <c r="P345" t="s">
        <v>77</v>
      </c>
    </row>
    <row r="346" spans="1:16">
      <c r="A346" t="s">
        <v>498</v>
      </c>
      <c r="B346" s="2">
        <v>45658</v>
      </c>
      <c r="C346" t="s">
        <v>207</v>
      </c>
      <c r="D346" t="s">
        <v>208</v>
      </c>
      <c r="E346" t="s">
        <v>19</v>
      </c>
      <c r="F346" t="s">
        <v>20</v>
      </c>
      <c r="G346" t="s">
        <v>21</v>
      </c>
      <c r="H346" t="s">
        <v>22</v>
      </c>
      <c r="I346" t="s">
        <v>56</v>
      </c>
      <c r="J346" t="s">
        <v>57</v>
      </c>
      <c r="K346" s="3">
        <v>11946.54</v>
      </c>
      <c r="L346" s="3">
        <v>5942.3</v>
      </c>
      <c r="M346">
        <v>2</v>
      </c>
      <c r="N346" s="4">
        <v>0</v>
      </c>
      <c r="O346" t="s">
        <v>25</v>
      </c>
      <c r="P346" t="s">
        <v>58</v>
      </c>
    </row>
    <row r="347" spans="1:16">
      <c r="A347" t="s">
        <v>499</v>
      </c>
      <c r="B347" s="2">
        <v>46013</v>
      </c>
      <c r="C347" t="s">
        <v>130</v>
      </c>
      <c r="D347" t="s">
        <v>131</v>
      </c>
      <c r="E347" t="s">
        <v>123</v>
      </c>
      <c r="F347" t="s">
        <v>124</v>
      </c>
      <c r="G347" t="s">
        <v>51</v>
      </c>
      <c r="H347" t="s">
        <v>125</v>
      </c>
      <c r="I347" t="s">
        <v>53</v>
      </c>
      <c r="J347" t="s">
        <v>102</v>
      </c>
      <c r="K347" s="3">
        <v>157828.04999999999</v>
      </c>
      <c r="L347" s="3">
        <v>81725.95</v>
      </c>
      <c r="M347">
        <v>5</v>
      </c>
      <c r="N347" s="4">
        <v>0.1</v>
      </c>
      <c r="O347" t="s">
        <v>76</v>
      </c>
      <c r="P347" t="s">
        <v>58</v>
      </c>
    </row>
    <row r="348" spans="1:16">
      <c r="A348" t="s">
        <v>500</v>
      </c>
      <c r="B348" s="2">
        <v>45697</v>
      </c>
      <c r="C348" t="s">
        <v>60</v>
      </c>
      <c r="D348" t="s">
        <v>61</v>
      </c>
      <c r="E348" t="s">
        <v>72</v>
      </c>
      <c r="F348" t="s">
        <v>73</v>
      </c>
      <c r="G348" t="s">
        <v>51</v>
      </c>
      <c r="H348" t="s">
        <v>74</v>
      </c>
      <c r="I348" t="s">
        <v>84</v>
      </c>
      <c r="J348" t="s">
        <v>134</v>
      </c>
      <c r="K348" s="3">
        <v>29115.599999999999</v>
      </c>
      <c r="L348" s="3">
        <v>18195.8</v>
      </c>
      <c r="M348">
        <v>5</v>
      </c>
      <c r="N348" s="4">
        <v>0.05</v>
      </c>
      <c r="O348" t="s">
        <v>25</v>
      </c>
      <c r="P348" t="s">
        <v>26</v>
      </c>
    </row>
    <row r="349" spans="1:16">
      <c r="A349" t="s">
        <v>501</v>
      </c>
      <c r="B349" s="2">
        <v>45855</v>
      </c>
      <c r="C349" t="s">
        <v>170</v>
      </c>
      <c r="D349" t="s">
        <v>171</v>
      </c>
      <c r="E349" t="s">
        <v>187</v>
      </c>
      <c r="F349" t="s">
        <v>188</v>
      </c>
      <c r="G349" t="s">
        <v>89</v>
      </c>
      <c r="H349" t="s">
        <v>189</v>
      </c>
      <c r="I349" t="s">
        <v>42</v>
      </c>
      <c r="J349" t="s">
        <v>162</v>
      </c>
      <c r="K349" s="3">
        <v>13028.4</v>
      </c>
      <c r="L349" s="3">
        <v>10108.4</v>
      </c>
      <c r="M349">
        <v>2</v>
      </c>
      <c r="N349" s="4">
        <v>0.05</v>
      </c>
      <c r="O349" t="s">
        <v>25</v>
      </c>
      <c r="P349" t="s">
        <v>58</v>
      </c>
    </row>
    <row r="350" spans="1:16">
      <c r="A350" t="s">
        <v>502</v>
      </c>
      <c r="B350" s="2">
        <v>45494</v>
      </c>
      <c r="C350" t="s">
        <v>28</v>
      </c>
      <c r="D350" t="s">
        <v>29</v>
      </c>
      <c r="E350" t="s">
        <v>72</v>
      </c>
      <c r="F350" t="s">
        <v>73</v>
      </c>
      <c r="G350" t="s">
        <v>51</v>
      </c>
      <c r="H350" t="s">
        <v>74</v>
      </c>
      <c r="I350" t="s">
        <v>23</v>
      </c>
      <c r="J350" t="s">
        <v>75</v>
      </c>
      <c r="K350" s="3">
        <v>31836.959999999999</v>
      </c>
      <c r="L350" s="3">
        <v>15591.16</v>
      </c>
      <c r="M350">
        <v>4</v>
      </c>
      <c r="N350" s="4">
        <v>0</v>
      </c>
      <c r="O350" t="s">
        <v>34</v>
      </c>
      <c r="P350" t="s">
        <v>45</v>
      </c>
    </row>
    <row r="351" spans="1:16">
      <c r="A351" t="s">
        <v>503</v>
      </c>
      <c r="B351" s="2">
        <v>45494</v>
      </c>
      <c r="C351" t="s">
        <v>100</v>
      </c>
      <c r="D351" t="s">
        <v>101</v>
      </c>
      <c r="E351" t="s">
        <v>30</v>
      </c>
      <c r="F351" t="s">
        <v>31</v>
      </c>
      <c r="G351" t="s">
        <v>21</v>
      </c>
      <c r="H351" t="s">
        <v>32</v>
      </c>
      <c r="I351" t="s">
        <v>23</v>
      </c>
      <c r="J351" t="s">
        <v>33</v>
      </c>
      <c r="K351" s="3">
        <v>197257.82</v>
      </c>
      <c r="L351" s="3">
        <v>203877.08</v>
      </c>
      <c r="M351">
        <v>4</v>
      </c>
      <c r="N351" s="4">
        <v>0.1</v>
      </c>
      <c r="O351" t="s">
        <v>25</v>
      </c>
      <c r="P351" t="s">
        <v>58</v>
      </c>
    </row>
    <row r="352" spans="1:16">
      <c r="A352" t="s">
        <v>504</v>
      </c>
      <c r="B352" s="2">
        <v>45879</v>
      </c>
      <c r="C352" t="s">
        <v>170</v>
      </c>
      <c r="D352" t="s">
        <v>171</v>
      </c>
      <c r="E352" t="s">
        <v>81</v>
      </c>
      <c r="F352" t="s">
        <v>82</v>
      </c>
      <c r="G352" t="s">
        <v>21</v>
      </c>
      <c r="H352" t="s">
        <v>83</v>
      </c>
      <c r="I352" t="s">
        <v>23</v>
      </c>
      <c r="J352" t="s">
        <v>75</v>
      </c>
      <c r="K352" s="3">
        <v>104087.12</v>
      </c>
      <c r="L352" s="3">
        <v>76632.28</v>
      </c>
      <c r="M352">
        <v>4</v>
      </c>
      <c r="N352" s="4">
        <v>0</v>
      </c>
      <c r="O352" t="s">
        <v>136</v>
      </c>
      <c r="P352" t="s">
        <v>26</v>
      </c>
    </row>
    <row r="353" spans="1:16">
      <c r="A353" t="s">
        <v>505</v>
      </c>
      <c r="B353" s="2">
        <v>45483</v>
      </c>
      <c r="C353" t="s">
        <v>200</v>
      </c>
      <c r="D353" t="s">
        <v>201</v>
      </c>
      <c r="E353" t="s">
        <v>172</v>
      </c>
      <c r="F353" t="s">
        <v>173</v>
      </c>
      <c r="G353" t="s">
        <v>40</v>
      </c>
      <c r="H353" t="s">
        <v>41</v>
      </c>
      <c r="I353" t="s">
        <v>84</v>
      </c>
      <c r="J353" t="s">
        <v>85</v>
      </c>
      <c r="K353" s="3">
        <v>10953.6</v>
      </c>
      <c r="L353" s="3">
        <v>2581.11</v>
      </c>
      <c r="M353">
        <v>3</v>
      </c>
      <c r="N353" s="4">
        <v>0</v>
      </c>
      <c r="O353" t="s">
        <v>34</v>
      </c>
      <c r="P353" t="s">
        <v>58</v>
      </c>
    </row>
    <row r="354" spans="1:16">
      <c r="A354" t="s">
        <v>506</v>
      </c>
      <c r="B354" s="2">
        <v>45713</v>
      </c>
      <c r="C354" t="s">
        <v>17</v>
      </c>
      <c r="D354" t="s">
        <v>18</v>
      </c>
      <c r="E354" t="s">
        <v>123</v>
      </c>
      <c r="F354" t="s">
        <v>124</v>
      </c>
      <c r="G354" t="s">
        <v>51</v>
      </c>
      <c r="H354" t="s">
        <v>125</v>
      </c>
      <c r="I354" t="s">
        <v>56</v>
      </c>
      <c r="J354" t="s">
        <v>191</v>
      </c>
      <c r="K354" s="3">
        <v>92331.04</v>
      </c>
      <c r="L354" s="3">
        <v>89622.55</v>
      </c>
      <c r="M354">
        <v>5</v>
      </c>
      <c r="N354" s="4">
        <v>0.15</v>
      </c>
      <c r="O354" t="s">
        <v>76</v>
      </c>
      <c r="P354" t="s">
        <v>26</v>
      </c>
    </row>
    <row r="355" spans="1:16">
      <c r="A355" t="s">
        <v>507</v>
      </c>
      <c r="B355" s="2">
        <v>45937</v>
      </c>
      <c r="C355" t="s">
        <v>144</v>
      </c>
      <c r="D355" t="s">
        <v>145</v>
      </c>
      <c r="E355" t="s">
        <v>182</v>
      </c>
      <c r="F355" t="s">
        <v>183</v>
      </c>
      <c r="G355" t="s">
        <v>89</v>
      </c>
      <c r="H355" t="s">
        <v>90</v>
      </c>
      <c r="I355" t="s">
        <v>84</v>
      </c>
      <c r="J355" t="s">
        <v>85</v>
      </c>
      <c r="K355" s="3">
        <v>62652.87</v>
      </c>
      <c r="L355" s="3">
        <v>31769.1</v>
      </c>
      <c r="M355">
        <v>5</v>
      </c>
      <c r="N355" s="4">
        <v>0.1</v>
      </c>
      <c r="O355" t="s">
        <v>136</v>
      </c>
      <c r="P355" t="s">
        <v>98</v>
      </c>
    </row>
    <row r="356" spans="1:16">
      <c r="A356" t="s">
        <v>508</v>
      </c>
      <c r="B356" s="2">
        <v>45621</v>
      </c>
      <c r="C356" t="s">
        <v>158</v>
      </c>
      <c r="D356" t="s">
        <v>159</v>
      </c>
      <c r="E356" t="s">
        <v>95</v>
      </c>
      <c r="F356" t="s">
        <v>96</v>
      </c>
      <c r="G356" t="s">
        <v>89</v>
      </c>
      <c r="H356" t="s">
        <v>97</v>
      </c>
      <c r="I356" t="s">
        <v>56</v>
      </c>
      <c r="J356" t="s">
        <v>57</v>
      </c>
      <c r="K356" s="3">
        <v>12967.68</v>
      </c>
      <c r="L356" s="3">
        <v>13357.2</v>
      </c>
      <c r="M356">
        <v>4</v>
      </c>
      <c r="N356" s="4">
        <v>0.2</v>
      </c>
      <c r="O356" t="s">
        <v>76</v>
      </c>
      <c r="P356" t="s">
        <v>58</v>
      </c>
    </row>
    <row r="357" spans="1:16">
      <c r="A357" t="s">
        <v>509</v>
      </c>
      <c r="B357" s="2">
        <v>45775</v>
      </c>
      <c r="C357" t="s">
        <v>79</v>
      </c>
      <c r="D357" t="s">
        <v>80</v>
      </c>
      <c r="E357" t="s">
        <v>175</v>
      </c>
      <c r="F357" t="s">
        <v>176</v>
      </c>
      <c r="G357" t="s">
        <v>51</v>
      </c>
      <c r="H357" t="s">
        <v>177</v>
      </c>
      <c r="I357" t="s">
        <v>23</v>
      </c>
      <c r="J357" t="s">
        <v>24</v>
      </c>
      <c r="K357" s="3">
        <v>124177.16</v>
      </c>
      <c r="L357" s="3">
        <v>77718.95</v>
      </c>
      <c r="M357">
        <v>5</v>
      </c>
      <c r="N357" s="4">
        <v>0.05</v>
      </c>
      <c r="O357" t="s">
        <v>76</v>
      </c>
      <c r="P357" t="s">
        <v>58</v>
      </c>
    </row>
    <row r="358" spans="1:16">
      <c r="A358" t="s">
        <v>510</v>
      </c>
      <c r="B358" s="2">
        <v>45838</v>
      </c>
      <c r="C358" t="s">
        <v>36</v>
      </c>
      <c r="D358" t="s">
        <v>37</v>
      </c>
      <c r="E358" t="s">
        <v>72</v>
      </c>
      <c r="F358" t="s">
        <v>73</v>
      </c>
      <c r="G358" t="s">
        <v>51</v>
      </c>
      <c r="H358" t="s">
        <v>74</v>
      </c>
      <c r="I358" t="s">
        <v>84</v>
      </c>
      <c r="J358" t="s">
        <v>142</v>
      </c>
      <c r="K358" s="3">
        <v>7769.5</v>
      </c>
      <c r="L358" s="3">
        <v>4211.24</v>
      </c>
      <c r="M358">
        <v>1</v>
      </c>
      <c r="N358" s="4">
        <v>0.2</v>
      </c>
      <c r="O358" t="s">
        <v>136</v>
      </c>
      <c r="P358" t="s">
        <v>77</v>
      </c>
    </row>
    <row r="359" spans="1:16">
      <c r="A359" t="s">
        <v>511</v>
      </c>
      <c r="B359" s="2">
        <v>45898</v>
      </c>
      <c r="C359" t="s">
        <v>200</v>
      </c>
      <c r="D359" t="s">
        <v>201</v>
      </c>
      <c r="E359" t="s">
        <v>117</v>
      </c>
      <c r="F359" t="s">
        <v>118</v>
      </c>
      <c r="G359" t="s">
        <v>51</v>
      </c>
      <c r="H359" t="s">
        <v>119</v>
      </c>
      <c r="I359" t="s">
        <v>84</v>
      </c>
      <c r="J359" t="s">
        <v>85</v>
      </c>
      <c r="K359" s="3">
        <v>22074.84</v>
      </c>
      <c r="L359" s="3">
        <v>14326.77</v>
      </c>
      <c r="M359">
        <v>3</v>
      </c>
      <c r="N359" s="4">
        <v>0.2</v>
      </c>
      <c r="O359" t="s">
        <v>25</v>
      </c>
      <c r="P359" t="s">
        <v>77</v>
      </c>
    </row>
    <row r="360" spans="1:16">
      <c r="A360" t="s">
        <v>512</v>
      </c>
      <c r="B360" s="2">
        <v>45868</v>
      </c>
      <c r="C360" t="s">
        <v>147</v>
      </c>
      <c r="D360" t="s">
        <v>148</v>
      </c>
      <c r="E360" t="s">
        <v>95</v>
      </c>
      <c r="F360" t="s">
        <v>96</v>
      </c>
      <c r="G360" t="s">
        <v>89</v>
      </c>
      <c r="H360" t="s">
        <v>97</v>
      </c>
      <c r="I360" t="s">
        <v>23</v>
      </c>
      <c r="J360" t="s">
        <v>75</v>
      </c>
      <c r="K360" s="3">
        <v>13662.63</v>
      </c>
      <c r="L360" s="3">
        <v>7471.38</v>
      </c>
      <c r="M360">
        <v>2</v>
      </c>
      <c r="N360" s="4">
        <v>0.15</v>
      </c>
      <c r="O360" t="s">
        <v>34</v>
      </c>
      <c r="P360" t="s">
        <v>45</v>
      </c>
    </row>
    <row r="361" spans="1:16">
      <c r="A361" t="s">
        <v>513</v>
      </c>
      <c r="B361" s="2">
        <v>45384</v>
      </c>
      <c r="C361" t="s">
        <v>200</v>
      </c>
      <c r="D361" t="s">
        <v>201</v>
      </c>
      <c r="E361" t="s">
        <v>87</v>
      </c>
      <c r="F361" t="s">
        <v>88</v>
      </c>
      <c r="G361" t="s">
        <v>89</v>
      </c>
      <c r="H361" t="s">
        <v>90</v>
      </c>
      <c r="I361" t="s">
        <v>23</v>
      </c>
      <c r="J361" t="s">
        <v>24</v>
      </c>
      <c r="K361" s="3">
        <v>2222.66</v>
      </c>
      <c r="L361" s="3">
        <v>1703.74</v>
      </c>
      <c r="M361">
        <v>1</v>
      </c>
      <c r="N361" s="4">
        <v>0.2</v>
      </c>
      <c r="O361" t="s">
        <v>136</v>
      </c>
      <c r="P361" t="s">
        <v>58</v>
      </c>
    </row>
    <row r="362" spans="1:16">
      <c r="A362" t="s">
        <v>514</v>
      </c>
      <c r="B362" s="2">
        <v>45425</v>
      </c>
      <c r="C362" t="s">
        <v>231</v>
      </c>
      <c r="D362" t="s">
        <v>232</v>
      </c>
      <c r="E362" t="s">
        <v>193</v>
      </c>
      <c r="F362" t="s">
        <v>194</v>
      </c>
      <c r="G362" t="s">
        <v>89</v>
      </c>
      <c r="H362" t="s">
        <v>90</v>
      </c>
      <c r="I362" t="s">
        <v>84</v>
      </c>
      <c r="J362" t="s">
        <v>85</v>
      </c>
      <c r="K362" s="3">
        <v>4596.8599999999997</v>
      </c>
      <c r="L362" s="3">
        <v>1565.07</v>
      </c>
      <c r="M362">
        <v>3</v>
      </c>
      <c r="N362" s="4">
        <v>0.1</v>
      </c>
      <c r="O362" t="s">
        <v>25</v>
      </c>
      <c r="P362" t="s">
        <v>58</v>
      </c>
    </row>
    <row r="363" spans="1:16">
      <c r="A363" t="s">
        <v>515</v>
      </c>
      <c r="B363" s="2">
        <v>45437</v>
      </c>
      <c r="C363" t="s">
        <v>47</v>
      </c>
      <c r="D363" t="s">
        <v>48</v>
      </c>
      <c r="E363" t="s">
        <v>95</v>
      </c>
      <c r="F363" t="s">
        <v>96</v>
      </c>
      <c r="G363" t="s">
        <v>89</v>
      </c>
      <c r="H363" t="s">
        <v>97</v>
      </c>
      <c r="I363" t="s">
        <v>42</v>
      </c>
      <c r="J363" t="s">
        <v>162</v>
      </c>
      <c r="K363" s="3">
        <v>8292.2000000000007</v>
      </c>
      <c r="L363" s="3">
        <v>3742.54</v>
      </c>
      <c r="M363">
        <v>1</v>
      </c>
      <c r="N363" s="4">
        <v>0</v>
      </c>
      <c r="O363" t="s">
        <v>44</v>
      </c>
      <c r="P363" t="s">
        <v>26</v>
      </c>
    </row>
    <row r="364" spans="1:16">
      <c r="A364" t="s">
        <v>516</v>
      </c>
      <c r="B364" s="2">
        <v>45601</v>
      </c>
      <c r="C364" t="s">
        <v>147</v>
      </c>
      <c r="D364" t="s">
        <v>148</v>
      </c>
      <c r="E364" t="s">
        <v>19</v>
      </c>
      <c r="F364" t="s">
        <v>20</v>
      </c>
      <c r="G364" t="s">
        <v>21</v>
      </c>
      <c r="H364" t="s">
        <v>22</v>
      </c>
      <c r="I364" t="s">
        <v>84</v>
      </c>
      <c r="J364" t="s">
        <v>134</v>
      </c>
      <c r="K364" s="3">
        <v>10833.22</v>
      </c>
      <c r="L364" s="3">
        <v>8345.61</v>
      </c>
      <c r="M364">
        <v>3</v>
      </c>
      <c r="N364" s="4">
        <v>0.15</v>
      </c>
      <c r="O364" t="s">
        <v>136</v>
      </c>
      <c r="P364" t="s">
        <v>77</v>
      </c>
    </row>
    <row r="365" spans="1:16">
      <c r="A365" t="s">
        <v>517</v>
      </c>
      <c r="B365" s="2">
        <v>45920</v>
      </c>
      <c r="C365" t="s">
        <v>200</v>
      </c>
      <c r="D365" t="s">
        <v>201</v>
      </c>
      <c r="E365" t="s">
        <v>187</v>
      </c>
      <c r="F365" t="s">
        <v>188</v>
      </c>
      <c r="G365" t="s">
        <v>89</v>
      </c>
      <c r="H365" t="s">
        <v>189</v>
      </c>
      <c r="I365" t="s">
        <v>42</v>
      </c>
      <c r="J365" t="s">
        <v>162</v>
      </c>
      <c r="K365" s="3">
        <v>29037</v>
      </c>
      <c r="L365" s="3">
        <v>15586.68</v>
      </c>
      <c r="M365">
        <v>3</v>
      </c>
      <c r="N365" s="4">
        <v>0.05</v>
      </c>
      <c r="O365" t="s">
        <v>136</v>
      </c>
      <c r="P365" t="s">
        <v>45</v>
      </c>
    </row>
    <row r="366" spans="1:16">
      <c r="A366" t="s">
        <v>518</v>
      </c>
      <c r="B366" s="2">
        <v>45473</v>
      </c>
      <c r="C366" t="s">
        <v>93</v>
      </c>
      <c r="D366" t="s">
        <v>94</v>
      </c>
      <c r="E366" t="s">
        <v>123</v>
      </c>
      <c r="F366" t="s">
        <v>124</v>
      </c>
      <c r="G366" t="s">
        <v>51</v>
      </c>
      <c r="H366" t="s">
        <v>125</v>
      </c>
      <c r="I366" t="s">
        <v>23</v>
      </c>
      <c r="J366" t="s">
        <v>75</v>
      </c>
      <c r="K366" s="3">
        <v>31522.06</v>
      </c>
      <c r="L366" s="3">
        <v>19615.64</v>
      </c>
      <c r="M366">
        <v>1</v>
      </c>
      <c r="N366" s="4">
        <v>0.15</v>
      </c>
      <c r="O366" t="s">
        <v>34</v>
      </c>
      <c r="P366" t="s">
        <v>58</v>
      </c>
    </row>
    <row r="367" spans="1:16">
      <c r="A367" t="s">
        <v>519</v>
      </c>
      <c r="B367" s="2">
        <v>45918</v>
      </c>
      <c r="C367" t="s">
        <v>200</v>
      </c>
      <c r="D367" t="s">
        <v>201</v>
      </c>
      <c r="E367" t="s">
        <v>193</v>
      </c>
      <c r="F367" t="s">
        <v>194</v>
      </c>
      <c r="G367" t="s">
        <v>89</v>
      </c>
      <c r="H367" t="s">
        <v>90</v>
      </c>
      <c r="I367" t="s">
        <v>84</v>
      </c>
      <c r="J367" t="s">
        <v>134</v>
      </c>
      <c r="K367" s="3">
        <v>1232.3800000000001</v>
      </c>
      <c r="L367" s="3">
        <v>1027.92</v>
      </c>
      <c r="M367">
        <v>2</v>
      </c>
      <c r="N367" s="4">
        <v>0.15</v>
      </c>
      <c r="O367" t="s">
        <v>76</v>
      </c>
      <c r="P367" t="s">
        <v>77</v>
      </c>
    </row>
    <row r="368" spans="1:16">
      <c r="A368" t="s">
        <v>520</v>
      </c>
      <c r="B368" s="2">
        <v>45647</v>
      </c>
      <c r="C368" t="s">
        <v>93</v>
      </c>
      <c r="D368" t="s">
        <v>94</v>
      </c>
      <c r="E368" t="s">
        <v>62</v>
      </c>
      <c r="F368" t="s">
        <v>63</v>
      </c>
      <c r="G368" t="s">
        <v>21</v>
      </c>
      <c r="H368" t="s">
        <v>64</v>
      </c>
      <c r="I368" t="s">
        <v>84</v>
      </c>
      <c r="J368" t="s">
        <v>85</v>
      </c>
      <c r="K368" s="3">
        <v>17957.34</v>
      </c>
      <c r="L368" s="3">
        <v>5041.32</v>
      </c>
      <c r="M368">
        <v>3</v>
      </c>
      <c r="N368" s="4">
        <v>0</v>
      </c>
      <c r="O368" t="s">
        <v>44</v>
      </c>
      <c r="P368" t="s">
        <v>98</v>
      </c>
    </row>
    <row r="369" spans="1:16">
      <c r="A369" t="s">
        <v>521</v>
      </c>
      <c r="B369" s="2">
        <v>45547</v>
      </c>
      <c r="C369" t="s">
        <v>140</v>
      </c>
      <c r="D369" t="s">
        <v>141</v>
      </c>
      <c r="E369" t="s">
        <v>175</v>
      </c>
      <c r="F369" t="s">
        <v>176</v>
      </c>
      <c r="G369" t="s">
        <v>51</v>
      </c>
      <c r="H369" t="s">
        <v>177</v>
      </c>
      <c r="I369" t="s">
        <v>84</v>
      </c>
      <c r="J369" t="s">
        <v>85</v>
      </c>
      <c r="K369" s="3">
        <v>29001.24</v>
      </c>
      <c r="L369" s="3">
        <v>15521.54</v>
      </c>
      <c r="M369">
        <v>1</v>
      </c>
      <c r="N369" s="4">
        <v>0</v>
      </c>
      <c r="O369" t="s">
        <v>25</v>
      </c>
      <c r="P369" t="s">
        <v>26</v>
      </c>
    </row>
    <row r="370" spans="1:16">
      <c r="A370" t="s">
        <v>522</v>
      </c>
      <c r="B370" s="2">
        <v>45715</v>
      </c>
      <c r="C370" t="s">
        <v>170</v>
      </c>
      <c r="D370" t="s">
        <v>171</v>
      </c>
      <c r="E370" t="s">
        <v>132</v>
      </c>
      <c r="F370" t="s">
        <v>133</v>
      </c>
      <c r="G370" t="s">
        <v>40</v>
      </c>
      <c r="H370" t="s">
        <v>41</v>
      </c>
      <c r="I370" t="s">
        <v>23</v>
      </c>
      <c r="J370" t="s">
        <v>75</v>
      </c>
      <c r="K370" s="3">
        <v>2205.0700000000002</v>
      </c>
      <c r="L370" s="3">
        <v>1076.3599999999999</v>
      </c>
      <c r="M370">
        <v>4</v>
      </c>
      <c r="N370" s="4">
        <v>0.15</v>
      </c>
      <c r="O370" t="s">
        <v>25</v>
      </c>
      <c r="P370" t="s">
        <v>98</v>
      </c>
    </row>
    <row r="371" spans="1:16">
      <c r="A371" t="s">
        <v>523</v>
      </c>
      <c r="B371" s="2">
        <v>45754</v>
      </c>
      <c r="C371" t="s">
        <v>147</v>
      </c>
      <c r="D371" t="s">
        <v>148</v>
      </c>
      <c r="E371" t="s">
        <v>72</v>
      </c>
      <c r="F371" t="s">
        <v>73</v>
      </c>
      <c r="G371" t="s">
        <v>51</v>
      </c>
      <c r="H371" t="s">
        <v>74</v>
      </c>
      <c r="I371" t="s">
        <v>23</v>
      </c>
      <c r="J371" t="s">
        <v>75</v>
      </c>
      <c r="K371" s="3">
        <v>4664.4399999999996</v>
      </c>
      <c r="L371" s="3">
        <v>4239.3599999999997</v>
      </c>
      <c r="M371">
        <v>1</v>
      </c>
      <c r="N371" s="4">
        <v>0</v>
      </c>
      <c r="O371" t="s">
        <v>44</v>
      </c>
      <c r="P371" t="s">
        <v>45</v>
      </c>
    </row>
    <row r="372" spans="1:16">
      <c r="A372" t="s">
        <v>524</v>
      </c>
      <c r="B372" s="2">
        <v>45466</v>
      </c>
      <c r="C372" t="s">
        <v>179</v>
      </c>
      <c r="D372" t="s">
        <v>180</v>
      </c>
      <c r="E372" t="s">
        <v>62</v>
      </c>
      <c r="F372" t="s">
        <v>63</v>
      </c>
      <c r="G372" t="s">
        <v>21</v>
      </c>
      <c r="H372" t="s">
        <v>64</v>
      </c>
      <c r="I372" t="s">
        <v>84</v>
      </c>
      <c r="J372" t="s">
        <v>134</v>
      </c>
      <c r="K372" s="3">
        <v>9409.24</v>
      </c>
      <c r="L372" s="3">
        <v>6711.72</v>
      </c>
      <c r="M372">
        <v>4</v>
      </c>
      <c r="N372" s="4">
        <v>0</v>
      </c>
      <c r="O372" t="s">
        <v>44</v>
      </c>
      <c r="P372" t="s">
        <v>98</v>
      </c>
    </row>
    <row r="373" spans="1:16">
      <c r="A373" t="s">
        <v>525</v>
      </c>
      <c r="B373" s="2">
        <v>45961</v>
      </c>
      <c r="C373" t="s">
        <v>60</v>
      </c>
      <c r="D373" t="s">
        <v>61</v>
      </c>
      <c r="E373" t="s">
        <v>30</v>
      </c>
      <c r="F373" t="s">
        <v>31</v>
      </c>
      <c r="G373" t="s">
        <v>21</v>
      </c>
      <c r="H373" t="s">
        <v>32</v>
      </c>
      <c r="I373" t="s">
        <v>56</v>
      </c>
      <c r="J373" t="s">
        <v>91</v>
      </c>
      <c r="K373" s="3">
        <v>117280.82</v>
      </c>
      <c r="L373" s="3">
        <v>98060.5</v>
      </c>
      <c r="M373">
        <v>2</v>
      </c>
      <c r="N373" s="4">
        <v>0</v>
      </c>
      <c r="O373" t="s">
        <v>25</v>
      </c>
      <c r="P373" t="s">
        <v>77</v>
      </c>
    </row>
    <row r="374" spans="1:16">
      <c r="A374" t="s">
        <v>526</v>
      </c>
      <c r="B374" s="2">
        <v>46005</v>
      </c>
      <c r="C374" t="s">
        <v>144</v>
      </c>
      <c r="D374" t="s">
        <v>145</v>
      </c>
      <c r="E374" t="s">
        <v>49</v>
      </c>
      <c r="F374" t="s">
        <v>50</v>
      </c>
      <c r="G374" t="s">
        <v>51</v>
      </c>
      <c r="H374" t="s">
        <v>52</v>
      </c>
      <c r="I374" t="s">
        <v>56</v>
      </c>
      <c r="J374" t="s">
        <v>91</v>
      </c>
      <c r="K374" s="3">
        <v>68654.429999999993</v>
      </c>
      <c r="L374" s="3">
        <v>36554.25</v>
      </c>
      <c r="M374">
        <v>5</v>
      </c>
      <c r="N374" s="4">
        <v>0.1</v>
      </c>
      <c r="O374" t="s">
        <v>44</v>
      </c>
      <c r="P374" t="s">
        <v>45</v>
      </c>
    </row>
    <row r="375" spans="1:16">
      <c r="A375" t="s">
        <v>527</v>
      </c>
      <c r="B375" s="2">
        <v>45694</v>
      </c>
      <c r="C375" t="s">
        <v>36</v>
      </c>
      <c r="D375" t="s">
        <v>37</v>
      </c>
      <c r="E375" t="s">
        <v>19</v>
      </c>
      <c r="F375" t="s">
        <v>20</v>
      </c>
      <c r="G375" t="s">
        <v>21</v>
      </c>
      <c r="H375" t="s">
        <v>22</v>
      </c>
      <c r="I375" t="s">
        <v>23</v>
      </c>
      <c r="J375" t="s">
        <v>24</v>
      </c>
      <c r="K375" s="3">
        <v>30644.75</v>
      </c>
      <c r="L375" s="3">
        <v>15149</v>
      </c>
      <c r="M375">
        <v>5</v>
      </c>
      <c r="N375" s="4">
        <v>0</v>
      </c>
      <c r="O375" t="s">
        <v>44</v>
      </c>
      <c r="P375" t="s">
        <v>58</v>
      </c>
    </row>
    <row r="376" spans="1:16">
      <c r="A376" t="s">
        <v>528</v>
      </c>
      <c r="B376" s="2">
        <v>45969</v>
      </c>
      <c r="C376" t="s">
        <v>207</v>
      </c>
      <c r="D376" t="s">
        <v>208</v>
      </c>
      <c r="E376" t="s">
        <v>62</v>
      </c>
      <c r="F376" t="s">
        <v>63</v>
      </c>
      <c r="G376" t="s">
        <v>21</v>
      </c>
      <c r="H376" t="s">
        <v>64</v>
      </c>
      <c r="I376" t="s">
        <v>84</v>
      </c>
      <c r="J376" t="s">
        <v>142</v>
      </c>
      <c r="K376" s="3">
        <v>11641.73</v>
      </c>
      <c r="L376" s="3">
        <v>8964.6</v>
      </c>
      <c r="M376">
        <v>5</v>
      </c>
      <c r="N376" s="4">
        <v>0.05</v>
      </c>
      <c r="O376" t="s">
        <v>76</v>
      </c>
      <c r="P376" t="s">
        <v>45</v>
      </c>
    </row>
    <row r="377" spans="1:16">
      <c r="A377" t="s">
        <v>529</v>
      </c>
      <c r="B377" s="2">
        <v>45410</v>
      </c>
      <c r="C377" t="s">
        <v>100</v>
      </c>
      <c r="D377" t="s">
        <v>101</v>
      </c>
      <c r="E377" t="s">
        <v>87</v>
      </c>
      <c r="F377" t="s">
        <v>88</v>
      </c>
      <c r="G377" t="s">
        <v>89</v>
      </c>
      <c r="H377" t="s">
        <v>90</v>
      </c>
      <c r="I377" t="s">
        <v>53</v>
      </c>
      <c r="J377" t="s">
        <v>102</v>
      </c>
      <c r="K377" s="3">
        <v>9873.2800000000007</v>
      </c>
      <c r="L377" s="3">
        <v>5707.68</v>
      </c>
      <c r="M377">
        <v>3</v>
      </c>
      <c r="N377" s="4">
        <v>0.1</v>
      </c>
      <c r="O377" t="s">
        <v>25</v>
      </c>
      <c r="P377" t="s">
        <v>26</v>
      </c>
    </row>
    <row r="378" spans="1:16">
      <c r="A378" t="s">
        <v>530</v>
      </c>
      <c r="B378" s="2">
        <v>45670</v>
      </c>
      <c r="C378" t="s">
        <v>200</v>
      </c>
      <c r="D378" t="s">
        <v>201</v>
      </c>
      <c r="E378" t="s">
        <v>172</v>
      </c>
      <c r="F378" t="s">
        <v>173</v>
      </c>
      <c r="G378" t="s">
        <v>40</v>
      </c>
      <c r="H378" t="s">
        <v>41</v>
      </c>
      <c r="I378" t="s">
        <v>56</v>
      </c>
      <c r="J378" t="s">
        <v>91</v>
      </c>
      <c r="K378" s="3">
        <v>3052.83</v>
      </c>
      <c r="L378" s="3">
        <v>1780.48</v>
      </c>
      <c r="M378">
        <v>2</v>
      </c>
      <c r="N378" s="4">
        <v>0.15</v>
      </c>
      <c r="O378" t="s">
        <v>44</v>
      </c>
      <c r="P378" t="s">
        <v>58</v>
      </c>
    </row>
    <row r="379" spans="1:16">
      <c r="A379" t="s">
        <v>531</v>
      </c>
      <c r="B379" s="2">
        <v>45446</v>
      </c>
      <c r="C379" t="s">
        <v>66</v>
      </c>
      <c r="D379" t="s">
        <v>67</v>
      </c>
      <c r="E379" t="s">
        <v>95</v>
      </c>
      <c r="F379" t="s">
        <v>96</v>
      </c>
      <c r="G379" t="s">
        <v>89</v>
      </c>
      <c r="H379" t="s">
        <v>97</v>
      </c>
      <c r="I379" t="s">
        <v>23</v>
      </c>
      <c r="J379" t="s">
        <v>24</v>
      </c>
      <c r="K379" s="3">
        <v>4533.17</v>
      </c>
      <c r="L379" s="3">
        <v>3210</v>
      </c>
      <c r="M379">
        <v>1</v>
      </c>
      <c r="N379" s="4">
        <v>0.2</v>
      </c>
      <c r="O379" t="s">
        <v>136</v>
      </c>
      <c r="P379" t="s">
        <v>58</v>
      </c>
    </row>
    <row r="380" spans="1:16">
      <c r="A380" t="s">
        <v>532</v>
      </c>
      <c r="B380" s="2">
        <v>45688</v>
      </c>
      <c r="C380" t="s">
        <v>70</v>
      </c>
      <c r="D380" t="s">
        <v>71</v>
      </c>
      <c r="E380" t="s">
        <v>81</v>
      </c>
      <c r="F380" t="s">
        <v>82</v>
      </c>
      <c r="G380" t="s">
        <v>21</v>
      </c>
      <c r="H380" t="s">
        <v>83</v>
      </c>
      <c r="I380" t="s">
        <v>53</v>
      </c>
      <c r="J380" t="s">
        <v>102</v>
      </c>
      <c r="K380" s="3">
        <v>119454.88</v>
      </c>
      <c r="L380" s="3">
        <v>88535.4</v>
      </c>
      <c r="M380">
        <v>5</v>
      </c>
      <c r="N380" s="4">
        <v>0.15</v>
      </c>
      <c r="O380" t="s">
        <v>34</v>
      </c>
      <c r="P380" t="s">
        <v>58</v>
      </c>
    </row>
    <row r="381" spans="1:16">
      <c r="A381" t="s">
        <v>533</v>
      </c>
      <c r="B381" s="2">
        <v>45696</v>
      </c>
      <c r="C381" t="s">
        <v>197</v>
      </c>
      <c r="D381" t="s">
        <v>198</v>
      </c>
      <c r="E381" t="s">
        <v>123</v>
      </c>
      <c r="F381" t="s">
        <v>124</v>
      </c>
      <c r="G381" t="s">
        <v>51</v>
      </c>
      <c r="H381" t="s">
        <v>125</v>
      </c>
      <c r="I381" t="s">
        <v>23</v>
      </c>
      <c r="J381" t="s">
        <v>33</v>
      </c>
      <c r="K381" s="3">
        <v>28979.3</v>
      </c>
      <c r="L381" s="3">
        <v>18007.57</v>
      </c>
      <c r="M381">
        <v>1</v>
      </c>
      <c r="N381" s="4">
        <v>0.2</v>
      </c>
      <c r="O381" t="s">
        <v>34</v>
      </c>
      <c r="P381" t="s">
        <v>58</v>
      </c>
    </row>
    <row r="382" spans="1:16">
      <c r="A382" t="s">
        <v>534</v>
      </c>
      <c r="B382" s="2">
        <v>45463</v>
      </c>
      <c r="C382" t="s">
        <v>179</v>
      </c>
      <c r="D382" t="s">
        <v>180</v>
      </c>
      <c r="E382" t="s">
        <v>38</v>
      </c>
      <c r="F382" t="s">
        <v>39</v>
      </c>
      <c r="G382" t="s">
        <v>40</v>
      </c>
      <c r="H382" t="s">
        <v>41</v>
      </c>
      <c r="I382" t="s">
        <v>23</v>
      </c>
      <c r="J382" t="s">
        <v>75</v>
      </c>
      <c r="K382" s="3">
        <v>1363.23</v>
      </c>
      <c r="L382" s="3">
        <v>1061.7</v>
      </c>
      <c r="M382">
        <v>2</v>
      </c>
      <c r="N382" s="4">
        <v>0.15</v>
      </c>
      <c r="O382" t="s">
        <v>25</v>
      </c>
      <c r="P382" t="s">
        <v>26</v>
      </c>
    </row>
    <row r="383" spans="1:16">
      <c r="A383" t="s">
        <v>535</v>
      </c>
      <c r="B383" s="2">
        <v>45901</v>
      </c>
      <c r="C383" t="s">
        <v>144</v>
      </c>
      <c r="D383" t="s">
        <v>145</v>
      </c>
      <c r="E383" t="s">
        <v>152</v>
      </c>
      <c r="F383" t="s">
        <v>153</v>
      </c>
      <c r="G383" t="s">
        <v>21</v>
      </c>
      <c r="H383" t="s">
        <v>32</v>
      </c>
      <c r="I383" t="s">
        <v>53</v>
      </c>
      <c r="J383" t="s">
        <v>102</v>
      </c>
      <c r="K383" s="3">
        <v>42236.43</v>
      </c>
      <c r="L383" s="3">
        <v>23134.799999999999</v>
      </c>
      <c r="M383">
        <v>3</v>
      </c>
      <c r="N383" s="4">
        <v>0</v>
      </c>
      <c r="O383" t="s">
        <v>25</v>
      </c>
      <c r="P383" t="s">
        <v>26</v>
      </c>
    </row>
    <row r="384" spans="1:16">
      <c r="A384" t="s">
        <v>536</v>
      </c>
      <c r="B384" s="2">
        <v>45625</v>
      </c>
      <c r="C384" t="s">
        <v>70</v>
      </c>
      <c r="D384" t="s">
        <v>71</v>
      </c>
      <c r="E384" t="s">
        <v>106</v>
      </c>
      <c r="F384" t="s">
        <v>107</v>
      </c>
      <c r="G384" t="s">
        <v>40</v>
      </c>
      <c r="H384" t="s">
        <v>108</v>
      </c>
      <c r="I384" t="s">
        <v>56</v>
      </c>
      <c r="J384" t="s">
        <v>57</v>
      </c>
      <c r="K384" s="3">
        <v>8453.2800000000007</v>
      </c>
      <c r="L384" s="3">
        <v>2108.2800000000002</v>
      </c>
      <c r="M384">
        <v>3</v>
      </c>
      <c r="N384" s="4">
        <v>0</v>
      </c>
      <c r="O384" t="s">
        <v>34</v>
      </c>
      <c r="P384" t="s">
        <v>26</v>
      </c>
    </row>
    <row r="385" spans="1:16">
      <c r="A385" t="s">
        <v>537</v>
      </c>
      <c r="B385" s="2">
        <v>45443</v>
      </c>
      <c r="C385" t="s">
        <v>179</v>
      </c>
      <c r="D385" t="s">
        <v>180</v>
      </c>
      <c r="E385" t="s">
        <v>132</v>
      </c>
      <c r="F385" t="s">
        <v>133</v>
      </c>
      <c r="G385" t="s">
        <v>40</v>
      </c>
      <c r="H385" t="s">
        <v>41</v>
      </c>
      <c r="I385" t="s">
        <v>23</v>
      </c>
      <c r="J385" t="s">
        <v>75</v>
      </c>
      <c r="K385" s="3">
        <v>4973.1000000000004</v>
      </c>
      <c r="L385" s="3">
        <v>1272</v>
      </c>
      <c r="M385">
        <v>5</v>
      </c>
      <c r="N385" s="4">
        <v>0</v>
      </c>
      <c r="O385" t="s">
        <v>25</v>
      </c>
      <c r="P385" t="s">
        <v>58</v>
      </c>
    </row>
    <row r="386" spans="1:16">
      <c r="A386" t="s">
        <v>538</v>
      </c>
      <c r="B386" s="2">
        <v>45712</v>
      </c>
      <c r="C386" t="s">
        <v>265</v>
      </c>
      <c r="D386" t="s">
        <v>266</v>
      </c>
      <c r="E386" t="s">
        <v>187</v>
      </c>
      <c r="F386" t="s">
        <v>188</v>
      </c>
      <c r="G386" t="s">
        <v>89</v>
      </c>
      <c r="H386" t="s">
        <v>189</v>
      </c>
      <c r="I386" t="s">
        <v>84</v>
      </c>
      <c r="J386" t="s">
        <v>134</v>
      </c>
      <c r="K386" s="3">
        <v>22755.360000000001</v>
      </c>
      <c r="L386" s="3">
        <v>16114.05</v>
      </c>
      <c r="M386">
        <v>3</v>
      </c>
      <c r="N386" s="4">
        <v>0.2</v>
      </c>
      <c r="O386" t="s">
        <v>136</v>
      </c>
      <c r="P386" t="s">
        <v>58</v>
      </c>
    </row>
    <row r="387" spans="1:16">
      <c r="A387" t="s">
        <v>539</v>
      </c>
      <c r="B387" s="2">
        <v>45439</v>
      </c>
      <c r="C387" t="s">
        <v>200</v>
      </c>
      <c r="D387" t="s">
        <v>201</v>
      </c>
      <c r="E387" t="s">
        <v>175</v>
      </c>
      <c r="F387" t="s">
        <v>176</v>
      </c>
      <c r="G387" t="s">
        <v>51</v>
      </c>
      <c r="H387" t="s">
        <v>177</v>
      </c>
      <c r="I387" t="s">
        <v>56</v>
      </c>
      <c r="J387" t="s">
        <v>91</v>
      </c>
      <c r="K387" s="3">
        <v>138433.75</v>
      </c>
      <c r="L387" s="3">
        <v>81738.5</v>
      </c>
      <c r="M387">
        <v>5</v>
      </c>
      <c r="N387" s="4">
        <v>0</v>
      </c>
      <c r="O387" t="s">
        <v>136</v>
      </c>
      <c r="P387" t="s">
        <v>77</v>
      </c>
    </row>
    <row r="388" spans="1:16">
      <c r="A388" t="s">
        <v>540</v>
      </c>
      <c r="B388" s="2">
        <v>45778</v>
      </c>
      <c r="C388" t="s">
        <v>60</v>
      </c>
      <c r="D388" t="s">
        <v>61</v>
      </c>
      <c r="E388" t="s">
        <v>72</v>
      </c>
      <c r="F388" t="s">
        <v>73</v>
      </c>
      <c r="G388" t="s">
        <v>51</v>
      </c>
      <c r="H388" t="s">
        <v>74</v>
      </c>
      <c r="I388" t="s">
        <v>23</v>
      </c>
      <c r="J388" t="s">
        <v>24</v>
      </c>
      <c r="K388" s="3">
        <v>12397.56</v>
      </c>
      <c r="L388" s="3">
        <v>12952.89</v>
      </c>
      <c r="M388">
        <v>3</v>
      </c>
      <c r="N388" s="4">
        <v>0.1</v>
      </c>
      <c r="O388" t="s">
        <v>44</v>
      </c>
      <c r="P388" t="s">
        <v>45</v>
      </c>
    </row>
    <row r="389" spans="1:16">
      <c r="A389" t="s">
        <v>541</v>
      </c>
      <c r="B389" s="2">
        <v>45525</v>
      </c>
      <c r="C389" t="s">
        <v>197</v>
      </c>
      <c r="D389" t="s">
        <v>198</v>
      </c>
      <c r="E389" t="s">
        <v>19</v>
      </c>
      <c r="F389" t="s">
        <v>20</v>
      </c>
      <c r="G389" t="s">
        <v>21</v>
      </c>
      <c r="H389" t="s">
        <v>22</v>
      </c>
      <c r="I389" t="s">
        <v>53</v>
      </c>
      <c r="J389" t="s">
        <v>102</v>
      </c>
      <c r="K389" s="3">
        <v>13598.28</v>
      </c>
      <c r="L389" s="3">
        <v>5760.58</v>
      </c>
      <c r="M389">
        <v>2</v>
      </c>
      <c r="N389" s="4">
        <v>0.1</v>
      </c>
      <c r="O389" t="s">
        <v>44</v>
      </c>
      <c r="P389" t="s">
        <v>26</v>
      </c>
    </row>
    <row r="390" spans="1:16">
      <c r="A390" t="s">
        <v>542</v>
      </c>
      <c r="B390" s="2">
        <v>45744</v>
      </c>
      <c r="C390" t="s">
        <v>155</v>
      </c>
      <c r="D390" t="s">
        <v>156</v>
      </c>
      <c r="E390" t="s">
        <v>62</v>
      </c>
      <c r="F390" t="s">
        <v>63</v>
      </c>
      <c r="G390" t="s">
        <v>21</v>
      </c>
      <c r="H390" t="s">
        <v>64</v>
      </c>
      <c r="I390" t="s">
        <v>84</v>
      </c>
      <c r="J390" t="s">
        <v>85</v>
      </c>
      <c r="K390" s="3">
        <v>6530.97</v>
      </c>
      <c r="L390" s="3">
        <v>3897.68</v>
      </c>
      <c r="M390">
        <v>2</v>
      </c>
      <c r="N390" s="4">
        <v>0.15</v>
      </c>
      <c r="O390" t="s">
        <v>34</v>
      </c>
      <c r="P390" t="s">
        <v>77</v>
      </c>
    </row>
    <row r="391" spans="1:16">
      <c r="A391" t="s">
        <v>543</v>
      </c>
      <c r="B391" s="2">
        <v>45454</v>
      </c>
      <c r="C391" t="s">
        <v>28</v>
      </c>
      <c r="D391" t="s">
        <v>29</v>
      </c>
      <c r="E391" t="s">
        <v>182</v>
      </c>
      <c r="F391" t="s">
        <v>183</v>
      </c>
      <c r="G391" t="s">
        <v>89</v>
      </c>
      <c r="H391" t="s">
        <v>90</v>
      </c>
      <c r="I391" t="s">
        <v>53</v>
      </c>
      <c r="J391" t="s">
        <v>54</v>
      </c>
      <c r="K391" s="3">
        <v>9889</v>
      </c>
      <c r="L391" s="3">
        <v>5773.35</v>
      </c>
      <c r="M391">
        <v>1</v>
      </c>
      <c r="N391" s="4">
        <v>0.05</v>
      </c>
      <c r="O391" t="s">
        <v>34</v>
      </c>
      <c r="P391" t="s">
        <v>58</v>
      </c>
    </row>
    <row r="392" spans="1:16">
      <c r="A392" t="s">
        <v>544</v>
      </c>
      <c r="B392" s="2">
        <v>45497</v>
      </c>
      <c r="C392" t="s">
        <v>200</v>
      </c>
      <c r="D392" t="s">
        <v>201</v>
      </c>
      <c r="E392" t="s">
        <v>49</v>
      </c>
      <c r="F392" t="s">
        <v>50</v>
      </c>
      <c r="G392" t="s">
        <v>51</v>
      </c>
      <c r="H392" t="s">
        <v>52</v>
      </c>
      <c r="I392" t="s">
        <v>53</v>
      </c>
      <c r="J392" t="s">
        <v>102</v>
      </c>
      <c r="K392" s="3">
        <v>11229.77</v>
      </c>
      <c r="L392" s="3">
        <v>6649.29</v>
      </c>
      <c r="M392">
        <v>1</v>
      </c>
      <c r="N392" s="4">
        <v>0.1</v>
      </c>
      <c r="O392" t="s">
        <v>76</v>
      </c>
      <c r="P392" t="s">
        <v>45</v>
      </c>
    </row>
    <row r="393" spans="1:16">
      <c r="A393" t="s">
        <v>545</v>
      </c>
      <c r="B393" s="2">
        <v>45698</v>
      </c>
      <c r="C393" t="s">
        <v>158</v>
      </c>
      <c r="D393" t="s">
        <v>159</v>
      </c>
      <c r="E393" t="s">
        <v>38</v>
      </c>
      <c r="F393" t="s">
        <v>39</v>
      </c>
      <c r="G393" t="s">
        <v>40</v>
      </c>
      <c r="H393" t="s">
        <v>41</v>
      </c>
      <c r="I393" t="s">
        <v>56</v>
      </c>
      <c r="J393" t="s">
        <v>57</v>
      </c>
      <c r="K393" s="3">
        <v>839.03</v>
      </c>
      <c r="L393" s="3">
        <v>518.12</v>
      </c>
      <c r="M393">
        <v>1</v>
      </c>
      <c r="N393" s="4">
        <v>0.15</v>
      </c>
      <c r="O393" t="s">
        <v>34</v>
      </c>
      <c r="P393" t="s">
        <v>98</v>
      </c>
    </row>
    <row r="394" spans="1:16">
      <c r="A394" t="s">
        <v>546</v>
      </c>
      <c r="B394" s="2">
        <v>45856</v>
      </c>
      <c r="C394" t="s">
        <v>200</v>
      </c>
      <c r="D394" t="s">
        <v>201</v>
      </c>
      <c r="E394" t="s">
        <v>87</v>
      </c>
      <c r="F394" t="s">
        <v>88</v>
      </c>
      <c r="G394" t="s">
        <v>89</v>
      </c>
      <c r="H394" t="s">
        <v>90</v>
      </c>
      <c r="I394" t="s">
        <v>42</v>
      </c>
      <c r="J394" t="s">
        <v>43</v>
      </c>
      <c r="K394" s="3">
        <v>13322.85</v>
      </c>
      <c r="L394" s="3">
        <v>5231.79</v>
      </c>
      <c r="M394">
        <v>3</v>
      </c>
      <c r="N394" s="4">
        <v>0.1</v>
      </c>
      <c r="O394" t="s">
        <v>25</v>
      </c>
      <c r="P394" t="s">
        <v>45</v>
      </c>
    </row>
    <row r="395" spans="1:16">
      <c r="A395" t="s">
        <v>547</v>
      </c>
      <c r="B395" s="2">
        <v>45458</v>
      </c>
      <c r="C395" t="s">
        <v>140</v>
      </c>
      <c r="D395" t="s">
        <v>141</v>
      </c>
      <c r="E395" t="s">
        <v>106</v>
      </c>
      <c r="F395" t="s">
        <v>107</v>
      </c>
      <c r="G395" t="s">
        <v>40</v>
      </c>
      <c r="H395" t="s">
        <v>108</v>
      </c>
      <c r="I395" t="s">
        <v>23</v>
      </c>
      <c r="J395" t="s">
        <v>24</v>
      </c>
      <c r="K395" s="3">
        <v>6039.62</v>
      </c>
      <c r="L395" s="3">
        <v>3695.9</v>
      </c>
      <c r="M395">
        <v>5</v>
      </c>
      <c r="N395" s="4">
        <v>0.05</v>
      </c>
      <c r="O395" t="s">
        <v>76</v>
      </c>
      <c r="P395" t="s">
        <v>58</v>
      </c>
    </row>
    <row r="396" spans="1:16">
      <c r="A396" t="s">
        <v>548</v>
      </c>
      <c r="B396" s="2">
        <v>45312</v>
      </c>
      <c r="C396" t="s">
        <v>66</v>
      </c>
      <c r="D396" t="s">
        <v>67</v>
      </c>
      <c r="E396" t="s">
        <v>132</v>
      </c>
      <c r="F396" t="s">
        <v>133</v>
      </c>
      <c r="G396" t="s">
        <v>40</v>
      </c>
      <c r="H396" t="s">
        <v>41</v>
      </c>
      <c r="I396" t="s">
        <v>56</v>
      </c>
      <c r="J396" t="s">
        <v>57</v>
      </c>
      <c r="K396" s="3">
        <v>439.35</v>
      </c>
      <c r="L396" s="3">
        <v>248.7</v>
      </c>
      <c r="M396">
        <v>1</v>
      </c>
      <c r="N396" s="4">
        <v>0.05</v>
      </c>
      <c r="O396" t="s">
        <v>34</v>
      </c>
      <c r="P396" t="s">
        <v>58</v>
      </c>
    </row>
    <row r="397" spans="1:16">
      <c r="A397" t="s">
        <v>549</v>
      </c>
      <c r="B397" s="2">
        <v>45604</v>
      </c>
      <c r="C397" t="s">
        <v>36</v>
      </c>
      <c r="D397" t="s">
        <v>37</v>
      </c>
      <c r="E397" t="s">
        <v>175</v>
      </c>
      <c r="F397" t="s">
        <v>176</v>
      </c>
      <c r="G397" t="s">
        <v>51</v>
      </c>
      <c r="H397" t="s">
        <v>177</v>
      </c>
      <c r="I397" t="s">
        <v>42</v>
      </c>
      <c r="J397" t="s">
        <v>43</v>
      </c>
      <c r="K397" s="3">
        <v>62696.08</v>
      </c>
      <c r="L397" s="3">
        <v>47268.54</v>
      </c>
      <c r="M397">
        <v>3</v>
      </c>
      <c r="N397" s="4">
        <v>0.1</v>
      </c>
      <c r="O397" t="s">
        <v>136</v>
      </c>
      <c r="P397" t="s">
        <v>45</v>
      </c>
    </row>
    <row r="398" spans="1:16">
      <c r="A398" t="s">
        <v>550</v>
      </c>
      <c r="B398" s="2">
        <v>45985</v>
      </c>
      <c r="C398" t="s">
        <v>144</v>
      </c>
      <c r="D398" t="s">
        <v>145</v>
      </c>
      <c r="E398" t="s">
        <v>38</v>
      </c>
      <c r="F398" t="s">
        <v>39</v>
      </c>
      <c r="G398" t="s">
        <v>40</v>
      </c>
      <c r="H398" t="s">
        <v>41</v>
      </c>
      <c r="I398" t="s">
        <v>84</v>
      </c>
      <c r="J398" t="s">
        <v>142</v>
      </c>
      <c r="K398" s="3">
        <v>6177.2</v>
      </c>
      <c r="L398" s="3">
        <v>2662.15</v>
      </c>
      <c r="M398">
        <v>5</v>
      </c>
      <c r="N398" s="4">
        <v>0</v>
      </c>
      <c r="O398" t="s">
        <v>25</v>
      </c>
      <c r="P398" t="s">
        <v>77</v>
      </c>
    </row>
    <row r="399" spans="1:16">
      <c r="A399" t="s">
        <v>551</v>
      </c>
      <c r="B399" s="2">
        <v>45581</v>
      </c>
      <c r="C399" t="s">
        <v>70</v>
      </c>
      <c r="D399" t="s">
        <v>71</v>
      </c>
      <c r="E399" t="s">
        <v>193</v>
      </c>
      <c r="F399" t="s">
        <v>194</v>
      </c>
      <c r="G399" t="s">
        <v>89</v>
      </c>
      <c r="H399" t="s">
        <v>90</v>
      </c>
      <c r="I399" t="s">
        <v>42</v>
      </c>
      <c r="J399" t="s">
        <v>43</v>
      </c>
      <c r="K399" s="3">
        <v>3180.84</v>
      </c>
      <c r="L399" s="3">
        <v>1555.32</v>
      </c>
      <c r="M399">
        <v>3</v>
      </c>
      <c r="N399" s="4">
        <v>0.1</v>
      </c>
      <c r="O399" t="s">
        <v>44</v>
      </c>
      <c r="P399" t="s">
        <v>77</v>
      </c>
    </row>
    <row r="400" spans="1:16">
      <c r="A400" t="s">
        <v>552</v>
      </c>
      <c r="B400" s="2">
        <v>46020</v>
      </c>
      <c r="C400" t="s">
        <v>66</v>
      </c>
      <c r="D400" t="s">
        <v>67</v>
      </c>
      <c r="E400" t="s">
        <v>175</v>
      </c>
      <c r="F400" t="s">
        <v>176</v>
      </c>
      <c r="G400" t="s">
        <v>51</v>
      </c>
      <c r="H400" t="s">
        <v>177</v>
      </c>
      <c r="I400" t="s">
        <v>42</v>
      </c>
      <c r="J400" t="s">
        <v>68</v>
      </c>
      <c r="K400" s="3">
        <v>71829.95</v>
      </c>
      <c r="L400" s="3">
        <v>45008.25</v>
      </c>
      <c r="M400">
        <v>3</v>
      </c>
      <c r="N400" s="4">
        <v>0.05</v>
      </c>
      <c r="O400" t="s">
        <v>25</v>
      </c>
      <c r="P400" t="s">
        <v>26</v>
      </c>
    </row>
    <row r="401" spans="1:16">
      <c r="A401" t="s">
        <v>553</v>
      </c>
      <c r="B401" s="2">
        <v>45435</v>
      </c>
      <c r="C401" t="s">
        <v>130</v>
      </c>
      <c r="D401" t="s">
        <v>131</v>
      </c>
      <c r="E401" t="s">
        <v>110</v>
      </c>
      <c r="F401" t="s">
        <v>111</v>
      </c>
      <c r="G401" t="s">
        <v>40</v>
      </c>
      <c r="H401" t="s">
        <v>112</v>
      </c>
      <c r="I401" t="s">
        <v>42</v>
      </c>
      <c r="J401" t="s">
        <v>68</v>
      </c>
      <c r="K401" s="3">
        <v>4491.68</v>
      </c>
      <c r="L401" s="3">
        <v>1237.3</v>
      </c>
      <c r="M401">
        <v>1</v>
      </c>
      <c r="N401" s="4">
        <v>0.1</v>
      </c>
      <c r="O401" t="s">
        <v>136</v>
      </c>
      <c r="P401" t="s">
        <v>26</v>
      </c>
    </row>
    <row r="402" spans="1:16">
      <c r="A402" t="s">
        <v>554</v>
      </c>
      <c r="B402" s="2">
        <v>46017</v>
      </c>
      <c r="C402" t="s">
        <v>104</v>
      </c>
      <c r="D402" t="s">
        <v>105</v>
      </c>
      <c r="E402" t="s">
        <v>81</v>
      </c>
      <c r="F402" t="s">
        <v>82</v>
      </c>
      <c r="G402" t="s">
        <v>21</v>
      </c>
      <c r="H402" t="s">
        <v>83</v>
      </c>
      <c r="I402" t="s">
        <v>42</v>
      </c>
      <c r="J402" t="s">
        <v>43</v>
      </c>
      <c r="K402" s="3">
        <v>119949.85</v>
      </c>
      <c r="L402" s="3">
        <v>95688.25</v>
      </c>
      <c r="M402">
        <v>5</v>
      </c>
      <c r="N402" s="4">
        <v>0.05</v>
      </c>
      <c r="O402" t="s">
        <v>34</v>
      </c>
      <c r="P402" t="s">
        <v>98</v>
      </c>
    </row>
    <row r="403" spans="1:16">
      <c r="A403" t="s">
        <v>555</v>
      </c>
      <c r="B403" s="2">
        <v>45599</v>
      </c>
      <c r="C403" t="s">
        <v>130</v>
      </c>
      <c r="D403" t="s">
        <v>131</v>
      </c>
      <c r="E403" t="s">
        <v>172</v>
      </c>
      <c r="F403" t="s">
        <v>173</v>
      </c>
      <c r="G403" t="s">
        <v>40</v>
      </c>
      <c r="H403" t="s">
        <v>41</v>
      </c>
      <c r="I403" t="s">
        <v>56</v>
      </c>
      <c r="J403" t="s">
        <v>57</v>
      </c>
      <c r="K403" s="3">
        <v>6897.89</v>
      </c>
      <c r="L403" s="3">
        <v>1922.62</v>
      </c>
      <c r="M403">
        <v>2</v>
      </c>
      <c r="N403" s="4">
        <v>0.05</v>
      </c>
      <c r="O403" t="s">
        <v>44</v>
      </c>
      <c r="P403" t="s">
        <v>58</v>
      </c>
    </row>
    <row r="404" spans="1:16">
      <c r="A404" t="s">
        <v>556</v>
      </c>
      <c r="B404" s="2">
        <v>45556</v>
      </c>
      <c r="C404" t="s">
        <v>197</v>
      </c>
      <c r="D404" t="s">
        <v>198</v>
      </c>
      <c r="E404" t="s">
        <v>152</v>
      </c>
      <c r="F404" t="s">
        <v>153</v>
      </c>
      <c r="G404" t="s">
        <v>21</v>
      </c>
      <c r="H404" t="s">
        <v>32</v>
      </c>
      <c r="I404" t="s">
        <v>42</v>
      </c>
      <c r="J404" t="s">
        <v>162</v>
      </c>
      <c r="K404" s="3">
        <v>46119.6</v>
      </c>
      <c r="L404" s="3">
        <v>42103.35</v>
      </c>
      <c r="M404">
        <v>5</v>
      </c>
      <c r="N404" s="4">
        <v>0.1</v>
      </c>
      <c r="O404" t="s">
        <v>25</v>
      </c>
      <c r="P404" t="s">
        <v>58</v>
      </c>
    </row>
    <row r="405" spans="1:16">
      <c r="A405" t="s">
        <v>557</v>
      </c>
      <c r="B405" s="2">
        <v>45606</v>
      </c>
      <c r="C405" t="s">
        <v>158</v>
      </c>
      <c r="D405" t="s">
        <v>159</v>
      </c>
      <c r="E405" t="s">
        <v>72</v>
      </c>
      <c r="F405" t="s">
        <v>73</v>
      </c>
      <c r="G405" t="s">
        <v>51</v>
      </c>
      <c r="H405" t="s">
        <v>74</v>
      </c>
      <c r="I405" t="s">
        <v>42</v>
      </c>
      <c r="J405" t="s">
        <v>162</v>
      </c>
      <c r="K405" s="3">
        <v>22711.93</v>
      </c>
      <c r="L405" s="3">
        <v>16921.88</v>
      </c>
      <c r="M405">
        <v>4</v>
      </c>
      <c r="N405" s="4">
        <v>0.1</v>
      </c>
      <c r="O405" t="s">
        <v>34</v>
      </c>
      <c r="P405" t="s">
        <v>45</v>
      </c>
    </row>
    <row r="406" spans="1:16">
      <c r="A406" t="s">
        <v>558</v>
      </c>
      <c r="B406" s="2">
        <v>45346</v>
      </c>
      <c r="C406" t="s">
        <v>170</v>
      </c>
      <c r="D406" t="s">
        <v>171</v>
      </c>
      <c r="E406" t="s">
        <v>19</v>
      </c>
      <c r="F406" t="s">
        <v>20</v>
      </c>
      <c r="G406" t="s">
        <v>21</v>
      </c>
      <c r="H406" t="s">
        <v>22</v>
      </c>
      <c r="I406" t="s">
        <v>56</v>
      </c>
      <c r="J406" t="s">
        <v>191</v>
      </c>
      <c r="K406" s="3">
        <v>29157.08</v>
      </c>
      <c r="L406" s="3">
        <v>15240.95</v>
      </c>
      <c r="M406">
        <v>5</v>
      </c>
      <c r="N406" s="4">
        <v>0.15</v>
      </c>
      <c r="O406" t="s">
        <v>76</v>
      </c>
      <c r="P406" t="s">
        <v>58</v>
      </c>
    </row>
    <row r="407" spans="1:16">
      <c r="A407" t="s">
        <v>559</v>
      </c>
      <c r="B407" s="2">
        <v>45597</v>
      </c>
      <c r="C407" t="s">
        <v>130</v>
      </c>
      <c r="D407" t="s">
        <v>131</v>
      </c>
      <c r="E407" t="s">
        <v>106</v>
      </c>
      <c r="F407" t="s">
        <v>107</v>
      </c>
      <c r="G407" t="s">
        <v>40</v>
      </c>
      <c r="H407" t="s">
        <v>108</v>
      </c>
      <c r="I407" t="s">
        <v>56</v>
      </c>
      <c r="J407" t="s">
        <v>57</v>
      </c>
      <c r="K407" s="3">
        <v>10181.450000000001</v>
      </c>
      <c r="L407" s="3">
        <v>2550.2800000000002</v>
      </c>
      <c r="M407">
        <v>4</v>
      </c>
      <c r="N407" s="4">
        <v>0.05</v>
      </c>
      <c r="O407" t="s">
        <v>76</v>
      </c>
      <c r="P407" t="s">
        <v>77</v>
      </c>
    </row>
    <row r="408" spans="1:16">
      <c r="A408" t="s">
        <v>560</v>
      </c>
      <c r="B408" s="2">
        <v>45438</v>
      </c>
      <c r="C408" t="s">
        <v>207</v>
      </c>
      <c r="D408" t="s">
        <v>208</v>
      </c>
      <c r="E408" t="s">
        <v>95</v>
      </c>
      <c r="F408" t="s">
        <v>96</v>
      </c>
      <c r="G408" t="s">
        <v>89</v>
      </c>
      <c r="H408" t="s">
        <v>97</v>
      </c>
      <c r="I408" t="s">
        <v>56</v>
      </c>
      <c r="J408" t="s">
        <v>191</v>
      </c>
      <c r="K408" s="3">
        <v>14508.63</v>
      </c>
      <c r="L408" s="3">
        <v>11261.04</v>
      </c>
      <c r="M408">
        <v>3</v>
      </c>
      <c r="N408" s="4">
        <v>0</v>
      </c>
      <c r="O408" t="s">
        <v>136</v>
      </c>
      <c r="P408" t="s">
        <v>77</v>
      </c>
    </row>
    <row r="409" spans="1:16">
      <c r="A409" t="s">
        <v>561</v>
      </c>
      <c r="B409" s="2">
        <v>45941</v>
      </c>
      <c r="C409" t="s">
        <v>17</v>
      </c>
      <c r="D409" t="s">
        <v>18</v>
      </c>
      <c r="E409" t="s">
        <v>117</v>
      </c>
      <c r="F409" t="s">
        <v>118</v>
      </c>
      <c r="G409" t="s">
        <v>51</v>
      </c>
      <c r="H409" t="s">
        <v>119</v>
      </c>
      <c r="I409" t="s">
        <v>84</v>
      </c>
      <c r="J409" t="s">
        <v>134</v>
      </c>
      <c r="K409" s="3">
        <v>6336.72</v>
      </c>
      <c r="L409" s="3">
        <v>4054.24</v>
      </c>
      <c r="M409">
        <v>1</v>
      </c>
      <c r="N409" s="4">
        <v>0.05</v>
      </c>
      <c r="O409" t="s">
        <v>34</v>
      </c>
      <c r="P409" t="s">
        <v>58</v>
      </c>
    </row>
    <row r="410" spans="1:16">
      <c r="A410" t="s">
        <v>562</v>
      </c>
      <c r="B410" s="2">
        <v>45921</v>
      </c>
      <c r="C410" t="s">
        <v>197</v>
      </c>
      <c r="D410" t="s">
        <v>198</v>
      </c>
      <c r="E410" t="s">
        <v>62</v>
      </c>
      <c r="F410" t="s">
        <v>63</v>
      </c>
      <c r="G410" t="s">
        <v>21</v>
      </c>
      <c r="H410" t="s">
        <v>64</v>
      </c>
      <c r="I410" t="s">
        <v>23</v>
      </c>
      <c r="J410" t="s">
        <v>75</v>
      </c>
      <c r="K410" s="3">
        <v>13004.39</v>
      </c>
      <c r="L410" s="3">
        <v>7392.24</v>
      </c>
      <c r="M410">
        <v>4</v>
      </c>
      <c r="N410" s="4">
        <v>0.15</v>
      </c>
      <c r="O410" t="s">
        <v>136</v>
      </c>
      <c r="P410" t="s">
        <v>58</v>
      </c>
    </row>
    <row r="411" spans="1:16">
      <c r="A411" t="s">
        <v>563</v>
      </c>
      <c r="B411" s="2">
        <v>45674</v>
      </c>
      <c r="C411" t="s">
        <v>28</v>
      </c>
      <c r="D411" t="s">
        <v>29</v>
      </c>
      <c r="E411" t="s">
        <v>187</v>
      </c>
      <c r="F411" t="s">
        <v>188</v>
      </c>
      <c r="G411" t="s">
        <v>89</v>
      </c>
      <c r="H411" t="s">
        <v>189</v>
      </c>
      <c r="I411" t="s">
        <v>84</v>
      </c>
      <c r="J411" t="s">
        <v>85</v>
      </c>
      <c r="K411" s="3">
        <v>9069.4699999999993</v>
      </c>
      <c r="L411" s="3">
        <v>5931.21</v>
      </c>
      <c r="M411">
        <v>1</v>
      </c>
      <c r="N411" s="4">
        <v>0.2</v>
      </c>
      <c r="O411" t="s">
        <v>76</v>
      </c>
      <c r="P411" t="s">
        <v>58</v>
      </c>
    </row>
    <row r="412" spans="1:16">
      <c r="A412" t="s">
        <v>564</v>
      </c>
      <c r="B412" s="2">
        <v>45546</v>
      </c>
      <c r="C412" t="s">
        <v>130</v>
      </c>
      <c r="D412" t="s">
        <v>131</v>
      </c>
      <c r="E412" t="s">
        <v>30</v>
      </c>
      <c r="F412" t="s">
        <v>31</v>
      </c>
      <c r="G412" t="s">
        <v>21</v>
      </c>
      <c r="H412" t="s">
        <v>32</v>
      </c>
      <c r="I412" t="s">
        <v>42</v>
      </c>
      <c r="J412" t="s">
        <v>68</v>
      </c>
      <c r="K412" s="3">
        <v>109497.93</v>
      </c>
      <c r="L412" s="3">
        <v>99715.68</v>
      </c>
      <c r="M412">
        <v>2</v>
      </c>
      <c r="N412" s="4">
        <v>0.05</v>
      </c>
      <c r="O412" t="s">
        <v>25</v>
      </c>
      <c r="P412" t="s">
        <v>26</v>
      </c>
    </row>
    <row r="413" spans="1:16">
      <c r="A413" t="s">
        <v>565</v>
      </c>
      <c r="B413" s="2">
        <v>45463</v>
      </c>
      <c r="C413" t="s">
        <v>114</v>
      </c>
      <c r="D413" t="s">
        <v>115</v>
      </c>
      <c r="E413" t="s">
        <v>95</v>
      </c>
      <c r="F413" t="s">
        <v>96</v>
      </c>
      <c r="G413" t="s">
        <v>89</v>
      </c>
      <c r="H413" t="s">
        <v>97</v>
      </c>
      <c r="I413" t="s">
        <v>84</v>
      </c>
      <c r="J413" t="s">
        <v>142</v>
      </c>
      <c r="K413" s="3">
        <v>4891.38</v>
      </c>
      <c r="L413" s="3">
        <v>3726.69</v>
      </c>
      <c r="M413">
        <v>1</v>
      </c>
      <c r="N413" s="4">
        <v>0.1</v>
      </c>
      <c r="O413" t="s">
        <v>136</v>
      </c>
      <c r="P413" t="s">
        <v>77</v>
      </c>
    </row>
    <row r="414" spans="1:16">
      <c r="A414" t="s">
        <v>566</v>
      </c>
      <c r="B414" s="2">
        <v>45793</v>
      </c>
      <c r="C414" t="s">
        <v>207</v>
      </c>
      <c r="D414" t="s">
        <v>208</v>
      </c>
      <c r="E414" t="s">
        <v>152</v>
      </c>
      <c r="F414" t="s">
        <v>153</v>
      </c>
      <c r="G414" t="s">
        <v>21</v>
      </c>
      <c r="H414" t="s">
        <v>32</v>
      </c>
      <c r="I414" t="s">
        <v>84</v>
      </c>
      <c r="J414" t="s">
        <v>134</v>
      </c>
      <c r="K414" s="3">
        <v>25807.99</v>
      </c>
      <c r="L414" s="3">
        <v>25200.54</v>
      </c>
      <c r="M414">
        <v>3</v>
      </c>
      <c r="N414" s="4">
        <v>0.15</v>
      </c>
      <c r="O414" t="s">
        <v>25</v>
      </c>
      <c r="P414" t="s">
        <v>58</v>
      </c>
    </row>
    <row r="415" spans="1:16">
      <c r="A415" t="s">
        <v>567</v>
      </c>
      <c r="B415" s="2">
        <v>45314</v>
      </c>
      <c r="C415" t="s">
        <v>36</v>
      </c>
      <c r="D415" t="s">
        <v>37</v>
      </c>
      <c r="E415" t="s">
        <v>152</v>
      </c>
      <c r="F415" t="s">
        <v>153</v>
      </c>
      <c r="G415" t="s">
        <v>21</v>
      </c>
      <c r="H415" t="s">
        <v>32</v>
      </c>
      <c r="I415" t="s">
        <v>84</v>
      </c>
      <c r="J415" t="s">
        <v>85</v>
      </c>
      <c r="K415" s="3">
        <v>49135.3</v>
      </c>
      <c r="L415" s="3">
        <v>40037.050000000003</v>
      </c>
      <c r="M415">
        <v>5</v>
      </c>
      <c r="N415" s="4">
        <v>0</v>
      </c>
      <c r="O415" t="s">
        <v>136</v>
      </c>
      <c r="P415" t="s">
        <v>45</v>
      </c>
    </row>
    <row r="416" spans="1:16">
      <c r="A416" t="s">
        <v>568</v>
      </c>
      <c r="B416" s="2">
        <v>45341</v>
      </c>
      <c r="C416" t="s">
        <v>79</v>
      </c>
      <c r="D416" t="s">
        <v>80</v>
      </c>
      <c r="E416" t="s">
        <v>187</v>
      </c>
      <c r="F416" t="s">
        <v>188</v>
      </c>
      <c r="G416" t="s">
        <v>89</v>
      </c>
      <c r="H416" t="s">
        <v>189</v>
      </c>
      <c r="I416" t="s">
        <v>42</v>
      </c>
      <c r="J416" t="s">
        <v>43</v>
      </c>
      <c r="K416" s="3">
        <v>53439.35</v>
      </c>
      <c r="L416" s="3">
        <v>30220.75</v>
      </c>
      <c r="M416">
        <v>5</v>
      </c>
      <c r="N416" s="4">
        <v>0</v>
      </c>
      <c r="O416" t="s">
        <v>25</v>
      </c>
      <c r="P416" t="s">
        <v>58</v>
      </c>
    </row>
    <row r="417" spans="1:16">
      <c r="A417" t="s">
        <v>569</v>
      </c>
      <c r="B417" s="2">
        <v>45418</v>
      </c>
      <c r="C417" t="s">
        <v>207</v>
      </c>
      <c r="D417" t="s">
        <v>208</v>
      </c>
      <c r="E417" t="s">
        <v>38</v>
      </c>
      <c r="F417" t="s">
        <v>39</v>
      </c>
      <c r="G417" t="s">
        <v>40</v>
      </c>
      <c r="H417" t="s">
        <v>41</v>
      </c>
      <c r="I417" t="s">
        <v>56</v>
      </c>
      <c r="J417" t="s">
        <v>91</v>
      </c>
      <c r="K417" s="3">
        <v>8184.2</v>
      </c>
      <c r="L417" s="3">
        <v>2376.35</v>
      </c>
      <c r="M417">
        <v>5</v>
      </c>
      <c r="N417" s="4">
        <v>0.05</v>
      </c>
      <c r="O417" t="s">
        <v>25</v>
      </c>
      <c r="P417" t="s">
        <v>45</v>
      </c>
    </row>
    <row r="418" spans="1:16">
      <c r="A418" t="s">
        <v>570</v>
      </c>
      <c r="B418" s="2">
        <v>45824</v>
      </c>
      <c r="C418" t="s">
        <v>207</v>
      </c>
      <c r="D418" t="s">
        <v>208</v>
      </c>
      <c r="E418" t="s">
        <v>19</v>
      </c>
      <c r="F418" t="s">
        <v>20</v>
      </c>
      <c r="G418" t="s">
        <v>21</v>
      </c>
      <c r="H418" t="s">
        <v>22</v>
      </c>
      <c r="I418" t="s">
        <v>42</v>
      </c>
      <c r="J418" t="s">
        <v>68</v>
      </c>
      <c r="K418" s="3">
        <v>18645.849999999999</v>
      </c>
      <c r="L418" s="3">
        <v>9221.0400000000009</v>
      </c>
      <c r="M418">
        <v>3</v>
      </c>
      <c r="N418" s="4">
        <v>0.15</v>
      </c>
      <c r="O418" t="s">
        <v>25</v>
      </c>
      <c r="P418" t="s">
        <v>58</v>
      </c>
    </row>
    <row r="419" spans="1:16">
      <c r="A419" t="s">
        <v>571</v>
      </c>
      <c r="B419" s="2">
        <v>45400</v>
      </c>
      <c r="C419" t="s">
        <v>265</v>
      </c>
      <c r="D419" t="s">
        <v>266</v>
      </c>
      <c r="E419" t="s">
        <v>19</v>
      </c>
      <c r="F419" t="s">
        <v>20</v>
      </c>
      <c r="G419" t="s">
        <v>21</v>
      </c>
      <c r="H419" t="s">
        <v>22</v>
      </c>
      <c r="I419" t="s">
        <v>53</v>
      </c>
      <c r="J419" t="s">
        <v>54</v>
      </c>
      <c r="K419" s="3">
        <v>16151.72</v>
      </c>
      <c r="L419" s="3">
        <v>11276.76</v>
      </c>
      <c r="M419">
        <v>4</v>
      </c>
      <c r="N419" s="4">
        <v>0.1</v>
      </c>
      <c r="O419" t="s">
        <v>34</v>
      </c>
      <c r="P419" t="s">
        <v>58</v>
      </c>
    </row>
    <row r="420" spans="1:16">
      <c r="A420" t="s">
        <v>572</v>
      </c>
      <c r="B420" s="2">
        <v>45456</v>
      </c>
      <c r="C420" t="s">
        <v>158</v>
      </c>
      <c r="D420" t="s">
        <v>159</v>
      </c>
      <c r="E420" t="s">
        <v>132</v>
      </c>
      <c r="F420" t="s">
        <v>133</v>
      </c>
      <c r="G420" t="s">
        <v>40</v>
      </c>
      <c r="H420" t="s">
        <v>41</v>
      </c>
      <c r="I420" t="s">
        <v>84</v>
      </c>
      <c r="J420" t="s">
        <v>142</v>
      </c>
      <c r="K420" s="3">
        <v>955.23</v>
      </c>
      <c r="L420" s="3">
        <v>252.41</v>
      </c>
      <c r="M420">
        <v>1</v>
      </c>
      <c r="N420" s="4">
        <v>0.15</v>
      </c>
      <c r="O420" t="s">
        <v>44</v>
      </c>
      <c r="P420" t="s">
        <v>58</v>
      </c>
    </row>
    <row r="421" spans="1:16">
      <c r="A421" t="s">
        <v>573</v>
      </c>
      <c r="B421" s="2">
        <v>45383</v>
      </c>
      <c r="C421" t="s">
        <v>140</v>
      </c>
      <c r="D421" t="s">
        <v>141</v>
      </c>
      <c r="E421" t="s">
        <v>30</v>
      </c>
      <c r="F421" t="s">
        <v>31</v>
      </c>
      <c r="G421" t="s">
        <v>21</v>
      </c>
      <c r="H421" t="s">
        <v>32</v>
      </c>
      <c r="I421" t="s">
        <v>42</v>
      </c>
      <c r="J421" t="s">
        <v>68</v>
      </c>
      <c r="K421" s="3">
        <v>58215.82</v>
      </c>
      <c r="L421" s="3">
        <v>51218.23</v>
      </c>
      <c r="M421">
        <v>1</v>
      </c>
      <c r="N421" s="4">
        <v>0.05</v>
      </c>
      <c r="O421" t="s">
        <v>25</v>
      </c>
      <c r="P421" t="s">
        <v>58</v>
      </c>
    </row>
    <row r="422" spans="1:16">
      <c r="A422" t="s">
        <v>574</v>
      </c>
      <c r="B422" s="2">
        <v>45951</v>
      </c>
      <c r="C422" t="s">
        <v>93</v>
      </c>
      <c r="D422" t="s">
        <v>94</v>
      </c>
      <c r="E422" t="s">
        <v>19</v>
      </c>
      <c r="F422" t="s">
        <v>20</v>
      </c>
      <c r="G422" t="s">
        <v>21</v>
      </c>
      <c r="H422" t="s">
        <v>22</v>
      </c>
      <c r="I422" t="s">
        <v>84</v>
      </c>
      <c r="J422" t="s">
        <v>142</v>
      </c>
      <c r="K422" s="3">
        <v>15969.46</v>
      </c>
      <c r="L422" s="3">
        <v>5948.1</v>
      </c>
      <c r="M422">
        <v>2</v>
      </c>
      <c r="N422" s="4">
        <v>0.1</v>
      </c>
      <c r="O422" t="s">
        <v>136</v>
      </c>
      <c r="P422" t="s">
        <v>58</v>
      </c>
    </row>
    <row r="423" spans="1:16">
      <c r="A423" t="s">
        <v>575</v>
      </c>
      <c r="B423" s="2">
        <v>45332</v>
      </c>
      <c r="C423" t="s">
        <v>179</v>
      </c>
      <c r="D423" t="s">
        <v>180</v>
      </c>
      <c r="E423" t="s">
        <v>117</v>
      </c>
      <c r="F423" t="s">
        <v>118</v>
      </c>
      <c r="G423" t="s">
        <v>51</v>
      </c>
      <c r="H423" t="s">
        <v>119</v>
      </c>
      <c r="I423" t="s">
        <v>53</v>
      </c>
      <c r="J423" t="s">
        <v>102</v>
      </c>
      <c r="K423" s="3">
        <v>23137.5</v>
      </c>
      <c r="L423" s="3">
        <v>13122.57</v>
      </c>
      <c r="M423">
        <v>3</v>
      </c>
      <c r="N423" s="4">
        <v>0.15</v>
      </c>
      <c r="O423" t="s">
        <v>25</v>
      </c>
      <c r="P423" t="s">
        <v>58</v>
      </c>
    </row>
    <row r="424" spans="1:16">
      <c r="A424" t="s">
        <v>576</v>
      </c>
      <c r="B424" s="2">
        <v>45433</v>
      </c>
      <c r="C424" t="s">
        <v>79</v>
      </c>
      <c r="D424" t="s">
        <v>80</v>
      </c>
      <c r="E424" t="s">
        <v>81</v>
      </c>
      <c r="F424" t="s">
        <v>82</v>
      </c>
      <c r="G424" t="s">
        <v>21</v>
      </c>
      <c r="H424" t="s">
        <v>83</v>
      </c>
      <c r="I424" t="s">
        <v>23</v>
      </c>
      <c r="J424" t="s">
        <v>24</v>
      </c>
      <c r="K424" s="3">
        <v>53495.66</v>
      </c>
      <c r="L424" s="3">
        <v>34766.36</v>
      </c>
      <c r="M424">
        <v>2</v>
      </c>
      <c r="N424" s="4">
        <v>0.2</v>
      </c>
      <c r="O424" t="s">
        <v>44</v>
      </c>
      <c r="P424" t="s">
        <v>58</v>
      </c>
    </row>
    <row r="425" spans="1:16">
      <c r="A425" t="s">
        <v>577</v>
      </c>
      <c r="B425" s="2">
        <v>45408</v>
      </c>
      <c r="C425" t="s">
        <v>158</v>
      </c>
      <c r="D425" t="s">
        <v>159</v>
      </c>
      <c r="E425" t="s">
        <v>110</v>
      </c>
      <c r="F425" t="s">
        <v>111</v>
      </c>
      <c r="G425" t="s">
        <v>40</v>
      </c>
      <c r="H425" t="s">
        <v>112</v>
      </c>
      <c r="I425" t="s">
        <v>23</v>
      </c>
      <c r="J425" t="s">
        <v>75</v>
      </c>
      <c r="K425" s="3">
        <v>10244.57</v>
      </c>
      <c r="L425" s="3">
        <v>4704.24</v>
      </c>
      <c r="M425">
        <v>4</v>
      </c>
      <c r="N425" s="4">
        <v>0.15</v>
      </c>
      <c r="O425" t="s">
        <v>136</v>
      </c>
      <c r="P425" t="s">
        <v>26</v>
      </c>
    </row>
    <row r="426" spans="1:16">
      <c r="A426" t="s">
        <v>578</v>
      </c>
      <c r="B426" s="2">
        <v>45427</v>
      </c>
      <c r="C426" t="s">
        <v>17</v>
      </c>
      <c r="D426" t="s">
        <v>18</v>
      </c>
      <c r="E426" t="s">
        <v>117</v>
      </c>
      <c r="F426" t="s">
        <v>118</v>
      </c>
      <c r="G426" t="s">
        <v>51</v>
      </c>
      <c r="H426" t="s">
        <v>119</v>
      </c>
      <c r="I426" t="s">
        <v>23</v>
      </c>
      <c r="J426" t="s">
        <v>33</v>
      </c>
      <c r="K426" s="3">
        <v>10072.33</v>
      </c>
      <c r="L426" s="3">
        <v>4933.41</v>
      </c>
      <c r="M426">
        <v>1</v>
      </c>
      <c r="N426" s="4">
        <v>0</v>
      </c>
      <c r="O426" t="s">
        <v>136</v>
      </c>
      <c r="P426" t="s">
        <v>98</v>
      </c>
    </row>
    <row r="427" spans="1:16">
      <c r="A427" t="s">
        <v>579</v>
      </c>
      <c r="B427" s="2">
        <v>45917</v>
      </c>
      <c r="C427" t="s">
        <v>147</v>
      </c>
      <c r="D427" t="s">
        <v>148</v>
      </c>
      <c r="E427" t="s">
        <v>38</v>
      </c>
      <c r="F427" t="s">
        <v>39</v>
      </c>
      <c r="G427" t="s">
        <v>40</v>
      </c>
      <c r="H427" t="s">
        <v>41</v>
      </c>
      <c r="I427" t="s">
        <v>23</v>
      </c>
      <c r="J427" t="s">
        <v>75</v>
      </c>
      <c r="K427" s="3">
        <v>5997.05</v>
      </c>
      <c r="L427" s="3">
        <v>2111.6799999999998</v>
      </c>
      <c r="M427">
        <v>4</v>
      </c>
      <c r="N427" s="4">
        <v>0.05</v>
      </c>
      <c r="O427" t="s">
        <v>136</v>
      </c>
      <c r="P427" t="s">
        <v>98</v>
      </c>
    </row>
    <row r="428" spans="1:16">
      <c r="A428" t="s">
        <v>580</v>
      </c>
      <c r="B428" s="2">
        <v>45339</v>
      </c>
      <c r="C428" t="s">
        <v>179</v>
      </c>
      <c r="D428" t="s">
        <v>180</v>
      </c>
      <c r="E428" t="s">
        <v>132</v>
      </c>
      <c r="F428" t="s">
        <v>133</v>
      </c>
      <c r="G428" t="s">
        <v>40</v>
      </c>
      <c r="H428" t="s">
        <v>41</v>
      </c>
      <c r="I428" t="s">
        <v>56</v>
      </c>
      <c r="J428" t="s">
        <v>191</v>
      </c>
      <c r="K428" s="3">
        <v>493.68</v>
      </c>
      <c r="L428" s="3">
        <v>238.08</v>
      </c>
      <c r="M428">
        <v>1</v>
      </c>
      <c r="N428" s="4">
        <v>0.2</v>
      </c>
      <c r="O428" t="s">
        <v>34</v>
      </c>
      <c r="P428" t="s">
        <v>58</v>
      </c>
    </row>
    <row r="429" spans="1:16">
      <c r="A429" t="s">
        <v>581</v>
      </c>
      <c r="B429" s="2">
        <v>45827</v>
      </c>
      <c r="C429" t="s">
        <v>130</v>
      </c>
      <c r="D429" t="s">
        <v>131</v>
      </c>
      <c r="E429" t="s">
        <v>110</v>
      </c>
      <c r="F429" t="s">
        <v>111</v>
      </c>
      <c r="G429" t="s">
        <v>40</v>
      </c>
      <c r="H429" t="s">
        <v>112</v>
      </c>
      <c r="I429" t="s">
        <v>56</v>
      </c>
      <c r="J429" t="s">
        <v>57</v>
      </c>
      <c r="K429" s="3">
        <v>17875.29</v>
      </c>
      <c r="L429" s="3">
        <v>5514.3</v>
      </c>
      <c r="M429">
        <v>5</v>
      </c>
      <c r="N429" s="4">
        <v>0.05</v>
      </c>
      <c r="O429" t="s">
        <v>136</v>
      </c>
      <c r="P429" t="s">
        <v>77</v>
      </c>
    </row>
    <row r="430" spans="1:16">
      <c r="A430" t="s">
        <v>582</v>
      </c>
      <c r="B430" s="2">
        <v>45863</v>
      </c>
      <c r="C430" t="s">
        <v>130</v>
      </c>
      <c r="D430" t="s">
        <v>131</v>
      </c>
      <c r="E430" t="s">
        <v>106</v>
      </c>
      <c r="F430" t="s">
        <v>107</v>
      </c>
      <c r="G430" t="s">
        <v>40</v>
      </c>
      <c r="H430" t="s">
        <v>108</v>
      </c>
      <c r="I430" t="s">
        <v>23</v>
      </c>
      <c r="J430" t="s">
        <v>75</v>
      </c>
      <c r="K430" s="3">
        <v>10523.53</v>
      </c>
      <c r="L430" s="3">
        <v>3188.2</v>
      </c>
      <c r="M430">
        <v>5</v>
      </c>
      <c r="N430" s="4">
        <v>0.05</v>
      </c>
      <c r="O430" t="s">
        <v>34</v>
      </c>
      <c r="P430" t="s">
        <v>98</v>
      </c>
    </row>
    <row r="431" spans="1:16">
      <c r="A431" t="s">
        <v>583</v>
      </c>
      <c r="B431" s="2">
        <v>45795</v>
      </c>
      <c r="C431" t="s">
        <v>197</v>
      </c>
      <c r="D431" t="s">
        <v>198</v>
      </c>
      <c r="E431" t="s">
        <v>117</v>
      </c>
      <c r="F431" t="s">
        <v>118</v>
      </c>
      <c r="G431" t="s">
        <v>51</v>
      </c>
      <c r="H431" t="s">
        <v>119</v>
      </c>
      <c r="I431" t="s">
        <v>23</v>
      </c>
      <c r="J431" t="s">
        <v>33</v>
      </c>
      <c r="K431" s="3">
        <v>32466.18</v>
      </c>
      <c r="L431" s="3">
        <v>12800.4</v>
      </c>
      <c r="M431">
        <v>3</v>
      </c>
      <c r="N431" s="4">
        <v>0</v>
      </c>
      <c r="O431" t="s">
        <v>34</v>
      </c>
      <c r="P431" t="s">
        <v>58</v>
      </c>
    </row>
    <row r="432" spans="1:16">
      <c r="A432" t="s">
        <v>584</v>
      </c>
      <c r="B432" s="2">
        <v>45532</v>
      </c>
      <c r="C432" t="s">
        <v>70</v>
      </c>
      <c r="D432" t="s">
        <v>71</v>
      </c>
      <c r="E432" t="s">
        <v>106</v>
      </c>
      <c r="F432" t="s">
        <v>107</v>
      </c>
      <c r="G432" t="s">
        <v>40</v>
      </c>
      <c r="H432" t="s">
        <v>108</v>
      </c>
      <c r="I432" t="s">
        <v>56</v>
      </c>
      <c r="J432" t="s">
        <v>91</v>
      </c>
      <c r="K432" s="3">
        <v>2178.35</v>
      </c>
      <c r="L432" s="3">
        <v>694.27</v>
      </c>
      <c r="M432">
        <v>1</v>
      </c>
      <c r="N432" s="4">
        <v>0.15</v>
      </c>
      <c r="O432" t="s">
        <v>25</v>
      </c>
      <c r="P432" t="s">
        <v>98</v>
      </c>
    </row>
    <row r="433" spans="1:16">
      <c r="A433" t="s">
        <v>585</v>
      </c>
      <c r="B433" s="2">
        <v>45801</v>
      </c>
      <c r="C433" t="s">
        <v>170</v>
      </c>
      <c r="D433" t="s">
        <v>171</v>
      </c>
      <c r="E433" t="s">
        <v>110</v>
      </c>
      <c r="F433" t="s">
        <v>111</v>
      </c>
      <c r="G433" t="s">
        <v>40</v>
      </c>
      <c r="H433" t="s">
        <v>112</v>
      </c>
      <c r="I433" t="s">
        <v>23</v>
      </c>
      <c r="J433" t="s">
        <v>33</v>
      </c>
      <c r="K433" s="3">
        <v>2281.21</v>
      </c>
      <c r="L433" s="3">
        <v>1104.6300000000001</v>
      </c>
      <c r="M433">
        <v>1</v>
      </c>
      <c r="N433" s="4">
        <v>0.2</v>
      </c>
      <c r="O433" t="s">
        <v>34</v>
      </c>
      <c r="P433" t="s">
        <v>58</v>
      </c>
    </row>
    <row r="434" spans="1:16">
      <c r="A434" t="s">
        <v>586</v>
      </c>
      <c r="B434" s="2">
        <v>45944</v>
      </c>
      <c r="C434" t="s">
        <v>100</v>
      </c>
      <c r="D434" t="s">
        <v>101</v>
      </c>
      <c r="E434" t="s">
        <v>193</v>
      </c>
      <c r="F434" t="s">
        <v>194</v>
      </c>
      <c r="G434" t="s">
        <v>89</v>
      </c>
      <c r="H434" t="s">
        <v>90</v>
      </c>
      <c r="I434" t="s">
        <v>42</v>
      </c>
      <c r="J434" t="s">
        <v>43</v>
      </c>
      <c r="K434" s="3">
        <v>3250.74</v>
      </c>
      <c r="L434" s="3">
        <v>1617.03</v>
      </c>
      <c r="M434">
        <v>3</v>
      </c>
      <c r="N434" s="4">
        <v>0.15</v>
      </c>
      <c r="O434" t="s">
        <v>44</v>
      </c>
      <c r="P434" t="s">
        <v>77</v>
      </c>
    </row>
    <row r="435" spans="1:16">
      <c r="A435" t="s">
        <v>587</v>
      </c>
      <c r="B435" s="2">
        <v>45757</v>
      </c>
      <c r="C435" t="s">
        <v>28</v>
      </c>
      <c r="D435" t="s">
        <v>29</v>
      </c>
      <c r="E435" t="s">
        <v>72</v>
      </c>
      <c r="F435" t="s">
        <v>73</v>
      </c>
      <c r="G435" t="s">
        <v>51</v>
      </c>
      <c r="H435" t="s">
        <v>74</v>
      </c>
      <c r="I435" t="s">
        <v>53</v>
      </c>
      <c r="J435" t="s">
        <v>102</v>
      </c>
      <c r="K435" s="3">
        <v>20147.7</v>
      </c>
      <c r="L435" s="3">
        <v>12144.36</v>
      </c>
      <c r="M435">
        <v>3</v>
      </c>
      <c r="N435" s="4">
        <v>0.15</v>
      </c>
      <c r="O435" t="s">
        <v>44</v>
      </c>
      <c r="P435" t="s">
        <v>98</v>
      </c>
    </row>
    <row r="436" spans="1:16">
      <c r="A436" t="s">
        <v>588</v>
      </c>
      <c r="B436" s="2">
        <v>45966</v>
      </c>
      <c r="C436" t="s">
        <v>179</v>
      </c>
      <c r="D436" t="s">
        <v>180</v>
      </c>
      <c r="E436" t="s">
        <v>19</v>
      </c>
      <c r="F436" t="s">
        <v>20</v>
      </c>
      <c r="G436" t="s">
        <v>21</v>
      </c>
      <c r="H436" t="s">
        <v>22</v>
      </c>
      <c r="I436" t="s">
        <v>53</v>
      </c>
      <c r="J436" t="s">
        <v>54</v>
      </c>
      <c r="K436" s="3">
        <v>9653.36</v>
      </c>
      <c r="L436" s="3">
        <v>5402.64</v>
      </c>
      <c r="M436">
        <v>2</v>
      </c>
      <c r="N436" s="4">
        <v>0.1</v>
      </c>
      <c r="O436" t="s">
        <v>34</v>
      </c>
      <c r="P436" t="s">
        <v>77</v>
      </c>
    </row>
    <row r="437" spans="1:16">
      <c r="A437" t="s">
        <v>589</v>
      </c>
      <c r="B437" s="2">
        <v>45460</v>
      </c>
      <c r="C437" t="s">
        <v>60</v>
      </c>
      <c r="D437" t="s">
        <v>61</v>
      </c>
      <c r="E437" t="s">
        <v>19</v>
      </c>
      <c r="F437" t="s">
        <v>20</v>
      </c>
      <c r="G437" t="s">
        <v>21</v>
      </c>
      <c r="H437" t="s">
        <v>22</v>
      </c>
      <c r="I437" t="s">
        <v>23</v>
      </c>
      <c r="J437" t="s">
        <v>24</v>
      </c>
      <c r="K437" s="3">
        <v>25170.44</v>
      </c>
      <c r="L437" s="3">
        <v>11137.08</v>
      </c>
      <c r="M437">
        <v>4</v>
      </c>
      <c r="N437" s="4">
        <v>0.15</v>
      </c>
      <c r="O437" t="s">
        <v>25</v>
      </c>
      <c r="P437" t="s">
        <v>45</v>
      </c>
    </row>
    <row r="438" spans="1:16">
      <c r="A438" t="s">
        <v>590</v>
      </c>
      <c r="B438" s="2">
        <v>45415</v>
      </c>
      <c r="C438" t="s">
        <v>155</v>
      </c>
      <c r="D438" t="s">
        <v>156</v>
      </c>
      <c r="E438" t="s">
        <v>49</v>
      </c>
      <c r="F438" t="s">
        <v>50</v>
      </c>
      <c r="G438" t="s">
        <v>51</v>
      </c>
      <c r="H438" t="s">
        <v>52</v>
      </c>
      <c r="I438" t="s">
        <v>84</v>
      </c>
      <c r="J438" t="s">
        <v>85</v>
      </c>
      <c r="K438" s="3">
        <v>61626.39</v>
      </c>
      <c r="L438" s="3">
        <v>26407.32</v>
      </c>
      <c r="M438">
        <v>4</v>
      </c>
      <c r="N438" s="4">
        <v>0.05</v>
      </c>
      <c r="O438" t="s">
        <v>44</v>
      </c>
      <c r="P438" t="s">
        <v>58</v>
      </c>
    </row>
    <row r="439" spans="1:16">
      <c r="A439" t="s">
        <v>591</v>
      </c>
      <c r="B439" s="2">
        <v>45940</v>
      </c>
      <c r="C439" t="s">
        <v>79</v>
      </c>
      <c r="D439" t="s">
        <v>80</v>
      </c>
      <c r="E439" t="s">
        <v>132</v>
      </c>
      <c r="F439" t="s">
        <v>133</v>
      </c>
      <c r="G439" t="s">
        <v>40</v>
      </c>
      <c r="H439" t="s">
        <v>41</v>
      </c>
      <c r="I439" t="s">
        <v>23</v>
      </c>
      <c r="J439" t="s">
        <v>24</v>
      </c>
      <c r="K439" s="3">
        <v>4708.96</v>
      </c>
      <c r="L439" s="3">
        <v>1155.8</v>
      </c>
      <c r="M439">
        <v>5</v>
      </c>
      <c r="N439" s="4">
        <v>0.15</v>
      </c>
      <c r="O439" t="s">
        <v>34</v>
      </c>
      <c r="P439" t="s">
        <v>58</v>
      </c>
    </row>
    <row r="440" spans="1:16">
      <c r="A440" t="s">
        <v>592</v>
      </c>
      <c r="B440" s="2">
        <v>45341</v>
      </c>
      <c r="C440" t="s">
        <v>197</v>
      </c>
      <c r="D440" t="s">
        <v>198</v>
      </c>
      <c r="E440" t="s">
        <v>30</v>
      </c>
      <c r="F440" t="s">
        <v>31</v>
      </c>
      <c r="G440" t="s">
        <v>21</v>
      </c>
      <c r="H440" t="s">
        <v>32</v>
      </c>
      <c r="I440" t="s">
        <v>56</v>
      </c>
      <c r="J440" t="s">
        <v>57</v>
      </c>
      <c r="K440" s="3">
        <v>268550.23</v>
      </c>
      <c r="L440" s="3">
        <v>260894.8</v>
      </c>
      <c r="M440">
        <v>5</v>
      </c>
      <c r="N440" s="4">
        <v>0.15</v>
      </c>
      <c r="O440" t="s">
        <v>34</v>
      </c>
      <c r="P440" t="s">
        <v>58</v>
      </c>
    </row>
    <row r="441" spans="1:16">
      <c r="A441" t="s">
        <v>593</v>
      </c>
      <c r="B441" s="2">
        <v>45423</v>
      </c>
      <c r="C441" t="s">
        <v>60</v>
      </c>
      <c r="D441" t="s">
        <v>61</v>
      </c>
      <c r="E441" t="s">
        <v>95</v>
      </c>
      <c r="F441" t="s">
        <v>96</v>
      </c>
      <c r="G441" t="s">
        <v>89</v>
      </c>
      <c r="H441" t="s">
        <v>97</v>
      </c>
      <c r="I441" t="s">
        <v>23</v>
      </c>
      <c r="J441" t="s">
        <v>75</v>
      </c>
      <c r="K441" s="3">
        <v>6273.69</v>
      </c>
      <c r="L441" s="3">
        <v>3421.18</v>
      </c>
      <c r="M441">
        <v>1</v>
      </c>
      <c r="N441" s="4">
        <v>0.1</v>
      </c>
      <c r="O441" t="s">
        <v>34</v>
      </c>
      <c r="P441" t="s">
        <v>26</v>
      </c>
    </row>
    <row r="442" spans="1:16">
      <c r="A442" t="s">
        <v>594</v>
      </c>
      <c r="B442" s="2">
        <v>45546</v>
      </c>
      <c r="C442" t="s">
        <v>207</v>
      </c>
      <c r="D442" t="s">
        <v>208</v>
      </c>
      <c r="E442" t="s">
        <v>193</v>
      </c>
      <c r="F442" t="s">
        <v>194</v>
      </c>
      <c r="G442" t="s">
        <v>89</v>
      </c>
      <c r="H442" t="s">
        <v>90</v>
      </c>
      <c r="I442" t="s">
        <v>42</v>
      </c>
      <c r="J442" t="s">
        <v>162</v>
      </c>
      <c r="K442" s="3">
        <v>2730.86</v>
      </c>
      <c r="L442" s="3">
        <v>1469.37</v>
      </c>
      <c r="M442">
        <v>3</v>
      </c>
      <c r="N442" s="4">
        <v>0.1</v>
      </c>
      <c r="O442" t="s">
        <v>136</v>
      </c>
      <c r="P442" t="s">
        <v>58</v>
      </c>
    </row>
    <row r="443" spans="1:16">
      <c r="A443" t="s">
        <v>595</v>
      </c>
      <c r="B443" s="2">
        <v>46008</v>
      </c>
      <c r="C443" t="s">
        <v>47</v>
      </c>
      <c r="D443" t="s">
        <v>48</v>
      </c>
      <c r="E443" t="s">
        <v>132</v>
      </c>
      <c r="F443" t="s">
        <v>133</v>
      </c>
      <c r="G443" t="s">
        <v>40</v>
      </c>
      <c r="H443" t="s">
        <v>41</v>
      </c>
      <c r="I443" t="s">
        <v>42</v>
      </c>
      <c r="J443" t="s">
        <v>43</v>
      </c>
      <c r="K443" s="3">
        <v>4258.22</v>
      </c>
      <c r="L443" s="3">
        <v>1199.75</v>
      </c>
      <c r="M443">
        <v>5</v>
      </c>
      <c r="N443" s="4">
        <v>0.1</v>
      </c>
      <c r="O443" t="s">
        <v>34</v>
      </c>
      <c r="P443" t="s">
        <v>58</v>
      </c>
    </row>
    <row r="444" spans="1:16">
      <c r="A444" t="s">
        <v>596</v>
      </c>
      <c r="B444" s="2">
        <v>45589</v>
      </c>
      <c r="C444" t="s">
        <v>144</v>
      </c>
      <c r="D444" t="s">
        <v>145</v>
      </c>
      <c r="E444" t="s">
        <v>49</v>
      </c>
      <c r="F444" t="s">
        <v>50</v>
      </c>
      <c r="G444" t="s">
        <v>51</v>
      </c>
      <c r="H444" t="s">
        <v>52</v>
      </c>
      <c r="I444" t="s">
        <v>42</v>
      </c>
      <c r="J444" t="s">
        <v>43</v>
      </c>
      <c r="K444" s="3">
        <v>26185.63</v>
      </c>
      <c r="L444" s="3">
        <v>22769.01</v>
      </c>
      <c r="M444">
        <v>3</v>
      </c>
      <c r="N444" s="4">
        <v>0.05</v>
      </c>
      <c r="O444" t="s">
        <v>34</v>
      </c>
      <c r="P444" t="s">
        <v>77</v>
      </c>
    </row>
    <row r="445" spans="1:16">
      <c r="A445" t="s">
        <v>597</v>
      </c>
      <c r="B445" s="2">
        <v>45652</v>
      </c>
      <c r="C445" t="s">
        <v>60</v>
      </c>
      <c r="D445" t="s">
        <v>61</v>
      </c>
      <c r="E445" t="s">
        <v>19</v>
      </c>
      <c r="F445" t="s">
        <v>20</v>
      </c>
      <c r="G445" t="s">
        <v>21</v>
      </c>
      <c r="H445" t="s">
        <v>22</v>
      </c>
      <c r="I445" t="s">
        <v>53</v>
      </c>
      <c r="J445" t="s">
        <v>54</v>
      </c>
      <c r="K445" s="3">
        <v>27958.2</v>
      </c>
      <c r="L445" s="3">
        <v>14941.1</v>
      </c>
      <c r="M445">
        <v>5</v>
      </c>
      <c r="N445" s="4">
        <v>0.15</v>
      </c>
      <c r="O445" t="s">
        <v>34</v>
      </c>
      <c r="P445" t="s">
        <v>45</v>
      </c>
    </row>
    <row r="446" spans="1:16">
      <c r="A446" t="s">
        <v>598</v>
      </c>
      <c r="B446" s="2">
        <v>45401</v>
      </c>
      <c r="C446" t="s">
        <v>207</v>
      </c>
      <c r="D446" t="s">
        <v>208</v>
      </c>
      <c r="E446" t="s">
        <v>30</v>
      </c>
      <c r="F446" t="s">
        <v>31</v>
      </c>
      <c r="G446" t="s">
        <v>21</v>
      </c>
      <c r="H446" t="s">
        <v>32</v>
      </c>
      <c r="I446" t="s">
        <v>56</v>
      </c>
      <c r="J446" t="s">
        <v>57</v>
      </c>
      <c r="K446" s="3">
        <v>54356.45</v>
      </c>
      <c r="L446" s="3">
        <v>46856.36</v>
      </c>
      <c r="M446">
        <v>1</v>
      </c>
      <c r="N446" s="4">
        <v>0</v>
      </c>
      <c r="O446" t="s">
        <v>76</v>
      </c>
      <c r="P446" t="s">
        <v>45</v>
      </c>
    </row>
    <row r="447" spans="1:16">
      <c r="A447" t="s">
        <v>599</v>
      </c>
      <c r="B447" s="2">
        <v>45991</v>
      </c>
      <c r="C447" t="s">
        <v>79</v>
      </c>
      <c r="D447" t="s">
        <v>80</v>
      </c>
      <c r="E447" t="s">
        <v>117</v>
      </c>
      <c r="F447" t="s">
        <v>118</v>
      </c>
      <c r="G447" t="s">
        <v>51</v>
      </c>
      <c r="H447" t="s">
        <v>119</v>
      </c>
      <c r="I447" t="s">
        <v>84</v>
      </c>
      <c r="J447" t="s">
        <v>142</v>
      </c>
      <c r="K447" s="3">
        <v>14606.24</v>
      </c>
      <c r="L447" s="3">
        <v>12545.37</v>
      </c>
      <c r="M447">
        <v>3</v>
      </c>
      <c r="N447" s="4">
        <v>0.1</v>
      </c>
      <c r="O447" t="s">
        <v>76</v>
      </c>
      <c r="P447" t="s">
        <v>58</v>
      </c>
    </row>
    <row r="448" spans="1:16">
      <c r="A448" t="s">
        <v>600</v>
      </c>
      <c r="B448" s="2">
        <v>45922</v>
      </c>
      <c r="C448" t="s">
        <v>158</v>
      </c>
      <c r="D448" t="s">
        <v>159</v>
      </c>
      <c r="E448" t="s">
        <v>38</v>
      </c>
      <c r="F448" t="s">
        <v>39</v>
      </c>
      <c r="G448" t="s">
        <v>40</v>
      </c>
      <c r="H448" t="s">
        <v>41</v>
      </c>
      <c r="I448" t="s">
        <v>23</v>
      </c>
      <c r="J448" t="s">
        <v>33</v>
      </c>
      <c r="K448" s="3">
        <v>7151.44</v>
      </c>
      <c r="L448" s="3">
        <v>2682.4</v>
      </c>
      <c r="M448">
        <v>5</v>
      </c>
      <c r="N448" s="4">
        <v>0.2</v>
      </c>
      <c r="O448" t="s">
        <v>136</v>
      </c>
      <c r="P448" t="s">
        <v>58</v>
      </c>
    </row>
    <row r="449" spans="1:16">
      <c r="A449" t="s">
        <v>601</v>
      </c>
      <c r="B449" s="2">
        <v>45972</v>
      </c>
      <c r="C449" t="s">
        <v>114</v>
      </c>
      <c r="D449" t="s">
        <v>115</v>
      </c>
      <c r="E449" t="s">
        <v>123</v>
      </c>
      <c r="F449" t="s">
        <v>124</v>
      </c>
      <c r="G449" t="s">
        <v>51</v>
      </c>
      <c r="H449" t="s">
        <v>125</v>
      </c>
      <c r="I449" t="s">
        <v>42</v>
      </c>
      <c r="J449" t="s">
        <v>162</v>
      </c>
      <c r="K449" s="3">
        <v>24366.57</v>
      </c>
      <c r="L449" s="3">
        <v>19535.349999999999</v>
      </c>
      <c r="M449">
        <v>1</v>
      </c>
      <c r="N449" s="4">
        <v>0.1</v>
      </c>
      <c r="O449" t="s">
        <v>34</v>
      </c>
      <c r="P449" t="s">
        <v>58</v>
      </c>
    </row>
    <row r="450" spans="1:16">
      <c r="A450" t="s">
        <v>602</v>
      </c>
      <c r="B450" s="2">
        <v>45927</v>
      </c>
      <c r="C450" t="s">
        <v>140</v>
      </c>
      <c r="D450" t="s">
        <v>141</v>
      </c>
      <c r="E450" t="s">
        <v>175</v>
      </c>
      <c r="F450" t="s">
        <v>176</v>
      </c>
      <c r="G450" t="s">
        <v>51</v>
      </c>
      <c r="H450" t="s">
        <v>177</v>
      </c>
      <c r="I450" t="s">
        <v>84</v>
      </c>
      <c r="J450" t="s">
        <v>85</v>
      </c>
      <c r="K450" s="3">
        <v>110713.43</v>
      </c>
      <c r="L450" s="3">
        <v>68223.8</v>
      </c>
      <c r="M450">
        <v>4</v>
      </c>
      <c r="N450" s="4">
        <v>0.1</v>
      </c>
      <c r="O450" t="s">
        <v>34</v>
      </c>
      <c r="P450" t="s">
        <v>58</v>
      </c>
    </row>
    <row r="451" spans="1:16">
      <c r="A451" t="s">
        <v>603</v>
      </c>
      <c r="B451" s="2">
        <v>45751</v>
      </c>
      <c r="C451" t="s">
        <v>79</v>
      </c>
      <c r="D451" t="s">
        <v>80</v>
      </c>
      <c r="E451" t="s">
        <v>49</v>
      </c>
      <c r="F451" t="s">
        <v>50</v>
      </c>
      <c r="G451" t="s">
        <v>51</v>
      </c>
      <c r="H451" t="s">
        <v>52</v>
      </c>
      <c r="I451" t="s">
        <v>84</v>
      </c>
      <c r="J451" t="s">
        <v>142</v>
      </c>
      <c r="K451" s="3">
        <v>16333.54</v>
      </c>
      <c r="L451" s="3">
        <v>15353.66</v>
      </c>
      <c r="M451">
        <v>2</v>
      </c>
      <c r="N451" s="4">
        <v>0.05</v>
      </c>
      <c r="O451" t="s">
        <v>34</v>
      </c>
      <c r="P451" t="s">
        <v>58</v>
      </c>
    </row>
    <row r="452" spans="1:16">
      <c r="A452" t="s">
        <v>604</v>
      </c>
      <c r="B452" s="2">
        <v>45577</v>
      </c>
      <c r="C452" t="s">
        <v>104</v>
      </c>
      <c r="D452" t="s">
        <v>105</v>
      </c>
      <c r="E452" t="s">
        <v>81</v>
      </c>
      <c r="F452" t="s">
        <v>82</v>
      </c>
      <c r="G452" t="s">
        <v>21</v>
      </c>
      <c r="H452" t="s">
        <v>83</v>
      </c>
      <c r="I452" t="s">
        <v>56</v>
      </c>
      <c r="J452" t="s">
        <v>91</v>
      </c>
      <c r="K452" s="3">
        <v>101466.81</v>
      </c>
      <c r="L452" s="3">
        <v>85756.3</v>
      </c>
      <c r="M452">
        <v>5</v>
      </c>
      <c r="N452" s="4">
        <v>0.1</v>
      </c>
      <c r="O452" t="s">
        <v>25</v>
      </c>
      <c r="P452" t="s">
        <v>77</v>
      </c>
    </row>
    <row r="453" spans="1:16">
      <c r="A453" t="s">
        <v>605</v>
      </c>
      <c r="B453" s="2">
        <v>45449</v>
      </c>
      <c r="C453" t="s">
        <v>170</v>
      </c>
      <c r="D453" t="s">
        <v>171</v>
      </c>
      <c r="E453" t="s">
        <v>152</v>
      </c>
      <c r="F453" t="s">
        <v>153</v>
      </c>
      <c r="G453" t="s">
        <v>21</v>
      </c>
      <c r="H453" t="s">
        <v>32</v>
      </c>
      <c r="I453" t="s">
        <v>23</v>
      </c>
      <c r="J453" t="s">
        <v>24</v>
      </c>
      <c r="K453" s="3">
        <v>34575.769999999997</v>
      </c>
      <c r="L453" s="3">
        <v>24465.03</v>
      </c>
      <c r="M453">
        <v>3</v>
      </c>
      <c r="N453" s="4">
        <v>0.2</v>
      </c>
      <c r="O453" t="s">
        <v>44</v>
      </c>
      <c r="P453" t="s">
        <v>98</v>
      </c>
    </row>
    <row r="454" spans="1:16">
      <c r="A454" t="s">
        <v>606</v>
      </c>
      <c r="B454" s="2">
        <v>45366</v>
      </c>
      <c r="C454" t="s">
        <v>147</v>
      </c>
      <c r="D454" t="s">
        <v>148</v>
      </c>
      <c r="E454" t="s">
        <v>187</v>
      </c>
      <c r="F454" t="s">
        <v>188</v>
      </c>
      <c r="G454" t="s">
        <v>89</v>
      </c>
      <c r="H454" t="s">
        <v>189</v>
      </c>
      <c r="I454" t="s">
        <v>84</v>
      </c>
      <c r="J454" t="s">
        <v>134</v>
      </c>
      <c r="K454" s="3">
        <v>30493.919999999998</v>
      </c>
      <c r="L454" s="3">
        <v>16583.79</v>
      </c>
      <c r="M454">
        <v>3</v>
      </c>
      <c r="N454" s="4">
        <v>0.2</v>
      </c>
      <c r="O454" t="s">
        <v>25</v>
      </c>
      <c r="P454" t="s">
        <v>58</v>
      </c>
    </row>
    <row r="455" spans="1:16">
      <c r="A455" t="s">
        <v>607</v>
      </c>
      <c r="B455" s="2">
        <v>45705</v>
      </c>
      <c r="C455" t="s">
        <v>207</v>
      </c>
      <c r="D455" t="s">
        <v>208</v>
      </c>
      <c r="E455" t="s">
        <v>187</v>
      </c>
      <c r="F455" t="s">
        <v>188</v>
      </c>
      <c r="G455" t="s">
        <v>89</v>
      </c>
      <c r="H455" t="s">
        <v>189</v>
      </c>
      <c r="I455" t="s">
        <v>56</v>
      </c>
      <c r="J455" t="s">
        <v>57</v>
      </c>
      <c r="K455" s="3">
        <v>10982.19</v>
      </c>
      <c r="L455" s="3">
        <v>5334.34</v>
      </c>
      <c r="M455">
        <v>1</v>
      </c>
      <c r="N455" s="4">
        <v>0.1</v>
      </c>
      <c r="O455" t="s">
        <v>44</v>
      </c>
      <c r="P455" t="s">
        <v>77</v>
      </c>
    </row>
    <row r="456" spans="1:16">
      <c r="A456" t="s">
        <v>608</v>
      </c>
      <c r="B456" s="2">
        <v>45925</v>
      </c>
      <c r="C456" t="s">
        <v>265</v>
      </c>
      <c r="D456" t="s">
        <v>266</v>
      </c>
      <c r="E456" t="s">
        <v>49</v>
      </c>
      <c r="F456" t="s">
        <v>50</v>
      </c>
      <c r="G456" t="s">
        <v>51</v>
      </c>
      <c r="H456" t="s">
        <v>52</v>
      </c>
      <c r="I456" t="s">
        <v>53</v>
      </c>
      <c r="J456" t="s">
        <v>54</v>
      </c>
      <c r="K456" s="3">
        <v>67715.8</v>
      </c>
      <c r="L456" s="3">
        <v>34824</v>
      </c>
      <c r="M456">
        <v>5</v>
      </c>
      <c r="N456" s="4">
        <v>0</v>
      </c>
      <c r="O456" t="s">
        <v>25</v>
      </c>
      <c r="P456" t="s">
        <v>77</v>
      </c>
    </row>
    <row r="457" spans="1:16">
      <c r="A457" t="s">
        <v>609</v>
      </c>
      <c r="B457" s="2">
        <v>45920</v>
      </c>
      <c r="C457" t="s">
        <v>170</v>
      </c>
      <c r="D457" t="s">
        <v>171</v>
      </c>
      <c r="E457" t="s">
        <v>72</v>
      </c>
      <c r="F457" t="s">
        <v>73</v>
      </c>
      <c r="G457" t="s">
        <v>51</v>
      </c>
      <c r="H457" t="s">
        <v>74</v>
      </c>
      <c r="I457" t="s">
        <v>42</v>
      </c>
      <c r="J457" t="s">
        <v>68</v>
      </c>
      <c r="K457" s="3">
        <v>21150.54</v>
      </c>
      <c r="L457" s="3">
        <v>18975.3</v>
      </c>
      <c r="M457">
        <v>5</v>
      </c>
      <c r="N457" s="4">
        <v>0.1</v>
      </c>
      <c r="O457" t="s">
        <v>136</v>
      </c>
      <c r="P457" t="s">
        <v>58</v>
      </c>
    </row>
    <row r="458" spans="1:16">
      <c r="A458" t="s">
        <v>610</v>
      </c>
      <c r="B458" s="2">
        <v>45581</v>
      </c>
      <c r="C458" t="s">
        <v>104</v>
      </c>
      <c r="D458" t="s">
        <v>105</v>
      </c>
      <c r="E458" t="s">
        <v>175</v>
      </c>
      <c r="F458" t="s">
        <v>176</v>
      </c>
      <c r="G458" t="s">
        <v>51</v>
      </c>
      <c r="H458" t="s">
        <v>177</v>
      </c>
      <c r="I458" t="s">
        <v>56</v>
      </c>
      <c r="J458" t="s">
        <v>57</v>
      </c>
      <c r="K458" s="3">
        <v>26545.77</v>
      </c>
      <c r="L458" s="3">
        <v>17316.27</v>
      </c>
      <c r="M458">
        <v>1</v>
      </c>
      <c r="N458" s="4">
        <v>0.1</v>
      </c>
      <c r="O458" t="s">
        <v>34</v>
      </c>
      <c r="P458" t="s">
        <v>98</v>
      </c>
    </row>
    <row r="459" spans="1:16">
      <c r="A459" t="s">
        <v>611</v>
      </c>
      <c r="B459" s="2">
        <v>45959</v>
      </c>
      <c r="C459" t="s">
        <v>197</v>
      </c>
      <c r="D459" t="s">
        <v>198</v>
      </c>
      <c r="E459" t="s">
        <v>81</v>
      </c>
      <c r="F459" t="s">
        <v>82</v>
      </c>
      <c r="G459" t="s">
        <v>21</v>
      </c>
      <c r="H459" t="s">
        <v>83</v>
      </c>
      <c r="I459" t="s">
        <v>84</v>
      </c>
      <c r="J459" t="s">
        <v>142</v>
      </c>
      <c r="K459" s="3">
        <v>42764.02</v>
      </c>
      <c r="L459" s="3">
        <v>34706.26</v>
      </c>
      <c r="M459">
        <v>2</v>
      </c>
      <c r="N459" s="4">
        <v>0</v>
      </c>
      <c r="O459" t="s">
        <v>76</v>
      </c>
      <c r="P459" t="s">
        <v>58</v>
      </c>
    </row>
    <row r="460" spans="1:16">
      <c r="A460" t="s">
        <v>612</v>
      </c>
      <c r="B460" s="2">
        <v>45978</v>
      </c>
      <c r="C460" t="s">
        <v>17</v>
      </c>
      <c r="D460" t="s">
        <v>18</v>
      </c>
      <c r="E460" t="s">
        <v>62</v>
      </c>
      <c r="F460" t="s">
        <v>63</v>
      </c>
      <c r="G460" t="s">
        <v>21</v>
      </c>
      <c r="H460" t="s">
        <v>64</v>
      </c>
      <c r="I460" t="s">
        <v>84</v>
      </c>
      <c r="J460" t="s">
        <v>85</v>
      </c>
      <c r="K460" s="3">
        <v>7836.32</v>
      </c>
      <c r="L460" s="3">
        <v>3862.76</v>
      </c>
      <c r="M460">
        <v>2</v>
      </c>
      <c r="N460" s="4">
        <v>0</v>
      </c>
      <c r="O460" t="s">
        <v>76</v>
      </c>
      <c r="P460" t="s">
        <v>26</v>
      </c>
    </row>
    <row r="461" spans="1:16">
      <c r="A461" t="s">
        <v>613</v>
      </c>
      <c r="B461" s="2">
        <v>45994</v>
      </c>
      <c r="C461" t="s">
        <v>17</v>
      </c>
      <c r="D461" t="s">
        <v>18</v>
      </c>
      <c r="E461" t="s">
        <v>62</v>
      </c>
      <c r="F461" t="s">
        <v>63</v>
      </c>
      <c r="G461" t="s">
        <v>21</v>
      </c>
      <c r="H461" t="s">
        <v>64</v>
      </c>
      <c r="I461" t="s">
        <v>42</v>
      </c>
      <c r="J461" t="s">
        <v>162</v>
      </c>
      <c r="K461" s="3">
        <v>10460.879999999999</v>
      </c>
      <c r="L461" s="3">
        <v>3257.1</v>
      </c>
      <c r="M461">
        <v>2</v>
      </c>
      <c r="N461" s="4">
        <v>0</v>
      </c>
      <c r="O461" t="s">
        <v>25</v>
      </c>
      <c r="P461" t="s">
        <v>58</v>
      </c>
    </row>
    <row r="462" spans="1:16">
      <c r="A462" t="s">
        <v>614</v>
      </c>
      <c r="B462" s="2">
        <v>45549</v>
      </c>
      <c r="C462" t="s">
        <v>28</v>
      </c>
      <c r="D462" t="s">
        <v>29</v>
      </c>
      <c r="E462" t="s">
        <v>117</v>
      </c>
      <c r="F462" t="s">
        <v>118</v>
      </c>
      <c r="G462" t="s">
        <v>51</v>
      </c>
      <c r="H462" t="s">
        <v>119</v>
      </c>
      <c r="I462" t="s">
        <v>53</v>
      </c>
      <c r="J462" t="s">
        <v>54</v>
      </c>
      <c r="K462" s="3">
        <v>44715.83</v>
      </c>
      <c r="L462" s="3">
        <v>20567</v>
      </c>
      <c r="M462">
        <v>5</v>
      </c>
      <c r="N462" s="4">
        <v>0.1</v>
      </c>
      <c r="O462" t="s">
        <v>136</v>
      </c>
      <c r="P462" t="s">
        <v>26</v>
      </c>
    </row>
    <row r="463" spans="1:16">
      <c r="A463" t="s">
        <v>615</v>
      </c>
      <c r="B463" s="2">
        <v>45615</v>
      </c>
      <c r="C463" t="s">
        <v>170</v>
      </c>
      <c r="D463" t="s">
        <v>171</v>
      </c>
      <c r="E463" t="s">
        <v>106</v>
      </c>
      <c r="F463" t="s">
        <v>107</v>
      </c>
      <c r="G463" t="s">
        <v>40</v>
      </c>
      <c r="H463" t="s">
        <v>108</v>
      </c>
      <c r="I463" t="s">
        <v>56</v>
      </c>
      <c r="J463" t="s">
        <v>91</v>
      </c>
      <c r="K463" s="3">
        <v>1060.27</v>
      </c>
      <c r="L463" s="3">
        <v>684.53</v>
      </c>
      <c r="M463">
        <v>1</v>
      </c>
      <c r="N463" s="4">
        <v>0</v>
      </c>
      <c r="O463" t="s">
        <v>34</v>
      </c>
      <c r="P463" t="s">
        <v>58</v>
      </c>
    </row>
    <row r="464" spans="1:16">
      <c r="A464" t="s">
        <v>616</v>
      </c>
      <c r="B464" s="2">
        <v>46009</v>
      </c>
      <c r="C464" t="s">
        <v>79</v>
      </c>
      <c r="D464" t="s">
        <v>80</v>
      </c>
      <c r="E464" t="s">
        <v>95</v>
      </c>
      <c r="F464" t="s">
        <v>96</v>
      </c>
      <c r="G464" t="s">
        <v>89</v>
      </c>
      <c r="H464" t="s">
        <v>97</v>
      </c>
      <c r="I464" t="s">
        <v>23</v>
      </c>
      <c r="J464" t="s">
        <v>24</v>
      </c>
      <c r="K464" s="3">
        <v>5826.97</v>
      </c>
      <c r="L464" s="3">
        <v>3400.39</v>
      </c>
      <c r="M464">
        <v>1</v>
      </c>
      <c r="N464" s="4">
        <v>0.1</v>
      </c>
      <c r="O464" t="s">
        <v>44</v>
      </c>
      <c r="P464" t="s">
        <v>58</v>
      </c>
    </row>
    <row r="465" spans="1:16">
      <c r="A465" t="s">
        <v>617</v>
      </c>
      <c r="B465" s="2">
        <v>45696</v>
      </c>
      <c r="C465" t="s">
        <v>265</v>
      </c>
      <c r="D465" t="s">
        <v>266</v>
      </c>
      <c r="E465" t="s">
        <v>38</v>
      </c>
      <c r="F465" t="s">
        <v>39</v>
      </c>
      <c r="G465" t="s">
        <v>40</v>
      </c>
      <c r="H465" t="s">
        <v>41</v>
      </c>
      <c r="I465" t="s">
        <v>56</v>
      </c>
      <c r="J465" t="s">
        <v>91</v>
      </c>
      <c r="K465" s="3">
        <v>1380.87</v>
      </c>
      <c r="L465" s="3">
        <v>497.4</v>
      </c>
      <c r="M465">
        <v>1</v>
      </c>
      <c r="N465" s="4">
        <v>0.05</v>
      </c>
      <c r="O465" t="s">
        <v>136</v>
      </c>
      <c r="P465" t="s">
        <v>45</v>
      </c>
    </row>
    <row r="466" spans="1:16">
      <c r="A466" t="s">
        <v>618</v>
      </c>
      <c r="B466" s="2">
        <v>45985</v>
      </c>
      <c r="C466" t="s">
        <v>17</v>
      </c>
      <c r="D466" t="s">
        <v>18</v>
      </c>
      <c r="E466" t="s">
        <v>152</v>
      </c>
      <c r="F466" t="s">
        <v>153</v>
      </c>
      <c r="G466" t="s">
        <v>21</v>
      </c>
      <c r="H466" t="s">
        <v>32</v>
      </c>
      <c r="I466" t="s">
        <v>84</v>
      </c>
      <c r="J466" t="s">
        <v>142</v>
      </c>
      <c r="K466" s="3">
        <v>21692.400000000001</v>
      </c>
      <c r="L466" s="3">
        <v>26195.49</v>
      </c>
      <c r="M466">
        <v>3</v>
      </c>
      <c r="N466" s="4">
        <v>0.2</v>
      </c>
      <c r="O466" t="s">
        <v>76</v>
      </c>
      <c r="P466" t="s">
        <v>58</v>
      </c>
    </row>
    <row r="467" spans="1:16">
      <c r="A467" t="s">
        <v>619</v>
      </c>
      <c r="B467" s="2">
        <v>45902</v>
      </c>
      <c r="C467" t="s">
        <v>28</v>
      </c>
      <c r="D467" t="s">
        <v>29</v>
      </c>
      <c r="E467" t="s">
        <v>30</v>
      </c>
      <c r="F467" t="s">
        <v>31</v>
      </c>
      <c r="G467" t="s">
        <v>21</v>
      </c>
      <c r="H467" t="s">
        <v>32</v>
      </c>
      <c r="I467" t="s">
        <v>42</v>
      </c>
      <c r="J467" t="s">
        <v>43</v>
      </c>
      <c r="K467" s="3">
        <v>231854.58</v>
      </c>
      <c r="L467" s="3">
        <v>193426.64</v>
      </c>
      <c r="M467">
        <v>4</v>
      </c>
      <c r="N467" s="4">
        <v>0.1</v>
      </c>
      <c r="O467" t="s">
        <v>76</v>
      </c>
      <c r="P467" t="s">
        <v>77</v>
      </c>
    </row>
    <row r="468" spans="1:16">
      <c r="A468" t="s">
        <v>620</v>
      </c>
      <c r="B468" s="2">
        <v>45816</v>
      </c>
      <c r="C468" t="s">
        <v>144</v>
      </c>
      <c r="D468" t="s">
        <v>145</v>
      </c>
      <c r="E468" t="s">
        <v>132</v>
      </c>
      <c r="F468" t="s">
        <v>133</v>
      </c>
      <c r="G468" t="s">
        <v>40</v>
      </c>
      <c r="H468" t="s">
        <v>41</v>
      </c>
      <c r="I468" t="s">
        <v>42</v>
      </c>
      <c r="J468" t="s">
        <v>68</v>
      </c>
      <c r="K468" s="3">
        <v>967.81</v>
      </c>
      <c r="L468" s="3">
        <v>466.1</v>
      </c>
      <c r="M468">
        <v>2</v>
      </c>
      <c r="N468" s="4">
        <v>0.1</v>
      </c>
      <c r="O468" t="s">
        <v>76</v>
      </c>
      <c r="P468" t="s">
        <v>58</v>
      </c>
    </row>
    <row r="469" spans="1:16">
      <c r="A469" t="s">
        <v>621</v>
      </c>
      <c r="B469" s="2">
        <v>45347</v>
      </c>
      <c r="C469" t="s">
        <v>200</v>
      </c>
      <c r="D469" t="s">
        <v>201</v>
      </c>
      <c r="E469" t="s">
        <v>95</v>
      </c>
      <c r="F469" t="s">
        <v>96</v>
      </c>
      <c r="G469" t="s">
        <v>89</v>
      </c>
      <c r="H469" t="s">
        <v>97</v>
      </c>
      <c r="I469" t="s">
        <v>53</v>
      </c>
      <c r="J469" t="s">
        <v>102</v>
      </c>
      <c r="K469" s="3">
        <v>30205.35</v>
      </c>
      <c r="L469" s="3">
        <v>17364.45</v>
      </c>
      <c r="M469">
        <v>5</v>
      </c>
      <c r="N469" s="4">
        <v>0.1</v>
      </c>
      <c r="O469" t="s">
        <v>25</v>
      </c>
      <c r="P469" t="s">
        <v>45</v>
      </c>
    </row>
    <row r="470" spans="1:16">
      <c r="A470" t="s">
        <v>622</v>
      </c>
      <c r="B470" s="2">
        <v>45886</v>
      </c>
      <c r="C470" t="s">
        <v>179</v>
      </c>
      <c r="D470" t="s">
        <v>180</v>
      </c>
      <c r="E470" t="s">
        <v>49</v>
      </c>
      <c r="F470" t="s">
        <v>50</v>
      </c>
      <c r="G470" t="s">
        <v>51</v>
      </c>
      <c r="H470" t="s">
        <v>52</v>
      </c>
      <c r="I470" t="s">
        <v>42</v>
      </c>
      <c r="J470" t="s">
        <v>162</v>
      </c>
      <c r="K470" s="3">
        <v>43580.41</v>
      </c>
      <c r="L470" s="3">
        <v>30528.639999999999</v>
      </c>
      <c r="M470">
        <v>4</v>
      </c>
      <c r="N470" s="4">
        <v>0.05</v>
      </c>
      <c r="O470" t="s">
        <v>25</v>
      </c>
      <c r="P470" t="s">
        <v>45</v>
      </c>
    </row>
    <row r="471" spans="1:16">
      <c r="A471" t="s">
        <v>623</v>
      </c>
      <c r="B471" s="2">
        <v>45617</v>
      </c>
      <c r="C471" t="s">
        <v>155</v>
      </c>
      <c r="D471" t="s">
        <v>156</v>
      </c>
      <c r="E471" t="s">
        <v>62</v>
      </c>
      <c r="F471" t="s">
        <v>63</v>
      </c>
      <c r="G471" t="s">
        <v>21</v>
      </c>
      <c r="H471" t="s">
        <v>64</v>
      </c>
      <c r="I471" t="s">
        <v>84</v>
      </c>
      <c r="J471" t="s">
        <v>85</v>
      </c>
      <c r="K471" s="3">
        <v>17206.849999999999</v>
      </c>
      <c r="L471" s="3">
        <v>7128.92</v>
      </c>
      <c r="M471">
        <v>4</v>
      </c>
      <c r="N471" s="4">
        <v>0.1</v>
      </c>
      <c r="O471" t="s">
        <v>34</v>
      </c>
      <c r="P471" t="s">
        <v>58</v>
      </c>
    </row>
    <row r="472" spans="1:16">
      <c r="A472" t="s">
        <v>624</v>
      </c>
      <c r="B472" s="2">
        <v>45615</v>
      </c>
      <c r="C472" t="s">
        <v>147</v>
      </c>
      <c r="D472" t="s">
        <v>148</v>
      </c>
      <c r="E472" t="s">
        <v>95</v>
      </c>
      <c r="F472" t="s">
        <v>96</v>
      </c>
      <c r="G472" t="s">
        <v>89</v>
      </c>
      <c r="H472" t="s">
        <v>97</v>
      </c>
      <c r="I472" t="s">
        <v>84</v>
      </c>
      <c r="J472" t="s">
        <v>134</v>
      </c>
      <c r="K472" s="3">
        <v>20942.29</v>
      </c>
      <c r="L472" s="3">
        <v>13072.2</v>
      </c>
      <c r="M472">
        <v>4</v>
      </c>
      <c r="N472" s="4">
        <v>0.05</v>
      </c>
      <c r="O472" t="s">
        <v>136</v>
      </c>
      <c r="P472" t="s">
        <v>45</v>
      </c>
    </row>
    <row r="473" spans="1:16">
      <c r="A473" t="s">
        <v>625</v>
      </c>
      <c r="B473" s="2">
        <v>45631</v>
      </c>
      <c r="C473" t="s">
        <v>158</v>
      </c>
      <c r="D473" t="s">
        <v>159</v>
      </c>
      <c r="E473" t="s">
        <v>152</v>
      </c>
      <c r="F473" t="s">
        <v>153</v>
      </c>
      <c r="G473" t="s">
        <v>21</v>
      </c>
      <c r="H473" t="s">
        <v>32</v>
      </c>
      <c r="I473" t="s">
        <v>42</v>
      </c>
      <c r="J473" t="s">
        <v>68</v>
      </c>
      <c r="K473" s="3">
        <v>41347.94</v>
      </c>
      <c r="L473" s="3">
        <v>31762.240000000002</v>
      </c>
      <c r="M473">
        <v>4</v>
      </c>
      <c r="N473" s="4">
        <v>0.1</v>
      </c>
      <c r="O473" t="s">
        <v>136</v>
      </c>
      <c r="P473" t="s">
        <v>58</v>
      </c>
    </row>
    <row r="474" spans="1:16">
      <c r="A474" t="s">
        <v>626</v>
      </c>
      <c r="B474" s="2">
        <v>45579</v>
      </c>
      <c r="C474" t="s">
        <v>200</v>
      </c>
      <c r="D474" t="s">
        <v>201</v>
      </c>
      <c r="E474" t="s">
        <v>193</v>
      </c>
      <c r="F474" t="s">
        <v>194</v>
      </c>
      <c r="G474" t="s">
        <v>89</v>
      </c>
      <c r="H474" t="s">
        <v>90</v>
      </c>
      <c r="I474" t="s">
        <v>23</v>
      </c>
      <c r="J474" t="s">
        <v>33</v>
      </c>
      <c r="K474" s="3">
        <v>1671.44</v>
      </c>
      <c r="L474" s="3">
        <v>1078.26</v>
      </c>
      <c r="M474">
        <v>2</v>
      </c>
      <c r="N474" s="4">
        <v>0</v>
      </c>
      <c r="O474" t="s">
        <v>25</v>
      </c>
      <c r="P474" t="s">
        <v>58</v>
      </c>
    </row>
    <row r="475" spans="1:16">
      <c r="A475" t="s">
        <v>627</v>
      </c>
      <c r="B475" s="2">
        <v>45887</v>
      </c>
      <c r="C475" t="s">
        <v>114</v>
      </c>
      <c r="D475" t="s">
        <v>115</v>
      </c>
      <c r="E475" t="s">
        <v>30</v>
      </c>
      <c r="F475" t="s">
        <v>31</v>
      </c>
      <c r="G475" t="s">
        <v>21</v>
      </c>
      <c r="H475" t="s">
        <v>32</v>
      </c>
      <c r="I475" t="s">
        <v>53</v>
      </c>
      <c r="J475" t="s">
        <v>102</v>
      </c>
      <c r="K475" s="3">
        <v>301960.05</v>
      </c>
      <c r="L475" s="3">
        <v>235446.45</v>
      </c>
      <c r="M475">
        <v>5</v>
      </c>
      <c r="N475" s="4">
        <v>0</v>
      </c>
      <c r="O475" t="s">
        <v>34</v>
      </c>
      <c r="P475" t="s">
        <v>45</v>
      </c>
    </row>
    <row r="476" spans="1:16">
      <c r="A476" t="s">
        <v>628</v>
      </c>
      <c r="B476" s="2">
        <v>45961</v>
      </c>
      <c r="C476" t="s">
        <v>70</v>
      </c>
      <c r="D476" t="s">
        <v>71</v>
      </c>
      <c r="E476" t="s">
        <v>187</v>
      </c>
      <c r="F476" t="s">
        <v>188</v>
      </c>
      <c r="G476" t="s">
        <v>89</v>
      </c>
      <c r="H476" t="s">
        <v>189</v>
      </c>
      <c r="I476" t="s">
        <v>56</v>
      </c>
      <c r="J476" t="s">
        <v>191</v>
      </c>
      <c r="K476" s="3">
        <v>12299.87</v>
      </c>
      <c r="L476" s="3">
        <v>10704.8</v>
      </c>
      <c r="M476">
        <v>2</v>
      </c>
      <c r="N476" s="4">
        <v>0.2</v>
      </c>
      <c r="O476" t="s">
        <v>44</v>
      </c>
      <c r="P476" t="s">
        <v>58</v>
      </c>
    </row>
    <row r="477" spans="1:16">
      <c r="A477" t="s">
        <v>629</v>
      </c>
      <c r="B477" s="2">
        <v>45384</v>
      </c>
      <c r="C477" t="s">
        <v>170</v>
      </c>
      <c r="D477" t="s">
        <v>171</v>
      </c>
      <c r="E477" t="s">
        <v>182</v>
      </c>
      <c r="F477" t="s">
        <v>183</v>
      </c>
      <c r="G477" t="s">
        <v>89</v>
      </c>
      <c r="H477" t="s">
        <v>90</v>
      </c>
      <c r="I477" t="s">
        <v>56</v>
      </c>
      <c r="J477" t="s">
        <v>57</v>
      </c>
      <c r="K477" s="3">
        <v>25829.02</v>
      </c>
      <c r="L477" s="3">
        <v>23346.560000000001</v>
      </c>
      <c r="M477">
        <v>4</v>
      </c>
      <c r="N477" s="4">
        <v>0.05</v>
      </c>
      <c r="O477" t="s">
        <v>34</v>
      </c>
      <c r="P477" t="s">
        <v>58</v>
      </c>
    </row>
    <row r="478" spans="1:16">
      <c r="A478" t="s">
        <v>630</v>
      </c>
      <c r="B478" s="2">
        <v>45748</v>
      </c>
      <c r="C478" t="s">
        <v>79</v>
      </c>
      <c r="D478" t="s">
        <v>80</v>
      </c>
      <c r="E478" t="s">
        <v>182</v>
      </c>
      <c r="F478" t="s">
        <v>183</v>
      </c>
      <c r="G478" t="s">
        <v>89</v>
      </c>
      <c r="H478" t="s">
        <v>90</v>
      </c>
      <c r="I478" t="s">
        <v>23</v>
      </c>
      <c r="J478" t="s">
        <v>75</v>
      </c>
      <c r="K478" s="3">
        <v>25890.58</v>
      </c>
      <c r="L478" s="3">
        <v>11229.94</v>
      </c>
      <c r="M478">
        <v>2</v>
      </c>
      <c r="N478" s="4">
        <v>0.05</v>
      </c>
      <c r="O478" t="s">
        <v>136</v>
      </c>
      <c r="P478" t="s">
        <v>77</v>
      </c>
    </row>
    <row r="479" spans="1:16">
      <c r="A479" t="s">
        <v>631</v>
      </c>
      <c r="B479" s="2">
        <v>45791</v>
      </c>
      <c r="C479" t="s">
        <v>28</v>
      </c>
      <c r="D479" t="s">
        <v>29</v>
      </c>
      <c r="E479" t="s">
        <v>72</v>
      </c>
      <c r="F479" t="s">
        <v>73</v>
      </c>
      <c r="G479" t="s">
        <v>51</v>
      </c>
      <c r="H479" t="s">
        <v>74</v>
      </c>
      <c r="I479" t="s">
        <v>53</v>
      </c>
      <c r="J479" t="s">
        <v>54</v>
      </c>
      <c r="K479" s="3">
        <v>13038.56</v>
      </c>
      <c r="L479" s="3">
        <v>7300.58</v>
      </c>
      <c r="M479">
        <v>2</v>
      </c>
      <c r="N479" s="4">
        <v>0</v>
      </c>
      <c r="O479" t="s">
        <v>76</v>
      </c>
      <c r="P479" t="s">
        <v>77</v>
      </c>
    </row>
    <row r="480" spans="1:16">
      <c r="A480" t="s">
        <v>632</v>
      </c>
      <c r="B480" s="2">
        <v>45339</v>
      </c>
      <c r="C480" t="s">
        <v>104</v>
      </c>
      <c r="D480" t="s">
        <v>105</v>
      </c>
      <c r="E480" t="s">
        <v>87</v>
      </c>
      <c r="F480" t="s">
        <v>88</v>
      </c>
      <c r="G480" t="s">
        <v>89</v>
      </c>
      <c r="H480" t="s">
        <v>90</v>
      </c>
      <c r="I480" t="s">
        <v>56</v>
      </c>
      <c r="J480" t="s">
        <v>191</v>
      </c>
      <c r="K480" s="3">
        <v>2516.0500000000002</v>
      </c>
      <c r="L480" s="3">
        <v>1973.01</v>
      </c>
      <c r="M480">
        <v>1</v>
      </c>
      <c r="N480" s="4">
        <v>0.2</v>
      </c>
      <c r="O480" t="s">
        <v>44</v>
      </c>
      <c r="P480" t="s">
        <v>45</v>
      </c>
    </row>
    <row r="481" spans="1:16">
      <c r="A481" t="s">
        <v>633</v>
      </c>
      <c r="B481" s="2">
        <v>45470</v>
      </c>
      <c r="C481" t="s">
        <v>147</v>
      </c>
      <c r="D481" t="s">
        <v>148</v>
      </c>
      <c r="E481" t="s">
        <v>187</v>
      </c>
      <c r="F481" t="s">
        <v>188</v>
      </c>
      <c r="G481" t="s">
        <v>89</v>
      </c>
      <c r="H481" t="s">
        <v>189</v>
      </c>
      <c r="I481" t="s">
        <v>42</v>
      </c>
      <c r="J481" t="s">
        <v>43</v>
      </c>
      <c r="K481" s="3">
        <v>34634.519999999997</v>
      </c>
      <c r="L481" s="3">
        <v>22676.16</v>
      </c>
      <c r="M481">
        <v>4</v>
      </c>
      <c r="N481" s="4">
        <v>0</v>
      </c>
      <c r="O481" t="s">
        <v>34</v>
      </c>
      <c r="P481" t="s">
        <v>45</v>
      </c>
    </row>
    <row r="482" spans="1:16">
      <c r="A482" t="s">
        <v>634</v>
      </c>
      <c r="B482" s="2">
        <v>45707</v>
      </c>
      <c r="C482" t="s">
        <v>104</v>
      </c>
      <c r="D482" t="s">
        <v>105</v>
      </c>
      <c r="E482" t="s">
        <v>72</v>
      </c>
      <c r="F482" t="s">
        <v>73</v>
      </c>
      <c r="G482" t="s">
        <v>51</v>
      </c>
      <c r="H482" t="s">
        <v>74</v>
      </c>
      <c r="I482" t="s">
        <v>56</v>
      </c>
      <c r="J482" t="s">
        <v>57</v>
      </c>
      <c r="K482" s="3">
        <v>16280.68</v>
      </c>
      <c r="L482" s="3">
        <v>12761.37</v>
      </c>
      <c r="M482">
        <v>3</v>
      </c>
      <c r="N482" s="4">
        <v>0.15</v>
      </c>
      <c r="O482" t="s">
        <v>34</v>
      </c>
      <c r="P482" t="s">
        <v>58</v>
      </c>
    </row>
    <row r="483" spans="1:16">
      <c r="A483" t="s">
        <v>635</v>
      </c>
      <c r="B483" s="2">
        <v>45461</v>
      </c>
      <c r="C483" t="s">
        <v>114</v>
      </c>
      <c r="D483" t="s">
        <v>115</v>
      </c>
      <c r="E483" t="s">
        <v>152</v>
      </c>
      <c r="F483" t="s">
        <v>153</v>
      </c>
      <c r="G483" t="s">
        <v>21</v>
      </c>
      <c r="H483" t="s">
        <v>32</v>
      </c>
      <c r="I483" t="s">
        <v>56</v>
      </c>
      <c r="J483" t="s">
        <v>191</v>
      </c>
      <c r="K483" s="3">
        <v>25631.15</v>
      </c>
      <c r="L483" s="3">
        <v>14646.68</v>
      </c>
      <c r="M483">
        <v>2</v>
      </c>
      <c r="N483" s="4">
        <v>0.05</v>
      </c>
      <c r="O483" t="s">
        <v>76</v>
      </c>
      <c r="P483" t="s">
        <v>58</v>
      </c>
    </row>
    <row r="484" spans="1:16">
      <c r="A484" t="s">
        <v>636</v>
      </c>
      <c r="B484" s="2">
        <v>45413</v>
      </c>
      <c r="C484" t="s">
        <v>200</v>
      </c>
      <c r="D484" t="s">
        <v>201</v>
      </c>
      <c r="E484" t="s">
        <v>172</v>
      </c>
      <c r="F484" t="s">
        <v>173</v>
      </c>
      <c r="G484" t="s">
        <v>40</v>
      </c>
      <c r="H484" t="s">
        <v>41</v>
      </c>
      <c r="I484" t="s">
        <v>42</v>
      </c>
      <c r="J484" t="s">
        <v>43</v>
      </c>
      <c r="K484" s="3">
        <v>3992.06</v>
      </c>
      <c r="L484" s="3">
        <v>1769.26</v>
      </c>
      <c r="M484">
        <v>2</v>
      </c>
      <c r="N484" s="4">
        <v>0</v>
      </c>
      <c r="O484" t="s">
        <v>136</v>
      </c>
      <c r="P484" t="s">
        <v>98</v>
      </c>
    </row>
    <row r="485" spans="1:16">
      <c r="A485" t="s">
        <v>637</v>
      </c>
      <c r="B485" s="2">
        <v>45457</v>
      </c>
      <c r="C485" t="s">
        <v>197</v>
      </c>
      <c r="D485" t="s">
        <v>198</v>
      </c>
      <c r="E485" t="s">
        <v>49</v>
      </c>
      <c r="F485" t="s">
        <v>50</v>
      </c>
      <c r="G485" t="s">
        <v>51</v>
      </c>
      <c r="H485" t="s">
        <v>52</v>
      </c>
      <c r="I485" t="s">
        <v>42</v>
      </c>
      <c r="J485" t="s">
        <v>43</v>
      </c>
      <c r="K485" s="3">
        <v>26490.720000000001</v>
      </c>
      <c r="L485" s="3">
        <v>25325.68</v>
      </c>
      <c r="M485">
        <v>4</v>
      </c>
      <c r="N485" s="4">
        <v>0.2</v>
      </c>
      <c r="O485" t="s">
        <v>34</v>
      </c>
      <c r="P485" t="s">
        <v>58</v>
      </c>
    </row>
    <row r="486" spans="1:16">
      <c r="A486" t="s">
        <v>638</v>
      </c>
      <c r="B486" s="2">
        <v>45878</v>
      </c>
      <c r="C486" t="s">
        <v>47</v>
      </c>
      <c r="D486" t="s">
        <v>48</v>
      </c>
      <c r="E486" t="s">
        <v>182</v>
      </c>
      <c r="F486" t="s">
        <v>183</v>
      </c>
      <c r="G486" t="s">
        <v>89</v>
      </c>
      <c r="H486" t="s">
        <v>90</v>
      </c>
      <c r="I486" t="s">
        <v>23</v>
      </c>
      <c r="J486" t="s">
        <v>24</v>
      </c>
      <c r="K486" s="3">
        <v>16340.25</v>
      </c>
      <c r="L486" s="3">
        <v>10934.18</v>
      </c>
      <c r="M486">
        <v>2</v>
      </c>
      <c r="N486" s="4">
        <v>0.05</v>
      </c>
      <c r="O486" t="s">
        <v>34</v>
      </c>
      <c r="P486" t="s">
        <v>26</v>
      </c>
    </row>
    <row r="487" spans="1:16">
      <c r="A487" t="s">
        <v>639</v>
      </c>
      <c r="B487" s="2">
        <v>45311</v>
      </c>
      <c r="C487" t="s">
        <v>155</v>
      </c>
      <c r="D487" t="s">
        <v>156</v>
      </c>
      <c r="E487" t="s">
        <v>95</v>
      </c>
      <c r="F487" t="s">
        <v>96</v>
      </c>
      <c r="G487" t="s">
        <v>89</v>
      </c>
      <c r="H487" t="s">
        <v>97</v>
      </c>
      <c r="I487" t="s">
        <v>42</v>
      </c>
      <c r="J487" t="s">
        <v>68</v>
      </c>
      <c r="K487" s="3">
        <v>12048.7</v>
      </c>
      <c r="L487" s="3">
        <v>11439.24</v>
      </c>
      <c r="M487">
        <v>3</v>
      </c>
      <c r="N487" s="4">
        <v>0.2</v>
      </c>
      <c r="O487" t="s">
        <v>136</v>
      </c>
      <c r="P487" t="s">
        <v>98</v>
      </c>
    </row>
    <row r="488" spans="1:16">
      <c r="A488" t="s">
        <v>640</v>
      </c>
      <c r="B488" s="2">
        <v>45712</v>
      </c>
      <c r="C488" t="s">
        <v>200</v>
      </c>
      <c r="D488" t="s">
        <v>201</v>
      </c>
      <c r="E488" t="s">
        <v>72</v>
      </c>
      <c r="F488" t="s">
        <v>73</v>
      </c>
      <c r="G488" t="s">
        <v>51</v>
      </c>
      <c r="H488" t="s">
        <v>74</v>
      </c>
      <c r="I488" t="s">
        <v>53</v>
      </c>
      <c r="J488" t="s">
        <v>102</v>
      </c>
      <c r="K488" s="3">
        <v>36557</v>
      </c>
      <c r="L488" s="3">
        <v>18570.849999999999</v>
      </c>
      <c r="M488">
        <v>5</v>
      </c>
      <c r="N488" s="4">
        <v>0.05</v>
      </c>
      <c r="O488" t="s">
        <v>34</v>
      </c>
      <c r="P488" t="s">
        <v>45</v>
      </c>
    </row>
    <row r="489" spans="1:16">
      <c r="A489" t="s">
        <v>641</v>
      </c>
      <c r="B489" s="2">
        <v>45902</v>
      </c>
      <c r="C489" t="s">
        <v>200</v>
      </c>
      <c r="D489" t="s">
        <v>201</v>
      </c>
      <c r="E489" t="s">
        <v>110</v>
      </c>
      <c r="F489" t="s">
        <v>111</v>
      </c>
      <c r="G489" t="s">
        <v>40</v>
      </c>
      <c r="H489" t="s">
        <v>112</v>
      </c>
      <c r="I489" t="s">
        <v>56</v>
      </c>
      <c r="J489" t="s">
        <v>191</v>
      </c>
      <c r="K489" s="3">
        <v>12952.01</v>
      </c>
      <c r="L489" s="3">
        <v>5482.6</v>
      </c>
      <c r="M489">
        <v>5</v>
      </c>
      <c r="N489" s="4">
        <v>0.05</v>
      </c>
      <c r="O489" t="s">
        <v>25</v>
      </c>
      <c r="P489" t="s">
        <v>58</v>
      </c>
    </row>
    <row r="490" spans="1:16">
      <c r="A490" t="s">
        <v>642</v>
      </c>
      <c r="B490" s="2">
        <v>45808</v>
      </c>
      <c r="C490" t="s">
        <v>144</v>
      </c>
      <c r="D490" t="s">
        <v>145</v>
      </c>
      <c r="E490" t="s">
        <v>182</v>
      </c>
      <c r="F490" t="s">
        <v>183</v>
      </c>
      <c r="G490" t="s">
        <v>89</v>
      </c>
      <c r="H490" t="s">
        <v>90</v>
      </c>
      <c r="I490" t="s">
        <v>53</v>
      </c>
      <c r="J490" t="s">
        <v>102</v>
      </c>
      <c r="K490" s="3">
        <v>42286.86</v>
      </c>
      <c r="L490" s="3">
        <v>25567.279999999999</v>
      </c>
      <c r="M490">
        <v>4</v>
      </c>
      <c r="N490" s="4">
        <v>0.05</v>
      </c>
      <c r="O490" t="s">
        <v>136</v>
      </c>
      <c r="P490" t="s">
        <v>58</v>
      </c>
    </row>
    <row r="491" spans="1:16">
      <c r="A491" t="s">
        <v>643</v>
      </c>
      <c r="B491" s="2">
        <v>45412</v>
      </c>
      <c r="C491" t="s">
        <v>70</v>
      </c>
      <c r="D491" t="s">
        <v>71</v>
      </c>
      <c r="E491" t="s">
        <v>182</v>
      </c>
      <c r="F491" t="s">
        <v>183</v>
      </c>
      <c r="G491" t="s">
        <v>89</v>
      </c>
      <c r="H491" t="s">
        <v>90</v>
      </c>
      <c r="I491" t="s">
        <v>53</v>
      </c>
      <c r="J491" t="s">
        <v>54</v>
      </c>
      <c r="K491" s="3">
        <v>6135.03</v>
      </c>
      <c r="L491" s="3">
        <v>5978.69</v>
      </c>
      <c r="M491">
        <v>1</v>
      </c>
      <c r="N491" s="4">
        <v>0.2</v>
      </c>
      <c r="O491" t="s">
        <v>34</v>
      </c>
      <c r="P491" t="s">
        <v>58</v>
      </c>
    </row>
    <row r="492" spans="1:16">
      <c r="A492" t="s">
        <v>644</v>
      </c>
      <c r="B492" s="2">
        <v>45722</v>
      </c>
      <c r="C492" t="s">
        <v>79</v>
      </c>
      <c r="D492" t="s">
        <v>80</v>
      </c>
      <c r="E492" t="s">
        <v>132</v>
      </c>
      <c r="F492" t="s">
        <v>133</v>
      </c>
      <c r="G492" t="s">
        <v>40</v>
      </c>
      <c r="H492" t="s">
        <v>41</v>
      </c>
      <c r="I492" t="s">
        <v>56</v>
      </c>
      <c r="J492" t="s">
        <v>57</v>
      </c>
      <c r="K492" s="3">
        <v>2404.65</v>
      </c>
      <c r="L492" s="3">
        <v>806.22</v>
      </c>
      <c r="M492">
        <v>3</v>
      </c>
      <c r="N492" s="4">
        <v>0.15</v>
      </c>
      <c r="O492" t="s">
        <v>76</v>
      </c>
      <c r="P492" t="s">
        <v>98</v>
      </c>
    </row>
    <row r="493" spans="1:16">
      <c r="A493" t="s">
        <v>645</v>
      </c>
      <c r="B493" s="2">
        <v>45895</v>
      </c>
      <c r="C493" t="s">
        <v>79</v>
      </c>
      <c r="D493" t="s">
        <v>80</v>
      </c>
      <c r="E493" t="s">
        <v>106</v>
      </c>
      <c r="F493" t="s">
        <v>107</v>
      </c>
      <c r="G493" t="s">
        <v>40</v>
      </c>
      <c r="H493" t="s">
        <v>108</v>
      </c>
      <c r="I493" t="s">
        <v>84</v>
      </c>
      <c r="J493" t="s">
        <v>134</v>
      </c>
      <c r="K493" s="3">
        <v>4651.8</v>
      </c>
      <c r="L493" s="3">
        <v>3218.4</v>
      </c>
      <c r="M493">
        <v>5</v>
      </c>
      <c r="N493" s="4">
        <v>0.15</v>
      </c>
      <c r="O493" t="s">
        <v>76</v>
      </c>
      <c r="P493" t="s">
        <v>58</v>
      </c>
    </row>
    <row r="494" spans="1:16">
      <c r="A494" t="s">
        <v>646</v>
      </c>
      <c r="B494" s="2">
        <v>45710</v>
      </c>
      <c r="C494" t="s">
        <v>265</v>
      </c>
      <c r="D494" t="s">
        <v>266</v>
      </c>
      <c r="E494" t="s">
        <v>193</v>
      </c>
      <c r="F494" t="s">
        <v>194</v>
      </c>
      <c r="G494" t="s">
        <v>89</v>
      </c>
      <c r="H494" t="s">
        <v>90</v>
      </c>
      <c r="I494" t="s">
        <v>56</v>
      </c>
      <c r="J494" t="s">
        <v>57</v>
      </c>
      <c r="K494" s="3">
        <v>4352.9399999999996</v>
      </c>
      <c r="L494" s="3">
        <v>1406.7</v>
      </c>
      <c r="M494">
        <v>3</v>
      </c>
      <c r="N494" s="4">
        <v>0</v>
      </c>
      <c r="O494" t="s">
        <v>34</v>
      </c>
      <c r="P494" t="s">
        <v>58</v>
      </c>
    </row>
    <row r="495" spans="1:16">
      <c r="A495" t="s">
        <v>647</v>
      </c>
      <c r="B495" s="2">
        <v>45962</v>
      </c>
      <c r="C495" t="s">
        <v>114</v>
      </c>
      <c r="D495" t="s">
        <v>115</v>
      </c>
      <c r="E495" t="s">
        <v>30</v>
      </c>
      <c r="F495" t="s">
        <v>31</v>
      </c>
      <c r="G495" t="s">
        <v>21</v>
      </c>
      <c r="H495" t="s">
        <v>32</v>
      </c>
      <c r="I495" t="s">
        <v>56</v>
      </c>
      <c r="J495" t="s">
        <v>91</v>
      </c>
      <c r="K495" s="3">
        <v>103159.33</v>
      </c>
      <c r="L495" s="3">
        <v>99605.119999999995</v>
      </c>
      <c r="M495">
        <v>2</v>
      </c>
      <c r="N495" s="4">
        <v>0.1</v>
      </c>
      <c r="O495" t="s">
        <v>25</v>
      </c>
      <c r="P495" t="s">
        <v>58</v>
      </c>
    </row>
    <row r="496" spans="1:16">
      <c r="A496" t="s">
        <v>648</v>
      </c>
      <c r="B496" s="2">
        <v>45559</v>
      </c>
      <c r="C496" t="s">
        <v>207</v>
      </c>
      <c r="D496" t="s">
        <v>208</v>
      </c>
      <c r="E496" t="s">
        <v>95</v>
      </c>
      <c r="F496" t="s">
        <v>96</v>
      </c>
      <c r="G496" t="s">
        <v>89</v>
      </c>
      <c r="H496" t="s">
        <v>97</v>
      </c>
      <c r="I496" t="s">
        <v>84</v>
      </c>
      <c r="J496" t="s">
        <v>142</v>
      </c>
      <c r="K496" s="3">
        <v>25998.61</v>
      </c>
      <c r="L496" s="3">
        <v>17232.45</v>
      </c>
      <c r="M496">
        <v>5</v>
      </c>
      <c r="N496" s="4">
        <v>0.1</v>
      </c>
      <c r="O496" t="s">
        <v>136</v>
      </c>
      <c r="P496" t="s">
        <v>58</v>
      </c>
    </row>
    <row r="497" spans="1:16">
      <c r="A497" t="s">
        <v>649</v>
      </c>
      <c r="B497" s="2">
        <v>45862</v>
      </c>
      <c r="C497" t="s">
        <v>207</v>
      </c>
      <c r="D497" t="s">
        <v>208</v>
      </c>
      <c r="E497" t="s">
        <v>187</v>
      </c>
      <c r="F497" t="s">
        <v>188</v>
      </c>
      <c r="G497" t="s">
        <v>89</v>
      </c>
      <c r="H497" t="s">
        <v>189</v>
      </c>
      <c r="I497" t="s">
        <v>53</v>
      </c>
      <c r="J497" t="s">
        <v>54</v>
      </c>
      <c r="K497" s="3">
        <v>33946.28</v>
      </c>
      <c r="L497" s="3">
        <v>20586.36</v>
      </c>
      <c r="M497">
        <v>4</v>
      </c>
      <c r="N497" s="4">
        <v>0.15</v>
      </c>
      <c r="O497" t="s">
        <v>44</v>
      </c>
      <c r="P497" t="s">
        <v>45</v>
      </c>
    </row>
    <row r="498" spans="1:16">
      <c r="A498" t="s">
        <v>650</v>
      </c>
      <c r="B498" s="2">
        <v>46014</v>
      </c>
      <c r="C498" t="s">
        <v>147</v>
      </c>
      <c r="D498" t="s">
        <v>148</v>
      </c>
      <c r="E498" t="s">
        <v>172</v>
      </c>
      <c r="F498" t="s">
        <v>173</v>
      </c>
      <c r="G498" t="s">
        <v>40</v>
      </c>
      <c r="H498" t="s">
        <v>41</v>
      </c>
      <c r="I498" t="s">
        <v>53</v>
      </c>
      <c r="J498" t="s">
        <v>54</v>
      </c>
      <c r="K498" s="3">
        <v>14264.64</v>
      </c>
      <c r="L498" s="3">
        <v>3769.76</v>
      </c>
      <c r="M498">
        <v>4</v>
      </c>
      <c r="N498" s="4">
        <v>0</v>
      </c>
      <c r="O498" t="s">
        <v>76</v>
      </c>
      <c r="P498" t="s">
        <v>98</v>
      </c>
    </row>
    <row r="499" spans="1:16">
      <c r="A499" t="s">
        <v>651</v>
      </c>
      <c r="B499" s="2">
        <v>45511</v>
      </c>
      <c r="C499" t="s">
        <v>60</v>
      </c>
      <c r="D499" t="s">
        <v>61</v>
      </c>
      <c r="E499" t="s">
        <v>117</v>
      </c>
      <c r="F499" t="s">
        <v>118</v>
      </c>
      <c r="G499" t="s">
        <v>51</v>
      </c>
      <c r="H499" t="s">
        <v>119</v>
      </c>
      <c r="I499" t="s">
        <v>23</v>
      </c>
      <c r="J499" t="s">
        <v>33</v>
      </c>
      <c r="K499" s="3">
        <v>28228.36</v>
      </c>
      <c r="L499" s="3">
        <v>22052.5</v>
      </c>
      <c r="M499">
        <v>5</v>
      </c>
      <c r="N499" s="4">
        <v>0.2</v>
      </c>
      <c r="O499" t="s">
        <v>34</v>
      </c>
      <c r="P499" t="s">
        <v>58</v>
      </c>
    </row>
    <row r="500" spans="1:16">
      <c r="A500" t="s">
        <v>652</v>
      </c>
      <c r="B500" s="2">
        <v>45297</v>
      </c>
      <c r="C500" t="s">
        <v>200</v>
      </c>
      <c r="D500" t="s">
        <v>201</v>
      </c>
      <c r="E500" t="s">
        <v>106</v>
      </c>
      <c r="F500" t="s">
        <v>107</v>
      </c>
      <c r="G500" t="s">
        <v>40</v>
      </c>
      <c r="H500" t="s">
        <v>108</v>
      </c>
      <c r="I500" t="s">
        <v>42</v>
      </c>
      <c r="J500" t="s">
        <v>68</v>
      </c>
      <c r="K500" s="3">
        <v>1470.14</v>
      </c>
      <c r="L500" s="3">
        <v>745.26</v>
      </c>
      <c r="M500">
        <v>1</v>
      </c>
      <c r="N500" s="4">
        <v>0.2</v>
      </c>
      <c r="O500" t="s">
        <v>136</v>
      </c>
      <c r="P500" t="s">
        <v>58</v>
      </c>
    </row>
    <row r="501" spans="1:16">
      <c r="A501" t="s">
        <v>653</v>
      </c>
      <c r="B501" s="2">
        <v>45671</v>
      </c>
      <c r="C501" t="s">
        <v>100</v>
      </c>
      <c r="D501" t="s">
        <v>101</v>
      </c>
      <c r="E501" t="s">
        <v>175</v>
      </c>
      <c r="F501" t="s">
        <v>176</v>
      </c>
      <c r="G501" t="s">
        <v>51</v>
      </c>
      <c r="H501" t="s">
        <v>177</v>
      </c>
      <c r="I501" t="s">
        <v>84</v>
      </c>
      <c r="J501" t="s">
        <v>85</v>
      </c>
      <c r="K501" s="3">
        <v>23902.76</v>
      </c>
      <c r="L501" s="3">
        <v>16348.89</v>
      </c>
      <c r="M501">
        <v>1</v>
      </c>
      <c r="N501" s="4">
        <v>0.15</v>
      </c>
      <c r="O501" t="s">
        <v>34</v>
      </c>
      <c r="P501" t="s">
        <v>45</v>
      </c>
    </row>
    <row r="502" spans="1:16">
      <c r="A502" t="s">
        <v>654</v>
      </c>
      <c r="B502" s="2">
        <v>45471</v>
      </c>
      <c r="C502" t="s">
        <v>60</v>
      </c>
      <c r="D502" t="s">
        <v>61</v>
      </c>
      <c r="E502" t="s">
        <v>193</v>
      </c>
      <c r="F502" t="s">
        <v>194</v>
      </c>
      <c r="G502" t="s">
        <v>89</v>
      </c>
      <c r="H502" t="s">
        <v>90</v>
      </c>
      <c r="I502" t="s">
        <v>23</v>
      </c>
      <c r="J502" t="s">
        <v>24</v>
      </c>
      <c r="K502" s="3">
        <v>2694.56</v>
      </c>
      <c r="L502" s="3">
        <v>1975.6</v>
      </c>
      <c r="M502">
        <v>4</v>
      </c>
      <c r="N502" s="4">
        <v>0.2</v>
      </c>
      <c r="O502" t="s">
        <v>44</v>
      </c>
      <c r="P502" t="s">
        <v>58</v>
      </c>
    </row>
    <row r="503" spans="1:16">
      <c r="A503" t="s">
        <v>655</v>
      </c>
      <c r="B503" s="2">
        <v>45820</v>
      </c>
      <c r="C503" t="s">
        <v>28</v>
      </c>
      <c r="D503" t="s">
        <v>29</v>
      </c>
      <c r="E503" t="s">
        <v>193</v>
      </c>
      <c r="F503" t="s">
        <v>194</v>
      </c>
      <c r="G503" t="s">
        <v>89</v>
      </c>
      <c r="H503" t="s">
        <v>90</v>
      </c>
      <c r="I503" t="s">
        <v>56</v>
      </c>
      <c r="J503" t="s">
        <v>57</v>
      </c>
      <c r="K503" s="3">
        <v>2535.89</v>
      </c>
      <c r="L503" s="3">
        <v>1023.04</v>
      </c>
      <c r="M503">
        <v>2</v>
      </c>
      <c r="N503" s="4">
        <v>0.1</v>
      </c>
      <c r="O503" t="s">
        <v>76</v>
      </c>
      <c r="P503" t="s">
        <v>58</v>
      </c>
    </row>
    <row r="504" spans="1:16">
      <c r="A504" t="s">
        <v>656</v>
      </c>
      <c r="B504" s="2">
        <v>45701</v>
      </c>
      <c r="C504" t="s">
        <v>200</v>
      </c>
      <c r="D504" t="s">
        <v>201</v>
      </c>
      <c r="E504" t="s">
        <v>62</v>
      </c>
      <c r="F504" t="s">
        <v>63</v>
      </c>
      <c r="G504" t="s">
        <v>21</v>
      </c>
      <c r="H504" t="s">
        <v>64</v>
      </c>
      <c r="I504" t="s">
        <v>84</v>
      </c>
      <c r="J504" t="s">
        <v>142</v>
      </c>
      <c r="K504" s="3">
        <v>10927.01</v>
      </c>
      <c r="L504" s="3">
        <v>5583.24</v>
      </c>
      <c r="M504">
        <v>3</v>
      </c>
      <c r="N504" s="4">
        <v>0.05</v>
      </c>
      <c r="O504" t="s">
        <v>34</v>
      </c>
      <c r="P504" t="s">
        <v>58</v>
      </c>
    </row>
    <row r="505" spans="1:16">
      <c r="A505" t="s">
        <v>657</v>
      </c>
      <c r="B505" s="2">
        <v>45854</v>
      </c>
      <c r="C505" t="s">
        <v>93</v>
      </c>
      <c r="D505" t="s">
        <v>94</v>
      </c>
      <c r="E505" t="s">
        <v>62</v>
      </c>
      <c r="F505" t="s">
        <v>63</v>
      </c>
      <c r="G505" t="s">
        <v>21</v>
      </c>
      <c r="H505" t="s">
        <v>64</v>
      </c>
      <c r="I505" t="s">
        <v>23</v>
      </c>
      <c r="J505" t="s">
        <v>33</v>
      </c>
      <c r="K505" s="3">
        <v>10855.37</v>
      </c>
      <c r="L505" s="3">
        <v>5644.23</v>
      </c>
      <c r="M505">
        <v>3</v>
      </c>
      <c r="N505" s="4">
        <v>0.2</v>
      </c>
      <c r="O505" t="s">
        <v>44</v>
      </c>
      <c r="P505" t="s">
        <v>77</v>
      </c>
    </row>
    <row r="506" spans="1:16">
      <c r="A506" t="s">
        <v>658</v>
      </c>
      <c r="B506" s="2">
        <v>45491</v>
      </c>
      <c r="C506" t="s">
        <v>66</v>
      </c>
      <c r="D506" t="s">
        <v>67</v>
      </c>
      <c r="E506" t="s">
        <v>72</v>
      </c>
      <c r="F506" t="s">
        <v>73</v>
      </c>
      <c r="G506" t="s">
        <v>51</v>
      </c>
      <c r="H506" t="s">
        <v>74</v>
      </c>
      <c r="I506" t="s">
        <v>42</v>
      </c>
      <c r="J506" t="s">
        <v>43</v>
      </c>
      <c r="K506" s="3">
        <v>27552.560000000001</v>
      </c>
      <c r="L506" s="3">
        <v>17375.080000000002</v>
      </c>
      <c r="M506">
        <v>4</v>
      </c>
      <c r="N506" s="4">
        <v>0.1</v>
      </c>
      <c r="O506" t="s">
        <v>76</v>
      </c>
      <c r="P506" t="s">
        <v>26</v>
      </c>
    </row>
    <row r="507" spans="1:16">
      <c r="A507" t="s">
        <v>659</v>
      </c>
      <c r="B507" s="2">
        <v>45366</v>
      </c>
      <c r="C507" t="s">
        <v>114</v>
      </c>
      <c r="D507" t="s">
        <v>115</v>
      </c>
      <c r="E507" t="s">
        <v>19</v>
      </c>
      <c r="F507" t="s">
        <v>20</v>
      </c>
      <c r="G507" t="s">
        <v>21</v>
      </c>
      <c r="H507" t="s">
        <v>22</v>
      </c>
      <c r="I507" t="s">
        <v>56</v>
      </c>
      <c r="J507" t="s">
        <v>57</v>
      </c>
      <c r="K507" s="3">
        <v>34804.68</v>
      </c>
      <c r="L507" s="3">
        <v>14382.75</v>
      </c>
      <c r="M507">
        <v>5</v>
      </c>
      <c r="N507" s="4">
        <v>0.2</v>
      </c>
      <c r="O507" t="s">
        <v>44</v>
      </c>
      <c r="P507" t="s">
        <v>45</v>
      </c>
    </row>
    <row r="508" spans="1:16">
      <c r="A508" t="s">
        <v>660</v>
      </c>
      <c r="B508" s="2">
        <v>45868</v>
      </c>
      <c r="C508" t="s">
        <v>60</v>
      </c>
      <c r="D508" t="s">
        <v>61</v>
      </c>
      <c r="E508" t="s">
        <v>38</v>
      </c>
      <c r="F508" t="s">
        <v>39</v>
      </c>
      <c r="G508" t="s">
        <v>40</v>
      </c>
      <c r="H508" t="s">
        <v>41</v>
      </c>
      <c r="I508" t="s">
        <v>56</v>
      </c>
      <c r="J508" t="s">
        <v>91</v>
      </c>
      <c r="K508" s="3">
        <v>6160.66</v>
      </c>
      <c r="L508" s="3">
        <v>2108</v>
      </c>
      <c r="M508">
        <v>4</v>
      </c>
      <c r="N508" s="4">
        <v>0.15</v>
      </c>
      <c r="O508" t="s">
        <v>136</v>
      </c>
      <c r="P508" t="s">
        <v>58</v>
      </c>
    </row>
    <row r="509" spans="1:16">
      <c r="A509" t="s">
        <v>661</v>
      </c>
      <c r="B509" s="2">
        <v>45361</v>
      </c>
      <c r="C509" t="s">
        <v>197</v>
      </c>
      <c r="D509" t="s">
        <v>198</v>
      </c>
      <c r="E509" t="s">
        <v>19</v>
      </c>
      <c r="F509" t="s">
        <v>20</v>
      </c>
      <c r="G509" t="s">
        <v>21</v>
      </c>
      <c r="H509" t="s">
        <v>22</v>
      </c>
      <c r="I509" t="s">
        <v>84</v>
      </c>
      <c r="J509" t="s">
        <v>142</v>
      </c>
      <c r="K509" s="3">
        <v>34075.660000000003</v>
      </c>
      <c r="L509" s="3">
        <v>12320.8</v>
      </c>
      <c r="M509">
        <v>4</v>
      </c>
      <c r="N509" s="4">
        <v>0.05</v>
      </c>
      <c r="O509" t="s">
        <v>44</v>
      </c>
      <c r="P509" t="s">
        <v>26</v>
      </c>
    </row>
    <row r="510" spans="1:16">
      <c r="A510" t="s">
        <v>662</v>
      </c>
      <c r="B510" s="2">
        <v>45301</v>
      </c>
      <c r="C510" t="s">
        <v>158</v>
      </c>
      <c r="D510" t="s">
        <v>159</v>
      </c>
      <c r="E510" t="s">
        <v>182</v>
      </c>
      <c r="F510" t="s">
        <v>183</v>
      </c>
      <c r="G510" t="s">
        <v>89</v>
      </c>
      <c r="H510" t="s">
        <v>90</v>
      </c>
      <c r="I510" t="s">
        <v>56</v>
      </c>
      <c r="J510" t="s">
        <v>57</v>
      </c>
      <c r="K510" s="3">
        <v>19972.2</v>
      </c>
      <c r="L510" s="3">
        <v>17093.73</v>
      </c>
      <c r="M510">
        <v>3</v>
      </c>
      <c r="N510" s="4">
        <v>0.1</v>
      </c>
      <c r="O510" t="s">
        <v>25</v>
      </c>
      <c r="P510" t="s">
        <v>58</v>
      </c>
    </row>
    <row r="511" spans="1:16">
      <c r="A511" t="s">
        <v>663</v>
      </c>
      <c r="B511" s="2">
        <v>45515</v>
      </c>
      <c r="C511" t="s">
        <v>197</v>
      </c>
      <c r="D511" t="s">
        <v>198</v>
      </c>
      <c r="E511" t="s">
        <v>110</v>
      </c>
      <c r="F511" t="s">
        <v>111</v>
      </c>
      <c r="G511" t="s">
        <v>40</v>
      </c>
      <c r="H511" t="s">
        <v>112</v>
      </c>
      <c r="I511" t="s">
        <v>84</v>
      </c>
      <c r="J511" t="s">
        <v>134</v>
      </c>
      <c r="K511" s="3">
        <v>22831.63</v>
      </c>
      <c r="L511" s="3">
        <v>5722.9</v>
      </c>
      <c r="M511">
        <v>5</v>
      </c>
      <c r="N511" s="4">
        <v>0.05</v>
      </c>
      <c r="O511" t="s">
        <v>136</v>
      </c>
      <c r="P511" t="s">
        <v>58</v>
      </c>
    </row>
    <row r="512" spans="1:16">
      <c r="A512" t="s">
        <v>664</v>
      </c>
      <c r="B512" s="2">
        <v>45563</v>
      </c>
      <c r="C512" t="s">
        <v>36</v>
      </c>
      <c r="D512" t="s">
        <v>37</v>
      </c>
      <c r="E512" t="s">
        <v>72</v>
      </c>
      <c r="F512" t="s">
        <v>73</v>
      </c>
      <c r="G512" t="s">
        <v>51</v>
      </c>
      <c r="H512" t="s">
        <v>74</v>
      </c>
      <c r="I512" t="s">
        <v>53</v>
      </c>
      <c r="J512" t="s">
        <v>102</v>
      </c>
      <c r="K512" s="3">
        <v>14542.19</v>
      </c>
      <c r="L512" s="3">
        <v>7566.74</v>
      </c>
      <c r="M512">
        <v>2</v>
      </c>
      <c r="N512" s="4">
        <v>0.2</v>
      </c>
      <c r="O512" t="s">
        <v>44</v>
      </c>
      <c r="P512" t="s">
        <v>58</v>
      </c>
    </row>
    <row r="513" spans="1:16">
      <c r="A513" t="s">
        <v>665</v>
      </c>
      <c r="B513" s="2">
        <v>45372</v>
      </c>
      <c r="C513" t="s">
        <v>79</v>
      </c>
      <c r="D513" t="s">
        <v>80</v>
      </c>
      <c r="E513" t="s">
        <v>19</v>
      </c>
      <c r="F513" t="s">
        <v>20</v>
      </c>
      <c r="G513" t="s">
        <v>21</v>
      </c>
      <c r="H513" t="s">
        <v>22</v>
      </c>
      <c r="I513" t="s">
        <v>23</v>
      </c>
      <c r="J513" t="s">
        <v>33</v>
      </c>
      <c r="K513" s="3">
        <v>24545.09</v>
      </c>
      <c r="L513" s="3">
        <v>12273.2</v>
      </c>
      <c r="M513">
        <v>4</v>
      </c>
      <c r="N513" s="4">
        <v>0.2</v>
      </c>
      <c r="O513" t="s">
        <v>25</v>
      </c>
      <c r="P513" t="s">
        <v>98</v>
      </c>
    </row>
    <row r="514" spans="1:16">
      <c r="A514" t="s">
        <v>666</v>
      </c>
      <c r="B514" s="2">
        <v>45796</v>
      </c>
      <c r="C514" t="s">
        <v>158</v>
      </c>
      <c r="D514" t="s">
        <v>159</v>
      </c>
      <c r="E514" t="s">
        <v>193</v>
      </c>
      <c r="F514" t="s">
        <v>194</v>
      </c>
      <c r="G514" t="s">
        <v>89</v>
      </c>
      <c r="H514" t="s">
        <v>90</v>
      </c>
      <c r="I514" t="s">
        <v>84</v>
      </c>
      <c r="J514" t="s">
        <v>134</v>
      </c>
      <c r="K514" s="3">
        <v>4755.88</v>
      </c>
      <c r="L514" s="3">
        <v>2684.4</v>
      </c>
      <c r="M514">
        <v>5</v>
      </c>
      <c r="N514" s="4">
        <v>0.2</v>
      </c>
      <c r="O514" t="s">
        <v>44</v>
      </c>
      <c r="P514" t="s">
        <v>26</v>
      </c>
    </row>
    <row r="515" spans="1:16">
      <c r="A515" t="s">
        <v>667</v>
      </c>
      <c r="B515" s="2">
        <v>45347</v>
      </c>
      <c r="C515" t="s">
        <v>36</v>
      </c>
      <c r="D515" t="s">
        <v>37</v>
      </c>
      <c r="E515" t="s">
        <v>95</v>
      </c>
      <c r="F515" t="s">
        <v>96</v>
      </c>
      <c r="G515" t="s">
        <v>89</v>
      </c>
      <c r="H515" t="s">
        <v>97</v>
      </c>
      <c r="I515" t="s">
        <v>23</v>
      </c>
      <c r="J515" t="s">
        <v>75</v>
      </c>
      <c r="K515" s="3">
        <v>25399.48</v>
      </c>
      <c r="L515" s="3">
        <v>18547.45</v>
      </c>
      <c r="M515">
        <v>5</v>
      </c>
      <c r="N515" s="4">
        <v>0.2</v>
      </c>
      <c r="O515" t="s">
        <v>25</v>
      </c>
      <c r="P515" t="s">
        <v>77</v>
      </c>
    </row>
    <row r="516" spans="1:16">
      <c r="A516" t="s">
        <v>668</v>
      </c>
      <c r="B516" s="2">
        <v>45415</v>
      </c>
      <c r="C516" t="s">
        <v>104</v>
      </c>
      <c r="D516" t="s">
        <v>105</v>
      </c>
      <c r="E516" t="s">
        <v>117</v>
      </c>
      <c r="F516" t="s">
        <v>118</v>
      </c>
      <c r="G516" t="s">
        <v>51</v>
      </c>
      <c r="H516" t="s">
        <v>119</v>
      </c>
      <c r="I516" t="s">
        <v>56</v>
      </c>
      <c r="J516" t="s">
        <v>191</v>
      </c>
      <c r="K516" s="3">
        <v>45738.45</v>
      </c>
      <c r="L516" s="3">
        <v>22320.3</v>
      </c>
      <c r="M516">
        <v>5</v>
      </c>
      <c r="N516" s="4">
        <v>0</v>
      </c>
      <c r="O516" t="s">
        <v>76</v>
      </c>
      <c r="P516" t="s">
        <v>26</v>
      </c>
    </row>
    <row r="517" spans="1:16">
      <c r="A517" t="s">
        <v>669</v>
      </c>
      <c r="B517" s="2">
        <v>45662</v>
      </c>
      <c r="C517" t="s">
        <v>147</v>
      </c>
      <c r="D517" t="s">
        <v>148</v>
      </c>
      <c r="E517" t="s">
        <v>19</v>
      </c>
      <c r="F517" t="s">
        <v>20</v>
      </c>
      <c r="G517" t="s">
        <v>21</v>
      </c>
      <c r="H517" t="s">
        <v>22</v>
      </c>
      <c r="I517" t="s">
        <v>84</v>
      </c>
      <c r="J517" t="s">
        <v>134</v>
      </c>
      <c r="K517" s="3">
        <v>19869.93</v>
      </c>
      <c r="L517" s="3">
        <v>16085.55</v>
      </c>
      <c r="M517">
        <v>5</v>
      </c>
      <c r="N517" s="4">
        <v>0.1</v>
      </c>
      <c r="O517" t="s">
        <v>76</v>
      </c>
      <c r="P517" t="s">
        <v>45</v>
      </c>
    </row>
    <row r="518" spans="1:16">
      <c r="A518" t="s">
        <v>670</v>
      </c>
      <c r="B518" s="2">
        <v>45666</v>
      </c>
      <c r="C518" t="s">
        <v>197</v>
      </c>
      <c r="D518" t="s">
        <v>198</v>
      </c>
      <c r="E518" t="s">
        <v>193</v>
      </c>
      <c r="F518" t="s">
        <v>194</v>
      </c>
      <c r="G518" t="s">
        <v>89</v>
      </c>
      <c r="H518" t="s">
        <v>90</v>
      </c>
      <c r="I518" t="s">
        <v>84</v>
      </c>
      <c r="J518" t="s">
        <v>134</v>
      </c>
      <c r="K518" s="3">
        <v>1534.75</v>
      </c>
      <c r="L518" s="3">
        <v>999.76</v>
      </c>
      <c r="M518">
        <v>2</v>
      </c>
      <c r="N518" s="4">
        <v>0.1</v>
      </c>
      <c r="O518" t="s">
        <v>44</v>
      </c>
      <c r="P518" t="s">
        <v>26</v>
      </c>
    </row>
    <row r="519" spans="1:16">
      <c r="A519" t="s">
        <v>671</v>
      </c>
      <c r="B519" s="2">
        <v>45877</v>
      </c>
      <c r="C519" t="s">
        <v>66</v>
      </c>
      <c r="D519" t="s">
        <v>67</v>
      </c>
      <c r="E519" t="s">
        <v>38</v>
      </c>
      <c r="F519" t="s">
        <v>39</v>
      </c>
      <c r="G519" t="s">
        <v>40</v>
      </c>
      <c r="H519" t="s">
        <v>41</v>
      </c>
      <c r="I519" t="s">
        <v>23</v>
      </c>
      <c r="J519" t="s">
        <v>75</v>
      </c>
      <c r="K519" s="3">
        <v>3395.24</v>
      </c>
      <c r="L519" s="3">
        <v>1095.8599999999999</v>
      </c>
      <c r="M519">
        <v>2</v>
      </c>
      <c r="N519" s="4">
        <v>0</v>
      </c>
      <c r="O519" t="s">
        <v>44</v>
      </c>
      <c r="P519" t="s">
        <v>58</v>
      </c>
    </row>
    <row r="520" spans="1:16">
      <c r="A520" t="s">
        <v>672</v>
      </c>
      <c r="B520" s="2">
        <v>45682</v>
      </c>
      <c r="C520" t="s">
        <v>70</v>
      </c>
      <c r="D520" t="s">
        <v>71</v>
      </c>
      <c r="E520" t="s">
        <v>132</v>
      </c>
      <c r="F520" t="s">
        <v>133</v>
      </c>
      <c r="G520" t="s">
        <v>40</v>
      </c>
      <c r="H520" t="s">
        <v>41</v>
      </c>
      <c r="I520" t="s">
        <v>53</v>
      </c>
      <c r="J520" t="s">
        <v>102</v>
      </c>
      <c r="K520" s="3">
        <v>2214.0300000000002</v>
      </c>
      <c r="L520" s="3">
        <v>464.58</v>
      </c>
      <c r="M520">
        <v>2</v>
      </c>
      <c r="N520" s="4">
        <v>0.05</v>
      </c>
      <c r="O520" t="s">
        <v>136</v>
      </c>
      <c r="P520" t="s">
        <v>58</v>
      </c>
    </row>
    <row r="521" spans="1:16">
      <c r="A521" t="s">
        <v>673</v>
      </c>
      <c r="B521" s="2">
        <v>45429</v>
      </c>
      <c r="C521" t="s">
        <v>200</v>
      </c>
      <c r="D521" t="s">
        <v>201</v>
      </c>
      <c r="E521" t="s">
        <v>132</v>
      </c>
      <c r="F521" t="s">
        <v>133</v>
      </c>
      <c r="G521" t="s">
        <v>40</v>
      </c>
      <c r="H521" t="s">
        <v>41</v>
      </c>
      <c r="I521" t="s">
        <v>56</v>
      </c>
      <c r="J521" t="s">
        <v>191</v>
      </c>
      <c r="K521" s="3">
        <v>2628.07</v>
      </c>
      <c r="L521" s="3">
        <v>1258.5</v>
      </c>
      <c r="M521">
        <v>5</v>
      </c>
      <c r="N521" s="4">
        <v>0.15</v>
      </c>
      <c r="O521" t="s">
        <v>44</v>
      </c>
      <c r="P521" t="s">
        <v>45</v>
      </c>
    </row>
    <row r="522" spans="1:16">
      <c r="A522" t="s">
        <v>674</v>
      </c>
      <c r="B522" s="2">
        <v>45699</v>
      </c>
      <c r="C522" t="s">
        <v>70</v>
      </c>
      <c r="D522" t="s">
        <v>71</v>
      </c>
      <c r="E522" t="s">
        <v>95</v>
      </c>
      <c r="F522" t="s">
        <v>96</v>
      </c>
      <c r="G522" t="s">
        <v>89</v>
      </c>
      <c r="H522" t="s">
        <v>97</v>
      </c>
      <c r="I522" t="s">
        <v>23</v>
      </c>
      <c r="J522" t="s">
        <v>24</v>
      </c>
      <c r="K522" s="3">
        <v>3802.48</v>
      </c>
      <c r="L522" s="3">
        <v>3633.38</v>
      </c>
      <c r="M522">
        <v>1</v>
      </c>
      <c r="N522" s="4">
        <v>0.1</v>
      </c>
      <c r="O522" t="s">
        <v>136</v>
      </c>
      <c r="P522" t="s">
        <v>58</v>
      </c>
    </row>
    <row r="523" spans="1:16">
      <c r="A523" t="s">
        <v>675</v>
      </c>
      <c r="B523" s="2">
        <v>45661</v>
      </c>
      <c r="C523" t="s">
        <v>170</v>
      </c>
      <c r="D523" t="s">
        <v>171</v>
      </c>
      <c r="E523" t="s">
        <v>110</v>
      </c>
      <c r="F523" t="s">
        <v>111</v>
      </c>
      <c r="G523" t="s">
        <v>40</v>
      </c>
      <c r="H523" t="s">
        <v>112</v>
      </c>
      <c r="I523" t="s">
        <v>84</v>
      </c>
      <c r="J523" t="s">
        <v>142</v>
      </c>
      <c r="K523" s="3">
        <v>12827.21</v>
      </c>
      <c r="L523" s="3">
        <v>3643.44</v>
      </c>
      <c r="M523">
        <v>3</v>
      </c>
      <c r="N523" s="4">
        <v>0.1</v>
      </c>
      <c r="O523" t="s">
        <v>44</v>
      </c>
      <c r="P523" t="s">
        <v>58</v>
      </c>
    </row>
    <row r="524" spans="1:16">
      <c r="A524" t="s">
        <v>676</v>
      </c>
      <c r="B524" s="2">
        <v>45987</v>
      </c>
      <c r="C524" t="s">
        <v>207</v>
      </c>
      <c r="D524" t="s">
        <v>208</v>
      </c>
      <c r="E524" t="s">
        <v>19</v>
      </c>
      <c r="F524" t="s">
        <v>20</v>
      </c>
      <c r="G524" t="s">
        <v>21</v>
      </c>
      <c r="H524" t="s">
        <v>22</v>
      </c>
      <c r="I524" t="s">
        <v>84</v>
      </c>
      <c r="J524" t="s">
        <v>134</v>
      </c>
      <c r="K524" s="3">
        <v>26432.16</v>
      </c>
      <c r="L524" s="3">
        <v>14096.85</v>
      </c>
      <c r="M524">
        <v>5</v>
      </c>
      <c r="N524" s="4">
        <v>0.2</v>
      </c>
      <c r="O524" t="s">
        <v>76</v>
      </c>
      <c r="P524" t="s">
        <v>45</v>
      </c>
    </row>
    <row r="525" spans="1:16">
      <c r="A525" t="s">
        <v>677</v>
      </c>
      <c r="B525" s="2">
        <v>45814</v>
      </c>
      <c r="C525" t="s">
        <v>158</v>
      </c>
      <c r="D525" t="s">
        <v>159</v>
      </c>
      <c r="E525" t="s">
        <v>110</v>
      </c>
      <c r="F525" t="s">
        <v>111</v>
      </c>
      <c r="G525" t="s">
        <v>40</v>
      </c>
      <c r="H525" t="s">
        <v>112</v>
      </c>
      <c r="I525" t="s">
        <v>42</v>
      </c>
      <c r="J525" t="s">
        <v>68</v>
      </c>
      <c r="K525" s="3">
        <v>11911.92</v>
      </c>
      <c r="L525" s="3">
        <v>5063.76</v>
      </c>
      <c r="M525">
        <v>4</v>
      </c>
      <c r="N525" s="4">
        <v>0</v>
      </c>
      <c r="O525" t="s">
        <v>136</v>
      </c>
      <c r="P525" t="s">
        <v>45</v>
      </c>
    </row>
    <row r="526" spans="1:16">
      <c r="A526" t="s">
        <v>678</v>
      </c>
      <c r="B526" s="2">
        <v>45463</v>
      </c>
      <c r="C526" t="s">
        <v>170</v>
      </c>
      <c r="D526" t="s">
        <v>171</v>
      </c>
      <c r="E526" t="s">
        <v>152</v>
      </c>
      <c r="F526" t="s">
        <v>153</v>
      </c>
      <c r="G526" t="s">
        <v>21</v>
      </c>
      <c r="H526" t="s">
        <v>32</v>
      </c>
      <c r="I526" t="s">
        <v>53</v>
      </c>
      <c r="J526" t="s">
        <v>102</v>
      </c>
      <c r="K526" s="3">
        <v>33840.18</v>
      </c>
      <c r="L526" s="3">
        <v>23624.73</v>
      </c>
      <c r="M526">
        <v>3</v>
      </c>
      <c r="N526" s="4">
        <v>0.15</v>
      </c>
      <c r="O526" t="s">
        <v>25</v>
      </c>
      <c r="P526" t="s">
        <v>58</v>
      </c>
    </row>
    <row r="527" spans="1:16">
      <c r="A527" t="s">
        <v>679</v>
      </c>
      <c r="B527" s="2">
        <v>45613</v>
      </c>
      <c r="C527" t="s">
        <v>200</v>
      </c>
      <c r="D527" t="s">
        <v>201</v>
      </c>
      <c r="E527" t="s">
        <v>110</v>
      </c>
      <c r="F527" t="s">
        <v>111</v>
      </c>
      <c r="G527" t="s">
        <v>40</v>
      </c>
      <c r="H527" t="s">
        <v>112</v>
      </c>
      <c r="I527" t="s">
        <v>84</v>
      </c>
      <c r="J527" t="s">
        <v>85</v>
      </c>
      <c r="K527" s="3">
        <v>9459.2199999999993</v>
      </c>
      <c r="L527" s="3">
        <v>3710.16</v>
      </c>
      <c r="M527">
        <v>3</v>
      </c>
      <c r="N527" s="4">
        <v>0.2</v>
      </c>
      <c r="O527" t="s">
        <v>136</v>
      </c>
      <c r="P527" t="s">
        <v>45</v>
      </c>
    </row>
    <row r="528" spans="1:16">
      <c r="A528" t="s">
        <v>680</v>
      </c>
      <c r="B528" s="2">
        <v>45893</v>
      </c>
      <c r="C528" t="s">
        <v>170</v>
      </c>
      <c r="D528" t="s">
        <v>171</v>
      </c>
      <c r="E528" t="s">
        <v>172</v>
      </c>
      <c r="F528" t="s">
        <v>173</v>
      </c>
      <c r="G528" t="s">
        <v>40</v>
      </c>
      <c r="H528" t="s">
        <v>41</v>
      </c>
      <c r="I528" t="s">
        <v>42</v>
      </c>
      <c r="J528" t="s">
        <v>162</v>
      </c>
      <c r="K528" s="3">
        <v>10671.63</v>
      </c>
      <c r="L528" s="3">
        <v>4918.95</v>
      </c>
      <c r="M528">
        <v>5</v>
      </c>
      <c r="N528" s="4">
        <v>0.05</v>
      </c>
      <c r="O528" t="s">
        <v>25</v>
      </c>
      <c r="P528" t="s">
        <v>58</v>
      </c>
    </row>
    <row r="529" spans="1:16">
      <c r="A529" t="s">
        <v>681</v>
      </c>
      <c r="B529" s="2">
        <v>45549</v>
      </c>
      <c r="C529" t="s">
        <v>93</v>
      </c>
      <c r="D529" t="s">
        <v>94</v>
      </c>
      <c r="E529" t="s">
        <v>72</v>
      </c>
      <c r="F529" t="s">
        <v>73</v>
      </c>
      <c r="G529" t="s">
        <v>51</v>
      </c>
      <c r="H529" t="s">
        <v>74</v>
      </c>
      <c r="I529" t="s">
        <v>42</v>
      </c>
      <c r="J529" t="s">
        <v>68</v>
      </c>
      <c r="K529" s="3">
        <v>6671.69</v>
      </c>
      <c r="L529" s="3">
        <v>3768.46</v>
      </c>
      <c r="M529">
        <v>1</v>
      </c>
      <c r="N529" s="4">
        <v>0</v>
      </c>
      <c r="O529" t="s">
        <v>25</v>
      </c>
      <c r="P529" t="s">
        <v>98</v>
      </c>
    </row>
    <row r="530" spans="1:16">
      <c r="A530" t="s">
        <v>682</v>
      </c>
      <c r="B530" s="2">
        <v>45698</v>
      </c>
      <c r="C530" t="s">
        <v>70</v>
      </c>
      <c r="D530" t="s">
        <v>71</v>
      </c>
      <c r="E530" t="s">
        <v>81</v>
      </c>
      <c r="F530" t="s">
        <v>82</v>
      </c>
      <c r="G530" t="s">
        <v>21</v>
      </c>
      <c r="H530" t="s">
        <v>83</v>
      </c>
      <c r="I530" t="s">
        <v>23</v>
      </c>
      <c r="J530" t="s">
        <v>24</v>
      </c>
      <c r="K530" s="3">
        <v>96279.53</v>
      </c>
      <c r="L530" s="3">
        <v>94769.95</v>
      </c>
      <c r="M530">
        <v>5</v>
      </c>
      <c r="N530" s="4">
        <v>0.1</v>
      </c>
      <c r="O530" t="s">
        <v>34</v>
      </c>
      <c r="P530" t="s">
        <v>58</v>
      </c>
    </row>
    <row r="531" spans="1:16">
      <c r="A531" t="s">
        <v>683</v>
      </c>
      <c r="B531" s="2">
        <v>45526</v>
      </c>
      <c r="C531" t="s">
        <v>100</v>
      </c>
      <c r="D531" t="s">
        <v>101</v>
      </c>
      <c r="E531" t="s">
        <v>106</v>
      </c>
      <c r="F531" t="s">
        <v>107</v>
      </c>
      <c r="G531" t="s">
        <v>40</v>
      </c>
      <c r="H531" t="s">
        <v>108</v>
      </c>
      <c r="I531" t="s">
        <v>84</v>
      </c>
      <c r="J531" t="s">
        <v>142</v>
      </c>
      <c r="K531" s="3">
        <v>3372.4</v>
      </c>
      <c r="L531" s="3">
        <v>1466.52</v>
      </c>
      <c r="M531">
        <v>2</v>
      </c>
      <c r="N531" s="4">
        <v>0.05</v>
      </c>
      <c r="O531" t="s">
        <v>76</v>
      </c>
      <c r="P531" t="s">
        <v>58</v>
      </c>
    </row>
    <row r="532" spans="1:16">
      <c r="A532" t="s">
        <v>684</v>
      </c>
      <c r="B532" s="2">
        <v>45657</v>
      </c>
      <c r="C532" t="s">
        <v>140</v>
      </c>
      <c r="D532" t="s">
        <v>141</v>
      </c>
      <c r="E532" t="s">
        <v>81</v>
      </c>
      <c r="F532" t="s">
        <v>82</v>
      </c>
      <c r="G532" t="s">
        <v>21</v>
      </c>
      <c r="H532" t="s">
        <v>83</v>
      </c>
      <c r="I532" t="s">
        <v>42</v>
      </c>
      <c r="J532" t="s">
        <v>68</v>
      </c>
      <c r="K532" s="3">
        <v>65023.56</v>
      </c>
      <c r="L532" s="3">
        <v>57933.81</v>
      </c>
      <c r="M532">
        <v>3</v>
      </c>
      <c r="N532" s="4">
        <v>0.2</v>
      </c>
      <c r="O532" t="s">
        <v>44</v>
      </c>
      <c r="P532" t="s">
        <v>98</v>
      </c>
    </row>
    <row r="533" spans="1:16">
      <c r="A533" t="s">
        <v>685</v>
      </c>
      <c r="B533" s="2">
        <v>45897</v>
      </c>
      <c r="C533" t="s">
        <v>47</v>
      </c>
      <c r="D533" t="s">
        <v>48</v>
      </c>
      <c r="E533" t="s">
        <v>187</v>
      </c>
      <c r="F533" t="s">
        <v>188</v>
      </c>
      <c r="G533" t="s">
        <v>89</v>
      </c>
      <c r="H533" t="s">
        <v>189</v>
      </c>
      <c r="I533" t="s">
        <v>23</v>
      </c>
      <c r="J533" t="s">
        <v>75</v>
      </c>
      <c r="K533" s="3">
        <v>45130.239999999998</v>
      </c>
      <c r="L533" s="3">
        <v>27261</v>
      </c>
      <c r="M533">
        <v>5</v>
      </c>
      <c r="N533" s="4">
        <v>0.2</v>
      </c>
      <c r="O533" t="s">
        <v>136</v>
      </c>
      <c r="P533" t="s">
        <v>45</v>
      </c>
    </row>
    <row r="534" spans="1:16">
      <c r="A534" t="s">
        <v>686</v>
      </c>
      <c r="B534" s="2">
        <v>45524</v>
      </c>
      <c r="C534" t="s">
        <v>158</v>
      </c>
      <c r="D534" t="s">
        <v>159</v>
      </c>
      <c r="E534" t="s">
        <v>87</v>
      </c>
      <c r="F534" t="s">
        <v>88</v>
      </c>
      <c r="G534" t="s">
        <v>89</v>
      </c>
      <c r="H534" t="s">
        <v>90</v>
      </c>
      <c r="I534" t="s">
        <v>56</v>
      </c>
      <c r="J534" t="s">
        <v>57</v>
      </c>
      <c r="K534" s="3">
        <v>2961.35</v>
      </c>
      <c r="L534" s="3">
        <v>1779.07</v>
      </c>
      <c r="M534">
        <v>1</v>
      </c>
      <c r="N534" s="4">
        <v>0.1</v>
      </c>
      <c r="O534" t="s">
        <v>76</v>
      </c>
      <c r="P534" t="s">
        <v>45</v>
      </c>
    </row>
    <row r="535" spans="1:16">
      <c r="A535" t="s">
        <v>687</v>
      </c>
      <c r="B535" s="2">
        <v>45431</v>
      </c>
      <c r="C535" t="s">
        <v>140</v>
      </c>
      <c r="D535" t="s">
        <v>141</v>
      </c>
      <c r="E535" t="s">
        <v>30</v>
      </c>
      <c r="F535" t="s">
        <v>31</v>
      </c>
      <c r="G535" t="s">
        <v>21</v>
      </c>
      <c r="H535" t="s">
        <v>32</v>
      </c>
      <c r="I535" t="s">
        <v>56</v>
      </c>
      <c r="J535" t="s">
        <v>57</v>
      </c>
      <c r="K535" s="3">
        <v>152425</v>
      </c>
      <c r="L535" s="3">
        <v>137858.76</v>
      </c>
      <c r="M535">
        <v>3</v>
      </c>
      <c r="N535" s="4">
        <v>0.15</v>
      </c>
      <c r="O535" t="s">
        <v>136</v>
      </c>
      <c r="P535" t="s">
        <v>45</v>
      </c>
    </row>
    <row r="536" spans="1:16">
      <c r="A536" t="s">
        <v>688</v>
      </c>
      <c r="B536" s="2">
        <v>45591</v>
      </c>
      <c r="C536" t="s">
        <v>140</v>
      </c>
      <c r="D536" t="s">
        <v>141</v>
      </c>
      <c r="E536" t="s">
        <v>132</v>
      </c>
      <c r="F536" t="s">
        <v>133</v>
      </c>
      <c r="G536" t="s">
        <v>40</v>
      </c>
      <c r="H536" t="s">
        <v>41</v>
      </c>
      <c r="I536" t="s">
        <v>53</v>
      </c>
      <c r="J536" t="s">
        <v>54</v>
      </c>
      <c r="K536" s="3">
        <v>1602.63</v>
      </c>
      <c r="L536" s="3">
        <v>1182.8</v>
      </c>
      <c r="M536">
        <v>5</v>
      </c>
      <c r="N536" s="4">
        <v>0.1</v>
      </c>
      <c r="O536" t="s">
        <v>76</v>
      </c>
      <c r="P536" t="s">
        <v>26</v>
      </c>
    </row>
    <row r="537" spans="1:16">
      <c r="A537" t="s">
        <v>689</v>
      </c>
      <c r="B537" s="2">
        <v>45547</v>
      </c>
      <c r="C537" t="s">
        <v>70</v>
      </c>
      <c r="D537" t="s">
        <v>71</v>
      </c>
      <c r="E537" t="s">
        <v>132</v>
      </c>
      <c r="F537" t="s">
        <v>133</v>
      </c>
      <c r="G537" t="s">
        <v>40</v>
      </c>
      <c r="H537" t="s">
        <v>41</v>
      </c>
      <c r="I537" t="s">
        <v>56</v>
      </c>
      <c r="J537" t="s">
        <v>91</v>
      </c>
      <c r="K537" s="3">
        <v>1528.45</v>
      </c>
      <c r="L537" s="3">
        <v>521.5</v>
      </c>
      <c r="M537">
        <v>2</v>
      </c>
      <c r="N537" s="4">
        <v>0.15</v>
      </c>
      <c r="O537" t="s">
        <v>76</v>
      </c>
      <c r="P537" t="s">
        <v>45</v>
      </c>
    </row>
    <row r="538" spans="1:16">
      <c r="A538" t="s">
        <v>690</v>
      </c>
      <c r="B538" s="2">
        <v>45537</v>
      </c>
      <c r="C538" t="s">
        <v>100</v>
      </c>
      <c r="D538" t="s">
        <v>101</v>
      </c>
      <c r="E538" t="s">
        <v>132</v>
      </c>
      <c r="F538" t="s">
        <v>133</v>
      </c>
      <c r="G538" t="s">
        <v>40</v>
      </c>
      <c r="H538" t="s">
        <v>41</v>
      </c>
      <c r="I538" t="s">
        <v>42</v>
      </c>
      <c r="J538" t="s">
        <v>68</v>
      </c>
      <c r="K538" s="3">
        <v>5055.57</v>
      </c>
      <c r="L538" s="3">
        <v>1316.15</v>
      </c>
      <c r="M538">
        <v>5</v>
      </c>
      <c r="N538" s="4">
        <v>0.1</v>
      </c>
      <c r="O538" t="s">
        <v>44</v>
      </c>
      <c r="P538" t="s">
        <v>45</v>
      </c>
    </row>
    <row r="539" spans="1:16">
      <c r="A539" t="s">
        <v>691</v>
      </c>
      <c r="B539" s="2">
        <v>45362</v>
      </c>
      <c r="C539" t="s">
        <v>207</v>
      </c>
      <c r="D539" t="s">
        <v>208</v>
      </c>
      <c r="E539" t="s">
        <v>49</v>
      </c>
      <c r="F539" t="s">
        <v>50</v>
      </c>
      <c r="G539" t="s">
        <v>51</v>
      </c>
      <c r="H539" t="s">
        <v>52</v>
      </c>
      <c r="I539" t="s">
        <v>53</v>
      </c>
      <c r="J539" t="s">
        <v>102</v>
      </c>
      <c r="K539" s="3">
        <v>15234.07</v>
      </c>
      <c r="L539" s="3">
        <v>12982.54</v>
      </c>
      <c r="M539">
        <v>2</v>
      </c>
      <c r="N539" s="4">
        <v>0.15</v>
      </c>
      <c r="O539" t="s">
        <v>34</v>
      </c>
      <c r="P539" t="s">
        <v>98</v>
      </c>
    </row>
    <row r="540" spans="1:16">
      <c r="A540" t="s">
        <v>692</v>
      </c>
      <c r="B540" s="2">
        <v>45484</v>
      </c>
      <c r="C540" t="s">
        <v>66</v>
      </c>
      <c r="D540" t="s">
        <v>67</v>
      </c>
      <c r="E540" t="s">
        <v>193</v>
      </c>
      <c r="F540" t="s">
        <v>194</v>
      </c>
      <c r="G540" t="s">
        <v>89</v>
      </c>
      <c r="H540" t="s">
        <v>90</v>
      </c>
      <c r="I540" t="s">
        <v>56</v>
      </c>
      <c r="J540" t="s">
        <v>191</v>
      </c>
      <c r="K540" s="3">
        <v>1582.94</v>
      </c>
      <c r="L540" s="3">
        <v>1355.82</v>
      </c>
      <c r="M540">
        <v>3</v>
      </c>
      <c r="N540" s="4">
        <v>0.2</v>
      </c>
      <c r="O540" t="s">
        <v>25</v>
      </c>
      <c r="P540" t="s">
        <v>58</v>
      </c>
    </row>
    <row r="541" spans="1:16">
      <c r="A541" t="s">
        <v>693</v>
      </c>
      <c r="B541" s="2">
        <v>45420</v>
      </c>
      <c r="C541" t="s">
        <v>179</v>
      </c>
      <c r="D541" t="s">
        <v>180</v>
      </c>
      <c r="E541" t="s">
        <v>123</v>
      </c>
      <c r="F541" t="s">
        <v>124</v>
      </c>
      <c r="G541" t="s">
        <v>51</v>
      </c>
      <c r="H541" t="s">
        <v>125</v>
      </c>
      <c r="I541" t="s">
        <v>84</v>
      </c>
      <c r="J541" t="s">
        <v>142</v>
      </c>
      <c r="K541" s="3">
        <v>92390.69</v>
      </c>
      <c r="L541" s="3">
        <v>75270.36</v>
      </c>
      <c r="M541">
        <v>4</v>
      </c>
      <c r="N541" s="4">
        <v>0.05</v>
      </c>
      <c r="O541" t="s">
        <v>25</v>
      </c>
      <c r="P541" t="s">
        <v>98</v>
      </c>
    </row>
    <row r="542" spans="1:16">
      <c r="A542" t="s">
        <v>694</v>
      </c>
      <c r="B542" s="2">
        <v>45611</v>
      </c>
      <c r="C542" t="s">
        <v>144</v>
      </c>
      <c r="D542" t="s">
        <v>145</v>
      </c>
      <c r="E542" t="s">
        <v>110</v>
      </c>
      <c r="F542" t="s">
        <v>111</v>
      </c>
      <c r="G542" t="s">
        <v>40</v>
      </c>
      <c r="H542" t="s">
        <v>112</v>
      </c>
      <c r="I542" t="s">
        <v>56</v>
      </c>
      <c r="J542" t="s">
        <v>91</v>
      </c>
      <c r="K542" s="3">
        <v>12156.92</v>
      </c>
      <c r="L542" s="3">
        <v>5278.04</v>
      </c>
      <c r="M542">
        <v>4</v>
      </c>
      <c r="N542" s="4">
        <v>0</v>
      </c>
      <c r="O542" t="s">
        <v>44</v>
      </c>
      <c r="P542" t="s">
        <v>58</v>
      </c>
    </row>
    <row r="543" spans="1:16">
      <c r="A543" t="s">
        <v>695</v>
      </c>
      <c r="B543" s="2">
        <v>45564</v>
      </c>
      <c r="C543" t="s">
        <v>79</v>
      </c>
      <c r="D543" t="s">
        <v>80</v>
      </c>
      <c r="E543" t="s">
        <v>152</v>
      </c>
      <c r="F543" t="s">
        <v>153</v>
      </c>
      <c r="G543" t="s">
        <v>21</v>
      </c>
      <c r="H543" t="s">
        <v>32</v>
      </c>
      <c r="I543" t="s">
        <v>23</v>
      </c>
      <c r="J543" t="s">
        <v>24</v>
      </c>
      <c r="K543" s="3">
        <v>46625.35</v>
      </c>
      <c r="L543" s="3">
        <v>29256.880000000001</v>
      </c>
      <c r="M543">
        <v>4</v>
      </c>
      <c r="N543" s="4">
        <v>0.05</v>
      </c>
      <c r="O543" t="s">
        <v>44</v>
      </c>
      <c r="P543" t="s">
        <v>26</v>
      </c>
    </row>
    <row r="544" spans="1:16">
      <c r="A544" t="s">
        <v>696</v>
      </c>
      <c r="B544" s="2">
        <v>45546</v>
      </c>
      <c r="C544" t="s">
        <v>140</v>
      </c>
      <c r="D544" t="s">
        <v>141</v>
      </c>
      <c r="E544" t="s">
        <v>19</v>
      </c>
      <c r="F544" t="s">
        <v>20</v>
      </c>
      <c r="G544" t="s">
        <v>21</v>
      </c>
      <c r="H544" t="s">
        <v>22</v>
      </c>
      <c r="I544" t="s">
        <v>53</v>
      </c>
      <c r="J544" t="s">
        <v>54</v>
      </c>
      <c r="K544" s="3">
        <v>23433.200000000001</v>
      </c>
      <c r="L544" s="3">
        <v>12650.96</v>
      </c>
      <c r="M544">
        <v>4</v>
      </c>
      <c r="N544" s="4">
        <v>0</v>
      </c>
      <c r="O544" t="s">
        <v>76</v>
      </c>
      <c r="P544" t="s">
        <v>98</v>
      </c>
    </row>
    <row r="545" spans="1:16">
      <c r="A545" t="s">
        <v>697</v>
      </c>
      <c r="B545" s="2">
        <v>45973</v>
      </c>
      <c r="C545" t="s">
        <v>93</v>
      </c>
      <c r="D545" t="s">
        <v>94</v>
      </c>
      <c r="E545" t="s">
        <v>19</v>
      </c>
      <c r="F545" t="s">
        <v>20</v>
      </c>
      <c r="G545" t="s">
        <v>21</v>
      </c>
      <c r="H545" t="s">
        <v>22</v>
      </c>
      <c r="I545" t="s">
        <v>56</v>
      </c>
      <c r="J545" t="s">
        <v>57</v>
      </c>
      <c r="K545" s="3">
        <v>12965.99</v>
      </c>
      <c r="L545" s="3">
        <v>5967.4</v>
      </c>
      <c r="M545">
        <v>2</v>
      </c>
      <c r="N545" s="4">
        <v>0.1</v>
      </c>
      <c r="O545" t="s">
        <v>44</v>
      </c>
      <c r="P545" t="s">
        <v>58</v>
      </c>
    </row>
    <row r="546" spans="1:16">
      <c r="A546" t="s">
        <v>698</v>
      </c>
      <c r="B546" s="2">
        <v>45854</v>
      </c>
      <c r="C546" t="s">
        <v>17</v>
      </c>
      <c r="D546" t="s">
        <v>18</v>
      </c>
      <c r="E546" t="s">
        <v>81</v>
      </c>
      <c r="F546" t="s">
        <v>82</v>
      </c>
      <c r="G546" t="s">
        <v>21</v>
      </c>
      <c r="H546" t="s">
        <v>83</v>
      </c>
      <c r="I546" t="s">
        <v>42</v>
      </c>
      <c r="J546" t="s">
        <v>162</v>
      </c>
      <c r="K546" s="3">
        <v>122856.53</v>
      </c>
      <c r="L546" s="3">
        <v>83198.55</v>
      </c>
      <c r="M546">
        <v>5</v>
      </c>
      <c r="N546" s="4">
        <v>0.1</v>
      </c>
      <c r="O546" t="s">
        <v>76</v>
      </c>
      <c r="P546" t="s">
        <v>77</v>
      </c>
    </row>
    <row r="547" spans="1:16">
      <c r="A547" t="s">
        <v>699</v>
      </c>
      <c r="B547" s="2">
        <v>45533</v>
      </c>
      <c r="C547" t="s">
        <v>28</v>
      </c>
      <c r="D547" t="s">
        <v>29</v>
      </c>
      <c r="E547" t="s">
        <v>49</v>
      </c>
      <c r="F547" t="s">
        <v>50</v>
      </c>
      <c r="G547" t="s">
        <v>51</v>
      </c>
      <c r="H547" t="s">
        <v>52</v>
      </c>
      <c r="I547" t="s">
        <v>23</v>
      </c>
      <c r="J547" t="s">
        <v>33</v>
      </c>
      <c r="K547" s="3">
        <v>34345.370000000003</v>
      </c>
      <c r="L547" s="3">
        <v>27017.279999999999</v>
      </c>
      <c r="M547">
        <v>4</v>
      </c>
      <c r="N547" s="4">
        <v>0.1</v>
      </c>
      <c r="O547" t="s">
        <v>34</v>
      </c>
      <c r="P547" t="s">
        <v>58</v>
      </c>
    </row>
    <row r="548" spans="1:16">
      <c r="A548" t="s">
        <v>700</v>
      </c>
      <c r="B548" s="2">
        <v>45335</v>
      </c>
      <c r="C548" t="s">
        <v>104</v>
      </c>
      <c r="D548" t="s">
        <v>105</v>
      </c>
      <c r="E548" t="s">
        <v>72</v>
      </c>
      <c r="F548" t="s">
        <v>73</v>
      </c>
      <c r="G548" t="s">
        <v>51</v>
      </c>
      <c r="H548" t="s">
        <v>74</v>
      </c>
      <c r="I548" t="s">
        <v>23</v>
      </c>
      <c r="J548" t="s">
        <v>24</v>
      </c>
      <c r="K548" s="3">
        <v>28413.96</v>
      </c>
      <c r="L548" s="3">
        <v>21133.9</v>
      </c>
      <c r="M548">
        <v>5</v>
      </c>
      <c r="N548" s="4">
        <v>0.2</v>
      </c>
      <c r="O548" t="s">
        <v>76</v>
      </c>
      <c r="P548" t="s">
        <v>77</v>
      </c>
    </row>
    <row r="549" spans="1:16">
      <c r="A549" t="s">
        <v>701</v>
      </c>
      <c r="B549" s="2">
        <v>45453</v>
      </c>
      <c r="C549" t="s">
        <v>79</v>
      </c>
      <c r="D549" t="s">
        <v>80</v>
      </c>
      <c r="E549" t="s">
        <v>62</v>
      </c>
      <c r="F549" t="s">
        <v>63</v>
      </c>
      <c r="G549" t="s">
        <v>21</v>
      </c>
      <c r="H549" t="s">
        <v>64</v>
      </c>
      <c r="I549" t="s">
        <v>84</v>
      </c>
      <c r="J549" t="s">
        <v>85</v>
      </c>
      <c r="K549" s="3">
        <v>19160</v>
      </c>
      <c r="L549" s="3">
        <v>6611.6</v>
      </c>
      <c r="M549">
        <v>4</v>
      </c>
      <c r="N549" s="4">
        <v>0</v>
      </c>
      <c r="O549" t="s">
        <v>25</v>
      </c>
      <c r="P549" t="s">
        <v>77</v>
      </c>
    </row>
    <row r="550" spans="1:16">
      <c r="A550" t="s">
        <v>702</v>
      </c>
      <c r="B550" s="2">
        <v>45841</v>
      </c>
      <c r="C550" t="s">
        <v>17</v>
      </c>
      <c r="D550" t="s">
        <v>18</v>
      </c>
      <c r="E550" t="s">
        <v>152</v>
      </c>
      <c r="F550" t="s">
        <v>153</v>
      </c>
      <c r="G550" t="s">
        <v>21</v>
      </c>
      <c r="H550" t="s">
        <v>32</v>
      </c>
      <c r="I550" t="s">
        <v>42</v>
      </c>
      <c r="J550" t="s">
        <v>162</v>
      </c>
      <c r="K550" s="3">
        <v>8478.42</v>
      </c>
      <c r="L550" s="3">
        <v>7401.32</v>
      </c>
      <c r="M550">
        <v>1</v>
      </c>
      <c r="N550" s="4">
        <v>0.2</v>
      </c>
      <c r="O550" t="s">
        <v>44</v>
      </c>
      <c r="P550" t="s">
        <v>98</v>
      </c>
    </row>
    <row r="551" spans="1:16">
      <c r="A551" t="s">
        <v>703</v>
      </c>
      <c r="B551" s="2">
        <v>45997</v>
      </c>
      <c r="C551" t="s">
        <v>93</v>
      </c>
      <c r="D551" t="s">
        <v>94</v>
      </c>
      <c r="E551" t="s">
        <v>49</v>
      </c>
      <c r="F551" t="s">
        <v>50</v>
      </c>
      <c r="G551" t="s">
        <v>51</v>
      </c>
      <c r="H551" t="s">
        <v>52</v>
      </c>
      <c r="I551" t="s">
        <v>23</v>
      </c>
      <c r="J551" t="s">
        <v>24</v>
      </c>
      <c r="K551" s="3">
        <v>36835.519999999997</v>
      </c>
      <c r="L551" s="3">
        <v>27205.72</v>
      </c>
      <c r="M551">
        <v>4</v>
      </c>
      <c r="N551" s="4">
        <v>0</v>
      </c>
      <c r="O551" t="s">
        <v>136</v>
      </c>
      <c r="P551" t="s">
        <v>98</v>
      </c>
    </row>
    <row r="552" spans="1:16">
      <c r="A552" t="s">
        <v>704</v>
      </c>
      <c r="B552" s="2">
        <v>46005</v>
      </c>
      <c r="C552" t="s">
        <v>70</v>
      </c>
      <c r="D552" t="s">
        <v>71</v>
      </c>
      <c r="E552" t="s">
        <v>123</v>
      </c>
      <c r="F552" t="s">
        <v>124</v>
      </c>
      <c r="G552" t="s">
        <v>51</v>
      </c>
      <c r="H552" t="s">
        <v>125</v>
      </c>
      <c r="I552" t="s">
        <v>56</v>
      </c>
      <c r="J552" t="s">
        <v>57</v>
      </c>
      <c r="K552" s="3">
        <v>84561.91</v>
      </c>
      <c r="L552" s="3">
        <v>67532.759999999995</v>
      </c>
      <c r="M552">
        <v>4</v>
      </c>
      <c r="N552" s="4">
        <v>0.1</v>
      </c>
      <c r="O552" t="s">
        <v>44</v>
      </c>
      <c r="P552" t="s">
        <v>98</v>
      </c>
    </row>
    <row r="553" spans="1:16">
      <c r="A553" t="s">
        <v>705</v>
      </c>
      <c r="B553" s="2">
        <v>45859</v>
      </c>
      <c r="C553" t="s">
        <v>66</v>
      </c>
      <c r="D553" t="s">
        <v>67</v>
      </c>
      <c r="E553" t="s">
        <v>193</v>
      </c>
      <c r="F553" t="s">
        <v>194</v>
      </c>
      <c r="G553" t="s">
        <v>89</v>
      </c>
      <c r="H553" t="s">
        <v>90</v>
      </c>
      <c r="I553" t="s">
        <v>53</v>
      </c>
      <c r="J553" t="s">
        <v>102</v>
      </c>
      <c r="K553" s="3">
        <v>1414.85</v>
      </c>
      <c r="L553" s="3">
        <v>913.78</v>
      </c>
      <c r="M553">
        <v>2</v>
      </c>
      <c r="N553" s="4">
        <v>0.1</v>
      </c>
      <c r="O553" t="s">
        <v>44</v>
      </c>
      <c r="P553" t="s">
        <v>77</v>
      </c>
    </row>
    <row r="554" spans="1:16">
      <c r="A554" t="s">
        <v>706</v>
      </c>
      <c r="B554" s="2">
        <v>45945</v>
      </c>
      <c r="C554" t="s">
        <v>170</v>
      </c>
      <c r="D554" t="s">
        <v>171</v>
      </c>
      <c r="E554" t="s">
        <v>30</v>
      </c>
      <c r="F554" t="s">
        <v>31</v>
      </c>
      <c r="G554" t="s">
        <v>21</v>
      </c>
      <c r="H554" t="s">
        <v>32</v>
      </c>
      <c r="I554" t="s">
        <v>53</v>
      </c>
      <c r="J554" t="s">
        <v>54</v>
      </c>
      <c r="K554" s="3">
        <v>279227.05</v>
      </c>
      <c r="L554" s="3">
        <v>234194.1</v>
      </c>
      <c r="M554">
        <v>5</v>
      </c>
      <c r="N554" s="4">
        <v>0</v>
      </c>
      <c r="O554" t="s">
        <v>34</v>
      </c>
      <c r="P554" t="s">
        <v>77</v>
      </c>
    </row>
    <row r="555" spans="1:16">
      <c r="A555" t="s">
        <v>707</v>
      </c>
      <c r="B555" s="2">
        <v>45620</v>
      </c>
      <c r="C555" t="s">
        <v>79</v>
      </c>
      <c r="D555" t="s">
        <v>80</v>
      </c>
      <c r="E555" t="s">
        <v>193</v>
      </c>
      <c r="F555" t="s">
        <v>194</v>
      </c>
      <c r="G555" t="s">
        <v>89</v>
      </c>
      <c r="H555" t="s">
        <v>90</v>
      </c>
      <c r="I555" t="s">
        <v>84</v>
      </c>
      <c r="J555" t="s">
        <v>85</v>
      </c>
      <c r="K555" s="3">
        <v>1059.74</v>
      </c>
      <c r="L555" s="3">
        <v>515.83000000000004</v>
      </c>
      <c r="M555">
        <v>1</v>
      </c>
      <c r="N555" s="4">
        <v>0.15</v>
      </c>
      <c r="O555" t="s">
        <v>76</v>
      </c>
      <c r="P555" t="s">
        <v>98</v>
      </c>
    </row>
    <row r="556" spans="1:16">
      <c r="A556" t="s">
        <v>708</v>
      </c>
      <c r="B556" s="2">
        <v>45919</v>
      </c>
      <c r="C556" t="s">
        <v>79</v>
      </c>
      <c r="D556" t="s">
        <v>80</v>
      </c>
      <c r="E556" t="s">
        <v>187</v>
      </c>
      <c r="F556" t="s">
        <v>188</v>
      </c>
      <c r="G556" t="s">
        <v>89</v>
      </c>
      <c r="H556" t="s">
        <v>189</v>
      </c>
      <c r="I556" t="s">
        <v>23</v>
      </c>
      <c r="J556" t="s">
        <v>75</v>
      </c>
      <c r="K556" s="3">
        <v>31631.34</v>
      </c>
      <c r="L556" s="3">
        <v>15914.58</v>
      </c>
      <c r="M556">
        <v>3</v>
      </c>
      <c r="N556" s="4">
        <v>0</v>
      </c>
      <c r="O556" t="s">
        <v>25</v>
      </c>
      <c r="P556" t="s">
        <v>58</v>
      </c>
    </row>
    <row r="557" spans="1:16">
      <c r="A557" t="s">
        <v>709</v>
      </c>
      <c r="B557" s="2">
        <v>45324</v>
      </c>
      <c r="C557" t="s">
        <v>28</v>
      </c>
      <c r="D557" t="s">
        <v>29</v>
      </c>
      <c r="E557" t="s">
        <v>152</v>
      </c>
      <c r="F557" t="s">
        <v>153</v>
      </c>
      <c r="G557" t="s">
        <v>21</v>
      </c>
      <c r="H557" t="s">
        <v>32</v>
      </c>
      <c r="I557" t="s">
        <v>23</v>
      </c>
      <c r="J557" t="s">
        <v>75</v>
      </c>
      <c r="K557" s="3">
        <v>20617.96</v>
      </c>
      <c r="L557" s="3">
        <v>14742.58</v>
      </c>
      <c r="M557">
        <v>2</v>
      </c>
      <c r="N557" s="4">
        <v>0</v>
      </c>
      <c r="O557" t="s">
        <v>34</v>
      </c>
      <c r="P557" t="s">
        <v>26</v>
      </c>
    </row>
    <row r="558" spans="1:16">
      <c r="A558" t="s">
        <v>710</v>
      </c>
      <c r="B558" s="2">
        <v>45930</v>
      </c>
      <c r="C558" t="s">
        <v>130</v>
      </c>
      <c r="D558" t="s">
        <v>131</v>
      </c>
      <c r="E558" t="s">
        <v>87</v>
      </c>
      <c r="F558" t="s">
        <v>88</v>
      </c>
      <c r="G558" t="s">
        <v>89</v>
      </c>
      <c r="H558" t="s">
        <v>90</v>
      </c>
      <c r="I558" t="s">
        <v>56</v>
      </c>
      <c r="J558" t="s">
        <v>57</v>
      </c>
      <c r="K558" s="3">
        <v>13169.52</v>
      </c>
      <c r="L558" s="3">
        <v>8560.7000000000007</v>
      </c>
      <c r="M558">
        <v>5</v>
      </c>
      <c r="N558" s="4">
        <v>0.2</v>
      </c>
      <c r="O558" t="s">
        <v>25</v>
      </c>
      <c r="P558" t="s">
        <v>58</v>
      </c>
    </row>
    <row r="559" spans="1:16">
      <c r="A559" t="s">
        <v>711</v>
      </c>
      <c r="B559" s="2">
        <v>45373</v>
      </c>
      <c r="C559" t="s">
        <v>144</v>
      </c>
      <c r="D559" t="s">
        <v>145</v>
      </c>
      <c r="E559" t="s">
        <v>87</v>
      </c>
      <c r="F559" t="s">
        <v>88</v>
      </c>
      <c r="G559" t="s">
        <v>89</v>
      </c>
      <c r="H559" t="s">
        <v>90</v>
      </c>
      <c r="I559" t="s">
        <v>53</v>
      </c>
      <c r="J559" t="s">
        <v>102</v>
      </c>
      <c r="K559" s="3">
        <v>7127.94</v>
      </c>
      <c r="L559" s="3">
        <v>7633.48</v>
      </c>
      <c r="M559">
        <v>4</v>
      </c>
      <c r="N559" s="4">
        <v>0.2</v>
      </c>
      <c r="O559" t="s">
        <v>136</v>
      </c>
      <c r="P559" t="s">
        <v>77</v>
      </c>
    </row>
    <row r="560" spans="1:16">
      <c r="A560" t="s">
        <v>712</v>
      </c>
      <c r="B560" s="2">
        <v>45923</v>
      </c>
      <c r="C560" t="s">
        <v>60</v>
      </c>
      <c r="D560" t="s">
        <v>61</v>
      </c>
      <c r="E560" t="s">
        <v>81</v>
      </c>
      <c r="F560" t="s">
        <v>82</v>
      </c>
      <c r="G560" t="s">
        <v>21</v>
      </c>
      <c r="H560" t="s">
        <v>83</v>
      </c>
      <c r="I560" t="s">
        <v>53</v>
      </c>
      <c r="J560" t="s">
        <v>102</v>
      </c>
      <c r="K560" s="3">
        <v>83853.95</v>
      </c>
      <c r="L560" s="3">
        <v>54313.41</v>
      </c>
      <c r="M560">
        <v>3</v>
      </c>
      <c r="N560" s="4">
        <v>0.1</v>
      </c>
      <c r="O560" t="s">
        <v>25</v>
      </c>
      <c r="P560" t="s">
        <v>58</v>
      </c>
    </row>
    <row r="561" spans="1:16">
      <c r="A561" t="s">
        <v>713</v>
      </c>
      <c r="B561" s="2">
        <v>45528</v>
      </c>
      <c r="C561" t="s">
        <v>114</v>
      </c>
      <c r="D561" t="s">
        <v>115</v>
      </c>
      <c r="E561" t="s">
        <v>19</v>
      </c>
      <c r="F561" t="s">
        <v>20</v>
      </c>
      <c r="G561" t="s">
        <v>21</v>
      </c>
      <c r="H561" t="s">
        <v>22</v>
      </c>
      <c r="I561" t="s">
        <v>23</v>
      </c>
      <c r="J561" t="s">
        <v>33</v>
      </c>
      <c r="K561" s="3">
        <v>21133.65</v>
      </c>
      <c r="L561" s="3">
        <v>14656</v>
      </c>
      <c r="M561">
        <v>5</v>
      </c>
      <c r="N561" s="4">
        <v>0.05</v>
      </c>
      <c r="O561" t="s">
        <v>34</v>
      </c>
      <c r="P561" t="s">
        <v>58</v>
      </c>
    </row>
    <row r="562" spans="1:16">
      <c r="A562" t="s">
        <v>714</v>
      </c>
      <c r="B562" s="2">
        <v>45400</v>
      </c>
      <c r="C562" t="s">
        <v>70</v>
      </c>
      <c r="D562" t="s">
        <v>71</v>
      </c>
      <c r="E562" t="s">
        <v>187</v>
      </c>
      <c r="F562" t="s">
        <v>188</v>
      </c>
      <c r="G562" t="s">
        <v>89</v>
      </c>
      <c r="H562" t="s">
        <v>189</v>
      </c>
      <c r="I562" t="s">
        <v>56</v>
      </c>
      <c r="J562" t="s">
        <v>91</v>
      </c>
      <c r="K562" s="3">
        <v>39515.01</v>
      </c>
      <c r="L562" s="3">
        <v>26718.799999999999</v>
      </c>
      <c r="M562">
        <v>5</v>
      </c>
      <c r="N562" s="4">
        <v>0.15</v>
      </c>
      <c r="O562" t="s">
        <v>25</v>
      </c>
      <c r="P562" t="s">
        <v>58</v>
      </c>
    </row>
    <row r="563" spans="1:16">
      <c r="A563" t="s">
        <v>715</v>
      </c>
      <c r="B563" s="2">
        <v>45808</v>
      </c>
      <c r="C563" t="s">
        <v>200</v>
      </c>
      <c r="D563" t="s">
        <v>201</v>
      </c>
      <c r="E563" t="s">
        <v>187</v>
      </c>
      <c r="F563" t="s">
        <v>188</v>
      </c>
      <c r="G563" t="s">
        <v>89</v>
      </c>
      <c r="H563" t="s">
        <v>189</v>
      </c>
      <c r="I563" t="s">
        <v>56</v>
      </c>
      <c r="J563" t="s">
        <v>91</v>
      </c>
      <c r="K563" s="3">
        <v>23548.51</v>
      </c>
      <c r="L563" s="3">
        <v>17019.87</v>
      </c>
      <c r="M563">
        <v>3</v>
      </c>
      <c r="N563" s="4">
        <v>0.2</v>
      </c>
      <c r="O563" t="s">
        <v>136</v>
      </c>
      <c r="P563" t="s">
        <v>77</v>
      </c>
    </row>
    <row r="564" spans="1:16">
      <c r="A564" t="s">
        <v>716</v>
      </c>
      <c r="B564" s="2">
        <v>45672</v>
      </c>
      <c r="C564" t="s">
        <v>231</v>
      </c>
      <c r="D564" t="s">
        <v>232</v>
      </c>
      <c r="E564" t="s">
        <v>187</v>
      </c>
      <c r="F564" t="s">
        <v>188</v>
      </c>
      <c r="G564" t="s">
        <v>89</v>
      </c>
      <c r="H564" t="s">
        <v>189</v>
      </c>
      <c r="I564" t="s">
        <v>84</v>
      </c>
      <c r="J564" t="s">
        <v>134</v>
      </c>
      <c r="K564" s="3">
        <v>32778.79</v>
      </c>
      <c r="L564" s="3">
        <v>23162.400000000001</v>
      </c>
      <c r="M564">
        <v>4</v>
      </c>
      <c r="N564" s="4">
        <v>0.1</v>
      </c>
      <c r="O564" t="s">
        <v>34</v>
      </c>
      <c r="P564" t="s">
        <v>58</v>
      </c>
    </row>
    <row r="565" spans="1:16">
      <c r="A565" t="s">
        <v>717</v>
      </c>
      <c r="B565" s="2">
        <v>45676</v>
      </c>
      <c r="C565" t="s">
        <v>147</v>
      </c>
      <c r="D565" t="s">
        <v>148</v>
      </c>
      <c r="E565" t="s">
        <v>187</v>
      </c>
      <c r="F565" t="s">
        <v>188</v>
      </c>
      <c r="G565" t="s">
        <v>89</v>
      </c>
      <c r="H565" t="s">
        <v>189</v>
      </c>
      <c r="I565" t="s">
        <v>84</v>
      </c>
      <c r="J565" t="s">
        <v>85</v>
      </c>
      <c r="K565" s="3">
        <v>33566.370000000003</v>
      </c>
      <c r="L565" s="3">
        <v>29843.8</v>
      </c>
      <c r="M565">
        <v>5</v>
      </c>
      <c r="N565" s="4">
        <v>0.15</v>
      </c>
      <c r="O565" t="s">
        <v>136</v>
      </c>
      <c r="P565" t="s">
        <v>26</v>
      </c>
    </row>
    <row r="566" spans="1:16">
      <c r="A566" t="s">
        <v>718</v>
      </c>
      <c r="B566" s="2">
        <v>45902</v>
      </c>
      <c r="C566" t="s">
        <v>140</v>
      </c>
      <c r="D566" t="s">
        <v>141</v>
      </c>
      <c r="E566" t="s">
        <v>81</v>
      </c>
      <c r="F566" t="s">
        <v>82</v>
      </c>
      <c r="G566" t="s">
        <v>21</v>
      </c>
      <c r="H566" t="s">
        <v>83</v>
      </c>
      <c r="I566" t="s">
        <v>84</v>
      </c>
      <c r="J566" t="s">
        <v>142</v>
      </c>
      <c r="K566" s="3">
        <v>31412.01</v>
      </c>
      <c r="L566" s="3">
        <v>18063.39</v>
      </c>
      <c r="M566">
        <v>1</v>
      </c>
      <c r="N566" s="4">
        <v>0.1</v>
      </c>
      <c r="O566" t="s">
        <v>25</v>
      </c>
      <c r="P566" t="s">
        <v>45</v>
      </c>
    </row>
    <row r="567" spans="1:16">
      <c r="A567" t="s">
        <v>719</v>
      </c>
      <c r="B567" s="2">
        <v>45614</v>
      </c>
      <c r="C567" t="s">
        <v>36</v>
      </c>
      <c r="D567" t="s">
        <v>37</v>
      </c>
      <c r="E567" t="s">
        <v>49</v>
      </c>
      <c r="F567" t="s">
        <v>50</v>
      </c>
      <c r="G567" t="s">
        <v>51</v>
      </c>
      <c r="H567" t="s">
        <v>52</v>
      </c>
      <c r="I567" t="s">
        <v>53</v>
      </c>
      <c r="J567" t="s">
        <v>102</v>
      </c>
      <c r="K567" s="3">
        <v>15681.97</v>
      </c>
      <c r="L567" s="3">
        <v>7380.13</v>
      </c>
      <c r="M567">
        <v>1</v>
      </c>
      <c r="N567" s="4">
        <v>0.1</v>
      </c>
      <c r="O567" t="s">
        <v>34</v>
      </c>
      <c r="P567" t="s">
        <v>58</v>
      </c>
    </row>
    <row r="568" spans="1:16">
      <c r="A568" t="s">
        <v>720</v>
      </c>
      <c r="B568" s="2">
        <v>45656</v>
      </c>
      <c r="C568" t="s">
        <v>179</v>
      </c>
      <c r="D568" t="s">
        <v>180</v>
      </c>
      <c r="E568" t="s">
        <v>81</v>
      </c>
      <c r="F568" t="s">
        <v>82</v>
      </c>
      <c r="G568" t="s">
        <v>21</v>
      </c>
      <c r="H568" t="s">
        <v>83</v>
      </c>
      <c r="I568" t="s">
        <v>56</v>
      </c>
      <c r="J568" t="s">
        <v>191</v>
      </c>
      <c r="K568" s="3">
        <v>40972.019999999997</v>
      </c>
      <c r="L568" s="3">
        <v>33396.54</v>
      </c>
      <c r="M568">
        <v>2</v>
      </c>
      <c r="N568" s="4">
        <v>0.2</v>
      </c>
      <c r="O568" t="s">
        <v>76</v>
      </c>
      <c r="P568" t="s">
        <v>58</v>
      </c>
    </row>
    <row r="569" spans="1:16">
      <c r="A569" t="s">
        <v>721</v>
      </c>
      <c r="B569" s="2">
        <v>45876</v>
      </c>
      <c r="C569" t="s">
        <v>66</v>
      </c>
      <c r="D569" t="s">
        <v>67</v>
      </c>
      <c r="E569" t="s">
        <v>123</v>
      </c>
      <c r="F569" t="s">
        <v>124</v>
      </c>
      <c r="G569" t="s">
        <v>51</v>
      </c>
      <c r="H569" t="s">
        <v>125</v>
      </c>
      <c r="I569" t="s">
        <v>23</v>
      </c>
      <c r="J569" t="s">
        <v>33</v>
      </c>
      <c r="K569" s="3">
        <v>96156.32</v>
      </c>
      <c r="L569" s="3">
        <v>72994.52</v>
      </c>
      <c r="M569">
        <v>4</v>
      </c>
      <c r="N569" s="4">
        <v>0</v>
      </c>
      <c r="O569" t="s">
        <v>44</v>
      </c>
      <c r="P569" t="s">
        <v>98</v>
      </c>
    </row>
    <row r="570" spans="1:16">
      <c r="A570" t="s">
        <v>722</v>
      </c>
      <c r="B570" s="2">
        <v>45998</v>
      </c>
      <c r="C570" t="s">
        <v>200</v>
      </c>
      <c r="D570" t="s">
        <v>201</v>
      </c>
      <c r="E570" t="s">
        <v>87</v>
      </c>
      <c r="F570" t="s">
        <v>88</v>
      </c>
      <c r="G570" t="s">
        <v>89</v>
      </c>
      <c r="H570" t="s">
        <v>90</v>
      </c>
      <c r="I570" t="s">
        <v>53</v>
      </c>
      <c r="J570" t="s">
        <v>102</v>
      </c>
      <c r="K570" s="3">
        <v>10567.12</v>
      </c>
      <c r="L570" s="3">
        <v>9575.15</v>
      </c>
      <c r="M570">
        <v>5</v>
      </c>
      <c r="N570" s="4">
        <v>0.1</v>
      </c>
      <c r="O570" t="s">
        <v>25</v>
      </c>
      <c r="P570" t="s">
        <v>26</v>
      </c>
    </row>
    <row r="571" spans="1:16">
      <c r="A571" t="s">
        <v>723</v>
      </c>
      <c r="B571" s="2">
        <v>45634</v>
      </c>
      <c r="C571" t="s">
        <v>100</v>
      </c>
      <c r="D571" t="s">
        <v>101</v>
      </c>
      <c r="E571" t="s">
        <v>81</v>
      </c>
      <c r="F571" t="s">
        <v>82</v>
      </c>
      <c r="G571" t="s">
        <v>21</v>
      </c>
      <c r="H571" t="s">
        <v>83</v>
      </c>
      <c r="I571" t="s">
        <v>53</v>
      </c>
      <c r="J571" t="s">
        <v>54</v>
      </c>
      <c r="K571" s="3">
        <v>79815.240000000005</v>
      </c>
      <c r="L571" s="3">
        <v>58101.75</v>
      </c>
      <c r="M571">
        <v>3</v>
      </c>
      <c r="N571" s="4">
        <v>0</v>
      </c>
      <c r="O571" t="s">
        <v>76</v>
      </c>
      <c r="P571" t="s">
        <v>58</v>
      </c>
    </row>
    <row r="572" spans="1:16">
      <c r="A572" t="s">
        <v>724</v>
      </c>
      <c r="B572" s="2">
        <v>45604</v>
      </c>
      <c r="C572" t="s">
        <v>17</v>
      </c>
      <c r="D572" t="s">
        <v>18</v>
      </c>
      <c r="E572" t="s">
        <v>106</v>
      </c>
      <c r="F572" t="s">
        <v>107</v>
      </c>
      <c r="G572" t="s">
        <v>40</v>
      </c>
      <c r="H572" t="s">
        <v>108</v>
      </c>
      <c r="I572" t="s">
        <v>23</v>
      </c>
      <c r="J572" t="s">
        <v>24</v>
      </c>
      <c r="K572" s="3">
        <v>9442.2900000000009</v>
      </c>
      <c r="L572" s="3">
        <v>3178.85</v>
      </c>
      <c r="M572">
        <v>5</v>
      </c>
      <c r="N572" s="4">
        <v>0.05</v>
      </c>
      <c r="O572" t="s">
        <v>44</v>
      </c>
      <c r="P572" t="s">
        <v>58</v>
      </c>
    </row>
    <row r="573" spans="1:16">
      <c r="A573" t="s">
        <v>725</v>
      </c>
      <c r="B573" s="2">
        <v>45694</v>
      </c>
      <c r="C573" t="s">
        <v>47</v>
      </c>
      <c r="D573" t="s">
        <v>48</v>
      </c>
      <c r="E573" t="s">
        <v>81</v>
      </c>
      <c r="F573" t="s">
        <v>82</v>
      </c>
      <c r="G573" t="s">
        <v>21</v>
      </c>
      <c r="H573" t="s">
        <v>83</v>
      </c>
      <c r="I573" t="s">
        <v>42</v>
      </c>
      <c r="J573" t="s">
        <v>68</v>
      </c>
      <c r="K573" s="3">
        <v>114787.12</v>
      </c>
      <c r="L573" s="3">
        <v>75640.88</v>
      </c>
      <c r="M573">
        <v>4</v>
      </c>
      <c r="N573" s="4">
        <v>0</v>
      </c>
      <c r="O573" t="s">
        <v>76</v>
      </c>
      <c r="P573" t="s">
        <v>26</v>
      </c>
    </row>
    <row r="574" spans="1:16">
      <c r="A574" t="s">
        <v>726</v>
      </c>
      <c r="B574" s="2">
        <v>45427</v>
      </c>
      <c r="C574" t="s">
        <v>265</v>
      </c>
      <c r="D574" t="s">
        <v>266</v>
      </c>
      <c r="E574" t="s">
        <v>106</v>
      </c>
      <c r="F574" t="s">
        <v>107</v>
      </c>
      <c r="G574" t="s">
        <v>40</v>
      </c>
      <c r="H574" t="s">
        <v>108</v>
      </c>
      <c r="I574" t="s">
        <v>23</v>
      </c>
      <c r="J574" t="s">
        <v>75</v>
      </c>
      <c r="K574" s="3">
        <v>6171.51</v>
      </c>
      <c r="L574" s="3">
        <v>1924.68</v>
      </c>
      <c r="M574">
        <v>3</v>
      </c>
      <c r="N574" s="4">
        <v>0</v>
      </c>
      <c r="O574" t="s">
        <v>34</v>
      </c>
      <c r="P574" t="s">
        <v>26</v>
      </c>
    </row>
    <row r="575" spans="1:16">
      <c r="A575" t="s">
        <v>727</v>
      </c>
      <c r="B575" s="2">
        <v>45805</v>
      </c>
      <c r="C575" t="s">
        <v>66</v>
      </c>
      <c r="D575" t="s">
        <v>67</v>
      </c>
      <c r="E575" t="s">
        <v>62</v>
      </c>
      <c r="F575" t="s">
        <v>63</v>
      </c>
      <c r="G575" t="s">
        <v>21</v>
      </c>
      <c r="H575" t="s">
        <v>64</v>
      </c>
      <c r="I575" t="s">
        <v>56</v>
      </c>
      <c r="J575" t="s">
        <v>91</v>
      </c>
      <c r="K575" s="3">
        <v>9882.2800000000007</v>
      </c>
      <c r="L575" s="3">
        <v>7594.32</v>
      </c>
      <c r="M575">
        <v>4</v>
      </c>
      <c r="N575" s="4">
        <v>0.05</v>
      </c>
      <c r="O575" t="s">
        <v>136</v>
      </c>
      <c r="P575" t="s">
        <v>58</v>
      </c>
    </row>
    <row r="576" spans="1:16">
      <c r="A576" t="s">
        <v>728</v>
      </c>
      <c r="B576" s="2">
        <v>45877</v>
      </c>
      <c r="C576" t="s">
        <v>197</v>
      </c>
      <c r="D576" t="s">
        <v>198</v>
      </c>
      <c r="E576" t="s">
        <v>106</v>
      </c>
      <c r="F576" t="s">
        <v>107</v>
      </c>
      <c r="G576" t="s">
        <v>40</v>
      </c>
      <c r="H576" t="s">
        <v>108</v>
      </c>
      <c r="I576" t="s">
        <v>42</v>
      </c>
      <c r="J576" t="s">
        <v>68</v>
      </c>
      <c r="K576" s="3">
        <v>4789.71</v>
      </c>
      <c r="L576" s="3">
        <v>1417.12</v>
      </c>
      <c r="M576">
        <v>2</v>
      </c>
      <c r="N576" s="4">
        <v>0.2</v>
      </c>
      <c r="O576" t="s">
        <v>76</v>
      </c>
      <c r="P576" t="s">
        <v>58</v>
      </c>
    </row>
    <row r="577" spans="1:16">
      <c r="A577" t="s">
        <v>729</v>
      </c>
      <c r="B577" s="2">
        <v>45732</v>
      </c>
      <c r="C577" t="s">
        <v>100</v>
      </c>
      <c r="D577" t="s">
        <v>101</v>
      </c>
      <c r="E577" t="s">
        <v>175</v>
      </c>
      <c r="F577" t="s">
        <v>176</v>
      </c>
      <c r="G577" t="s">
        <v>51</v>
      </c>
      <c r="H577" t="s">
        <v>177</v>
      </c>
      <c r="I577" t="s">
        <v>53</v>
      </c>
      <c r="J577" t="s">
        <v>54</v>
      </c>
      <c r="K577" s="3">
        <v>78091.02</v>
      </c>
      <c r="L577" s="3">
        <v>49773.48</v>
      </c>
      <c r="M577">
        <v>3</v>
      </c>
      <c r="N577" s="4">
        <v>0</v>
      </c>
      <c r="O577" t="s">
        <v>136</v>
      </c>
      <c r="P577" t="s">
        <v>26</v>
      </c>
    </row>
    <row r="578" spans="1:16">
      <c r="A578" t="s">
        <v>730</v>
      </c>
      <c r="B578" s="2">
        <v>45620</v>
      </c>
      <c r="C578" t="s">
        <v>158</v>
      </c>
      <c r="D578" t="s">
        <v>159</v>
      </c>
      <c r="E578" t="s">
        <v>172</v>
      </c>
      <c r="F578" t="s">
        <v>173</v>
      </c>
      <c r="G578" t="s">
        <v>40</v>
      </c>
      <c r="H578" t="s">
        <v>41</v>
      </c>
      <c r="I578" t="s">
        <v>84</v>
      </c>
      <c r="J578" t="s">
        <v>85</v>
      </c>
      <c r="K578" s="3">
        <v>2917.16</v>
      </c>
      <c r="L578" s="3">
        <v>2750.7</v>
      </c>
      <c r="M578">
        <v>3</v>
      </c>
      <c r="N578" s="4">
        <v>0.1</v>
      </c>
      <c r="O578" t="s">
        <v>76</v>
      </c>
      <c r="P578" t="s">
        <v>77</v>
      </c>
    </row>
    <row r="579" spans="1:16">
      <c r="A579" t="s">
        <v>731</v>
      </c>
      <c r="B579" s="2">
        <v>45441</v>
      </c>
      <c r="C579" t="s">
        <v>155</v>
      </c>
      <c r="D579" t="s">
        <v>156</v>
      </c>
      <c r="E579" t="s">
        <v>38</v>
      </c>
      <c r="F579" t="s">
        <v>39</v>
      </c>
      <c r="G579" t="s">
        <v>40</v>
      </c>
      <c r="H579" t="s">
        <v>41</v>
      </c>
      <c r="I579" t="s">
        <v>42</v>
      </c>
      <c r="J579" t="s">
        <v>43</v>
      </c>
      <c r="K579" s="3">
        <v>7254.5</v>
      </c>
      <c r="L579" s="3">
        <v>1817.96</v>
      </c>
      <c r="M579">
        <v>4</v>
      </c>
      <c r="N579" s="4">
        <v>0.05</v>
      </c>
      <c r="O579" t="s">
        <v>44</v>
      </c>
      <c r="P579" t="s">
        <v>58</v>
      </c>
    </row>
    <row r="580" spans="1:16">
      <c r="A580" t="s">
        <v>732</v>
      </c>
      <c r="B580" s="2">
        <v>45347</v>
      </c>
      <c r="C580" t="s">
        <v>79</v>
      </c>
      <c r="D580" t="s">
        <v>80</v>
      </c>
      <c r="E580" t="s">
        <v>62</v>
      </c>
      <c r="F580" t="s">
        <v>63</v>
      </c>
      <c r="G580" t="s">
        <v>21</v>
      </c>
      <c r="H580" t="s">
        <v>64</v>
      </c>
      <c r="I580" t="s">
        <v>23</v>
      </c>
      <c r="J580" t="s">
        <v>33</v>
      </c>
      <c r="K580" s="3">
        <v>11108.63</v>
      </c>
      <c r="L580" s="3">
        <v>3923.24</v>
      </c>
      <c r="M580">
        <v>2</v>
      </c>
      <c r="N580" s="4">
        <v>0.1</v>
      </c>
      <c r="O580" t="s">
        <v>25</v>
      </c>
      <c r="P580" t="s">
        <v>77</v>
      </c>
    </row>
    <row r="581" spans="1:16">
      <c r="A581" t="s">
        <v>733</v>
      </c>
      <c r="B581" s="2">
        <v>45752</v>
      </c>
      <c r="C581" t="s">
        <v>60</v>
      </c>
      <c r="D581" t="s">
        <v>61</v>
      </c>
      <c r="E581" t="s">
        <v>19</v>
      </c>
      <c r="F581" t="s">
        <v>20</v>
      </c>
      <c r="G581" t="s">
        <v>21</v>
      </c>
      <c r="H581" t="s">
        <v>22</v>
      </c>
      <c r="I581" t="s">
        <v>84</v>
      </c>
      <c r="J581" t="s">
        <v>142</v>
      </c>
      <c r="K581" s="3">
        <v>14524.19</v>
      </c>
      <c r="L581" s="3">
        <v>10854.6</v>
      </c>
      <c r="M581">
        <v>4</v>
      </c>
      <c r="N581" s="4">
        <v>0.2</v>
      </c>
      <c r="O581" t="s">
        <v>76</v>
      </c>
      <c r="P581" t="s">
        <v>58</v>
      </c>
    </row>
    <row r="582" spans="1:16">
      <c r="A582" t="s">
        <v>734</v>
      </c>
      <c r="B582" s="2">
        <v>45556</v>
      </c>
      <c r="C582" t="s">
        <v>70</v>
      </c>
      <c r="D582" t="s">
        <v>71</v>
      </c>
      <c r="E582" t="s">
        <v>182</v>
      </c>
      <c r="F582" t="s">
        <v>183</v>
      </c>
      <c r="G582" t="s">
        <v>89</v>
      </c>
      <c r="H582" t="s">
        <v>90</v>
      </c>
      <c r="I582" t="s">
        <v>53</v>
      </c>
      <c r="J582" t="s">
        <v>54</v>
      </c>
      <c r="K582" s="3">
        <v>57160.74</v>
      </c>
      <c r="L582" s="3">
        <v>29898.15</v>
      </c>
      <c r="M582">
        <v>5</v>
      </c>
      <c r="N582" s="4">
        <v>0.05</v>
      </c>
      <c r="O582" t="s">
        <v>25</v>
      </c>
      <c r="P582" t="s">
        <v>26</v>
      </c>
    </row>
    <row r="583" spans="1:16">
      <c r="A583" t="s">
        <v>735</v>
      </c>
      <c r="B583" s="2">
        <v>45553</v>
      </c>
      <c r="C583" t="s">
        <v>147</v>
      </c>
      <c r="D583" t="s">
        <v>148</v>
      </c>
      <c r="E583" t="s">
        <v>182</v>
      </c>
      <c r="F583" t="s">
        <v>183</v>
      </c>
      <c r="G583" t="s">
        <v>89</v>
      </c>
      <c r="H583" t="s">
        <v>90</v>
      </c>
      <c r="I583" t="s">
        <v>23</v>
      </c>
      <c r="J583" t="s">
        <v>24</v>
      </c>
      <c r="K583" s="3">
        <v>13089.71</v>
      </c>
      <c r="L583" s="3">
        <v>10944.26</v>
      </c>
      <c r="M583">
        <v>2</v>
      </c>
      <c r="N583" s="4">
        <v>0.2</v>
      </c>
      <c r="O583" t="s">
        <v>44</v>
      </c>
      <c r="P583" t="s">
        <v>58</v>
      </c>
    </row>
    <row r="584" spans="1:16">
      <c r="A584" t="s">
        <v>736</v>
      </c>
      <c r="B584" s="2">
        <v>45689</v>
      </c>
      <c r="C584" t="s">
        <v>170</v>
      </c>
      <c r="D584" t="s">
        <v>171</v>
      </c>
      <c r="E584" t="s">
        <v>30</v>
      </c>
      <c r="F584" t="s">
        <v>31</v>
      </c>
      <c r="G584" t="s">
        <v>21</v>
      </c>
      <c r="H584" t="s">
        <v>32</v>
      </c>
      <c r="I584" t="s">
        <v>23</v>
      </c>
      <c r="J584" t="s">
        <v>33</v>
      </c>
      <c r="K584" s="3">
        <v>172855.76</v>
      </c>
      <c r="L584" s="3">
        <v>148693.85999999999</v>
      </c>
      <c r="M584">
        <v>3</v>
      </c>
      <c r="N584" s="4">
        <v>0.1</v>
      </c>
      <c r="O584" t="s">
        <v>25</v>
      </c>
      <c r="P584" t="s">
        <v>58</v>
      </c>
    </row>
    <row r="585" spans="1:16">
      <c r="A585" t="s">
        <v>737</v>
      </c>
      <c r="B585" s="2">
        <v>45681</v>
      </c>
      <c r="C585" t="s">
        <v>265</v>
      </c>
      <c r="D585" t="s">
        <v>266</v>
      </c>
      <c r="E585" t="s">
        <v>106</v>
      </c>
      <c r="F585" t="s">
        <v>107</v>
      </c>
      <c r="G585" t="s">
        <v>40</v>
      </c>
      <c r="H585" t="s">
        <v>108</v>
      </c>
      <c r="I585" t="s">
        <v>84</v>
      </c>
      <c r="J585" t="s">
        <v>85</v>
      </c>
      <c r="K585" s="3">
        <v>4586.09</v>
      </c>
      <c r="L585" s="3">
        <v>3833.65</v>
      </c>
      <c r="M585">
        <v>5</v>
      </c>
      <c r="N585" s="4">
        <v>0.1</v>
      </c>
      <c r="O585" t="s">
        <v>136</v>
      </c>
      <c r="P585" t="s">
        <v>58</v>
      </c>
    </row>
    <row r="586" spans="1:16">
      <c r="A586" t="s">
        <v>738</v>
      </c>
      <c r="B586" s="2">
        <v>45760</v>
      </c>
      <c r="C586" t="s">
        <v>200</v>
      </c>
      <c r="D586" t="s">
        <v>201</v>
      </c>
      <c r="E586" t="s">
        <v>49</v>
      </c>
      <c r="F586" t="s">
        <v>50</v>
      </c>
      <c r="G586" t="s">
        <v>51</v>
      </c>
      <c r="H586" t="s">
        <v>52</v>
      </c>
      <c r="I586" t="s">
        <v>56</v>
      </c>
      <c r="J586" t="s">
        <v>57</v>
      </c>
      <c r="K586" s="3">
        <v>38277.019999999997</v>
      </c>
      <c r="L586" s="3">
        <v>37984.449999999997</v>
      </c>
      <c r="M586">
        <v>5</v>
      </c>
      <c r="N586" s="4">
        <v>0.05</v>
      </c>
      <c r="O586" t="s">
        <v>34</v>
      </c>
      <c r="P586" t="s">
        <v>45</v>
      </c>
    </row>
    <row r="587" spans="1:16">
      <c r="A587" t="s">
        <v>739</v>
      </c>
      <c r="B587" s="2">
        <v>45452</v>
      </c>
      <c r="C587" t="s">
        <v>231</v>
      </c>
      <c r="D587" t="s">
        <v>232</v>
      </c>
      <c r="E587" t="s">
        <v>87</v>
      </c>
      <c r="F587" t="s">
        <v>88</v>
      </c>
      <c r="G587" t="s">
        <v>89</v>
      </c>
      <c r="H587" t="s">
        <v>90</v>
      </c>
      <c r="I587" t="s">
        <v>56</v>
      </c>
      <c r="J587" t="s">
        <v>91</v>
      </c>
      <c r="K587" s="3">
        <v>2917.86</v>
      </c>
      <c r="L587" s="3">
        <v>1744.84</v>
      </c>
      <c r="M587">
        <v>1</v>
      </c>
      <c r="N587" s="4">
        <v>0.1</v>
      </c>
      <c r="O587" t="s">
        <v>76</v>
      </c>
      <c r="P587" t="s">
        <v>45</v>
      </c>
    </row>
    <row r="588" spans="1:16">
      <c r="A588" t="s">
        <v>740</v>
      </c>
      <c r="B588" s="2">
        <v>45322</v>
      </c>
      <c r="C588" t="s">
        <v>28</v>
      </c>
      <c r="D588" t="s">
        <v>29</v>
      </c>
      <c r="E588" t="s">
        <v>175</v>
      </c>
      <c r="F588" t="s">
        <v>176</v>
      </c>
      <c r="G588" t="s">
        <v>51</v>
      </c>
      <c r="H588" t="s">
        <v>177</v>
      </c>
      <c r="I588" t="s">
        <v>56</v>
      </c>
      <c r="J588" t="s">
        <v>91</v>
      </c>
      <c r="K588" s="3">
        <v>94932.9</v>
      </c>
      <c r="L588" s="3">
        <v>87185.85</v>
      </c>
      <c r="M588">
        <v>5</v>
      </c>
      <c r="N588" s="4">
        <v>0.1</v>
      </c>
      <c r="O588" t="s">
        <v>136</v>
      </c>
      <c r="P588" t="s">
        <v>58</v>
      </c>
    </row>
    <row r="589" spans="1:16">
      <c r="A589" t="s">
        <v>741</v>
      </c>
      <c r="B589" s="2">
        <v>45986</v>
      </c>
      <c r="C589" t="s">
        <v>100</v>
      </c>
      <c r="D589" t="s">
        <v>101</v>
      </c>
      <c r="E589" t="s">
        <v>106</v>
      </c>
      <c r="F589" t="s">
        <v>107</v>
      </c>
      <c r="G589" t="s">
        <v>40</v>
      </c>
      <c r="H589" t="s">
        <v>108</v>
      </c>
      <c r="I589" t="s">
        <v>56</v>
      </c>
      <c r="J589" t="s">
        <v>57</v>
      </c>
      <c r="K589" s="3">
        <v>9818.99</v>
      </c>
      <c r="L589" s="3">
        <v>3760.9</v>
      </c>
      <c r="M589">
        <v>5</v>
      </c>
      <c r="N589" s="4">
        <v>0.15</v>
      </c>
      <c r="O589" t="s">
        <v>76</v>
      </c>
      <c r="P589" t="s">
        <v>58</v>
      </c>
    </row>
    <row r="590" spans="1:16">
      <c r="A590" t="s">
        <v>742</v>
      </c>
      <c r="B590" s="2">
        <v>45629</v>
      </c>
      <c r="C590" t="s">
        <v>207</v>
      </c>
      <c r="D590" t="s">
        <v>208</v>
      </c>
      <c r="E590" t="s">
        <v>123</v>
      </c>
      <c r="F590" t="s">
        <v>124</v>
      </c>
      <c r="G590" t="s">
        <v>51</v>
      </c>
      <c r="H590" t="s">
        <v>125</v>
      </c>
      <c r="I590" t="s">
        <v>42</v>
      </c>
      <c r="J590" t="s">
        <v>43</v>
      </c>
      <c r="K590" s="3">
        <v>90624.49</v>
      </c>
      <c r="L590" s="3">
        <v>72608.160000000003</v>
      </c>
      <c r="M590">
        <v>4</v>
      </c>
      <c r="N590" s="4">
        <v>0.05</v>
      </c>
      <c r="O590" t="s">
        <v>34</v>
      </c>
      <c r="P590" t="s">
        <v>58</v>
      </c>
    </row>
    <row r="591" spans="1:16">
      <c r="A591" t="s">
        <v>743</v>
      </c>
      <c r="B591" s="2">
        <v>46014</v>
      </c>
      <c r="C591" t="s">
        <v>47</v>
      </c>
      <c r="D591" t="s">
        <v>48</v>
      </c>
      <c r="E591" t="s">
        <v>123</v>
      </c>
      <c r="F591" t="s">
        <v>124</v>
      </c>
      <c r="G591" t="s">
        <v>51</v>
      </c>
      <c r="H591" t="s">
        <v>125</v>
      </c>
      <c r="I591" t="s">
        <v>42</v>
      </c>
      <c r="J591" t="s">
        <v>162</v>
      </c>
      <c r="K591" s="3">
        <v>132203.66</v>
      </c>
      <c r="L591" s="3">
        <v>97372.15</v>
      </c>
      <c r="M591">
        <v>5</v>
      </c>
      <c r="N591" s="4">
        <v>0.05</v>
      </c>
      <c r="O591" t="s">
        <v>34</v>
      </c>
      <c r="P591" t="s">
        <v>58</v>
      </c>
    </row>
    <row r="592" spans="1:16">
      <c r="A592" t="s">
        <v>744</v>
      </c>
      <c r="B592" s="2">
        <v>45837</v>
      </c>
      <c r="C592" t="s">
        <v>231</v>
      </c>
      <c r="D592" t="s">
        <v>232</v>
      </c>
      <c r="E592" t="s">
        <v>62</v>
      </c>
      <c r="F592" t="s">
        <v>63</v>
      </c>
      <c r="G592" t="s">
        <v>21</v>
      </c>
      <c r="H592" t="s">
        <v>64</v>
      </c>
      <c r="I592" t="s">
        <v>56</v>
      </c>
      <c r="J592" t="s">
        <v>57</v>
      </c>
      <c r="K592" s="3">
        <v>5491.4</v>
      </c>
      <c r="L592" s="3">
        <v>1686.29</v>
      </c>
      <c r="M592">
        <v>1</v>
      </c>
      <c r="N592" s="4">
        <v>0.05</v>
      </c>
      <c r="O592" t="s">
        <v>25</v>
      </c>
      <c r="P592" t="s">
        <v>77</v>
      </c>
    </row>
    <row r="593" spans="1:16">
      <c r="A593" t="s">
        <v>745</v>
      </c>
      <c r="B593" s="2">
        <v>45745</v>
      </c>
      <c r="C593" t="s">
        <v>207</v>
      </c>
      <c r="D593" t="s">
        <v>208</v>
      </c>
      <c r="E593" t="s">
        <v>132</v>
      </c>
      <c r="F593" t="s">
        <v>133</v>
      </c>
      <c r="G593" t="s">
        <v>40</v>
      </c>
      <c r="H593" t="s">
        <v>41</v>
      </c>
      <c r="I593" t="s">
        <v>84</v>
      </c>
      <c r="J593" t="s">
        <v>142</v>
      </c>
      <c r="K593" s="3">
        <v>1452.76</v>
      </c>
      <c r="L593" s="3">
        <v>697.8</v>
      </c>
      <c r="M593">
        <v>3</v>
      </c>
      <c r="N593" s="4">
        <v>0.05</v>
      </c>
      <c r="O593" t="s">
        <v>76</v>
      </c>
      <c r="P593" t="s">
        <v>58</v>
      </c>
    </row>
    <row r="594" spans="1:16">
      <c r="A594" t="s">
        <v>746</v>
      </c>
      <c r="B594" s="2">
        <v>45565</v>
      </c>
      <c r="C594" t="s">
        <v>79</v>
      </c>
      <c r="D594" t="s">
        <v>80</v>
      </c>
      <c r="E594" t="s">
        <v>193</v>
      </c>
      <c r="F594" t="s">
        <v>194</v>
      </c>
      <c r="G594" t="s">
        <v>89</v>
      </c>
      <c r="H594" t="s">
        <v>90</v>
      </c>
      <c r="I594" t="s">
        <v>42</v>
      </c>
      <c r="J594" t="s">
        <v>43</v>
      </c>
      <c r="K594" s="3">
        <v>4166.18</v>
      </c>
      <c r="L594" s="3">
        <v>2533.5</v>
      </c>
      <c r="M594">
        <v>5</v>
      </c>
      <c r="N594" s="4">
        <v>0.05</v>
      </c>
      <c r="O594" t="s">
        <v>76</v>
      </c>
      <c r="P594" t="s">
        <v>58</v>
      </c>
    </row>
    <row r="595" spans="1:16">
      <c r="A595" t="s">
        <v>747</v>
      </c>
      <c r="B595" s="2">
        <v>45780</v>
      </c>
      <c r="C595" t="s">
        <v>158</v>
      </c>
      <c r="D595" t="s">
        <v>159</v>
      </c>
      <c r="E595" t="s">
        <v>62</v>
      </c>
      <c r="F595" t="s">
        <v>63</v>
      </c>
      <c r="G595" t="s">
        <v>21</v>
      </c>
      <c r="H595" t="s">
        <v>64</v>
      </c>
      <c r="I595" t="s">
        <v>42</v>
      </c>
      <c r="J595" t="s">
        <v>162</v>
      </c>
      <c r="K595" s="3">
        <v>8509.5499999999993</v>
      </c>
      <c r="L595" s="3">
        <v>3601.68</v>
      </c>
      <c r="M595">
        <v>2</v>
      </c>
      <c r="N595" s="4">
        <v>0.1</v>
      </c>
      <c r="O595" t="s">
        <v>76</v>
      </c>
      <c r="P595" t="s">
        <v>26</v>
      </c>
    </row>
    <row r="596" spans="1:16">
      <c r="A596" t="s">
        <v>748</v>
      </c>
      <c r="B596" s="2">
        <v>45459</v>
      </c>
      <c r="C596" t="s">
        <v>197</v>
      </c>
      <c r="D596" t="s">
        <v>198</v>
      </c>
      <c r="E596" t="s">
        <v>87</v>
      </c>
      <c r="F596" t="s">
        <v>88</v>
      </c>
      <c r="G596" t="s">
        <v>89</v>
      </c>
      <c r="H596" t="s">
        <v>90</v>
      </c>
      <c r="I596" t="s">
        <v>23</v>
      </c>
      <c r="J596" t="s">
        <v>75</v>
      </c>
      <c r="K596" s="3">
        <v>6879.04</v>
      </c>
      <c r="L596" s="3">
        <v>3402.92</v>
      </c>
      <c r="M596">
        <v>2</v>
      </c>
      <c r="N596" s="4">
        <v>0</v>
      </c>
      <c r="O596" t="s">
        <v>44</v>
      </c>
      <c r="P596" t="s">
        <v>26</v>
      </c>
    </row>
    <row r="597" spans="1:16">
      <c r="A597" t="s">
        <v>749</v>
      </c>
      <c r="B597" s="2">
        <v>45501</v>
      </c>
      <c r="C597" t="s">
        <v>36</v>
      </c>
      <c r="D597" t="s">
        <v>37</v>
      </c>
      <c r="E597" t="s">
        <v>49</v>
      </c>
      <c r="F597" t="s">
        <v>50</v>
      </c>
      <c r="G597" t="s">
        <v>51</v>
      </c>
      <c r="H597" t="s">
        <v>52</v>
      </c>
      <c r="I597" t="s">
        <v>53</v>
      </c>
      <c r="J597" t="s">
        <v>54</v>
      </c>
      <c r="K597" s="3">
        <v>14908.78</v>
      </c>
      <c r="L597" s="3">
        <v>6547.91</v>
      </c>
      <c r="M597">
        <v>1</v>
      </c>
      <c r="N597" s="4">
        <v>0.15</v>
      </c>
      <c r="O597" t="s">
        <v>34</v>
      </c>
      <c r="P597" t="s">
        <v>98</v>
      </c>
    </row>
    <row r="598" spans="1:16">
      <c r="A598" t="s">
        <v>750</v>
      </c>
      <c r="B598" s="2">
        <v>45760</v>
      </c>
      <c r="C598" t="s">
        <v>60</v>
      </c>
      <c r="D598" t="s">
        <v>61</v>
      </c>
      <c r="E598" t="s">
        <v>110</v>
      </c>
      <c r="F598" t="s">
        <v>111</v>
      </c>
      <c r="G598" t="s">
        <v>40</v>
      </c>
      <c r="H598" t="s">
        <v>112</v>
      </c>
      <c r="I598" t="s">
        <v>53</v>
      </c>
      <c r="J598" t="s">
        <v>102</v>
      </c>
      <c r="K598" s="3">
        <v>6690.94</v>
      </c>
      <c r="L598" s="3">
        <v>2365.2199999999998</v>
      </c>
      <c r="M598">
        <v>2</v>
      </c>
      <c r="N598" s="4">
        <v>0.2</v>
      </c>
      <c r="O598" t="s">
        <v>136</v>
      </c>
      <c r="P598" t="s">
        <v>77</v>
      </c>
    </row>
    <row r="599" spans="1:16">
      <c r="A599" t="s">
        <v>751</v>
      </c>
      <c r="B599" s="2">
        <v>45877</v>
      </c>
      <c r="C599" t="s">
        <v>104</v>
      </c>
      <c r="D599" t="s">
        <v>105</v>
      </c>
      <c r="E599" t="s">
        <v>193</v>
      </c>
      <c r="F599" t="s">
        <v>194</v>
      </c>
      <c r="G599" t="s">
        <v>89</v>
      </c>
      <c r="H599" t="s">
        <v>90</v>
      </c>
      <c r="I599" t="s">
        <v>42</v>
      </c>
      <c r="J599" t="s">
        <v>162</v>
      </c>
      <c r="K599" s="3">
        <v>6848.35</v>
      </c>
      <c r="L599" s="3">
        <v>2518.1</v>
      </c>
      <c r="M599">
        <v>5</v>
      </c>
      <c r="N599" s="4">
        <v>0</v>
      </c>
      <c r="O599" t="s">
        <v>34</v>
      </c>
      <c r="P599" t="s">
        <v>58</v>
      </c>
    </row>
    <row r="600" spans="1:16">
      <c r="A600" t="s">
        <v>752</v>
      </c>
      <c r="B600" s="2">
        <v>45335</v>
      </c>
      <c r="C600" t="s">
        <v>170</v>
      </c>
      <c r="D600" t="s">
        <v>171</v>
      </c>
      <c r="E600" t="s">
        <v>38</v>
      </c>
      <c r="F600" t="s">
        <v>39</v>
      </c>
      <c r="G600" t="s">
        <v>40</v>
      </c>
      <c r="H600" t="s">
        <v>41</v>
      </c>
      <c r="I600" t="s">
        <v>53</v>
      </c>
      <c r="J600" t="s">
        <v>102</v>
      </c>
      <c r="K600" s="3">
        <v>2465.96</v>
      </c>
      <c r="L600" s="3">
        <v>1003.74</v>
      </c>
      <c r="M600">
        <v>2</v>
      </c>
      <c r="N600" s="4">
        <v>0</v>
      </c>
      <c r="O600" t="s">
        <v>34</v>
      </c>
      <c r="P600" t="s">
        <v>26</v>
      </c>
    </row>
    <row r="601" spans="1:16">
      <c r="A601" t="s">
        <v>753</v>
      </c>
      <c r="B601" s="2">
        <v>45590</v>
      </c>
      <c r="C601" t="s">
        <v>114</v>
      </c>
      <c r="D601" t="s">
        <v>115</v>
      </c>
      <c r="E601" t="s">
        <v>81</v>
      </c>
      <c r="F601" t="s">
        <v>82</v>
      </c>
      <c r="G601" t="s">
        <v>21</v>
      </c>
      <c r="H601" t="s">
        <v>83</v>
      </c>
      <c r="I601" t="s">
        <v>84</v>
      </c>
      <c r="J601" t="s">
        <v>85</v>
      </c>
      <c r="K601" s="3">
        <v>88846.49</v>
      </c>
      <c r="L601" s="3">
        <v>70531.759999999995</v>
      </c>
      <c r="M601">
        <v>4</v>
      </c>
      <c r="N601" s="4">
        <v>0.1</v>
      </c>
      <c r="O601" t="s">
        <v>136</v>
      </c>
      <c r="P601" t="s">
        <v>58</v>
      </c>
    </row>
    <row r="602" spans="1:16">
      <c r="A602" t="s">
        <v>754</v>
      </c>
      <c r="B602" s="2">
        <v>45347</v>
      </c>
      <c r="C602" t="s">
        <v>207</v>
      </c>
      <c r="D602" t="s">
        <v>208</v>
      </c>
      <c r="E602" t="s">
        <v>123</v>
      </c>
      <c r="F602" t="s">
        <v>124</v>
      </c>
      <c r="G602" t="s">
        <v>51</v>
      </c>
      <c r="H602" t="s">
        <v>125</v>
      </c>
      <c r="I602" t="s">
        <v>42</v>
      </c>
      <c r="J602" t="s">
        <v>43</v>
      </c>
      <c r="K602" s="3">
        <v>120828.56</v>
      </c>
      <c r="L602" s="3">
        <v>97266.15</v>
      </c>
      <c r="M602">
        <v>5</v>
      </c>
      <c r="N602" s="4">
        <v>0.15</v>
      </c>
      <c r="O602" t="s">
        <v>25</v>
      </c>
      <c r="P602" t="s">
        <v>58</v>
      </c>
    </row>
    <row r="603" spans="1:16">
      <c r="A603" t="s">
        <v>755</v>
      </c>
      <c r="B603" s="2">
        <v>45851</v>
      </c>
      <c r="C603" t="s">
        <v>200</v>
      </c>
      <c r="D603" t="s">
        <v>201</v>
      </c>
      <c r="E603" t="s">
        <v>95</v>
      </c>
      <c r="F603" t="s">
        <v>96</v>
      </c>
      <c r="G603" t="s">
        <v>89</v>
      </c>
      <c r="H603" t="s">
        <v>97</v>
      </c>
      <c r="I603" t="s">
        <v>42</v>
      </c>
      <c r="J603" t="s">
        <v>162</v>
      </c>
      <c r="K603" s="3">
        <v>11126.36</v>
      </c>
      <c r="L603" s="3">
        <v>6850.3</v>
      </c>
      <c r="M603">
        <v>2</v>
      </c>
      <c r="N603" s="4">
        <v>0</v>
      </c>
      <c r="O603" t="s">
        <v>76</v>
      </c>
      <c r="P603" t="s">
        <v>98</v>
      </c>
    </row>
    <row r="604" spans="1:16">
      <c r="A604" t="s">
        <v>756</v>
      </c>
      <c r="B604" s="2">
        <v>45384</v>
      </c>
      <c r="C604" t="s">
        <v>147</v>
      </c>
      <c r="D604" t="s">
        <v>148</v>
      </c>
      <c r="E604" t="s">
        <v>49</v>
      </c>
      <c r="F604" t="s">
        <v>50</v>
      </c>
      <c r="G604" t="s">
        <v>51</v>
      </c>
      <c r="H604" t="s">
        <v>52</v>
      </c>
      <c r="I604" t="s">
        <v>56</v>
      </c>
      <c r="J604" t="s">
        <v>191</v>
      </c>
      <c r="K604" s="3">
        <v>41124.19</v>
      </c>
      <c r="L604" s="3">
        <v>20261.099999999999</v>
      </c>
      <c r="M604">
        <v>3</v>
      </c>
      <c r="N604" s="4">
        <v>0.05</v>
      </c>
      <c r="O604" t="s">
        <v>25</v>
      </c>
      <c r="P604" t="s">
        <v>58</v>
      </c>
    </row>
    <row r="605" spans="1:16">
      <c r="A605" t="s">
        <v>757</v>
      </c>
      <c r="B605" s="2">
        <v>45663</v>
      </c>
      <c r="C605" t="s">
        <v>179</v>
      </c>
      <c r="D605" t="s">
        <v>180</v>
      </c>
      <c r="E605" t="s">
        <v>38</v>
      </c>
      <c r="F605" t="s">
        <v>39</v>
      </c>
      <c r="G605" t="s">
        <v>40</v>
      </c>
      <c r="H605" t="s">
        <v>41</v>
      </c>
      <c r="I605" t="s">
        <v>42</v>
      </c>
      <c r="J605" t="s">
        <v>68</v>
      </c>
      <c r="K605" s="3">
        <v>971.63</v>
      </c>
      <c r="L605" s="3">
        <v>502.38</v>
      </c>
      <c r="M605">
        <v>1</v>
      </c>
      <c r="N605" s="4">
        <v>0.2</v>
      </c>
      <c r="O605" t="s">
        <v>34</v>
      </c>
      <c r="P605" t="s">
        <v>58</v>
      </c>
    </row>
    <row r="606" spans="1:16">
      <c r="A606" t="s">
        <v>758</v>
      </c>
      <c r="B606" s="2">
        <v>45336</v>
      </c>
      <c r="C606" t="s">
        <v>104</v>
      </c>
      <c r="D606" t="s">
        <v>105</v>
      </c>
      <c r="E606" t="s">
        <v>187</v>
      </c>
      <c r="F606" t="s">
        <v>188</v>
      </c>
      <c r="G606" t="s">
        <v>89</v>
      </c>
      <c r="H606" t="s">
        <v>189</v>
      </c>
      <c r="I606" t="s">
        <v>56</v>
      </c>
      <c r="J606" t="s">
        <v>91</v>
      </c>
      <c r="K606" s="3">
        <v>19053.12</v>
      </c>
      <c r="L606" s="3">
        <v>11906.96</v>
      </c>
      <c r="M606">
        <v>2</v>
      </c>
      <c r="N606" s="4">
        <v>0.05</v>
      </c>
      <c r="O606" t="s">
        <v>76</v>
      </c>
      <c r="P606" t="s">
        <v>58</v>
      </c>
    </row>
    <row r="607" spans="1:16">
      <c r="A607" t="s">
        <v>759</v>
      </c>
      <c r="B607" s="2">
        <v>45607</v>
      </c>
      <c r="C607" t="s">
        <v>200</v>
      </c>
      <c r="D607" t="s">
        <v>201</v>
      </c>
      <c r="E607" t="s">
        <v>81</v>
      </c>
      <c r="F607" t="s">
        <v>82</v>
      </c>
      <c r="G607" t="s">
        <v>21</v>
      </c>
      <c r="H607" t="s">
        <v>83</v>
      </c>
      <c r="I607" t="s">
        <v>56</v>
      </c>
      <c r="J607" t="s">
        <v>91</v>
      </c>
      <c r="K607" s="3">
        <v>92936</v>
      </c>
      <c r="L607" s="3">
        <v>56485.74</v>
      </c>
      <c r="M607">
        <v>3</v>
      </c>
      <c r="N607" s="4">
        <v>0.1</v>
      </c>
      <c r="O607" t="s">
        <v>76</v>
      </c>
      <c r="P607" t="s">
        <v>58</v>
      </c>
    </row>
    <row r="608" spans="1:16">
      <c r="A608" t="s">
        <v>760</v>
      </c>
      <c r="B608" s="2">
        <v>45929</v>
      </c>
      <c r="C608" t="s">
        <v>47</v>
      </c>
      <c r="D608" t="s">
        <v>48</v>
      </c>
      <c r="E608" t="s">
        <v>49</v>
      </c>
      <c r="F608" t="s">
        <v>50</v>
      </c>
      <c r="G608" t="s">
        <v>51</v>
      </c>
      <c r="H608" t="s">
        <v>52</v>
      </c>
      <c r="I608" t="s">
        <v>23</v>
      </c>
      <c r="J608" t="s">
        <v>24</v>
      </c>
      <c r="K608" s="3">
        <v>32884.54</v>
      </c>
      <c r="L608" s="3">
        <v>18951.27</v>
      </c>
      <c r="M608">
        <v>3</v>
      </c>
      <c r="N608" s="4">
        <v>0.15</v>
      </c>
      <c r="O608" t="s">
        <v>34</v>
      </c>
      <c r="P608" t="s">
        <v>58</v>
      </c>
    </row>
    <row r="609" spans="1:16">
      <c r="A609" t="s">
        <v>761</v>
      </c>
      <c r="B609" s="2">
        <v>45514</v>
      </c>
      <c r="C609" t="s">
        <v>155</v>
      </c>
      <c r="D609" t="s">
        <v>156</v>
      </c>
      <c r="E609" t="s">
        <v>87</v>
      </c>
      <c r="F609" t="s">
        <v>88</v>
      </c>
      <c r="G609" t="s">
        <v>89</v>
      </c>
      <c r="H609" t="s">
        <v>90</v>
      </c>
      <c r="I609" t="s">
        <v>84</v>
      </c>
      <c r="J609" t="s">
        <v>85</v>
      </c>
      <c r="K609" s="3">
        <v>15286.48</v>
      </c>
      <c r="L609" s="3">
        <v>9287.0499999999993</v>
      </c>
      <c r="M609">
        <v>5</v>
      </c>
      <c r="N609" s="4">
        <v>0.15</v>
      </c>
      <c r="O609" t="s">
        <v>25</v>
      </c>
      <c r="P609" t="s">
        <v>58</v>
      </c>
    </row>
    <row r="610" spans="1:16">
      <c r="A610" t="s">
        <v>762</v>
      </c>
      <c r="B610" s="2">
        <v>45926</v>
      </c>
      <c r="C610" t="s">
        <v>36</v>
      </c>
      <c r="D610" t="s">
        <v>37</v>
      </c>
      <c r="E610" t="s">
        <v>187</v>
      </c>
      <c r="F610" t="s">
        <v>188</v>
      </c>
      <c r="G610" t="s">
        <v>89</v>
      </c>
      <c r="H610" t="s">
        <v>189</v>
      </c>
      <c r="I610" t="s">
        <v>84</v>
      </c>
      <c r="J610" t="s">
        <v>142</v>
      </c>
      <c r="K610" s="3">
        <v>36006.14</v>
      </c>
      <c r="L610" s="3">
        <v>29260.65</v>
      </c>
      <c r="M610">
        <v>5</v>
      </c>
      <c r="N610" s="4">
        <v>0.05</v>
      </c>
      <c r="O610" t="s">
        <v>76</v>
      </c>
      <c r="P610" t="s">
        <v>58</v>
      </c>
    </row>
    <row r="611" spans="1:16">
      <c r="A611" t="s">
        <v>763</v>
      </c>
      <c r="B611" s="2">
        <v>45440</v>
      </c>
      <c r="C611" t="s">
        <v>17</v>
      </c>
      <c r="D611" t="s">
        <v>18</v>
      </c>
      <c r="E611" t="s">
        <v>172</v>
      </c>
      <c r="F611" t="s">
        <v>173</v>
      </c>
      <c r="G611" t="s">
        <v>40</v>
      </c>
      <c r="H611" t="s">
        <v>41</v>
      </c>
      <c r="I611" t="s">
        <v>23</v>
      </c>
      <c r="J611" t="s">
        <v>24</v>
      </c>
      <c r="K611" s="3">
        <v>3163.81</v>
      </c>
      <c r="L611" s="3">
        <v>930.06</v>
      </c>
      <c r="M611">
        <v>1</v>
      </c>
      <c r="N611" s="4">
        <v>0.1</v>
      </c>
      <c r="O611" t="s">
        <v>44</v>
      </c>
      <c r="P611" t="s">
        <v>58</v>
      </c>
    </row>
    <row r="612" spans="1:16">
      <c r="A612" t="s">
        <v>764</v>
      </c>
      <c r="B612" s="2">
        <v>45474</v>
      </c>
      <c r="C612" t="s">
        <v>28</v>
      </c>
      <c r="D612" t="s">
        <v>29</v>
      </c>
      <c r="E612" t="s">
        <v>19</v>
      </c>
      <c r="F612" t="s">
        <v>20</v>
      </c>
      <c r="G612" t="s">
        <v>21</v>
      </c>
      <c r="H612" t="s">
        <v>22</v>
      </c>
      <c r="I612" t="s">
        <v>56</v>
      </c>
      <c r="J612" t="s">
        <v>91</v>
      </c>
      <c r="K612" s="3">
        <v>10890.48</v>
      </c>
      <c r="L612" s="3">
        <v>6206.5</v>
      </c>
      <c r="M612">
        <v>2</v>
      </c>
      <c r="N612" s="4">
        <v>0.2</v>
      </c>
      <c r="O612" t="s">
        <v>34</v>
      </c>
      <c r="P612" t="s">
        <v>58</v>
      </c>
    </row>
    <row r="613" spans="1:16">
      <c r="A613" t="s">
        <v>765</v>
      </c>
      <c r="B613" s="2">
        <v>45328</v>
      </c>
      <c r="C613" t="s">
        <v>170</v>
      </c>
      <c r="D613" t="s">
        <v>171</v>
      </c>
      <c r="E613" t="s">
        <v>95</v>
      </c>
      <c r="F613" t="s">
        <v>96</v>
      </c>
      <c r="G613" t="s">
        <v>89</v>
      </c>
      <c r="H613" t="s">
        <v>97</v>
      </c>
      <c r="I613" t="s">
        <v>84</v>
      </c>
      <c r="J613" t="s">
        <v>134</v>
      </c>
      <c r="K613" s="3">
        <v>4725.95</v>
      </c>
      <c r="L613" s="3">
        <v>3687.96</v>
      </c>
      <c r="M613">
        <v>1</v>
      </c>
      <c r="N613" s="4">
        <v>0.15</v>
      </c>
      <c r="O613" t="s">
        <v>25</v>
      </c>
      <c r="P613" t="s">
        <v>26</v>
      </c>
    </row>
    <row r="614" spans="1:16">
      <c r="A614" t="s">
        <v>766</v>
      </c>
      <c r="B614" s="2">
        <v>45774</v>
      </c>
      <c r="C614" t="s">
        <v>70</v>
      </c>
      <c r="D614" t="s">
        <v>71</v>
      </c>
      <c r="E614" t="s">
        <v>62</v>
      </c>
      <c r="F614" t="s">
        <v>63</v>
      </c>
      <c r="G614" t="s">
        <v>21</v>
      </c>
      <c r="H614" t="s">
        <v>64</v>
      </c>
      <c r="I614" t="s">
        <v>84</v>
      </c>
      <c r="J614" t="s">
        <v>142</v>
      </c>
      <c r="K614" s="3">
        <v>10565.26</v>
      </c>
      <c r="L614" s="3">
        <v>3327.86</v>
      </c>
      <c r="M614">
        <v>2</v>
      </c>
      <c r="N614" s="4">
        <v>0.1</v>
      </c>
      <c r="O614" t="s">
        <v>34</v>
      </c>
      <c r="P614" t="s">
        <v>26</v>
      </c>
    </row>
    <row r="615" spans="1:16">
      <c r="A615" t="s">
        <v>767</v>
      </c>
      <c r="B615" s="2">
        <v>45506</v>
      </c>
      <c r="C615" t="s">
        <v>114</v>
      </c>
      <c r="D615" t="s">
        <v>115</v>
      </c>
      <c r="E615" t="s">
        <v>49</v>
      </c>
      <c r="F615" t="s">
        <v>50</v>
      </c>
      <c r="G615" t="s">
        <v>51</v>
      </c>
      <c r="H615" t="s">
        <v>52</v>
      </c>
      <c r="I615" t="s">
        <v>42</v>
      </c>
      <c r="J615" t="s">
        <v>162</v>
      </c>
      <c r="K615" s="3">
        <v>54580.36</v>
      </c>
      <c r="L615" s="3">
        <v>31907.3</v>
      </c>
      <c r="M615">
        <v>5</v>
      </c>
      <c r="N615" s="4">
        <v>0.2</v>
      </c>
      <c r="O615" t="s">
        <v>25</v>
      </c>
      <c r="P615" t="s">
        <v>98</v>
      </c>
    </row>
    <row r="616" spans="1:16">
      <c r="A616" t="s">
        <v>768</v>
      </c>
      <c r="B616" s="2">
        <v>46015</v>
      </c>
      <c r="C616" t="s">
        <v>93</v>
      </c>
      <c r="D616" t="s">
        <v>94</v>
      </c>
      <c r="E616" t="s">
        <v>193</v>
      </c>
      <c r="F616" t="s">
        <v>194</v>
      </c>
      <c r="G616" t="s">
        <v>89</v>
      </c>
      <c r="H616" t="s">
        <v>90</v>
      </c>
      <c r="I616" t="s">
        <v>53</v>
      </c>
      <c r="J616" t="s">
        <v>54</v>
      </c>
      <c r="K616" s="3">
        <v>4366.87</v>
      </c>
      <c r="L616" s="3">
        <v>1478.13</v>
      </c>
      <c r="M616">
        <v>3</v>
      </c>
      <c r="N616" s="4">
        <v>0.1</v>
      </c>
      <c r="O616" t="s">
        <v>34</v>
      </c>
      <c r="P616" t="s">
        <v>77</v>
      </c>
    </row>
    <row r="617" spans="1:16">
      <c r="A617" t="s">
        <v>769</v>
      </c>
      <c r="B617" s="2">
        <v>45800</v>
      </c>
      <c r="C617" t="s">
        <v>47</v>
      </c>
      <c r="D617" t="s">
        <v>48</v>
      </c>
      <c r="E617" t="s">
        <v>193</v>
      </c>
      <c r="F617" t="s">
        <v>194</v>
      </c>
      <c r="G617" t="s">
        <v>89</v>
      </c>
      <c r="H617" t="s">
        <v>90</v>
      </c>
      <c r="I617" t="s">
        <v>42</v>
      </c>
      <c r="J617" t="s">
        <v>43</v>
      </c>
      <c r="K617" s="3">
        <v>5687.13</v>
      </c>
      <c r="L617" s="3">
        <v>2614.6</v>
      </c>
      <c r="M617">
        <v>5</v>
      </c>
      <c r="N617" s="4">
        <v>0.05</v>
      </c>
      <c r="O617" t="s">
        <v>34</v>
      </c>
      <c r="P617" t="s">
        <v>58</v>
      </c>
    </row>
    <row r="618" spans="1:16">
      <c r="A618" t="s">
        <v>770</v>
      </c>
      <c r="B618" s="2">
        <v>45293</v>
      </c>
      <c r="C618" t="s">
        <v>60</v>
      </c>
      <c r="D618" t="s">
        <v>61</v>
      </c>
      <c r="E618" t="s">
        <v>123</v>
      </c>
      <c r="F618" t="s">
        <v>124</v>
      </c>
      <c r="G618" t="s">
        <v>51</v>
      </c>
      <c r="H618" t="s">
        <v>125</v>
      </c>
      <c r="I618" t="s">
        <v>84</v>
      </c>
      <c r="J618" t="s">
        <v>85</v>
      </c>
      <c r="K618" s="3">
        <v>31318.22</v>
      </c>
      <c r="L618" s="3">
        <v>16286.35</v>
      </c>
      <c r="M618">
        <v>1</v>
      </c>
      <c r="N618" s="4">
        <v>0</v>
      </c>
      <c r="O618" t="s">
        <v>76</v>
      </c>
      <c r="P618" t="s">
        <v>26</v>
      </c>
    </row>
    <row r="619" spans="1:16">
      <c r="A619" t="s">
        <v>771</v>
      </c>
      <c r="B619" s="2">
        <v>45650</v>
      </c>
      <c r="C619" t="s">
        <v>207</v>
      </c>
      <c r="D619" t="s">
        <v>208</v>
      </c>
      <c r="E619" t="s">
        <v>81</v>
      </c>
      <c r="F619" t="s">
        <v>82</v>
      </c>
      <c r="G619" t="s">
        <v>21</v>
      </c>
      <c r="H619" t="s">
        <v>83</v>
      </c>
      <c r="I619" t="s">
        <v>84</v>
      </c>
      <c r="J619" t="s">
        <v>134</v>
      </c>
      <c r="K619" s="3">
        <v>110727.67999999999</v>
      </c>
      <c r="L619" s="3">
        <v>95508.800000000003</v>
      </c>
      <c r="M619">
        <v>5</v>
      </c>
      <c r="N619" s="4">
        <v>0.05</v>
      </c>
      <c r="O619" t="s">
        <v>44</v>
      </c>
      <c r="P619" t="s">
        <v>45</v>
      </c>
    </row>
    <row r="620" spans="1:16">
      <c r="A620" t="s">
        <v>772</v>
      </c>
      <c r="B620" s="2">
        <v>45810</v>
      </c>
      <c r="C620" t="s">
        <v>100</v>
      </c>
      <c r="D620" t="s">
        <v>101</v>
      </c>
      <c r="E620" t="s">
        <v>123</v>
      </c>
      <c r="F620" t="s">
        <v>124</v>
      </c>
      <c r="G620" t="s">
        <v>51</v>
      </c>
      <c r="H620" t="s">
        <v>125</v>
      </c>
      <c r="I620" t="s">
        <v>84</v>
      </c>
      <c r="J620" t="s">
        <v>142</v>
      </c>
      <c r="K620" s="3">
        <v>91212.21</v>
      </c>
      <c r="L620" s="3">
        <v>86830.65</v>
      </c>
      <c r="M620">
        <v>5</v>
      </c>
      <c r="N620" s="4">
        <v>0.1</v>
      </c>
      <c r="O620" t="s">
        <v>44</v>
      </c>
      <c r="P620" t="s">
        <v>26</v>
      </c>
    </row>
    <row r="621" spans="1:16">
      <c r="A621" t="s">
        <v>773</v>
      </c>
      <c r="B621" s="2">
        <v>45321</v>
      </c>
      <c r="C621" t="s">
        <v>93</v>
      </c>
      <c r="D621" t="s">
        <v>94</v>
      </c>
      <c r="E621" t="s">
        <v>95</v>
      </c>
      <c r="F621" t="s">
        <v>96</v>
      </c>
      <c r="G621" t="s">
        <v>89</v>
      </c>
      <c r="H621" t="s">
        <v>97</v>
      </c>
      <c r="I621" t="s">
        <v>42</v>
      </c>
      <c r="J621" t="s">
        <v>43</v>
      </c>
      <c r="K621" s="3">
        <v>13864.91</v>
      </c>
      <c r="L621" s="3">
        <v>6571.62</v>
      </c>
      <c r="M621">
        <v>2</v>
      </c>
      <c r="N621" s="4">
        <v>0.15</v>
      </c>
      <c r="O621" t="s">
        <v>136</v>
      </c>
      <c r="P621" t="s">
        <v>58</v>
      </c>
    </row>
    <row r="622" spans="1:16">
      <c r="A622" t="s">
        <v>774</v>
      </c>
      <c r="B622" s="2">
        <v>45451</v>
      </c>
      <c r="C622" t="s">
        <v>17</v>
      </c>
      <c r="D622" t="s">
        <v>18</v>
      </c>
      <c r="E622" t="s">
        <v>152</v>
      </c>
      <c r="F622" t="s">
        <v>153</v>
      </c>
      <c r="G622" t="s">
        <v>21</v>
      </c>
      <c r="H622" t="s">
        <v>32</v>
      </c>
      <c r="I622" t="s">
        <v>56</v>
      </c>
      <c r="J622" t="s">
        <v>191</v>
      </c>
      <c r="K622" s="3">
        <v>45864.9</v>
      </c>
      <c r="L622" s="3">
        <v>34509.160000000003</v>
      </c>
      <c r="M622">
        <v>4</v>
      </c>
      <c r="N622" s="4">
        <v>0.1</v>
      </c>
      <c r="O622" t="s">
        <v>136</v>
      </c>
      <c r="P622" t="s">
        <v>26</v>
      </c>
    </row>
    <row r="623" spans="1:16">
      <c r="A623" t="s">
        <v>775</v>
      </c>
      <c r="B623" s="2">
        <v>45825</v>
      </c>
      <c r="C623" t="s">
        <v>93</v>
      </c>
      <c r="D623" t="s">
        <v>94</v>
      </c>
      <c r="E623" t="s">
        <v>81</v>
      </c>
      <c r="F623" t="s">
        <v>82</v>
      </c>
      <c r="G623" t="s">
        <v>21</v>
      </c>
      <c r="H623" t="s">
        <v>83</v>
      </c>
      <c r="I623" t="s">
        <v>53</v>
      </c>
      <c r="J623" t="s">
        <v>102</v>
      </c>
      <c r="K623" s="3">
        <v>72538.679999999993</v>
      </c>
      <c r="L623" s="3">
        <v>54701.37</v>
      </c>
      <c r="M623">
        <v>3</v>
      </c>
      <c r="N623" s="4">
        <v>0.2</v>
      </c>
      <c r="O623" t="s">
        <v>34</v>
      </c>
      <c r="P623" t="s">
        <v>58</v>
      </c>
    </row>
    <row r="624" spans="1:16">
      <c r="A624" t="s">
        <v>776</v>
      </c>
      <c r="B624" s="2">
        <v>45631</v>
      </c>
      <c r="C624" t="s">
        <v>144</v>
      </c>
      <c r="D624" t="s">
        <v>145</v>
      </c>
      <c r="E624" t="s">
        <v>95</v>
      </c>
      <c r="F624" t="s">
        <v>96</v>
      </c>
      <c r="G624" t="s">
        <v>89</v>
      </c>
      <c r="H624" t="s">
        <v>97</v>
      </c>
      <c r="I624" t="s">
        <v>42</v>
      </c>
      <c r="J624" t="s">
        <v>68</v>
      </c>
      <c r="K624" s="3">
        <v>14035.41</v>
      </c>
      <c r="L624" s="3">
        <v>9589.0499999999993</v>
      </c>
      <c r="M624">
        <v>3</v>
      </c>
      <c r="N624" s="4">
        <v>0</v>
      </c>
      <c r="O624" t="s">
        <v>44</v>
      </c>
      <c r="P624" t="s">
        <v>26</v>
      </c>
    </row>
    <row r="625" spans="1:16">
      <c r="A625" t="s">
        <v>777</v>
      </c>
      <c r="B625" s="2">
        <v>45461</v>
      </c>
      <c r="C625" t="s">
        <v>17</v>
      </c>
      <c r="D625" t="s">
        <v>18</v>
      </c>
      <c r="E625" t="s">
        <v>187</v>
      </c>
      <c r="F625" t="s">
        <v>188</v>
      </c>
      <c r="G625" t="s">
        <v>89</v>
      </c>
      <c r="H625" t="s">
        <v>189</v>
      </c>
      <c r="I625" t="s">
        <v>53</v>
      </c>
      <c r="J625" t="s">
        <v>102</v>
      </c>
      <c r="K625" s="3">
        <v>37208.35</v>
      </c>
      <c r="L625" s="3">
        <v>28081.3</v>
      </c>
      <c r="M625">
        <v>5</v>
      </c>
      <c r="N625" s="4">
        <v>0</v>
      </c>
      <c r="O625" t="s">
        <v>44</v>
      </c>
      <c r="P625" t="s">
        <v>77</v>
      </c>
    </row>
    <row r="626" spans="1:16">
      <c r="A626" t="s">
        <v>778</v>
      </c>
      <c r="B626" s="2">
        <v>45715</v>
      </c>
      <c r="C626" t="s">
        <v>60</v>
      </c>
      <c r="D626" t="s">
        <v>61</v>
      </c>
      <c r="E626" t="s">
        <v>81</v>
      </c>
      <c r="F626" t="s">
        <v>82</v>
      </c>
      <c r="G626" t="s">
        <v>21</v>
      </c>
      <c r="H626" t="s">
        <v>83</v>
      </c>
      <c r="I626" t="s">
        <v>84</v>
      </c>
      <c r="J626" t="s">
        <v>142</v>
      </c>
      <c r="K626" s="3">
        <v>20133.62</v>
      </c>
      <c r="L626" s="3">
        <v>17989.400000000001</v>
      </c>
      <c r="M626">
        <v>1</v>
      </c>
      <c r="N626" s="4">
        <v>0.15</v>
      </c>
      <c r="O626" t="s">
        <v>44</v>
      </c>
      <c r="P626" t="s">
        <v>58</v>
      </c>
    </row>
    <row r="627" spans="1:16">
      <c r="A627" t="s">
        <v>779</v>
      </c>
      <c r="B627" s="2">
        <v>45406</v>
      </c>
      <c r="C627" t="s">
        <v>114</v>
      </c>
      <c r="D627" t="s">
        <v>115</v>
      </c>
      <c r="E627" t="s">
        <v>123</v>
      </c>
      <c r="F627" t="s">
        <v>124</v>
      </c>
      <c r="G627" t="s">
        <v>51</v>
      </c>
      <c r="H627" t="s">
        <v>125</v>
      </c>
      <c r="I627" t="s">
        <v>23</v>
      </c>
      <c r="J627" t="s">
        <v>75</v>
      </c>
      <c r="K627" s="3">
        <v>102107.34</v>
      </c>
      <c r="L627" s="3">
        <v>57077.4</v>
      </c>
      <c r="M627">
        <v>3</v>
      </c>
      <c r="N627" s="4">
        <v>0</v>
      </c>
      <c r="O627" t="s">
        <v>136</v>
      </c>
      <c r="P627" t="s">
        <v>58</v>
      </c>
    </row>
    <row r="628" spans="1:16">
      <c r="A628" t="s">
        <v>780</v>
      </c>
      <c r="B628" s="2">
        <v>45486</v>
      </c>
      <c r="C628" t="s">
        <v>197</v>
      </c>
      <c r="D628" t="s">
        <v>198</v>
      </c>
      <c r="E628" t="s">
        <v>182</v>
      </c>
      <c r="F628" t="s">
        <v>183</v>
      </c>
      <c r="G628" t="s">
        <v>89</v>
      </c>
      <c r="H628" t="s">
        <v>90</v>
      </c>
      <c r="I628" t="s">
        <v>23</v>
      </c>
      <c r="J628" t="s">
        <v>75</v>
      </c>
      <c r="K628" s="3">
        <v>28925.21</v>
      </c>
      <c r="L628" s="3">
        <v>19525.080000000002</v>
      </c>
      <c r="M628">
        <v>3</v>
      </c>
      <c r="N628" s="4">
        <v>0.2</v>
      </c>
      <c r="O628" t="s">
        <v>44</v>
      </c>
      <c r="P628" t="s">
        <v>77</v>
      </c>
    </row>
    <row r="629" spans="1:16">
      <c r="A629" t="s">
        <v>781</v>
      </c>
      <c r="B629" s="2">
        <v>45820</v>
      </c>
      <c r="C629" t="s">
        <v>47</v>
      </c>
      <c r="D629" t="s">
        <v>48</v>
      </c>
      <c r="E629" t="s">
        <v>19</v>
      </c>
      <c r="F629" t="s">
        <v>20</v>
      </c>
      <c r="G629" t="s">
        <v>21</v>
      </c>
      <c r="H629" t="s">
        <v>22</v>
      </c>
      <c r="I629" t="s">
        <v>53</v>
      </c>
      <c r="J629" t="s">
        <v>102</v>
      </c>
      <c r="K629" s="3">
        <v>6062.47</v>
      </c>
      <c r="L629" s="3">
        <v>5646.22</v>
      </c>
      <c r="M629">
        <v>2</v>
      </c>
      <c r="N629" s="4">
        <v>0.15</v>
      </c>
      <c r="O629" t="s">
        <v>34</v>
      </c>
      <c r="P629" t="s">
        <v>58</v>
      </c>
    </row>
    <row r="630" spans="1:16">
      <c r="A630" t="s">
        <v>782</v>
      </c>
      <c r="B630" s="2">
        <v>45995</v>
      </c>
      <c r="C630" t="s">
        <v>140</v>
      </c>
      <c r="D630" t="s">
        <v>141</v>
      </c>
      <c r="E630" t="s">
        <v>123</v>
      </c>
      <c r="F630" t="s">
        <v>124</v>
      </c>
      <c r="G630" t="s">
        <v>51</v>
      </c>
      <c r="H630" t="s">
        <v>125</v>
      </c>
      <c r="I630" t="s">
        <v>23</v>
      </c>
      <c r="J630" t="s">
        <v>24</v>
      </c>
      <c r="K630" s="3">
        <v>130529.45</v>
      </c>
      <c r="L630" s="3">
        <v>96693.75</v>
      </c>
      <c r="M630">
        <v>5</v>
      </c>
      <c r="N630" s="4">
        <v>0</v>
      </c>
      <c r="O630" t="s">
        <v>25</v>
      </c>
      <c r="P630" t="s">
        <v>45</v>
      </c>
    </row>
    <row r="631" spans="1:16">
      <c r="A631" t="s">
        <v>783</v>
      </c>
      <c r="B631" s="2">
        <v>45611</v>
      </c>
      <c r="C631" t="s">
        <v>140</v>
      </c>
      <c r="D631" t="s">
        <v>141</v>
      </c>
      <c r="E631" t="s">
        <v>95</v>
      </c>
      <c r="F631" t="s">
        <v>96</v>
      </c>
      <c r="G631" t="s">
        <v>89</v>
      </c>
      <c r="H631" t="s">
        <v>97</v>
      </c>
      <c r="I631" t="s">
        <v>53</v>
      </c>
      <c r="J631" t="s">
        <v>54</v>
      </c>
      <c r="K631" s="3">
        <v>8816.6299999999992</v>
      </c>
      <c r="L631" s="3">
        <v>6749.24</v>
      </c>
      <c r="M631">
        <v>2</v>
      </c>
      <c r="N631" s="4">
        <v>0.1</v>
      </c>
      <c r="O631" t="s">
        <v>34</v>
      </c>
      <c r="P631" t="s">
        <v>77</v>
      </c>
    </row>
    <row r="632" spans="1:16">
      <c r="A632" t="s">
        <v>784</v>
      </c>
      <c r="B632" s="2">
        <v>45412</v>
      </c>
      <c r="C632" t="s">
        <v>79</v>
      </c>
      <c r="D632" t="s">
        <v>80</v>
      </c>
      <c r="E632" t="s">
        <v>38</v>
      </c>
      <c r="F632" t="s">
        <v>39</v>
      </c>
      <c r="G632" t="s">
        <v>40</v>
      </c>
      <c r="H632" t="s">
        <v>41</v>
      </c>
      <c r="I632" t="s">
        <v>42</v>
      </c>
      <c r="J632" t="s">
        <v>68</v>
      </c>
      <c r="K632" s="3">
        <v>3113.46</v>
      </c>
      <c r="L632" s="3">
        <v>1394.79</v>
      </c>
      <c r="M632">
        <v>3</v>
      </c>
      <c r="N632" s="4">
        <v>0</v>
      </c>
      <c r="O632" t="s">
        <v>34</v>
      </c>
      <c r="P632" t="s">
        <v>58</v>
      </c>
    </row>
    <row r="633" spans="1:16">
      <c r="A633" t="s">
        <v>785</v>
      </c>
      <c r="B633" s="2">
        <v>45854</v>
      </c>
      <c r="C633" t="s">
        <v>144</v>
      </c>
      <c r="D633" t="s">
        <v>145</v>
      </c>
      <c r="E633" t="s">
        <v>187</v>
      </c>
      <c r="F633" t="s">
        <v>188</v>
      </c>
      <c r="G633" t="s">
        <v>89</v>
      </c>
      <c r="H633" t="s">
        <v>189</v>
      </c>
      <c r="I633" t="s">
        <v>84</v>
      </c>
      <c r="J633" t="s">
        <v>134</v>
      </c>
      <c r="K633" s="3">
        <v>34052.449999999997</v>
      </c>
      <c r="L633" s="3">
        <v>15744.48</v>
      </c>
      <c r="M633">
        <v>3</v>
      </c>
      <c r="N633" s="4">
        <v>0.1</v>
      </c>
      <c r="O633" t="s">
        <v>34</v>
      </c>
      <c r="P633" t="s">
        <v>58</v>
      </c>
    </row>
    <row r="634" spans="1:16">
      <c r="A634" t="s">
        <v>786</v>
      </c>
      <c r="B634" s="2">
        <v>45919</v>
      </c>
      <c r="C634" t="s">
        <v>200</v>
      </c>
      <c r="D634" t="s">
        <v>201</v>
      </c>
      <c r="E634" t="s">
        <v>62</v>
      </c>
      <c r="F634" t="s">
        <v>63</v>
      </c>
      <c r="G634" t="s">
        <v>21</v>
      </c>
      <c r="H634" t="s">
        <v>64</v>
      </c>
      <c r="I634" t="s">
        <v>84</v>
      </c>
      <c r="J634" t="s">
        <v>142</v>
      </c>
      <c r="K634" s="3">
        <v>6730.38</v>
      </c>
      <c r="L634" s="3">
        <v>5443.83</v>
      </c>
      <c r="M634">
        <v>3</v>
      </c>
      <c r="N634" s="4">
        <v>0</v>
      </c>
      <c r="O634" t="s">
        <v>136</v>
      </c>
      <c r="P634" t="s">
        <v>58</v>
      </c>
    </row>
    <row r="635" spans="1:16">
      <c r="A635" t="s">
        <v>787</v>
      </c>
      <c r="B635" s="2">
        <v>45380</v>
      </c>
      <c r="C635" t="s">
        <v>179</v>
      </c>
      <c r="D635" t="s">
        <v>180</v>
      </c>
      <c r="E635" t="s">
        <v>106</v>
      </c>
      <c r="F635" t="s">
        <v>107</v>
      </c>
      <c r="G635" t="s">
        <v>40</v>
      </c>
      <c r="H635" t="s">
        <v>108</v>
      </c>
      <c r="I635" t="s">
        <v>23</v>
      </c>
      <c r="J635" t="s">
        <v>24</v>
      </c>
      <c r="K635" s="3">
        <v>7520.93</v>
      </c>
      <c r="L635" s="3">
        <v>2739.48</v>
      </c>
      <c r="M635">
        <v>4</v>
      </c>
      <c r="N635" s="4">
        <v>0.2</v>
      </c>
      <c r="O635" t="s">
        <v>136</v>
      </c>
      <c r="P635" t="s">
        <v>77</v>
      </c>
    </row>
    <row r="636" spans="1:16">
      <c r="A636" t="s">
        <v>788</v>
      </c>
      <c r="B636" s="2">
        <v>45494</v>
      </c>
      <c r="C636" t="s">
        <v>265</v>
      </c>
      <c r="D636" t="s">
        <v>266</v>
      </c>
      <c r="E636" t="s">
        <v>110</v>
      </c>
      <c r="F636" t="s">
        <v>111</v>
      </c>
      <c r="G636" t="s">
        <v>40</v>
      </c>
      <c r="H636" t="s">
        <v>112</v>
      </c>
      <c r="I636" t="s">
        <v>53</v>
      </c>
      <c r="J636" t="s">
        <v>102</v>
      </c>
      <c r="K636" s="3">
        <v>20050.22</v>
      </c>
      <c r="L636" s="3">
        <v>5494.25</v>
      </c>
      <c r="M636">
        <v>5</v>
      </c>
      <c r="N636" s="4">
        <v>0.15</v>
      </c>
      <c r="O636" t="s">
        <v>34</v>
      </c>
      <c r="P636" t="s">
        <v>58</v>
      </c>
    </row>
    <row r="637" spans="1:16">
      <c r="A637" t="s">
        <v>789</v>
      </c>
      <c r="B637" s="2">
        <v>45758</v>
      </c>
      <c r="C637" t="s">
        <v>100</v>
      </c>
      <c r="D637" t="s">
        <v>101</v>
      </c>
      <c r="E637" t="s">
        <v>38</v>
      </c>
      <c r="F637" t="s">
        <v>39</v>
      </c>
      <c r="G637" t="s">
        <v>40</v>
      </c>
      <c r="H637" t="s">
        <v>41</v>
      </c>
      <c r="I637" t="s">
        <v>23</v>
      </c>
      <c r="J637" t="s">
        <v>33</v>
      </c>
      <c r="K637" s="3">
        <v>4427.6899999999996</v>
      </c>
      <c r="L637" s="3">
        <v>1555.35</v>
      </c>
      <c r="M637">
        <v>3</v>
      </c>
      <c r="N637" s="4">
        <v>0.15</v>
      </c>
      <c r="O637" t="s">
        <v>136</v>
      </c>
      <c r="P637" t="s">
        <v>58</v>
      </c>
    </row>
    <row r="638" spans="1:16">
      <c r="A638" t="s">
        <v>790</v>
      </c>
      <c r="B638" s="2">
        <v>45923</v>
      </c>
      <c r="C638" t="s">
        <v>36</v>
      </c>
      <c r="D638" t="s">
        <v>37</v>
      </c>
      <c r="E638" t="s">
        <v>152</v>
      </c>
      <c r="F638" t="s">
        <v>153</v>
      </c>
      <c r="G638" t="s">
        <v>21</v>
      </c>
      <c r="H638" t="s">
        <v>32</v>
      </c>
      <c r="I638" t="s">
        <v>53</v>
      </c>
      <c r="J638" t="s">
        <v>102</v>
      </c>
      <c r="K638" s="3">
        <v>31644.59</v>
      </c>
      <c r="L638" s="3">
        <v>25981.74</v>
      </c>
      <c r="M638">
        <v>3</v>
      </c>
      <c r="N638" s="4">
        <v>0.1</v>
      </c>
      <c r="O638" t="s">
        <v>44</v>
      </c>
      <c r="P638" t="s">
        <v>98</v>
      </c>
    </row>
    <row r="639" spans="1:16">
      <c r="A639" t="s">
        <v>791</v>
      </c>
      <c r="B639" s="2">
        <v>45778</v>
      </c>
      <c r="C639" t="s">
        <v>197</v>
      </c>
      <c r="D639" t="s">
        <v>198</v>
      </c>
      <c r="E639" t="s">
        <v>30</v>
      </c>
      <c r="F639" t="s">
        <v>31</v>
      </c>
      <c r="G639" t="s">
        <v>21</v>
      </c>
      <c r="H639" t="s">
        <v>32</v>
      </c>
      <c r="I639" t="s">
        <v>23</v>
      </c>
      <c r="J639" t="s">
        <v>33</v>
      </c>
      <c r="K639" s="3">
        <v>55997.14</v>
      </c>
      <c r="L639" s="3">
        <v>46573.83</v>
      </c>
      <c r="M639">
        <v>1</v>
      </c>
      <c r="N639" s="4">
        <v>0.05</v>
      </c>
      <c r="O639" t="s">
        <v>44</v>
      </c>
      <c r="P639" t="s">
        <v>77</v>
      </c>
    </row>
    <row r="640" spans="1:16">
      <c r="A640" t="s">
        <v>792</v>
      </c>
      <c r="B640" s="2">
        <v>45812</v>
      </c>
      <c r="C640" t="s">
        <v>155</v>
      </c>
      <c r="D640" t="s">
        <v>156</v>
      </c>
      <c r="E640" t="s">
        <v>95</v>
      </c>
      <c r="F640" t="s">
        <v>96</v>
      </c>
      <c r="G640" t="s">
        <v>89</v>
      </c>
      <c r="H640" t="s">
        <v>97</v>
      </c>
      <c r="I640" t="s">
        <v>23</v>
      </c>
      <c r="J640" t="s">
        <v>75</v>
      </c>
      <c r="K640" s="3">
        <v>7548.51</v>
      </c>
      <c r="L640" s="3">
        <v>3433.98</v>
      </c>
      <c r="M640">
        <v>1</v>
      </c>
      <c r="N640" s="4">
        <v>0</v>
      </c>
      <c r="O640" t="s">
        <v>44</v>
      </c>
      <c r="P640" t="s">
        <v>58</v>
      </c>
    </row>
    <row r="641" spans="1:16">
      <c r="A641" t="s">
        <v>793</v>
      </c>
      <c r="B641" s="2">
        <v>45702</v>
      </c>
      <c r="C641" t="s">
        <v>265</v>
      </c>
      <c r="D641" t="s">
        <v>266</v>
      </c>
      <c r="E641" t="s">
        <v>187</v>
      </c>
      <c r="F641" t="s">
        <v>188</v>
      </c>
      <c r="G641" t="s">
        <v>89</v>
      </c>
      <c r="H641" t="s">
        <v>189</v>
      </c>
      <c r="I641" t="s">
        <v>56</v>
      </c>
      <c r="J641" t="s">
        <v>191</v>
      </c>
      <c r="K641" s="3">
        <v>41627.120000000003</v>
      </c>
      <c r="L641" s="3">
        <v>27023.95</v>
      </c>
      <c r="M641">
        <v>5</v>
      </c>
      <c r="N641" s="4">
        <v>0.2</v>
      </c>
      <c r="O641" t="s">
        <v>76</v>
      </c>
      <c r="P641" t="s">
        <v>98</v>
      </c>
    </row>
    <row r="642" spans="1:16">
      <c r="A642" t="s">
        <v>794</v>
      </c>
      <c r="B642" s="2">
        <v>45505</v>
      </c>
      <c r="C642" t="s">
        <v>104</v>
      </c>
      <c r="D642" t="s">
        <v>105</v>
      </c>
      <c r="E642" t="s">
        <v>62</v>
      </c>
      <c r="F642" t="s">
        <v>63</v>
      </c>
      <c r="G642" t="s">
        <v>21</v>
      </c>
      <c r="H642" t="s">
        <v>64</v>
      </c>
      <c r="I642" t="s">
        <v>84</v>
      </c>
      <c r="J642" t="s">
        <v>134</v>
      </c>
      <c r="K642" s="3">
        <v>25644.959999999999</v>
      </c>
      <c r="L642" s="3">
        <v>8876.0499999999993</v>
      </c>
      <c r="M642">
        <v>5</v>
      </c>
      <c r="N642" s="4">
        <v>0.2</v>
      </c>
      <c r="O642" t="s">
        <v>44</v>
      </c>
      <c r="P642" t="s">
        <v>58</v>
      </c>
    </row>
    <row r="643" spans="1:16">
      <c r="A643" t="s">
        <v>795</v>
      </c>
      <c r="B643" s="2">
        <v>46020</v>
      </c>
      <c r="C643" t="s">
        <v>200</v>
      </c>
      <c r="D643" t="s">
        <v>201</v>
      </c>
      <c r="E643" t="s">
        <v>62</v>
      </c>
      <c r="F643" t="s">
        <v>63</v>
      </c>
      <c r="G643" t="s">
        <v>21</v>
      </c>
      <c r="H643" t="s">
        <v>64</v>
      </c>
      <c r="I643" t="s">
        <v>42</v>
      </c>
      <c r="J643" t="s">
        <v>162</v>
      </c>
      <c r="K643" s="3">
        <v>10114.48</v>
      </c>
      <c r="L643" s="3">
        <v>9606.15</v>
      </c>
      <c r="M643">
        <v>5</v>
      </c>
      <c r="N643" s="4">
        <v>0.2</v>
      </c>
      <c r="O643" t="s">
        <v>136</v>
      </c>
      <c r="P643" t="s">
        <v>77</v>
      </c>
    </row>
    <row r="644" spans="1:16">
      <c r="A644" t="s">
        <v>796</v>
      </c>
      <c r="B644" s="2">
        <v>45747</v>
      </c>
      <c r="C644" t="s">
        <v>70</v>
      </c>
      <c r="D644" t="s">
        <v>71</v>
      </c>
      <c r="E644" t="s">
        <v>19</v>
      </c>
      <c r="F644" t="s">
        <v>20</v>
      </c>
      <c r="G644" t="s">
        <v>21</v>
      </c>
      <c r="H644" t="s">
        <v>22</v>
      </c>
      <c r="I644" t="s">
        <v>53</v>
      </c>
      <c r="J644" t="s">
        <v>102</v>
      </c>
      <c r="K644" s="3">
        <v>9037.89</v>
      </c>
      <c r="L644" s="3">
        <v>5769.64</v>
      </c>
      <c r="M644">
        <v>2</v>
      </c>
      <c r="N644" s="4">
        <v>0.2</v>
      </c>
      <c r="O644" t="s">
        <v>25</v>
      </c>
      <c r="P644" t="s">
        <v>26</v>
      </c>
    </row>
    <row r="645" spans="1:16">
      <c r="A645" t="s">
        <v>797</v>
      </c>
      <c r="B645" s="2">
        <v>45968</v>
      </c>
      <c r="C645" t="s">
        <v>231</v>
      </c>
      <c r="D645" t="s">
        <v>232</v>
      </c>
      <c r="E645" t="s">
        <v>87</v>
      </c>
      <c r="F645" t="s">
        <v>88</v>
      </c>
      <c r="G645" t="s">
        <v>89</v>
      </c>
      <c r="H645" t="s">
        <v>90</v>
      </c>
      <c r="I645" t="s">
        <v>42</v>
      </c>
      <c r="J645" t="s">
        <v>68</v>
      </c>
      <c r="K645" s="3">
        <v>3890.04</v>
      </c>
      <c r="L645" s="3">
        <v>1652.59</v>
      </c>
      <c r="M645">
        <v>1</v>
      </c>
      <c r="N645" s="4">
        <v>0.2</v>
      </c>
      <c r="O645" t="s">
        <v>25</v>
      </c>
      <c r="P645" t="s">
        <v>58</v>
      </c>
    </row>
    <row r="646" spans="1:16">
      <c r="A646" t="s">
        <v>798</v>
      </c>
      <c r="B646" s="2">
        <v>45836</v>
      </c>
      <c r="C646" t="s">
        <v>130</v>
      </c>
      <c r="D646" t="s">
        <v>131</v>
      </c>
      <c r="E646" t="s">
        <v>152</v>
      </c>
      <c r="F646" t="s">
        <v>153</v>
      </c>
      <c r="G646" t="s">
        <v>21</v>
      </c>
      <c r="H646" t="s">
        <v>32</v>
      </c>
      <c r="I646" t="s">
        <v>56</v>
      </c>
      <c r="J646" t="s">
        <v>191</v>
      </c>
      <c r="K646" s="3">
        <v>37131.620000000003</v>
      </c>
      <c r="L646" s="3">
        <v>23471.91</v>
      </c>
      <c r="M646">
        <v>3</v>
      </c>
      <c r="N646" s="4">
        <v>0.05</v>
      </c>
      <c r="O646" t="s">
        <v>76</v>
      </c>
      <c r="P646" t="s">
        <v>77</v>
      </c>
    </row>
    <row r="647" spans="1:16">
      <c r="A647" t="s">
        <v>799</v>
      </c>
      <c r="B647" s="2">
        <v>45987</v>
      </c>
      <c r="C647" t="s">
        <v>265</v>
      </c>
      <c r="D647" t="s">
        <v>266</v>
      </c>
      <c r="E647" t="s">
        <v>95</v>
      </c>
      <c r="F647" t="s">
        <v>96</v>
      </c>
      <c r="G647" t="s">
        <v>89</v>
      </c>
      <c r="H647" t="s">
        <v>97</v>
      </c>
      <c r="I647" t="s">
        <v>53</v>
      </c>
      <c r="J647" t="s">
        <v>54</v>
      </c>
      <c r="K647" s="3">
        <v>23431.46</v>
      </c>
      <c r="L647" s="3">
        <v>11378.85</v>
      </c>
      <c r="M647">
        <v>3</v>
      </c>
      <c r="N647" s="4">
        <v>0.1</v>
      </c>
      <c r="O647" t="s">
        <v>25</v>
      </c>
      <c r="P647" t="s">
        <v>58</v>
      </c>
    </row>
    <row r="648" spans="1:16">
      <c r="A648" t="s">
        <v>800</v>
      </c>
      <c r="B648" s="2">
        <v>45422</v>
      </c>
      <c r="C648" t="s">
        <v>155</v>
      </c>
      <c r="D648" t="s">
        <v>156</v>
      </c>
      <c r="E648" t="s">
        <v>182</v>
      </c>
      <c r="F648" t="s">
        <v>183</v>
      </c>
      <c r="G648" t="s">
        <v>89</v>
      </c>
      <c r="H648" t="s">
        <v>90</v>
      </c>
      <c r="I648" t="s">
        <v>56</v>
      </c>
      <c r="J648" t="s">
        <v>91</v>
      </c>
      <c r="K648" s="3">
        <v>39839.49</v>
      </c>
      <c r="L648" s="3">
        <v>16424.669999999998</v>
      </c>
      <c r="M648">
        <v>3</v>
      </c>
      <c r="N648" s="4">
        <v>0</v>
      </c>
      <c r="O648" t="s">
        <v>25</v>
      </c>
      <c r="P648" t="s">
        <v>77</v>
      </c>
    </row>
    <row r="649" spans="1:16">
      <c r="A649" t="s">
        <v>801</v>
      </c>
      <c r="B649" s="2">
        <v>45323</v>
      </c>
      <c r="C649" t="s">
        <v>179</v>
      </c>
      <c r="D649" t="s">
        <v>180</v>
      </c>
      <c r="E649" t="s">
        <v>123</v>
      </c>
      <c r="F649" t="s">
        <v>124</v>
      </c>
      <c r="G649" t="s">
        <v>51</v>
      </c>
      <c r="H649" t="s">
        <v>125</v>
      </c>
      <c r="I649" t="s">
        <v>53</v>
      </c>
      <c r="J649" t="s">
        <v>102</v>
      </c>
      <c r="K649" s="3">
        <v>55239.34</v>
      </c>
      <c r="L649" s="3">
        <v>35508.36</v>
      </c>
      <c r="M649">
        <v>2</v>
      </c>
      <c r="N649" s="4">
        <v>0.1</v>
      </c>
      <c r="O649" t="s">
        <v>136</v>
      </c>
      <c r="P649" t="s">
        <v>26</v>
      </c>
    </row>
    <row r="650" spans="1:16">
      <c r="A650" t="s">
        <v>802</v>
      </c>
      <c r="B650" s="2">
        <v>45508</v>
      </c>
      <c r="C650" t="s">
        <v>104</v>
      </c>
      <c r="D650" t="s">
        <v>105</v>
      </c>
      <c r="E650" t="s">
        <v>132</v>
      </c>
      <c r="F650" t="s">
        <v>133</v>
      </c>
      <c r="G650" t="s">
        <v>40</v>
      </c>
      <c r="H650" t="s">
        <v>41</v>
      </c>
      <c r="I650" t="s">
        <v>56</v>
      </c>
      <c r="J650" t="s">
        <v>57</v>
      </c>
      <c r="K650" s="3">
        <v>866.98</v>
      </c>
      <c r="L650" s="3">
        <v>497.48</v>
      </c>
      <c r="M650">
        <v>2</v>
      </c>
      <c r="N650" s="4">
        <v>0.15</v>
      </c>
      <c r="O650" t="s">
        <v>44</v>
      </c>
      <c r="P650" t="s">
        <v>26</v>
      </c>
    </row>
    <row r="651" spans="1:16">
      <c r="A651" t="s">
        <v>803</v>
      </c>
      <c r="B651" s="2">
        <v>45978</v>
      </c>
      <c r="C651" t="s">
        <v>47</v>
      </c>
      <c r="D651" t="s">
        <v>48</v>
      </c>
      <c r="E651" t="s">
        <v>123</v>
      </c>
      <c r="F651" t="s">
        <v>124</v>
      </c>
      <c r="G651" t="s">
        <v>51</v>
      </c>
      <c r="H651" t="s">
        <v>125</v>
      </c>
      <c r="I651" t="s">
        <v>53</v>
      </c>
      <c r="J651" t="s">
        <v>102</v>
      </c>
      <c r="K651" s="3">
        <v>42879.9</v>
      </c>
      <c r="L651" s="3">
        <v>33366.800000000003</v>
      </c>
      <c r="M651">
        <v>2</v>
      </c>
      <c r="N651" s="4">
        <v>0</v>
      </c>
      <c r="O651" t="s">
        <v>76</v>
      </c>
      <c r="P651" t="s">
        <v>98</v>
      </c>
    </row>
    <row r="652" spans="1:16">
      <c r="A652" t="s">
        <v>804</v>
      </c>
      <c r="B652" s="2">
        <v>45378</v>
      </c>
      <c r="C652" t="s">
        <v>130</v>
      </c>
      <c r="D652" t="s">
        <v>131</v>
      </c>
      <c r="E652" t="s">
        <v>132</v>
      </c>
      <c r="F652" t="s">
        <v>133</v>
      </c>
      <c r="G652" t="s">
        <v>40</v>
      </c>
      <c r="H652" t="s">
        <v>41</v>
      </c>
      <c r="I652" t="s">
        <v>23</v>
      </c>
      <c r="J652" t="s">
        <v>75</v>
      </c>
      <c r="K652" s="3">
        <v>1195.92</v>
      </c>
      <c r="L652" s="3">
        <v>514.22</v>
      </c>
      <c r="M652">
        <v>2</v>
      </c>
      <c r="N652" s="4">
        <v>0.15</v>
      </c>
      <c r="O652" t="s">
        <v>34</v>
      </c>
      <c r="P652" t="s">
        <v>26</v>
      </c>
    </row>
    <row r="653" spans="1:16">
      <c r="A653" t="s">
        <v>805</v>
      </c>
      <c r="B653" s="2">
        <v>45813</v>
      </c>
      <c r="C653" t="s">
        <v>155</v>
      </c>
      <c r="D653" t="s">
        <v>156</v>
      </c>
      <c r="E653" t="s">
        <v>117</v>
      </c>
      <c r="F653" t="s">
        <v>118</v>
      </c>
      <c r="G653" t="s">
        <v>51</v>
      </c>
      <c r="H653" t="s">
        <v>119</v>
      </c>
      <c r="I653" t="s">
        <v>56</v>
      </c>
      <c r="J653" t="s">
        <v>191</v>
      </c>
      <c r="K653" s="3">
        <v>27800.17</v>
      </c>
      <c r="L653" s="3">
        <v>18187.400000000001</v>
      </c>
      <c r="M653">
        <v>4</v>
      </c>
      <c r="N653" s="4">
        <v>0.1</v>
      </c>
      <c r="O653" t="s">
        <v>76</v>
      </c>
      <c r="P653" t="s">
        <v>58</v>
      </c>
    </row>
    <row r="654" spans="1:16">
      <c r="A654" t="s">
        <v>806</v>
      </c>
      <c r="B654" s="2">
        <v>45883</v>
      </c>
      <c r="C654" t="s">
        <v>207</v>
      </c>
      <c r="D654" t="s">
        <v>208</v>
      </c>
      <c r="E654" t="s">
        <v>193</v>
      </c>
      <c r="F654" t="s">
        <v>194</v>
      </c>
      <c r="G654" t="s">
        <v>89</v>
      </c>
      <c r="H654" t="s">
        <v>90</v>
      </c>
      <c r="I654" t="s">
        <v>23</v>
      </c>
      <c r="J654" t="s">
        <v>24</v>
      </c>
      <c r="K654" s="3">
        <v>2829.12</v>
      </c>
      <c r="L654" s="3">
        <v>2138.7199999999998</v>
      </c>
      <c r="M654">
        <v>4</v>
      </c>
      <c r="N654" s="4">
        <v>0.2</v>
      </c>
      <c r="O654" t="s">
        <v>44</v>
      </c>
      <c r="P654" t="s">
        <v>26</v>
      </c>
    </row>
    <row r="655" spans="1:16">
      <c r="A655" t="s">
        <v>807</v>
      </c>
      <c r="B655" s="2">
        <v>45326</v>
      </c>
      <c r="C655" t="s">
        <v>70</v>
      </c>
      <c r="D655" t="s">
        <v>71</v>
      </c>
      <c r="E655" t="s">
        <v>95</v>
      </c>
      <c r="F655" t="s">
        <v>96</v>
      </c>
      <c r="G655" t="s">
        <v>89</v>
      </c>
      <c r="H655" t="s">
        <v>97</v>
      </c>
      <c r="I655" t="s">
        <v>84</v>
      </c>
      <c r="J655" t="s">
        <v>134</v>
      </c>
      <c r="K655" s="3">
        <v>7500.8</v>
      </c>
      <c r="L655" s="3">
        <v>3547.7</v>
      </c>
      <c r="M655">
        <v>1</v>
      </c>
      <c r="N655" s="4">
        <v>0</v>
      </c>
      <c r="O655" t="s">
        <v>34</v>
      </c>
      <c r="P655" t="s">
        <v>98</v>
      </c>
    </row>
    <row r="656" spans="1:16">
      <c r="A656" t="s">
        <v>808</v>
      </c>
      <c r="B656" s="2">
        <v>45831</v>
      </c>
      <c r="C656" t="s">
        <v>60</v>
      </c>
      <c r="D656" t="s">
        <v>61</v>
      </c>
      <c r="E656" t="s">
        <v>62</v>
      </c>
      <c r="F656" t="s">
        <v>63</v>
      </c>
      <c r="G656" t="s">
        <v>21</v>
      </c>
      <c r="H656" t="s">
        <v>64</v>
      </c>
      <c r="I656" t="s">
        <v>23</v>
      </c>
      <c r="J656" t="s">
        <v>75</v>
      </c>
      <c r="K656" s="3">
        <v>5680.32</v>
      </c>
      <c r="L656" s="3">
        <v>5362.14</v>
      </c>
      <c r="M656">
        <v>3</v>
      </c>
      <c r="N656" s="4">
        <v>0.2</v>
      </c>
      <c r="O656" t="s">
        <v>25</v>
      </c>
      <c r="P656" t="s">
        <v>58</v>
      </c>
    </row>
    <row r="657" spans="1:16">
      <c r="A657" t="s">
        <v>809</v>
      </c>
      <c r="B657" s="2">
        <v>45940</v>
      </c>
      <c r="C657" t="s">
        <v>197</v>
      </c>
      <c r="D657" t="s">
        <v>198</v>
      </c>
      <c r="E657" t="s">
        <v>62</v>
      </c>
      <c r="F657" t="s">
        <v>63</v>
      </c>
      <c r="G657" t="s">
        <v>21</v>
      </c>
      <c r="H657" t="s">
        <v>64</v>
      </c>
      <c r="I657" t="s">
        <v>42</v>
      </c>
      <c r="J657" t="s">
        <v>68</v>
      </c>
      <c r="K657" s="3">
        <v>17086.25</v>
      </c>
      <c r="L657" s="3">
        <v>9536.6</v>
      </c>
      <c r="M657">
        <v>5</v>
      </c>
      <c r="N657" s="4">
        <v>0</v>
      </c>
      <c r="O657" t="s">
        <v>44</v>
      </c>
      <c r="P657" t="s">
        <v>58</v>
      </c>
    </row>
    <row r="658" spans="1:16">
      <c r="A658" t="s">
        <v>810</v>
      </c>
      <c r="B658" s="2">
        <v>45772</v>
      </c>
      <c r="C658" t="s">
        <v>197</v>
      </c>
      <c r="D658" t="s">
        <v>198</v>
      </c>
      <c r="E658" t="s">
        <v>38</v>
      </c>
      <c r="F658" t="s">
        <v>39</v>
      </c>
      <c r="G658" t="s">
        <v>40</v>
      </c>
      <c r="H658" t="s">
        <v>41</v>
      </c>
      <c r="I658" t="s">
        <v>56</v>
      </c>
      <c r="J658" t="s">
        <v>57</v>
      </c>
      <c r="K658" s="3">
        <v>5731.34</v>
      </c>
      <c r="L658" s="3">
        <v>2616.9</v>
      </c>
      <c r="M658">
        <v>5</v>
      </c>
      <c r="N658" s="4">
        <v>0.1</v>
      </c>
      <c r="O658" t="s">
        <v>44</v>
      </c>
      <c r="P658" t="s">
        <v>58</v>
      </c>
    </row>
    <row r="659" spans="1:16">
      <c r="A659" t="s">
        <v>811</v>
      </c>
      <c r="B659" s="2">
        <v>45603</v>
      </c>
      <c r="C659" t="s">
        <v>28</v>
      </c>
      <c r="D659" t="s">
        <v>29</v>
      </c>
      <c r="E659" t="s">
        <v>193</v>
      </c>
      <c r="F659" t="s">
        <v>194</v>
      </c>
      <c r="G659" t="s">
        <v>89</v>
      </c>
      <c r="H659" t="s">
        <v>90</v>
      </c>
      <c r="I659" t="s">
        <v>42</v>
      </c>
      <c r="J659" t="s">
        <v>162</v>
      </c>
      <c r="K659" s="3">
        <v>5420.64</v>
      </c>
      <c r="L659" s="3">
        <v>2380.1999999999998</v>
      </c>
      <c r="M659">
        <v>5</v>
      </c>
      <c r="N659" s="4">
        <v>0.2</v>
      </c>
      <c r="O659" t="s">
        <v>76</v>
      </c>
      <c r="P659" t="s">
        <v>58</v>
      </c>
    </row>
    <row r="660" spans="1:16">
      <c r="A660" t="s">
        <v>812</v>
      </c>
      <c r="B660" s="2">
        <v>45931</v>
      </c>
      <c r="C660" t="s">
        <v>130</v>
      </c>
      <c r="D660" t="s">
        <v>131</v>
      </c>
      <c r="E660" t="s">
        <v>123</v>
      </c>
      <c r="F660" t="s">
        <v>124</v>
      </c>
      <c r="G660" t="s">
        <v>51</v>
      </c>
      <c r="H660" t="s">
        <v>125</v>
      </c>
      <c r="I660" t="s">
        <v>53</v>
      </c>
      <c r="J660" t="s">
        <v>54</v>
      </c>
      <c r="K660" s="3">
        <v>17305.580000000002</v>
      </c>
      <c r="L660" s="3">
        <v>17232.54</v>
      </c>
      <c r="M660">
        <v>1</v>
      </c>
      <c r="N660" s="4">
        <v>0.2</v>
      </c>
      <c r="O660" t="s">
        <v>25</v>
      </c>
      <c r="P660" t="s">
        <v>45</v>
      </c>
    </row>
    <row r="661" spans="1:16">
      <c r="A661" t="s">
        <v>813</v>
      </c>
      <c r="B661" s="2">
        <v>45579</v>
      </c>
      <c r="C661" t="s">
        <v>66</v>
      </c>
      <c r="D661" t="s">
        <v>67</v>
      </c>
      <c r="E661" t="s">
        <v>152</v>
      </c>
      <c r="F661" t="s">
        <v>153</v>
      </c>
      <c r="G661" t="s">
        <v>21</v>
      </c>
      <c r="H661" t="s">
        <v>32</v>
      </c>
      <c r="I661" t="s">
        <v>42</v>
      </c>
      <c r="J661" t="s">
        <v>43</v>
      </c>
      <c r="K661" s="3">
        <v>27179.97</v>
      </c>
      <c r="L661" s="3">
        <v>25717.71</v>
      </c>
      <c r="M661">
        <v>3</v>
      </c>
      <c r="N661" s="4">
        <v>0</v>
      </c>
      <c r="O661" t="s">
        <v>34</v>
      </c>
      <c r="P661" t="s">
        <v>58</v>
      </c>
    </row>
    <row r="662" spans="1:16">
      <c r="A662" t="s">
        <v>814</v>
      </c>
      <c r="B662" s="2">
        <v>45749</v>
      </c>
      <c r="C662" t="s">
        <v>147</v>
      </c>
      <c r="D662" t="s">
        <v>148</v>
      </c>
      <c r="E662" t="s">
        <v>152</v>
      </c>
      <c r="F662" t="s">
        <v>153</v>
      </c>
      <c r="G662" t="s">
        <v>21</v>
      </c>
      <c r="H662" t="s">
        <v>32</v>
      </c>
      <c r="I662" t="s">
        <v>42</v>
      </c>
      <c r="J662" t="s">
        <v>68</v>
      </c>
      <c r="K662" s="3">
        <v>30777.78</v>
      </c>
      <c r="L662" s="3">
        <v>25477.65</v>
      </c>
      <c r="M662">
        <v>3</v>
      </c>
      <c r="N662" s="4">
        <v>0.05</v>
      </c>
      <c r="O662" t="s">
        <v>136</v>
      </c>
      <c r="P662" t="s">
        <v>58</v>
      </c>
    </row>
    <row r="663" spans="1:16">
      <c r="A663" t="s">
        <v>815</v>
      </c>
      <c r="B663" s="2">
        <v>45378</v>
      </c>
      <c r="C663" t="s">
        <v>114</v>
      </c>
      <c r="D663" t="s">
        <v>115</v>
      </c>
      <c r="E663" t="s">
        <v>81</v>
      </c>
      <c r="F663" t="s">
        <v>82</v>
      </c>
      <c r="G663" t="s">
        <v>21</v>
      </c>
      <c r="H663" t="s">
        <v>83</v>
      </c>
      <c r="I663" t="s">
        <v>84</v>
      </c>
      <c r="J663" t="s">
        <v>134</v>
      </c>
      <c r="K663" s="3">
        <v>55002.45</v>
      </c>
      <c r="L663" s="3">
        <v>36687.919999999998</v>
      </c>
      <c r="M663">
        <v>2</v>
      </c>
      <c r="N663" s="4">
        <v>0.15</v>
      </c>
      <c r="O663" t="s">
        <v>136</v>
      </c>
      <c r="P663" t="s">
        <v>26</v>
      </c>
    </row>
    <row r="664" spans="1:16">
      <c r="A664" t="s">
        <v>816</v>
      </c>
      <c r="B664" s="2">
        <v>45944</v>
      </c>
      <c r="C664" t="s">
        <v>36</v>
      </c>
      <c r="D664" t="s">
        <v>37</v>
      </c>
      <c r="E664" t="s">
        <v>38</v>
      </c>
      <c r="F664" t="s">
        <v>39</v>
      </c>
      <c r="G664" t="s">
        <v>40</v>
      </c>
      <c r="H664" t="s">
        <v>41</v>
      </c>
      <c r="I664" t="s">
        <v>42</v>
      </c>
      <c r="J664" t="s">
        <v>162</v>
      </c>
      <c r="K664" s="3">
        <v>3194.96</v>
      </c>
      <c r="L664" s="3">
        <v>942.18</v>
      </c>
      <c r="M664">
        <v>2</v>
      </c>
      <c r="N664" s="4">
        <v>0.1</v>
      </c>
      <c r="O664" t="s">
        <v>25</v>
      </c>
      <c r="P664" t="s">
        <v>45</v>
      </c>
    </row>
    <row r="665" spans="1:16">
      <c r="A665" t="s">
        <v>817</v>
      </c>
      <c r="B665" s="2">
        <v>45463</v>
      </c>
      <c r="C665" t="s">
        <v>79</v>
      </c>
      <c r="D665" t="s">
        <v>80</v>
      </c>
      <c r="E665" t="s">
        <v>19</v>
      </c>
      <c r="F665" t="s">
        <v>20</v>
      </c>
      <c r="G665" t="s">
        <v>21</v>
      </c>
      <c r="H665" t="s">
        <v>22</v>
      </c>
      <c r="I665" t="s">
        <v>23</v>
      </c>
      <c r="J665" t="s">
        <v>24</v>
      </c>
      <c r="K665" s="3">
        <v>16191.07</v>
      </c>
      <c r="L665" s="3">
        <v>11757</v>
      </c>
      <c r="M665">
        <v>4</v>
      </c>
      <c r="N665" s="4">
        <v>0.2</v>
      </c>
      <c r="O665" t="s">
        <v>76</v>
      </c>
      <c r="P665" t="s">
        <v>26</v>
      </c>
    </row>
    <row r="666" spans="1:16">
      <c r="A666" t="s">
        <v>818</v>
      </c>
      <c r="B666" s="2">
        <v>45560</v>
      </c>
      <c r="C666" t="s">
        <v>130</v>
      </c>
      <c r="D666" t="s">
        <v>131</v>
      </c>
      <c r="E666" t="s">
        <v>106</v>
      </c>
      <c r="F666" t="s">
        <v>107</v>
      </c>
      <c r="G666" t="s">
        <v>40</v>
      </c>
      <c r="H666" t="s">
        <v>108</v>
      </c>
      <c r="I666" t="s">
        <v>56</v>
      </c>
      <c r="J666" t="s">
        <v>191</v>
      </c>
      <c r="K666" s="3">
        <v>3161.56</v>
      </c>
      <c r="L666" s="3">
        <v>1408.52</v>
      </c>
      <c r="M666">
        <v>2</v>
      </c>
      <c r="N666" s="4">
        <v>0.1</v>
      </c>
      <c r="O666" t="s">
        <v>136</v>
      </c>
      <c r="P666" t="s">
        <v>26</v>
      </c>
    </row>
    <row r="667" spans="1:16">
      <c r="A667" t="s">
        <v>819</v>
      </c>
      <c r="B667" s="2">
        <v>45991</v>
      </c>
      <c r="C667" t="s">
        <v>130</v>
      </c>
      <c r="D667" t="s">
        <v>131</v>
      </c>
      <c r="E667" t="s">
        <v>110</v>
      </c>
      <c r="F667" t="s">
        <v>111</v>
      </c>
      <c r="G667" t="s">
        <v>40</v>
      </c>
      <c r="H667" t="s">
        <v>112</v>
      </c>
      <c r="I667" t="s">
        <v>56</v>
      </c>
      <c r="J667" t="s">
        <v>57</v>
      </c>
      <c r="K667" s="3">
        <v>2957.77</v>
      </c>
      <c r="L667" s="3">
        <v>1103.3699999999999</v>
      </c>
      <c r="M667">
        <v>1</v>
      </c>
      <c r="N667" s="4">
        <v>0.1</v>
      </c>
      <c r="O667" t="s">
        <v>136</v>
      </c>
      <c r="P667" t="s">
        <v>45</v>
      </c>
    </row>
    <row r="668" spans="1:16">
      <c r="A668" t="s">
        <v>820</v>
      </c>
      <c r="B668" s="2">
        <v>45392</v>
      </c>
      <c r="C668" t="s">
        <v>231</v>
      </c>
      <c r="D668" t="s">
        <v>232</v>
      </c>
      <c r="E668" t="s">
        <v>175</v>
      </c>
      <c r="F668" t="s">
        <v>176</v>
      </c>
      <c r="G668" t="s">
        <v>51</v>
      </c>
      <c r="H668" t="s">
        <v>177</v>
      </c>
      <c r="I668" t="s">
        <v>84</v>
      </c>
      <c r="J668" t="s">
        <v>142</v>
      </c>
      <c r="K668" s="3">
        <v>66768.2</v>
      </c>
      <c r="L668" s="3">
        <v>49481.7</v>
      </c>
      <c r="M668">
        <v>3</v>
      </c>
      <c r="N668" s="4">
        <v>0.05</v>
      </c>
      <c r="O668" t="s">
        <v>34</v>
      </c>
      <c r="P668" t="s">
        <v>58</v>
      </c>
    </row>
    <row r="669" spans="1:16">
      <c r="A669" t="s">
        <v>821</v>
      </c>
      <c r="B669" s="2">
        <v>45998</v>
      </c>
      <c r="C669" t="s">
        <v>114</v>
      </c>
      <c r="D669" t="s">
        <v>115</v>
      </c>
      <c r="E669" t="s">
        <v>110</v>
      </c>
      <c r="F669" t="s">
        <v>111</v>
      </c>
      <c r="G669" t="s">
        <v>40</v>
      </c>
      <c r="H669" t="s">
        <v>112</v>
      </c>
      <c r="I669" t="s">
        <v>42</v>
      </c>
      <c r="J669" t="s">
        <v>68</v>
      </c>
      <c r="K669" s="3">
        <v>2765.34</v>
      </c>
      <c r="L669" s="3">
        <v>2310.36</v>
      </c>
      <c r="M669">
        <v>2</v>
      </c>
      <c r="N669" s="4">
        <v>0</v>
      </c>
      <c r="O669" t="s">
        <v>25</v>
      </c>
      <c r="P669" t="s">
        <v>58</v>
      </c>
    </row>
    <row r="670" spans="1:16">
      <c r="A670" t="s">
        <v>822</v>
      </c>
      <c r="B670" s="2">
        <v>45398</v>
      </c>
      <c r="C670" t="s">
        <v>207</v>
      </c>
      <c r="D670" t="s">
        <v>208</v>
      </c>
      <c r="E670" t="s">
        <v>19</v>
      </c>
      <c r="F670" t="s">
        <v>20</v>
      </c>
      <c r="G670" t="s">
        <v>21</v>
      </c>
      <c r="H670" t="s">
        <v>22</v>
      </c>
      <c r="I670" t="s">
        <v>56</v>
      </c>
      <c r="J670" t="s">
        <v>57</v>
      </c>
      <c r="K670" s="3">
        <v>26821.48</v>
      </c>
      <c r="L670" s="3">
        <v>11643.64</v>
      </c>
      <c r="M670">
        <v>4</v>
      </c>
      <c r="N670" s="4">
        <v>0.1</v>
      </c>
      <c r="O670" t="s">
        <v>76</v>
      </c>
      <c r="P670" t="s">
        <v>58</v>
      </c>
    </row>
    <row r="671" spans="1:16">
      <c r="A671" t="s">
        <v>823</v>
      </c>
      <c r="B671" s="2">
        <v>45350</v>
      </c>
      <c r="C671" t="s">
        <v>140</v>
      </c>
      <c r="D671" t="s">
        <v>141</v>
      </c>
      <c r="E671" t="s">
        <v>193</v>
      </c>
      <c r="F671" t="s">
        <v>194</v>
      </c>
      <c r="G671" t="s">
        <v>89</v>
      </c>
      <c r="H671" t="s">
        <v>90</v>
      </c>
      <c r="I671" t="s">
        <v>23</v>
      </c>
      <c r="J671" t="s">
        <v>33</v>
      </c>
      <c r="K671" s="3">
        <v>6410.2</v>
      </c>
      <c r="L671" s="3">
        <v>2578.3000000000002</v>
      </c>
      <c r="M671">
        <v>5</v>
      </c>
      <c r="N671" s="4">
        <v>0.2</v>
      </c>
      <c r="O671" t="s">
        <v>25</v>
      </c>
      <c r="P671" t="s">
        <v>58</v>
      </c>
    </row>
    <row r="672" spans="1:16">
      <c r="A672" t="s">
        <v>824</v>
      </c>
      <c r="B672" s="2">
        <v>45676</v>
      </c>
      <c r="C672" t="s">
        <v>100</v>
      </c>
      <c r="D672" t="s">
        <v>101</v>
      </c>
      <c r="E672" t="s">
        <v>193</v>
      </c>
      <c r="F672" t="s">
        <v>194</v>
      </c>
      <c r="G672" t="s">
        <v>89</v>
      </c>
      <c r="H672" t="s">
        <v>90</v>
      </c>
      <c r="I672" t="s">
        <v>23</v>
      </c>
      <c r="J672" t="s">
        <v>75</v>
      </c>
      <c r="K672" s="3">
        <v>4108.6000000000004</v>
      </c>
      <c r="L672" s="3">
        <v>2651.6</v>
      </c>
      <c r="M672">
        <v>5</v>
      </c>
      <c r="N672" s="4">
        <v>0</v>
      </c>
      <c r="O672" t="s">
        <v>76</v>
      </c>
      <c r="P672" t="s">
        <v>45</v>
      </c>
    </row>
    <row r="673" spans="1:16">
      <c r="A673" t="s">
        <v>825</v>
      </c>
      <c r="B673" s="2">
        <v>45369</v>
      </c>
      <c r="C673" t="s">
        <v>265</v>
      </c>
      <c r="D673" t="s">
        <v>266</v>
      </c>
      <c r="E673" t="s">
        <v>38</v>
      </c>
      <c r="F673" t="s">
        <v>39</v>
      </c>
      <c r="G673" t="s">
        <v>40</v>
      </c>
      <c r="H673" t="s">
        <v>41</v>
      </c>
      <c r="I673" t="s">
        <v>42</v>
      </c>
      <c r="J673" t="s">
        <v>68</v>
      </c>
      <c r="K673" s="3">
        <v>3543.51</v>
      </c>
      <c r="L673" s="3">
        <v>2169.08</v>
      </c>
      <c r="M673">
        <v>4</v>
      </c>
      <c r="N673" s="4">
        <v>0.15</v>
      </c>
      <c r="O673" t="s">
        <v>44</v>
      </c>
      <c r="P673" t="s">
        <v>45</v>
      </c>
    </row>
    <row r="674" spans="1:16">
      <c r="A674" t="s">
        <v>826</v>
      </c>
      <c r="B674" s="2">
        <v>45355</v>
      </c>
      <c r="C674" t="s">
        <v>200</v>
      </c>
      <c r="D674" t="s">
        <v>201</v>
      </c>
      <c r="E674" t="s">
        <v>62</v>
      </c>
      <c r="F674" t="s">
        <v>63</v>
      </c>
      <c r="G674" t="s">
        <v>21</v>
      </c>
      <c r="H674" t="s">
        <v>64</v>
      </c>
      <c r="I674" t="s">
        <v>84</v>
      </c>
      <c r="J674" t="s">
        <v>142</v>
      </c>
      <c r="K674" s="3">
        <v>23334.77</v>
      </c>
      <c r="L674" s="3">
        <v>7039.56</v>
      </c>
      <c r="M674">
        <v>4</v>
      </c>
      <c r="N674" s="4">
        <v>0.1</v>
      </c>
      <c r="O674" t="s">
        <v>44</v>
      </c>
      <c r="P674" t="s">
        <v>58</v>
      </c>
    </row>
    <row r="675" spans="1:16">
      <c r="A675" t="s">
        <v>827</v>
      </c>
      <c r="B675" s="2">
        <v>45497</v>
      </c>
      <c r="C675" t="s">
        <v>170</v>
      </c>
      <c r="D675" t="s">
        <v>171</v>
      </c>
      <c r="E675" t="s">
        <v>62</v>
      </c>
      <c r="F675" t="s">
        <v>63</v>
      </c>
      <c r="G675" t="s">
        <v>21</v>
      </c>
      <c r="H675" t="s">
        <v>64</v>
      </c>
      <c r="I675" t="s">
        <v>56</v>
      </c>
      <c r="J675" t="s">
        <v>191</v>
      </c>
      <c r="K675" s="3">
        <v>24551.75</v>
      </c>
      <c r="L675" s="3">
        <v>8806.75</v>
      </c>
      <c r="M675">
        <v>5</v>
      </c>
      <c r="N675" s="4">
        <v>0</v>
      </c>
      <c r="O675" t="s">
        <v>76</v>
      </c>
      <c r="P675" t="s">
        <v>26</v>
      </c>
    </row>
    <row r="676" spans="1:16">
      <c r="A676" t="s">
        <v>828</v>
      </c>
      <c r="B676" s="2">
        <v>45400</v>
      </c>
      <c r="C676" t="s">
        <v>144</v>
      </c>
      <c r="D676" t="s">
        <v>145</v>
      </c>
      <c r="E676" t="s">
        <v>193</v>
      </c>
      <c r="F676" t="s">
        <v>194</v>
      </c>
      <c r="G676" t="s">
        <v>89</v>
      </c>
      <c r="H676" t="s">
        <v>90</v>
      </c>
      <c r="I676" t="s">
        <v>42</v>
      </c>
      <c r="J676" t="s">
        <v>68</v>
      </c>
      <c r="K676" s="3">
        <v>2895.76</v>
      </c>
      <c r="L676" s="3">
        <v>2086.16</v>
      </c>
      <c r="M676">
        <v>4</v>
      </c>
      <c r="N676" s="4">
        <v>0</v>
      </c>
      <c r="O676" t="s">
        <v>25</v>
      </c>
      <c r="P676" t="s">
        <v>45</v>
      </c>
    </row>
    <row r="677" spans="1:16">
      <c r="A677" t="s">
        <v>829</v>
      </c>
      <c r="B677" s="2">
        <v>45801</v>
      </c>
      <c r="C677" t="s">
        <v>79</v>
      </c>
      <c r="D677" t="s">
        <v>80</v>
      </c>
      <c r="E677" t="s">
        <v>38</v>
      </c>
      <c r="F677" t="s">
        <v>39</v>
      </c>
      <c r="G677" t="s">
        <v>40</v>
      </c>
      <c r="H677" t="s">
        <v>41</v>
      </c>
      <c r="I677" t="s">
        <v>23</v>
      </c>
      <c r="J677" t="s">
        <v>24</v>
      </c>
      <c r="K677" s="3">
        <v>1202.78</v>
      </c>
      <c r="L677" s="3">
        <v>1030.58</v>
      </c>
      <c r="M677">
        <v>2</v>
      </c>
      <c r="N677" s="4">
        <v>0</v>
      </c>
      <c r="O677" t="s">
        <v>136</v>
      </c>
      <c r="P677" t="s">
        <v>45</v>
      </c>
    </row>
    <row r="678" spans="1:16">
      <c r="A678" t="s">
        <v>830</v>
      </c>
      <c r="B678" s="2">
        <v>45880</v>
      </c>
      <c r="C678" t="s">
        <v>47</v>
      </c>
      <c r="D678" t="s">
        <v>48</v>
      </c>
      <c r="E678" t="s">
        <v>110</v>
      </c>
      <c r="F678" t="s">
        <v>111</v>
      </c>
      <c r="G678" t="s">
        <v>40</v>
      </c>
      <c r="H678" t="s">
        <v>112</v>
      </c>
      <c r="I678" t="s">
        <v>56</v>
      </c>
      <c r="J678" t="s">
        <v>91</v>
      </c>
      <c r="K678" s="3">
        <v>4063.26</v>
      </c>
      <c r="L678" s="3">
        <v>1203.69</v>
      </c>
      <c r="M678">
        <v>1</v>
      </c>
      <c r="N678" s="4">
        <v>0.15</v>
      </c>
      <c r="O678" t="s">
        <v>136</v>
      </c>
      <c r="P678" t="s">
        <v>26</v>
      </c>
    </row>
    <row r="679" spans="1:16">
      <c r="A679" t="s">
        <v>831</v>
      </c>
      <c r="B679" s="2">
        <v>45523</v>
      </c>
      <c r="C679" t="s">
        <v>104</v>
      </c>
      <c r="D679" t="s">
        <v>105</v>
      </c>
      <c r="E679" t="s">
        <v>62</v>
      </c>
      <c r="F679" t="s">
        <v>63</v>
      </c>
      <c r="G679" t="s">
        <v>21</v>
      </c>
      <c r="H679" t="s">
        <v>64</v>
      </c>
      <c r="I679" t="s">
        <v>56</v>
      </c>
      <c r="J679" t="s">
        <v>57</v>
      </c>
      <c r="K679" s="3">
        <v>4340.6499999999996</v>
      </c>
      <c r="L679" s="3">
        <v>1758.39</v>
      </c>
      <c r="M679">
        <v>1</v>
      </c>
      <c r="N679" s="4">
        <v>0.15</v>
      </c>
      <c r="O679" t="s">
        <v>25</v>
      </c>
      <c r="P679" t="s">
        <v>77</v>
      </c>
    </row>
    <row r="680" spans="1:16">
      <c r="A680" t="s">
        <v>832</v>
      </c>
      <c r="B680" s="2">
        <v>45348</v>
      </c>
      <c r="C680" t="s">
        <v>231</v>
      </c>
      <c r="D680" t="s">
        <v>232</v>
      </c>
      <c r="E680" t="s">
        <v>123</v>
      </c>
      <c r="F680" t="s">
        <v>124</v>
      </c>
      <c r="G680" t="s">
        <v>51</v>
      </c>
      <c r="H680" t="s">
        <v>125</v>
      </c>
      <c r="I680" t="s">
        <v>56</v>
      </c>
      <c r="J680" t="s">
        <v>91</v>
      </c>
      <c r="K680" s="3">
        <v>31845.26</v>
      </c>
      <c r="L680" s="3">
        <v>17515.28</v>
      </c>
      <c r="M680">
        <v>1</v>
      </c>
      <c r="N680" s="4">
        <v>0.1</v>
      </c>
      <c r="O680" t="s">
        <v>25</v>
      </c>
      <c r="P680" t="s">
        <v>98</v>
      </c>
    </row>
    <row r="681" spans="1:16">
      <c r="A681" t="s">
        <v>833</v>
      </c>
      <c r="B681" s="2">
        <v>45499</v>
      </c>
      <c r="C681" t="s">
        <v>79</v>
      </c>
      <c r="D681" t="s">
        <v>80</v>
      </c>
      <c r="E681" t="s">
        <v>123</v>
      </c>
      <c r="F681" t="s">
        <v>124</v>
      </c>
      <c r="G681" t="s">
        <v>51</v>
      </c>
      <c r="H681" t="s">
        <v>125</v>
      </c>
      <c r="I681" t="s">
        <v>42</v>
      </c>
      <c r="J681" t="s">
        <v>68</v>
      </c>
      <c r="K681" s="3">
        <v>71098.820000000007</v>
      </c>
      <c r="L681" s="3">
        <v>36392.22</v>
      </c>
      <c r="M681">
        <v>2</v>
      </c>
      <c r="N681" s="4">
        <v>0.05</v>
      </c>
      <c r="O681" t="s">
        <v>44</v>
      </c>
      <c r="P681" t="s">
        <v>26</v>
      </c>
    </row>
    <row r="682" spans="1:16">
      <c r="A682" t="s">
        <v>834</v>
      </c>
      <c r="B682" s="2">
        <v>45378</v>
      </c>
      <c r="C682" t="s">
        <v>179</v>
      </c>
      <c r="D682" t="s">
        <v>180</v>
      </c>
      <c r="E682" t="s">
        <v>172</v>
      </c>
      <c r="F682" t="s">
        <v>173</v>
      </c>
      <c r="G682" t="s">
        <v>40</v>
      </c>
      <c r="H682" t="s">
        <v>41</v>
      </c>
      <c r="I682" t="s">
        <v>56</v>
      </c>
      <c r="J682" t="s">
        <v>191</v>
      </c>
      <c r="K682" s="3">
        <v>5421.5</v>
      </c>
      <c r="L682" s="3">
        <v>3769.44</v>
      </c>
      <c r="M682">
        <v>4</v>
      </c>
      <c r="N682" s="4">
        <v>0.05</v>
      </c>
      <c r="O682" t="s">
        <v>25</v>
      </c>
      <c r="P682" t="s">
        <v>58</v>
      </c>
    </row>
    <row r="683" spans="1:16">
      <c r="A683" t="s">
        <v>835</v>
      </c>
      <c r="B683" s="2">
        <v>45845</v>
      </c>
      <c r="C683" t="s">
        <v>197</v>
      </c>
      <c r="D683" t="s">
        <v>198</v>
      </c>
      <c r="E683" t="s">
        <v>106</v>
      </c>
      <c r="F683" t="s">
        <v>107</v>
      </c>
      <c r="G683" t="s">
        <v>40</v>
      </c>
      <c r="H683" t="s">
        <v>108</v>
      </c>
      <c r="I683" t="s">
        <v>23</v>
      </c>
      <c r="J683" t="s">
        <v>33</v>
      </c>
      <c r="K683" s="3">
        <v>7453.4</v>
      </c>
      <c r="L683" s="3">
        <v>2099.88</v>
      </c>
      <c r="M683">
        <v>3</v>
      </c>
      <c r="N683" s="4">
        <v>0.15</v>
      </c>
      <c r="O683" t="s">
        <v>25</v>
      </c>
      <c r="P683" t="s">
        <v>58</v>
      </c>
    </row>
    <row r="684" spans="1:16">
      <c r="A684" t="s">
        <v>836</v>
      </c>
      <c r="B684" s="2">
        <v>45335</v>
      </c>
      <c r="C684" t="s">
        <v>231</v>
      </c>
      <c r="D684" t="s">
        <v>232</v>
      </c>
      <c r="E684" t="s">
        <v>81</v>
      </c>
      <c r="F684" t="s">
        <v>82</v>
      </c>
      <c r="G684" t="s">
        <v>21</v>
      </c>
      <c r="H684" t="s">
        <v>83</v>
      </c>
      <c r="I684" t="s">
        <v>84</v>
      </c>
      <c r="J684" t="s">
        <v>134</v>
      </c>
      <c r="K684" s="3">
        <v>102839.74</v>
      </c>
      <c r="L684" s="3">
        <v>66501.88</v>
      </c>
      <c r="M684">
        <v>4</v>
      </c>
      <c r="N684" s="4">
        <v>0.2</v>
      </c>
      <c r="O684" t="s">
        <v>136</v>
      </c>
      <c r="P684" t="s">
        <v>58</v>
      </c>
    </row>
    <row r="685" spans="1:16">
      <c r="A685" t="s">
        <v>837</v>
      </c>
      <c r="B685" s="2">
        <v>45365</v>
      </c>
      <c r="C685" t="s">
        <v>93</v>
      </c>
      <c r="D685" t="s">
        <v>94</v>
      </c>
      <c r="E685" t="s">
        <v>95</v>
      </c>
      <c r="F685" t="s">
        <v>96</v>
      </c>
      <c r="G685" t="s">
        <v>89</v>
      </c>
      <c r="H685" t="s">
        <v>97</v>
      </c>
      <c r="I685" t="s">
        <v>84</v>
      </c>
      <c r="J685" t="s">
        <v>85</v>
      </c>
      <c r="K685" s="3">
        <v>6403.59</v>
      </c>
      <c r="L685" s="3">
        <v>3664.82</v>
      </c>
      <c r="M685">
        <v>1</v>
      </c>
      <c r="N685" s="4">
        <v>0</v>
      </c>
      <c r="O685" t="s">
        <v>136</v>
      </c>
      <c r="P685" t="s">
        <v>58</v>
      </c>
    </row>
    <row r="686" spans="1:16">
      <c r="A686" t="s">
        <v>838</v>
      </c>
      <c r="B686" s="2">
        <v>45468</v>
      </c>
      <c r="C686" t="s">
        <v>36</v>
      </c>
      <c r="D686" t="s">
        <v>37</v>
      </c>
      <c r="E686" t="s">
        <v>152</v>
      </c>
      <c r="F686" t="s">
        <v>153</v>
      </c>
      <c r="G686" t="s">
        <v>21</v>
      </c>
      <c r="H686" t="s">
        <v>32</v>
      </c>
      <c r="I686" t="s">
        <v>23</v>
      </c>
      <c r="J686" t="s">
        <v>24</v>
      </c>
      <c r="K686" s="3">
        <v>14738</v>
      </c>
      <c r="L686" s="3">
        <v>8647.4599999999991</v>
      </c>
      <c r="M686">
        <v>1</v>
      </c>
      <c r="N686" s="4">
        <v>0</v>
      </c>
      <c r="O686" t="s">
        <v>136</v>
      </c>
      <c r="P686" t="s">
        <v>58</v>
      </c>
    </row>
    <row r="687" spans="1:16">
      <c r="A687" t="s">
        <v>839</v>
      </c>
      <c r="B687" s="2">
        <v>45400</v>
      </c>
      <c r="C687" t="s">
        <v>147</v>
      </c>
      <c r="D687" t="s">
        <v>148</v>
      </c>
      <c r="E687" t="s">
        <v>62</v>
      </c>
      <c r="F687" t="s">
        <v>63</v>
      </c>
      <c r="G687" t="s">
        <v>21</v>
      </c>
      <c r="H687" t="s">
        <v>64</v>
      </c>
      <c r="I687" t="s">
        <v>53</v>
      </c>
      <c r="J687" t="s">
        <v>102</v>
      </c>
      <c r="K687" s="3">
        <v>5319.52</v>
      </c>
      <c r="L687" s="3">
        <v>1798.97</v>
      </c>
      <c r="M687">
        <v>1</v>
      </c>
      <c r="N687" s="4">
        <v>0.05</v>
      </c>
      <c r="O687" t="s">
        <v>25</v>
      </c>
      <c r="P687" t="s">
        <v>58</v>
      </c>
    </row>
    <row r="688" spans="1:16">
      <c r="A688" t="s">
        <v>840</v>
      </c>
      <c r="B688" s="2">
        <v>45986</v>
      </c>
      <c r="C688" t="s">
        <v>207</v>
      </c>
      <c r="D688" t="s">
        <v>208</v>
      </c>
      <c r="E688" t="s">
        <v>110</v>
      </c>
      <c r="F688" t="s">
        <v>111</v>
      </c>
      <c r="G688" t="s">
        <v>40</v>
      </c>
      <c r="H688" t="s">
        <v>112</v>
      </c>
      <c r="I688" t="s">
        <v>53</v>
      </c>
      <c r="J688" t="s">
        <v>54</v>
      </c>
      <c r="K688" s="3">
        <v>15717.5</v>
      </c>
      <c r="L688" s="3">
        <v>4631.28</v>
      </c>
      <c r="M688">
        <v>4</v>
      </c>
      <c r="N688" s="4">
        <v>0.2</v>
      </c>
      <c r="O688" t="s">
        <v>34</v>
      </c>
      <c r="P688" t="s">
        <v>58</v>
      </c>
    </row>
    <row r="689" spans="1:16">
      <c r="A689" t="s">
        <v>841</v>
      </c>
      <c r="B689" s="2">
        <v>45338</v>
      </c>
      <c r="C689" t="s">
        <v>231</v>
      </c>
      <c r="D689" t="s">
        <v>232</v>
      </c>
      <c r="E689" t="s">
        <v>49</v>
      </c>
      <c r="F689" t="s">
        <v>50</v>
      </c>
      <c r="G689" t="s">
        <v>51</v>
      </c>
      <c r="H689" t="s">
        <v>52</v>
      </c>
      <c r="I689" t="s">
        <v>53</v>
      </c>
      <c r="J689" t="s">
        <v>54</v>
      </c>
      <c r="K689" s="3">
        <v>38170.49</v>
      </c>
      <c r="L689" s="3">
        <v>32714.15</v>
      </c>
      <c r="M689">
        <v>5</v>
      </c>
      <c r="N689" s="4">
        <v>0.1</v>
      </c>
      <c r="O689" t="s">
        <v>76</v>
      </c>
      <c r="P689" t="s">
        <v>26</v>
      </c>
    </row>
    <row r="690" spans="1:16">
      <c r="A690" t="s">
        <v>842</v>
      </c>
      <c r="B690" s="2">
        <v>45460</v>
      </c>
      <c r="C690" t="s">
        <v>200</v>
      </c>
      <c r="D690" t="s">
        <v>201</v>
      </c>
      <c r="E690" t="s">
        <v>172</v>
      </c>
      <c r="F690" t="s">
        <v>173</v>
      </c>
      <c r="G690" t="s">
        <v>40</v>
      </c>
      <c r="H690" t="s">
        <v>41</v>
      </c>
      <c r="I690" t="s">
        <v>56</v>
      </c>
      <c r="J690" t="s">
        <v>57</v>
      </c>
      <c r="K690" s="3">
        <v>10447.34</v>
      </c>
      <c r="L690" s="3">
        <v>3415.44</v>
      </c>
      <c r="M690">
        <v>4</v>
      </c>
      <c r="N690" s="4">
        <v>0.05</v>
      </c>
      <c r="O690" t="s">
        <v>25</v>
      </c>
      <c r="P690" t="s">
        <v>26</v>
      </c>
    </row>
    <row r="691" spans="1:16">
      <c r="A691" t="s">
        <v>843</v>
      </c>
      <c r="B691" s="2">
        <v>45790</v>
      </c>
      <c r="C691" t="s">
        <v>79</v>
      </c>
      <c r="D691" t="s">
        <v>80</v>
      </c>
      <c r="E691" t="s">
        <v>117</v>
      </c>
      <c r="F691" t="s">
        <v>118</v>
      </c>
      <c r="G691" t="s">
        <v>51</v>
      </c>
      <c r="H691" t="s">
        <v>119</v>
      </c>
      <c r="I691" t="s">
        <v>23</v>
      </c>
      <c r="J691" t="s">
        <v>24</v>
      </c>
      <c r="K691" s="3">
        <v>6109.3</v>
      </c>
      <c r="L691" s="3">
        <v>4055.71</v>
      </c>
      <c r="M691">
        <v>1</v>
      </c>
      <c r="N691" s="4">
        <v>0</v>
      </c>
      <c r="O691" t="s">
        <v>34</v>
      </c>
      <c r="P691" t="s">
        <v>45</v>
      </c>
    </row>
    <row r="692" spans="1:16">
      <c r="A692" t="s">
        <v>844</v>
      </c>
      <c r="B692" s="2">
        <v>45421</v>
      </c>
      <c r="C692" t="s">
        <v>207</v>
      </c>
      <c r="D692" t="s">
        <v>208</v>
      </c>
      <c r="E692" t="s">
        <v>87</v>
      </c>
      <c r="F692" t="s">
        <v>88</v>
      </c>
      <c r="G692" t="s">
        <v>89</v>
      </c>
      <c r="H692" t="s">
        <v>90</v>
      </c>
      <c r="I692" t="s">
        <v>42</v>
      </c>
      <c r="J692" t="s">
        <v>162</v>
      </c>
      <c r="K692" s="3">
        <v>5031.9799999999996</v>
      </c>
      <c r="L692" s="3">
        <v>3343.02</v>
      </c>
      <c r="M692">
        <v>2</v>
      </c>
      <c r="N692" s="4">
        <v>0.15</v>
      </c>
      <c r="O692" t="s">
        <v>136</v>
      </c>
      <c r="P692" t="s">
        <v>58</v>
      </c>
    </row>
    <row r="693" spans="1:16">
      <c r="A693" t="s">
        <v>845</v>
      </c>
      <c r="B693" s="2">
        <v>45330</v>
      </c>
      <c r="C693" t="s">
        <v>200</v>
      </c>
      <c r="D693" t="s">
        <v>201</v>
      </c>
      <c r="E693" t="s">
        <v>193</v>
      </c>
      <c r="F693" t="s">
        <v>194</v>
      </c>
      <c r="G693" t="s">
        <v>89</v>
      </c>
      <c r="H693" t="s">
        <v>90</v>
      </c>
      <c r="I693" t="s">
        <v>42</v>
      </c>
      <c r="J693" t="s">
        <v>162</v>
      </c>
      <c r="K693" s="3">
        <v>5999.35</v>
      </c>
      <c r="L693" s="3">
        <v>2340</v>
      </c>
      <c r="M693">
        <v>5</v>
      </c>
      <c r="N693" s="4">
        <v>0</v>
      </c>
      <c r="O693" t="s">
        <v>44</v>
      </c>
      <c r="P693" t="s">
        <v>77</v>
      </c>
    </row>
    <row r="694" spans="1:16">
      <c r="A694" t="s">
        <v>846</v>
      </c>
      <c r="B694" s="2">
        <v>45533</v>
      </c>
      <c r="C694" t="s">
        <v>207</v>
      </c>
      <c r="D694" t="s">
        <v>208</v>
      </c>
      <c r="E694" t="s">
        <v>30</v>
      </c>
      <c r="F694" t="s">
        <v>31</v>
      </c>
      <c r="G694" t="s">
        <v>21</v>
      </c>
      <c r="H694" t="s">
        <v>32</v>
      </c>
      <c r="I694" t="s">
        <v>56</v>
      </c>
      <c r="J694" t="s">
        <v>57</v>
      </c>
      <c r="K694" s="3">
        <v>119438.88</v>
      </c>
      <c r="L694" s="3">
        <v>88656.16</v>
      </c>
      <c r="M694">
        <v>2</v>
      </c>
      <c r="N694" s="4">
        <v>0</v>
      </c>
      <c r="O694" t="s">
        <v>34</v>
      </c>
      <c r="P694" t="s">
        <v>77</v>
      </c>
    </row>
    <row r="695" spans="1:16">
      <c r="A695" t="s">
        <v>847</v>
      </c>
      <c r="B695" s="2">
        <v>45516</v>
      </c>
      <c r="C695" t="s">
        <v>79</v>
      </c>
      <c r="D695" t="s">
        <v>80</v>
      </c>
      <c r="E695" t="s">
        <v>187</v>
      </c>
      <c r="F695" t="s">
        <v>188</v>
      </c>
      <c r="G695" t="s">
        <v>89</v>
      </c>
      <c r="H695" t="s">
        <v>189</v>
      </c>
      <c r="I695" t="s">
        <v>56</v>
      </c>
      <c r="J695" t="s">
        <v>57</v>
      </c>
      <c r="K695" s="3">
        <v>38411.279999999999</v>
      </c>
      <c r="L695" s="3">
        <v>23189.439999999999</v>
      </c>
      <c r="M695">
        <v>4</v>
      </c>
      <c r="N695" s="4">
        <v>0.1</v>
      </c>
      <c r="O695" t="s">
        <v>25</v>
      </c>
      <c r="P695" t="s">
        <v>58</v>
      </c>
    </row>
    <row r="696" spans="1:16">
      <c r="A696" t="s">
        <v>848</v>
      </c>
      <c r="B696" s="2">
        <v>45777</v>
      </c>
      <c r="C696" t="s">
        <v>179</v>
      </c>
      <c r="D696" t="s">
        <v>180</v>
      </c>
      <c r="E696" t="s">
        <v>152</v>
      </c>
      <c r="F696" t="s">
        <v>153</v>
      </c>
      <c r="G696" t="s">
        <v>21</v>
      </c>
      <c r="H696" t="s">
        <v>32</v>
      </c>
      <c r="I696" t="s">
        <v>42</v>
      </c>
      <c r="J696" t="s">
        <v>68</v>
      </c>
      <c r="K696" s="3">
        <v>54711.199999999997</v>
      </c>
      <c r="L696" s="3">
        <v>29928.48</v>
      </c>
      <c r="M696">
        <v>4</v>
      </c>
      <c r="N696" s="4">
        <v>0</v>
      </c>
      <c r="O696" t="s">
        <v>25</v>
      </c>
      <c r="P696" t="s">
        <v>77</v>
      </c>
    </row>
    <row r="697" spans="1:16">
      <c r="A697" t="s">
        <v>849</v>
      </c>
      <c r="B697" s="2">
        <v>45549</v>
      </c>
      <c r="C697" t="s">
        <v>265</v>
      </c>
      <c r="D697" t="s">
        <v>266</v>
      </c>
      <c r="E697" t="s">
        <v>49</v>
      </c>
      <c r="F697" t="s">
        <v>50</v>
      </c>
      <c r="G697" t="s">
        <v>51</v>
      </c>
      <c r="H697" t="s">
        <v>52</v>
      </c>
      <c r="I697" t="s">
        <v>56</v>
      </c>
      <c r="J697" t="s">
        <v>91</v>
      </c>
      <c r="K697" s="3">
        <v>43052.19</v>
      </c>
      <c r="L697" s="3">
        <v>21490.65</v>
      </c>
      <c r="M697">
        <v>3</v>
      </c>
      <c r="N697" s="4">
        <v>0.15</v>
      </c>
      <c r="O697" t="s">
        <v>25</v>
      </c>
      <c r="P697" t="s">
        <v>58</v>
      </c>
    </row>
    <row r="698" spans="1:16">
      <c r="A698" t="s">
        <v>850</v>
      </c>
      <c r="B698" s="2">
        <v>45472</v>
      </c>
      <c r="C698" t="s">
        <v>93</v>
      </c>
      <c r="D698" t="s">
        <v>94</v>
      </c>
      <c r="E698" t="s">
        <v>81</v>
      </c>
      <c r="F698" t="s">
        <v>82</v>
      </c>
      <c r="G698" t="s">
        <v>21</v>
      </c>
      <c r="H698" t="s">
        <v>83</v>
      </c>
      <c r="I698" t="s">
        <v>56</v>
      </c>
      <c r="J698" t="s">
        <v>57</v>
      </c>
      <c r="K698" s="3">
        <v>54716.62</v>
      </c>
      <c r="L698" s="3">
        <v>38055.54</v>
      </c>
      <c r="M698">
        <v>2</v>
      </c>
      <c r="N698" s="4">
        <v>0</v>
      </c>
      <c r="O698" t="s">
        <v>25</v>
      </c>
      <c r="P698" t="s">
        <v>58</v>
      </c>
    </row>
    <row r="699" spans="1:16">
      <c r="A699" t="s">
        <v>851</v>
      </c>
      <c r="B699" s="2">
        <v>45885</v>
      </c>
      <c r="C699" t="s">
        <v>93</v>
      </c>
      <c r="D699" t="s">
        <v>94</v>
      </c>
      <c r="E699" t="s">
        <v>38</v>
      </c>
      <c r="F699" t="s">
        <v>39</v>
      </c>
      <c r="G699" t="s">
        <v>40</v>
      </c>
      <c r="H699" t="s">
        <v>41</v>
      </c>
      <c r="I699" t="s">
        <v>42</v>
      </c>
      <c r="J699" t="s">
        <v>43</v>
      </c>
      <c r="K699" s="3">
        <v>4847.42</v>
      </c>
      <c r="L699" s="3">
        <v>1475.73</v>
      </c>
      <c r="M699">
        <v>3</v>
      </c>
      <c r="N699" s="4">
        <v>0.1</v>
      </c>
      <c r="O699" t="s">
        <v>76</v>
      </c>
      <c r="P699" t="s">
        <v>58</v>
      </c>
    </row>
    <row r="700" spans="1:16">
      <c r="A700" t="s">
        <v>852</v>
      </c>
      <c r="B700" s="2">
        <v>45534</v>
      </c>
      <c r="C700" t="s">
        <v>231</v>
      </c>
      <c r="D700" t="s">
        <v>232</v>
      </c>
      <c r="E700" t="s">
        <v>72</v>
      </c>
      <c r="F700" t="s">
        <v>73</v>
      </c>
      <c r="G700" t="s">
        <v>51</v>
      </c>
      <c r="H700" t="s">
        <v>74</v>
      </c>
      <c r="I700" t="s">
        <v>23</v>
      </c>
      <c r="J700" t="s">
        <v>33</v>
      </c>
      <c r="K700" s="3">
        <v>24901.17</v>
      </c>
      <c r="L700" s="3">
        <v>17183.64</v>
      </c>
      <c r="M700">
        <v>4</v>
      </c>
      <c r="N700" s="4">
        <v>0.05</v>
      </c>
      <c r="O700" t="s">
        <v>25</v>
      </c>
      <c r="P700" t="s">
        <v>98</v>
      </c>
    </row>
    <row r="701" spans="1:16">
      <c r="A701" t="s">
        <v>853</v>
      </c>
      <c r="B701" s="2">
        <v>45738</v>
      </c>
      <c r="C701" t="s">
        <v>147</v>
      </c>
      <c r="D701" t="s">
        <v>148</v>
      </c>
      <c r="E701" t="s">
        <v>87</v>
      </c>
      <c r="F701" t="s">
        <v>88</v>
      </c>
      <c r="G701" t="s">
        <v>89</v>
      </c>
      <c r="H701" t="s">
        <v>90</v>
      </c>
      <c r="I701" t="s">
        <v>23</v>
      </c>
      <c r="J701" t="s">
        <v>24</v>
      </c>
      <c r="K701" s="3">
        <v>7864.61</v>
      </c>
      <c r="L701" s="3">
        <v>3395.64</v>
      </c>
      <c r="M701">
        <v>2</v>
      </c>
      <c r="N701" s="4">
        <v>0.05</v>
      </c>
      <c r="O701" t="s">
        <v>136</v>
      </c>
      <c r="P701" t="s">
        <v>77</v>
      </c>
    </row>
    <row r="702" spans="1:16">
      <c r="A702" t="s">
        <v>854</v>
      </c>
      <c r="B702" s="2">
        <v>45490</v>
      </c>
      <c r="C702" t="s">
        <v>47</v>
      </c>
      <c r="D702" t="s">
        <v>48</v>
      </c>
      <c r="E702" t="s">
        <v>38</v>
      </c>
      <c r="F702" t="s">
        <v>39</v>
      </c>
      <c r="G702" t="s">
        <v>40</v>
      </c>
      <c r="H702" t="s">
        <v>41</v>
      </c>
      <c r="I702" t="s">
        <v>42</v>
      </c>
      <c r="J702" t="s">
        <v>162</v>
      </c>
      <c r="K702" s="3">
        <v>2632.09</v>
      </c>
      <c r="L702" s="3">
        <v>1642.68</v>
      </c>
      <c r="M702">
        <v>3</v>
      </c>
      <c r="N702" s="4">
        <v>0.05</v>
      </c>
      <c r="O702" t="s">
        <v>25</v>
      </c>
      <c r="P702" t="s">
        <v>58</v>
      </c>
    </row>
    <row r="703" spans="1:16">
      <c r="A703" t="s">
        <v>855</v>
      </c>
      <c r="B703" s="2">
        <v>45768</v>
      </c>
      <c r="C703" t="s">
        <v>66</v>
      </c>
      <c r="D703" t="s">
        <v>67</v>
      </c>
      <c r="E703" t="s">
        <v>152</v>
      </c>
      <c r="F703" t="s">
        <v>153</v>
      </c>
      <c r="G703" t="s">
        <v>21</v>
      </c>
      <c r="H703" t="s">
        <v>32</v>
      </c>
      <c r="I703" t="s">
        <v>23</v>
      </c>
      <c r="J703" t="s">
        <v>33</v>
      </c>
      <c r="K703" s="3">
        <v>54388.6</v>
      </c>
      <c r="L703" s="3">
        <v>31476.639999999999</v>
      </c>
      <c r="M703">
        <v>4</v>
      </c>
      <c r="N703" s="4">
        <v>0.05</v>
      </c>
      <c r="O703" t="s">
        <v>44</v>
      </c>
      <c r="P703" t="s">
        <v>58</v>
      </c>
    </row>
    <row r="704" spans="1:16">
      <c r="A704" t="s">
        <v>856</v>
      </c>
      <c r="B704" s="2">
        <v>45883</v>
      </c>
      <c r="C704" t="s">
        <v>17</v>
      </c>
      <c r="D704" t="s">
        <v>18</v>
      </c>
      <c r="E704" t="s">
        <v>193</v>
      </c>
      <c r="F704" t="s">
        <v>194</v>
      </c>
      <c r="G704" t="s">
        <v>89</v>
      </c>
      <c r="H704" t="s">
        <v>90</v>
      </c>
      <c r="I704" t="s">
        <v>23</v>
      </c>
      <c r="J704" t="s">
        <v>75</v>
      </c>
      <c r="K704" s="3">
        <v>2815.08</v>
      </c>
      <c r="L704" s="3">
        <v>2677.5</v>
      </c>
      <c r="M704">
        <v>5</v>
      </c>
      <c r="N704" s="4">
        <v>0.2</v>
      </c>
      <c r="O704" t="s">
        <v>136</v>
      </c>
      <c r="P704" t="s">
        <v>58</v>
      </c>
    </row>
    <row r="705" spans="1:16">
      <c r="A705" t="s">
        <v>857</v>
      </c>
      <c r="B705" s="2">
        <v>45765</v>
      </c>
      <c r="C705" t="s">
        <v>147</v>
      </c>
      <c r="D705" t="s">
        <v>148</v>
      </c>
      <c r="E705" t="s">
        <v>87</v>
      </c>
      <c r="F705" t="s">
        <v>88</v>
      </c>
      <c r="G705" t="s">
        <v>89</v>
      </c>
      <c r="H705" t="s">
        <v>90</v>
      </c>
      <c r="I705" t="s">
        <v>53</v>
      </c>
      <c r="J705" t="s">
        <v>102</v>
      </c>
      <c r="K705" s="3">
        <v>9996.49</v>
      </c>
      <c r="L705" s="3">
        <v>4875.66</v>
      </c>
      <c r="M705">
        <v>3</v>
      </c>
      <c r="N705" s="4">
        <v>0.05</v>
      </c>
      <c r="O705" t="s">
        <v>76</v>
      </c>
      <c r="P705" t="s">
        <v>77</v>
      </c>
    </row>
    <row r="706" spans="1:16">
      <c r="A706" t="s">
        <v>858</v>
      </c>
      <c r="B706" s="2">
        <v>45897</v>
      </c>
      <c r="C706" t="s">
        <v>207</v>
      </c>
      <c r="D706" t="s">
        <v>208</v>
      </c>
      <c r="E706" t="s">
        <v>95</v>
      </c>
      <c r="F706" t="s">
        <v>96</v>
      </c>
      <c r="G706" t="s">
        <v>89</v>
      </c>
      <c r="H706" t="s">
        <v>97</v>
      </c>
      <c r="I706" t="s">
        <v>84</v>
      </c>
      <c r="J706" t="s">
        <v>85</v>
      </c>
      <c r="K706" s="3">
        <v>14421.3</v>
      </c>
      <c r="L706" s="3">
        <v>7579.26</v>
      </c>
      <c r="M706">
        <v>2</v>
      </c>
      <c r="N706" s="4">
        <v>0.15</v>
      </c>
      <c r="O706" t="s">
        <v>25</v>
      </c>
      <c r="P706" t="s">
        <v>58</v>
      </c>
    </row>
    <row r="707" spans="1:16">
      <c r="A707" t="s">
        <v>859</v>
      </c>
      <c r="B707" s="2">
        <v>45727</v>
      </c>
      <c r="C707" t="s">
        <v>197</v>
      </c>
      <c r="D707" t="s">
        <v>198</v>
      </c>
      <c r="E707" t="s">
        <v>182</v>
      </c>
      <c r="F707" t="s">
        <v>183</v>
      </c>
      <c r="G707" t="s">
        <v>89</v>
      </c>
      <c r="H707" t="s">
        <v>90</v>
      </c>
      <c r="I707" t="s">
        <v>23</v>
      </c>
      <c r="J707" t="s">
        <v>24</v>
      </c>
      <c r="K707" s="3">
        <v>63073.7</v>
      </c>
      <c r="L707" s="3">
        <v>29365.9</v>
      </c>
      <c r="M707">
        <v>5</v>
      </c>
      <c r="N707" s="4">
        <v>0</v>
      </c>
      <c r="O707" t="s">
        <v>136</v>
      </c>
      <c r="P707" t="s">
        <v>98</v>
      </c>
    </row>
    <row r="708" spans="1:16">
      <c r="A708" t="s">
        <v>860</v>
      </c>
      <c r="B708" s="2">
        <v>45304</v>
      </c>
      <c r="C708" t="s">
        <v>36</v>
      </c>
      <c r="D708" t="s">
        <v>37</v>
      </c>
      <c r="E708" t="s">
        <v>62</v>
      </c>
      <c r="F708" t="s">
        <v>63</v>
      </c>
      <c r="G708" t="s">
        <v>21</v>
      </c>
      <c r="H708" t="s">
        <v>64</v>
      </c>
      <c r="I708" t="s">
        <v>56</v>
      </c>
      <c r="J708" t="s">
        <v>57</v>
      </c>
      <c r="K708" s="3">
        <v>9399.89</v>
      </c>
      <c r="L708" s="3">
        <v>7847.92</v>
      </c>
      <c r="M708">
        <v>4</v>
      </c>
      <c r="N708" s="4">
        <v>0.1</v>
      </c>
      <c r="O708" t="s">
        <v>76</v>
      </c>
      <c r="P708" t="s">
        <v>58</v>
      </c>
    </row>
    <row r="709" spans="1:16">
      <c r="A709" t="s">
        <v>861</v>
      </c>
      <c r="B709" s="2">
        <v>45604</v>
      </c>
      <c r="C709" t="s">
        <v>140</v>
      </c>
      <c r="D709" t="s">
        <v>141</v>
      </c>
      <c r="E709" t="s">
        <v>87</v>
      </c>
      <c r="F709" t="s">
        <v>88</v>
      </c>
      <c r="G709" t="s">
        <v>89</v>
      </c>
      <c r="H709" t="s">
        <v>90</v>
      </c>
      <c r="I709" t="s">
        <v>42</v>
      </c>
      <c r="J709" t="s">
        <v>68</v>
      </c>
      <c r="K709" s="3">
        <v>8008</v>
      </c>
      <c r="L709" s="3">
        <v>3746.38</v>
      </c>
      <c r="M709">
        <v>2</v>
      </c>
      <c r="N709" s="4">
        <v>0.2</v>
      </c>
      <c r="O709" t="s">
        <v>25</v>
      </c>
      <c r="P709" t="s">
        <v>98</v>
      </c>
    </row>
    <row r="710" spans="1:16">
      <c r="A710" t="s">
        <v>862</v>
      </c>
      <c r="B710" s="2">
        <v>46012</v>
      </c>
      <c r="C710" t="s">
        <v>170</v>
      </c>
      <c r="D710" t="s">
        <v>171</v>
      </c>
      <c r="E710" t="s">
        <v>152</v>
      </c>
      <c r="F710" t="s">
        <v>153</v>
      </c>
      <c r="G710" t="s">
        <v>21</v>
      </c>
      <c r="H710" t="s">
        <v>32</v>
      </c>
      <c r="I710" t="s">
        <v>53</v>
      </c>
      <c r="J710" t="s">
        <v>102</v>
      </c>
      <c r="K710" s="3">
        <v>51325.45</v>
      </c>
      <c r="L710" s="3">
        <v>29983.64</v>
      </c>
      <c r="M710">
        <v>4</v>
      </c>
      <c r="N710" s="4">
        <v>0.15</v>
      </c>
      <c r="O710" t="s">
        <v>25</v>
      </c>
      <c r="P710" t="s">
        <v>58</v>
      </c>
    </row>
    <row r="711" spans="1:16">
      <c r="A711" t="s">
        <v>863</v>
      </c>
      <c r="B711" s="2">
        <v>45325</v>
      </c>
      <c r="C711" t="s">
        <v>104</v>
      </c>
      <c r="D711" t="s">
        <v>105</v>
      </c>
      <c r="E711" t="s">
        <v>110</v>
      </c>
      <c r="F711" t="s">
        <v>111</v>
      </c>
      <c r="G711" t="s">
        <v>40</v>
      </c>
      <c r="H711" t="s">
        <v>112</v>
      </c>
      <c r="I711" t="s">
        <v>56</v>
      </c>
      <c r="J711" t="s">
        <v>57</v>
      </c>
      <c r="K711" s="3">
        <v>5592.84</v>
      </c>
      <c r="L711" s="3">
        <v>3546.66</v>
      </c>
      <c r="M711">
        <v>3</v>
      </c>
      <c r="N711" s="4">
        <v>0.2</v>
      </c>
      <c r="O711" t="s">
        <v>34</v>
      </c>
      <c r="P711" t="s">
        <v>58</v>
      </c>
    </row>
    <row r="712" spans="1:16">
      <c r="A712" t="s">
        <v>864</v>
      </c>
      <c r="B712" s="2">
        <v>45635</v>
      </c>
      <c r="C712" t="s">
        <v>130</v>
      </c>
      <c r="D712" t="s">
        <v>131</v>
      </c>
      <c r="E712" t="s">
        <v>62</v>
      </c>
      <c r="F712" t="s">
        <v>63</v>
      </c>
      <c r="G712" t="s">
        <v>21</v>
      </c>
      <c r="H712" t="s">
        <v>64</v>
      </c>
      <c r="I712" t="s">
        <v>42</v>
      </c>
      <c r="J712" t="s">
        <v>43</v>
      </c>
      <c r="K712" s="3">
        <v>5486.81</v>
      </c>
      <c r="L712" s="3">
        <v>1805.31</v>
      </c>
      <c r="M712">
        <v>1</v>
      </c>
      <c r="N712" s="4">
        <v>0.1</v>
      </c>
      <c r="O712" t="s">
        <v>25</v>
      </c>
      <c r="P712" t="s">
        <v>58</v>
      </c>
    </row>
    <row r="713" spans="1:16">
      <c r="A713" t="s">
        <v>865</v>
      </c>
      <c r="B713" s="2">
        <v>45925</v>
      </c>
      <c r="C713" t="s">
        <v>104</v>
      </c>
      <c r="D713" t="s">
        <v>105</v>
      </c>
      <c r="E713" t="s">
        <v>172</v>
      </c>
      <c r="F713" t="s">
        <v>173</v>
      </c>
      <c r="G713" t="s">
        <v>40</v>
      </c>
      <c r="H713" t="s">
        <v>41</v>
      </c>
      <c r="I713" t="s">
        <v>56</v>
      </c>
      <c r="J713" t="s">
        <v>191</v>
      </c>
      <c r="K713" s="3">
        <v>1225.92</v>
      </c>
      <c r="L713" s="3">
        <v>875.8</v>
      </c>
      <c r="M713">
        <v>1</v>
      </c>
      <c r="N713" s="4">
        <v>0.2</v>
      </c>
      <c r="O713" t="s">
        <v>25</v>
      </c>
      <c r="P713" t="s">
        <v>58</v>
      </c>
    </row>
    <row r="714" spans="1:16">
      <c r="A714" t="s">
        <v>866</v>
      </c>
      <c r="B714" s="2">
        <v>45844</v>
      </c>
      <c r="C714" t="s">
        <v>47</v>
      </c>
      <c r="D714" t="s">
        <v>48</v>
      </c>
      <c r="E714" t="s">
        <v>110</v>
      </c>
      <c r="F714" t="s">
        <v>111</v>
      </c>
      <c r="G714" t="s">
        <v>40</v>
      </c>
      <c r="H714" t="s">
        <v>112</v>
      </c>
      <c r="I714" t="s">
        <v>84</v>
      </c>
      <c r="J714" t="s">
        <v>85</v>
      </c>
      <c r="K714" s="3">
        <v>3231.89</v>
      </c>
      <c r="L714" s="3">
        <v>1235.77</v>
      </c>
      <c r="M714">
        <v>1</v>
      </c>
      <c r="N714" s="4">
        <v>0.2</v>
      </c>
      <c r="O714" t="s">
        <v>76</v>
      </c>
      <c r="P714" t="s">
        <v>58</v>
      </c>
    </row>
    <row r="715" spans="1:16">
      <c r="A715" t="s">
        <v>867</v>
      </c>
      <c r="B715" s="2">
        <v>45807</v>
      </c>
      <c r="C715" t="s">
        <v>231</v>
      </c>
      <c r="D715" t="s">
        <v>232</v>
      </c>
      <c r="E715" t="s">
        <v>172</v>
      </c>
      <c r="F715" t="s">
        <v>173</v>
      </c>
      <c r="G715" t="s">
        <v>40</v>
      </c>
      <c r="H715" t="s">
        <v>41</v>
      </c>
      <c r="I715" t="s">
        <v>84</v>
      </c>
      <c r="J715" t="s">
        <v>142</v>
      </c>
      <c r="K715" s="3">
        <v>4311.3599999999997</v>
      </c>
      <c r="L715" s="3">
        <v>3439.56</v>
      </c>
      <c r="M715">
        <v>4</v>
      </c>
      <c r="N715" s="4">
        <v>0.1</v>
      </c>
      <c r="O715" t="s">
        <v>136</v>
      </c>
      <c r="P715" t="s">
        <v>98</v>
      </c>
    </row>
    <row r="716" spans="1:16">
      <c r="A716" t="s">
        <v>868</v>
      </c>
      <c r="B716" s="2">
        <v>45417</v>
      </c>
      <c r="C716" t="s">
        <v>114</v>
      </c>
      <c r="D716" t="s">
        <v>115</v>
      </c>
      <c r="E716" t="s">
        <v>182</v>
      </c>
      <c r="F716" t="s">
        <v>183</v>
      </c>
      <c r="G716" t="s">
        <v>89</v>
      </c>
      <c r="H716" t="s">
        <v>90</v>
      </c>
      <c r="I716" t="s">
        <v>53</v>
      </c>
      <c r="J716" t="s">
        <v>102</v>
      </c>
      <c r="K716" s="3">
        <v>37305.86</v>
      </c>
      <c r="L716" s="3">
        <v>25007.16</v>
      </c>
      <c r="M716">
        <v>4</v>
      </c>
      <c r="N716" s="4">
        <v>0.2</v>
      </c>
      <c r="O716" t="s">
        <v>44</v>
      </c>
      <c r="P716" t="s">
        <v>98</v>
      </c>
    </row>
    <row r="717" spans="1:16">
      <c r="A717" t="s">
        <v>869</v>
      </c>
      <c r="B717" s="2">
        <v>45981</v>
      </c>
      <c r="C717" t="s">
        <v>155</v>
      </c>
      <c r="D717" t="s">
        <v>156</v>
      </c>
      <c r="E717" t="s">
        <v>172</v>
      </c>
      <c r="F717" t="s">
        <v>173</v>
      </c>
      <c r="G717" t="s">
        <v>40</v>
      </c>
      <c r="H717" t="s">
        <v>41</v>
      </c>
      <c r="I717" t="s">
        <v>53</v>
      </c>
      <c r="J717" t="s">
        <v>54</v>
      </c>
      <c r="K717" s="3">
        <v>3652.87</v>
      </c>
      <c r="L717" s="3">
        <v>843.9</v>
      </c>
      <c r="M717">
        <v>1</v>
      </c>
      <c r="N717" s="4">
        <v>0</v>
      </c>
      <c r="O717" t="s">
        <v>25</v>
      </c>
      <c r="P717" t="s">
        <v>26</v>
      </c>
    </row>
    <row r="718" spans="1:16">
      <c r="A718" t="s">
        <v>870</v>
      </c>
      <c r="B718" s="2">
        <v>45403</v>
      </c>
      <c r="C718" t="s">
        <v>200</v>
      </c>
      <c r="D718" t="s">
        <v>201</v>
      </c>
      <c r="E718" t="s">
        <v>123</v>
      </c>
      <c r="F718" t="s">
        <v>124</v>
      </c>
      <c r="G718" t="s">
        <v>51</v>
      </c>
      <c r="H718" t="s">
        <v>125</v>
      </c>
      <c r="I718" t="s">
        <v>23</v>
      </c>
      <c r="J718" t="s">
        <v>33</v>
      </c>
      <c r="K718" s="3">
        <v>55413.1</v>
      </c>
      <c r="L718" s="3">
        <v>34386.78</v>
      </c>
      <c r="M718">
        <v>2</v>
      </c>
      <c r="N718" s="4">
        <v>0.15</v>
      </c>
      <c r="O718" t="s">
        <v>76</v>
      </c>
      <c r="P718" t="s">
        <v>58</v>
      </c>
    </row>
    <row r="719" spans="1:16">
      <c r="A719" t="s">
        <v>871</v>
      </c>
      <c r="B719" s="2">
        <v>45718</v>
      </c>
      <c r="C719" t="s">
        <v>114</v>
      </c>
      <c r="D719" t="s">
        <v>115</v>
      </c>
      <c r="E719" t="s">
        <v>30</v>
      </c>
      <c r="F719" t="s">
        <v>31</v>
      </c>
      <c r="G719" t="s">
        <v>21</v>
      </c>
      <c r="H719" t="s">
        <v>32</v>
      </c>
      <c r="I719" t="s">
        <v>84</v>
      </c>
      <c r="J719" t="s">
        <v>142</v>
      </c>
      <c r="K719" s="3">
        <v>251118.43</v>
      </c>
      <c r="L719" s="3">
        <v>260722.65</v>
      </c>
      <c r="M719">
        <v>5</v>
      </c>
      <c r="N719" s="4">
        <v>0.15</v>
      </c>
      <c r="O719" t="s">
        <v>136</v>
      </c>
      <c r="P719" t="s">
        <v>58</v>
      </c>
    </row>
    <row r="720" spans="1:16">
      <c r="A720" t="s">
        <v>872</v>
      </c>
      <c r="B720" s="2">
        <v>45314</v>
      </c>
      <c r="C720" t="s">
        <v>265</v>
      </c>
      <c r="D720" t="s">
        <v>266</v>
      </c>
      <c r="E720" t="s">
        <v>49</v>
      </c>
      <c r="F720" t="s">
        <v>50</v>
      </c>
      <c r="G720" t="s">
        <v>51</v>
      </c>
      <c r="H720" t="s">
        <v>52</v>
      </c>
      <c r="I720" t="s">
        <v>23</v>
      </c>
      <c r="J720" t="s">
        <v>33</v>
      </c>
      <c r="K720" s="3">
        <v>23614.81</v>
      </c>
      <c r="L720" s="3">
        <v>14937.86</v>
      </c>
      <c r="M720">
        <v>2</v>
      </c>
      <c r="N720" s="4">
        <v>0.1</v>
      </c>
      <c r="O720" t="s">
        <v>136</v>
      </c>
      <c r="P720" t="s">
        <v>77</v>
      </c>
    </row>
    <row r="721" spans="1:16">
      <c r="A721" t="s">
        <v>873</v>
      </c>
      <c r="B721" s="2">
        <v>45899</v>
      </c>
      <c r="C721" t="s">
        <v>17</v>
      </c>
      <c r="D721" t="s">
        <v>18</v>
      </c>
      <c r="E721" t="s">
        <v>110</v>
      </c>
      <c r="F721" t="s">
        <v>111</v>
      </c>
      <c r="G721" t="s">
        <v>40</v>
      </c>
      <c r="H721" t="s">
        <v>112</v>
      </c>
      <c r="I721" t="s">
        <v>56</v>
      </c>
      <c r="J721" t="s">
        <v>191</v>
      </c>
      <c r="K721" s="3">
        <v>13373.37</v>
      </c>
      <c r="L721" s="3">
        <v>6410.3</v>
      </c>
      <c r="M721">
        <v>5</v>
      </c>
      <c r="N721" s="4">
        <v>0.1</v>
      </c>
      <c r="O721" t="s">
        <v>34</v>
      </c>
      <c r="P721" t="s">
        <v>58</v>
      </c>
    </row>
    <row r="722" spans="1:16">
      <c r="A722" t="s">
        <v>874</v>
      </c>
      <c r="B722" s="2">
        <v>45558</v>
      </c>
      <c r="C722" t="s">
        <v>265</v>
      </c>
      <c r="D722" t="s">
        <v>266</v>
      </c>
      <c r="E722" t="s">
        <v>117</v>
      </c>
      <c r="F722" t="s">
        <v>118</v>
      </c>
      <c r="G722" t="s">
        <v>51</v>
      </c>
      <c r="H722" t="s">
        <v>119</v>
      </c>
      <c r="I722" t="s">
        <v>53</v>
      </c>
      <c r="J722" t="s">
        <v>54</v>
      </c>
      <c r="K722" s="3">
        <v>21651.040000000001</v>
      </c>
      <c r="L722" s="3">
        <v>8971.64</v>
      </c>
      <c r="M722">
        <v>2</v>
      </c>
      <c r="N722" s="4">
        <v>0</v>
      </c>
      <c r="O722" t="s">
        <v>76</v>
      </c>
      <c r="P722" t="s">
        <v>77</v>
      </c>
    </row>
    <row r="723" spans="1:16">
      <c r="A723" t="s">
        <v>875</v>
      </c>
      <c r="B723" s="2">
        <v>45925</v>
      </c>
      <c r="C723" t="s">
        <v>265</v>
      </c>
      <c r="D723" t="s">
        <v>266</v>
      </c>
      <c r="E723" t="s">
        <v>38</v>
      </c>
      <c r="F723" t="s">
        <v>39</v>
      </c>
      <c r="G723" t="s">
        <v>40</v>
      </c>
      <c r="H723" t="s">
        <v>41</v>
      </c>
      <c r="I723" t="s">
        <v>23</v>
      </c>
      <c r="J723" t="s">
        <v>75</v>
      </c>
      <c r="K723" s="3">
        <v>2007.14</v>
      </c>
      <c r="L723" s="3">
        <v>1042.3599999999999</v>
      </c>
      <c r="M723">
        <v>2</v>
      </c>
      <c r="N723" s="4">
        <v>0.05</v>
      </c>
      <c r="O723" t="s">
        <v>76</v>
      </c>
      <c r="P723" t="s">
        <v>58</v>
      </c>
    </row>
    <row r="724" spans="1:16">
      <c r="A724" t="s">
        <v>876</v>
      </c>
      <c r="B724" s="2">
        <v>45616</v>
      </c>
      <c r="C724" t="s">
        <v>36</v>
      </c>
      <c r="D724" t="s">
        <v>37</v>
      </c>
      <c r="E724" t="s">
        <v>19</v>
      </c>
      <c r="F724" t="s">
        <v>20</v>
      </c>
      <c r="G724" t="s">
        <v>21</v>
      </c>
      <c r="H724" t="s">
        <v>22</v>
      </c>
      <c r="I724" t="s">
        <v>23</v>
      </c>
      <c r="J724" t="s">
        <v>24</v>
      </c>
      <c r="K724" s="3">
        <v>22936.33</v>
      </c>
      <c r="L724" s="3">
        <v>13879.4</v>
      </c>
      <c r="M724">
        <v>5</v>
      </c>
      <c r="N724" s="4">
        <v>0.05</v>
      </c>
      <c r="O724" t="s">
        <v>76</v>
      </c>
      <c r="P724" t="s">
        <v>58</v>
      </c>
    </row>
    <row r="725" spans="1:16">
      <c r="A725" t="s">
        <v>877</v>
      </c>
      <c r="B725" s="2">
        <v>45443</v>
      </c>
      <c r="C725" t="s">
        <v>130</v>
      </c>
      <c r="D725" t="s">
        <v>131</v>
      </c>
      <c r="E725" t="s">
        <v>110</v>
      </c>
      <c r="F725" t="s">
        <v>111</v>
      </c>
      <c r="G725" t="s">
        <v>40</v>
      </c>
      <c r="H725" t="s">
        <v>112</v>
      </c>
      <c r="I725" t="s">
        <v>84</v>
      </c>
      <c r="J725" t="s">
        <v>134</v>
      </c>
      <c r="K725" s="3">
        <v>11784.72</v>
      </c>
      <c r="L725" s="3">
        <v>3562.86</v>
      </c>
      <c r="M725">
        <v>3</v>
      </c>
      <c r="N725" s="4">
        <v>0.2</v>
      </c>
      <c r="O725" t="s">
        <v>44</v>
      </c>
      <c r="P725" t="s">
        <v>58</v>
      </c>
    </row>
    <row r="726" spans="1:16">
      <c r="A726" t="s">
        <v>878</v>
      </c>
      <c r="B726" s="2">
        <v>45440</v>
      </c>
      <c r="C726" t="s">
        <v>140</v>
      </c>
      <c r="D726" t="s">
        <v>141</v>
      </c>
      <c r="E726" t="s">
        <v>106</v>
      </c>
      <c r="F726" t="s">
        <v>107</v>
      </c>
      <c r="G726" t="s">
        <v>40</v>
      </c>
      <c r="H726" t="s">
        <v>108</v>
      </c>
      <c r="I726" t="s">
        <v>56</v>
      </c>
      <c r="J726" t="s">
        <v>191</v>
      </c>
      <c r="K726" s="3">
        <v>3658.62</v>
      </c>
      <c r="L726" s="3">
        <v>3039.56</v>
      </c>
      <c r="M726">
        <v>4</v>
      </c>
      <c r="N726" s="4">
        <v>0.2</v>
      </c>
      <c r="O726" t="s">
        <v>34</v>
      </c>
      <c r="P726" t="s">
        <v>77</v>
      </c>
    </row>
    <row r="727" spans="1:16">
      <c r="A727" t="s">
        <v>879</v>
      </c>
      <c r="B727" s="2">
        <v>45588</v>
      </c>
      <c r="C727" t="s">
        <v>17</v>
      </c>
      <c r="D727" t="s">
        <v>18</v>
      </c>
      <c r="E727" t="s">
        <v>123</v>
      </c>
      <c r="F727" t="s">
        <v>124</v>
      </c>
      <c r="G727" t="s">
        <v>51</v>
      </c>
      <c r="H727" t="s">
        <v>125</v>
      </c>
      <c r="I727" t="s">
        <v>56</v>
      </c>
      <c r="J727" t="s">
        <v>191</v>
      </c>
      <c r="K727" s="3">
        <v>146303.87</v>
      </c>
      <c r="L727" s="3">
        <v>93004</v>
      </c>
      <c r="M727">
        <v>5</v>
      </c>
      <c r="N727" s="4">
        <v>0.15</v>
      </c>
      <c r="O727" t="s">
        <v>44</v>
      </c>
      <c r="P727" t="s">
        <v>58</v>
      </c>
    </row>
    <row r="728" spans="1:16">
      <c r="A728" t="s">
        <v>880</v>
      </c>
      <c r="B728" s="2">
        <v>45434</v>
      </c>
      <c r="C728" t="s">
        <v>93</v>
      </c>
      <c r="D728" t="s">
        <v>94</v>
      </c>
      <c r="E728" t="s">
        <v>87</v>
      </c>
      <c r="F728" t="s">
        <v>88</v>
      </c>
      <c r="G728" t="s">
        <v>89</v>
      </c>
      <c r="H728" t="s">
        <v>90</v>
      </c>
      <c r="I728" t="s">
        <v>23</v>
      </c>
      <c r="J728" t="s">
        <v>24</v>
      </c>
      <c r="K728" s="3">
        <v>8409.56</v>
      </c>
      <c r="L728" s="3">
        <v>8310.4</v>
      </c>
      <c r="M728">
        <v>5</v>
      </c>
      <c r="N728" s="4">
        <v>0.2</v>
      </c>
      <c r="O728" t="s">
        <v>76</v>
      </c>
      <c r="P728" t="s">
        <v>98</v>
      </c>
    </row>
    <row r="729" spans="1:16">
      <c r="A729" t="s">
        <v>881</v>
      </c>
      <c r="B729" s="2">
        <v>45348</v>
      </c>
      <c r="C729" t="s">
        <v>158</v>
      </c>
      <c r="D729" t="s">
        <v>159</v>
      </c>
      <c r="E729" t="s">
        <v>62</v>
      </c>
      <c r="F729" t="s">
        <v>63</v>
      </c>
      <c r="G729" t="s">
        <v>21</v>
      </c>
      <c r="H729" t="s">
        <v>64</v>
      </c>
      <c r="I729" t="s">
        <v>84</v>
      </c>
      <c r="J729" t="s">
        <v>134</v>
      </c>
      <c r="K729" s="3">
        <v>22002.52</v>
      </c>
      <c r="L729" s="3">
        <v>9254.35</v>
      </c>
      <c r="M729">
        <v>5</v>
      </c>
      <c r="N729" s="4">
        <v>0.05</v>
      </c>
      <c r="O729" t="s">
        <v>44</v>
      </c>
      <c r="P729" t="s">
        <v>58</v>
      </c>
    </row>
    <row r="730" spans="1:16">
      <c r="A730" t="s">
        <v>882</v>
      </c>
      <c r="B730" s="2">
        <v>45748</v>
      </c>
      <c r="C730" t="s">
        <v>140</v>
      </c>
      <c r="D730" t="s">
        <v>141</v>
      </c>
      <c r="E730" t="s">
        <v>62</v>
      </c>
      <c r="F730" t="s">
        <v>63</v>
      </c>
      <c r="G730" t="s">
        <v>21</v>
      </c>
      <c r="H730" t="s">
        <v>64</v>
      </c>
      <c r="I730" t="s">
        <v>56</v>
      </c>
      <c r="J730" t="s">
        <v>57</v>
      </c>
      <c r="K730" s="3">
        <v>3216.91</v>
      </c>
      <c r="L730" s="3">
        <v>1971.3</v>
      </c>
      <c r="M730">
        <v>1</v>
      </c>
      <c r="N730" s="4">
        <v>0.15</v>
      </c>
      <c r="O730" t="s">
        <v>44</v>
      </c>
      <c r="P730" t="s">
        <v>58</v>
      </c>
    </row>
    <row r="731" spans="1:16">
      <c r="A731" t="s">
        <v>883</v>
      </c>
      <c r="B731" s="2">
        <v>45443</v>
      </c>
      <c r="C731" t="s">
        <v>130</v>
      </c>
      <c r="D731" t="s">
        <v>131</v>
      </c>
      <c r="E731" t="s">
        <v>172</v>
      </c>
      <c r="F731" t="s">
        <v>173</v>
      </c>
      <c r="G731" t="s">
        <v>40</v>
      </c>
      <c r="H731" t="s">
        <v>41</v>
      </c>
      <c r="I731" t="s">
        <v>56</v>
      </c>
      <c r="J731" t="s">
        <v>91</v>
      </c>
      <c r="K731" s="3">
        <v>7644.64</v>
      </c>
      <c r="L731" s="3">
        <v>3506.12</v>
      </c>
      <c r="M731">
        <v>4</v>
      </c>
      <c r="N731" s="4">
        <v>0.1</v>
      </c>
      <c r="O731" t="s">
        <v>44</v>
      </c>
      <c r="P731" t="s">
        <v>77</v>
      </c>
    </row>
    <row r="732" spans="1:16">
      <c r="A732" t="s">
        <v>884</v>
      </c>
      <c r="B732" s="2">
        <v>45866</v>
      </c>
      <c r="C732" t="s">
        <v>265</v>
      </c>
      <c r="D732" t="s">
        <v>266</v>
      </c>
      <c r="E732" t="s">
        <v>38</v>
      </c>
      <c r="F732" t="s">
        <v>39</v>
      </c>
      <c r="G732" t="s">
        <v>40</v>
      </c>
      <c r="H732" t="s">
        <v>41</v>
      </c>
      <c r="I732" t="s">
        <v>53</v>
      </c>
      <c r="J732" t="s">
        <v>102</v>
      </c>
      <c r="K732" s="3">
        <v>1717.42</v>
      </c>
      <c r="L732" s="3">
        <v>471.57</v>
      </c>
      <c r="M732">
        <v>1</v>
      </c>
      <c r="N732" s="4">
        <v>0.15</v>
      </c>
      <c r="O732" t="s">
        <v>136</v>
      </c>
      <c r="P732" t="s">
        <v>45</v>
      </c>
    </row>
    <row r="733" spans="1:16">
      <c r="A733" t="s">
        <v>885</v>
      </c>
      <c r="B733" s="2">
        <v>45716</v>
      </c>
      <c r="C733" t="s">
        <v>200</v>
      </c>
      <c r="D733" t="s">
        <v>201</v>
      </c>
      <c r="E733" t="s">
        <v>132</v>
      </c>
      <c r="F733" t="s">
        <v>133</v>
      </c>
      <c r="G733" t="s">
        <v>40</v>
      </c>
      <c r="H733" t="s">
        <v>41</v>
      </c>
      <c r="I733" t="s">
        <v>42</v>
      </c>
      <c r="J733" t="s">
        <v>162</v>
      </c>
      <c r="K733" s="3">
        <v>1630.67</v>
      </c>
      <c r="L733" s="3">
        <v>533.55999999999995</v>
      </c>
      <c r="M733">
        <v>2</v>
      </c>
      <c r="N733" s="4">
        <v>0.05</v>
      </c>
      <c r="O733" t="s">
        <v>76</v>
      </c>
      <c r="P733" t="s">
        <v>45</v>
      </c>
    </row>
    <row r="734" spans="1:16">
      <c r="A734" t="s">
        <v>886</v>
      </c>
      <c r="B734" s="2">
        <v>45359</v>
      </c>
      <c r="C734" t="s">
        <v>197</v>
      </c>
      <c r="D734" t="s">
        <v>198</v>
      </c>
      <c r="E734" t="s">
        <v>182</v>
      </c>
      <c r="F734" t="s">
        <v>183</v>
      </c>
      <c r="G734" t="s">
        <v>89</v>
      </c>
      <c r="H734" t="s">
        <v>90</v>
      </c>
      <c r="I734" t="s">
        <v>84</v>
      </c>
      <c r="J734" t="s">
        <v>134</v>
      </c>
      <c r="K734" s="3">
        <v>31296.58</v>
      </c>
      <c r="L734" s="3">
        <v>31536.7</v>
      </c>
      <c r="M734">
        <v>5</v>
      </c>
      <c r="N734" s="4">
        <v>0.15</v>
      </c>
      <c r="O734" t="s">
        <v>44</v>
      </c>
      <c r="P734" t="s">
        <v>26</v>
      </c>
    </row>
    <row r="735" spans="1:16">
      <c r="A735" t="s">
        <v>887</v>
      </c>
      <c r="B735" s="2">
        <v>46019</v>
      </c>
      <c r="C735" t="s">
        <v>200</v>
      </c>
      <c r="D735" t="s">
        <v>201</v>
      </c>
      <c r="E735" t="s">
        <v>187</v>
      </c>
      <c r="F735" t="s">
        <v>188</v>
      </c>
      <c r="G735" t="s">
        <v>89</v>
      </c>
      <c r="H735" t="s">
        <v>189</v>
      </c>
      <c r="I735" t="s">
        <v>56</v>
      </c>
      <c r="J735" t="s">
        <v>191</v>
      </c>
      <c r="K735" s="3">
        <v>33708.75</v>
      </c>
      <c r="L735" s="3">
        <v>28903.85</v>
      </c>
      <c r="M735">
        <v>5</v>
      </c>
      <c r="N735" s="4">
        <v>0.05</v>
      </c>
      <c r="O735" t="s">
        <v>136</v>
      </c>
      <c r="P735" t="s">
        <v>45</v>
      </c>
    </row>
    <row r="736" spans="1:16">
      <c r="A736" t="s">
        <v>888</v>
      </c>
      <c r="B736" s="2">
        <v>45601</v>
      </c>
      <c r="C736" t="s">
        <v>70</v>
      </c>
      <c r="D736" t="s">
        <v>71</v>
      </c>
      <c r="E736" t="s">
        <v>87</v>
      </c>
      <c r="F736" t="s">
        <v>88</v>
      </c>
      <c r="G736" t="s">
        <v>89</v>
      </c>
      <c r="H736" t="s">
        <v>90</v>
      </c>
      <c r="I736" t="s">
        <v>23</v>
      </c>
      <c r="J736" t="s">
        <v>24</v>
      </c>
      <c r="K736" s="3">
        <v>16849.3</v>
      </c>
      <c r="L736" s="3">
        <v>8647.0499999999993</v>
      </c>
      <c r="M736">
        <v>5</v>
      </c>
      <c r="N736" s="4">
        <v>0.15</v>
      </c>
      <c r="O736" t="s">
        <v>76</v>
      </c>
      <c r="P736" t="s">
        <v>58</v>
      </c>
    </row>
    <row r="737" spans="1:16">
      <c r="A737" t="s">
        <v>889</v>
      </c>
      <c r="B737" s="2">
        <v>45599</v>
      </c>
      <c r="C737" t="s">
        <v>140</v>
      </c>
      <c r="D737" t="s">
        <v>141</v>
      </c>
      <c r="E737" t="s">
        <v>152</v>
      </c>
      <c r="F737" t="s">
        <v>153</v>
      </c>
      <c r="G737" t="s">
        <v>21</v>
      </c>
      <c r="H737" t="s">
        <v>32</v>
      </c>
      <c r="I737" t="s">
        <v>84</v>
      </c>
      <c r="J737" t="s">
        <v>142</v>
      </c>
      <c r="K737" s="3">
        <v>49132.91</v>
      </c>
      <c r="L737" s="3">
        <v>29594.720000000001</v>
      </c>
      <c r="M737">
        <v>4</v>
      </c>
      <c r="N737" s="4">
        <v>0.1</v>
      </c>
      <c r="O737" t="s">
        <v>136</v>
      </c>
      <c r="P737" t="s">
        <v>58</v>
      </c>
    </row>
    <row r="738" spans="1:16">
      <c r="A738" t="s">
        <v>890</v>
      </c>
      <c r="B738" s="2">
        <v>45414</v>
      </c>
      <c r="C738" t="s">
        <v>197</v>
      </c>
      <c r="D738" t="s">
        <v>198</v>
      </c>
      <c r="E738" t="s">
        <v>72</v>
      </c>
      <c r="F738" t="s">
        <v>73</v>
      </c>
      <c r="G738" t="s">
        <v>51</v>
      </c>
      <c r="H738" t="s">
        <v>74</v>
      </c>
      <c r="I738" t="s">
        <v>23</v>
      </c>
      <c r="J738" t="s">
        <v>24</v>
      </c>
      <c r="K738" s="3">
        <v>23610.84</v>
      </c>
      <c r="L738" s="3">
        <v>11983.32</v>
      </c>
      <c r="M738">
        <v>3</v>
      </c>
      <c r="N738" s="4">
        <v>0.2</v>
      </c>
      <c r="O738" t="s">
        <v>44</v>
      </c>
      <c r="P738" t="s">
        <v>98</v>
      </c>
    </row>
    <row r="739" spans="1:16">
      <c r="A739" t="s">
        <v>891</v>
      </c>
      <c r="B739" s="2">
        <v>45556</v>
      </c>
      <c r="C739" t="s">
        <v>147</v>
      </c>
      <c r="D739" t="s">
        <v>148</v>
      </c>
      <c r="E739" t="s">
        <v>132</v>
      </c>
      <c r="F739" t="s">
        <v>133</v>
      </c>
      <c r="G739" t="s">
        <v>40</v>
      </c>
      <c r="H739" t="s">
        <v>41</v>
      </c>
      <c r="I739" t="s">
        <v>53</v>
      </c>
      <c r="J739" t="s">
        <v>102</v>
      </c>
      <c r="K739" s="3">
        <v>3763.94</v>
      </c>
      <c r="L739" s="3">
        <v>1094.8399999999999</v>
      </c>
      <c r="M739">
        <v>4</v>
      </c>
      <c r="N739" s="4">
        <v>0.1</v>
      </c>
      <c r="O739" t="s">
        <v>34</v>
      </c>
      <c r="P739" t="s">
        <v>58</v>
      </c>
    </row>
    <row r="740" spans="1:16">
      <c r="A740" t="s">
        <v>892</v>
      </c>
      <c r="B740" s="2">
        <v>45351</v>
      </c>
      <c r="C740" t="s">
        <v>66</v>
      </c>
      <c r="D740" t="s">
        <v>67</v>
      </c>
      <c r="E740" t="s">
        <v>117</v>
      </c>
      <c r="F740" t="s">
        <v>118</v>
      </c>
      <c r="G740" t="s">
        <v>51</v>
      </c>
      <c r="H740" t="s">
        <v>119</v>
      </c>
      <c r="I740" t="s">
        <v>42</v>
      </c>
      <c r="J740" t="s">
        <v>43</v>
      </c>
      <c r="K740" s="3">
        <v>19522.060000000001</v>
      </c>
      <c r="L740" s="3">
        <v>8675.42</v>
      </c>
      <c r="M740">
        <v>2</v>
      </c>
      <c r="N740" s="4">
        <v>0.05</v>
      </c>
      <c r="O740" t="s">
        <v>44</v>
      </c>
      <c r="P740" t="s">
        <v>58</v>
      </c>
    </row>
    <row r="741" spans="1:16">
      <c r="A741" t="s">
        <v>893</v>
      </c>
      <c r="B741" s="2">
        <v>45721</v>
      </c>
      <c r="C741" t="s">
        <v>28</v>
      </c>
      <c r="D741" t="s">
        <v>29</v>
      </c>
      <c r="E741" t="s">
        <v>175</v>
      </c>
      <c r="F741" t="s">
        <v>176</v>
      </c>
      <c r="G741" t="s">
        <v>51</v>
      </c>
      <c r="H741" t="s">
        <v>177</v>
      </c>
      <c r="I741" t="s">
        <v>84</v>
      </c>
      <c r="J741" t="s">
        <v>134</v>
      </c>
      <c r="K741" s="3">
        <v>66079.89</v>
      </c>
      <c r="L741" s="3">
        <v>43667.67</v>
      </c>
      <c r="M741">
        <v>3</v>
      </c>
      <c r="N741" s="4">
        <v>0</v>
      </c>
      <c r="O741" t="s">
        <v>34</v>
      </c>
      <c r="P741" t="s">
        <v>58</v>
      </c>
    </row>
    <row r="742" spans="1:16">
      <c r="A742" t="s">
        <v>894</v>
      </c>
      <c r="B742" s="2">
        <v>45388</v>
      </c>
      <c r="C742" t="s">
        <v>79</v>
      </c>
      <c r="D742" t="s">
        <v>80</v>
      </c>
      <c r="E742" t="s">
        <v>117</v>
      </c>
      <c r="F742" t="s">
        <v>118</v>
      </c>
      <c r="G742" t="s">
        <v>51</v>
      </c>
      <c r="H742" t="s">
        <v>119</v>
      </c>
      <c r="I742" t="s">
        <v>53</v>
      </c>
      <c r="J742" t="s">
        <v>54</v>
      </c>
      <c r="K742" s="3">
        <v>37262.39</v>
      </c>
      <c r="L742" s="3">
        <v>23636.85</v>
      </c>
      <c r="M742">
        <v>5</v>
      </c>
      <c r="N742" s="4">
        <v>0.1</v>
      </c>
      <c r="O742" t="s">
        <v>44</v>
      </c>
      <c r="P742" t="s">
        <v>45</v>
      </c>
    </row>
    <row r="743" spans="1:16">
      <c r="A743" t="s">
        <v>895</v>
      </c>
      <c r="B743" s="2">
        <v>45839</v>
      </c>
      <c r="C743" t="s">
        <v>130</v>
      </c>
      <c r="D743" t="s">
        <v>131</v>
      </c>
      <c r="E743" t="s">
        <v>172</v>
      </c>
      <c r="F743" t="s">
        <v>173</v>
      </c>
      <c r="G743" t="s">
        <v>40</v>
      </c>
      <c r="H743" t="s">
        <v>41</v>
      </c>
      <c r="I743" t="s">
        <v>23</v>
      </c>
      <c r="J743" t="s">
        <v>33</v>
      </c>
      <c r="K743" s="3">
        <v>6830.5</v>
      </c>
      <c r="L743" s="3">
        <v>4366.45</v>
      </c>
      <c r="M743">
        <v>5</v>
      </c>
      <c r="N743" s="4">
        <v>0.05</v>
      </c>
      <c r="O743" t="s">
        <v>34</v>
      </c>
      <c r="P743" t="s">
        <v>45</v>
      </c>
    </row>
    <row r="744" spans="1:16">
      <c r="A744" t="s">
        <v>896</v>
      </c>
      <c r="B744" s="2">
        <v>45640</v>
      </c>
      <c r="C744" t="s">
        <v>158</v>
      </c>
      <c r="D744" t="s">
        <v>159</v>
      </c>
      <c r="E744" t="s">
        <v>87</v>
      </c>
      <c r="F744" t="s">
        <v>88</v>
      </c>
      <c r="G744" t="s">
        <v>89</v>
      </c>
      <c r="H744" t="s">
        <v>90</v>
      </c>
      <c r="I744" t="s">
        <v>56</v>
      </c>
      <c r="J744" t="s">
        <v>91</v>
      </c>
      <c r="K744" s="3">
        <v>4853.49</v>
      </c>
      <c r="L744" s="3">
        <v>3313.74</v>
      </c>
      <c r="M744">
        <v>2</v>
      </c>
      <c r="N744" s="4">
        <v>0.05</v>
      </c>
      <c r="O744" t="s">
        <v>76</v>
      </c>
      <c r="P744" t="s">
        <v>58</v>
      </c>
    </row>
    <row r="745" spans="1:16">
      <c r="A745" t="s">
        <v>897</v>
      </c>
      <c r="B745" s="2">
        <v>45411</v>
      </c>
      <c r="C745" t="s">
        <v>207</v>
      </c>
      <c r="D745" t="s">
        <v>208</v>
      </c>
      <c r="E745" t="s">
        <v>38</v>
      </c>
      <c r="F745" t="s">
        <v>39</v>
      </c>
      <c r="G745" t="s">
        <v>40</v>
      </c>
      <c r="H745" t="s">
        <v>41</v>
      </c>
      <c r="I745" t="s">
        <v>23</v>
      </c>
      <c r="J745" t="s">
        <v>33</v>
      </c>
      <c r="K745" s="3">
        <v>2461.0100000000002</v>
      </c>
      <c r="L745" s="3">
        <v>1084.68</v>
      </c>
      <c r="M745">
        <v>2</v>
      </c>
      <c r="N745" s="4">
        <v>0.1</v>
      </c>
      <c r="O745" t="s">
        <v>44</v>
      </c>
      <c r="P745" t="s">
        <v>58</v>
      </c>
    </row>
    <row r="746" spans="1:16">
      <c r="A746" t="s">
        <v>898</v>
      </c>
      <c r="B746" s="2">
        <v>45642</v>
      </c>
      <c r="C746" t="s">
        <v>170</v>
      </c>
      <c r="D746" t="s">
        <v>171</v>
      </c>
      <c r="E746" t="s">
        <v>193</v>
      </c>
      <c r="F746" t="s">
        <v>194</v>
      </c>
      <c r="G746" t="s">
        <v>89</v>
      </c>
      <c r="H746" t="s">
        <v>90</v>
      </c>
      <c r="I746" t="s">
        <v>56</v>
      </c>
      <c r="J746" t="s">
        <v>57</v>
      </c>
      <c r="K746" s="3">
        <v>1269.02</v>
      </c>
      <c r="L746" s="3">
        <v>1041.98</v>
      </c>
      <c r="M746">
        <v>2</v>
      </c>
      <c r="N746" s="4">
        <v>0</v>
      </c>
      <c r="O746" t="s">
        <v>76</v>
      </c>
      <c r="P746" t="s">
        <v>58</v>
      </c>
    </row>
    <row r="747" spans="1:16">
      <c r="A747" t="s">
        <v>899</v>
      </c>
      <c r="B747" s="2">
        <v>45524</v>
      </c>
      <c r="C747" t="s">
        <v>60</v>
      </c>
      <c r="D747" t="s">
        <v>61</v>
      </c>
      <c r="E747" t="s">
        <v>152</v>
      </c>
      <c r="F747" t="s">
        <v>153</v>
      </c>
      <c r="G747" t="s">
        <v>21</v>
      </c>
      <c r="H747" t="s">
        <v>32</v>
      </c>
      <c r="I747" t="s">
        <v>42</v>
      </c>
      <c r="J747" t="s">
        <v>162</v>
      </c>
      <c r="K747" s="3">
        <v>29630.22</v>
      </c>
      <c r="L747" s="3">
        <v>22201.65</v>
      </c>
      <c r="M747">
        <v>3</v>
      </c>
      <c r="N747" s="4">
        <v>0</v>
      </c>
      <c r="O747" t="s">
        <v>136</v>
      </c>
      <c r="P747" t="s">
        <v>58</v>
      </c>
    </row>
    <row r="748" spans="1:16">
      <c r="A748" t="s">
        <v>900</v>
      </c>
      <c r="B748" s="2">
        <v>45787</v>
      </c>
      <c r="C748" t="s">
        <v>100</v>
      </c>
      <c r="D748" t="s">
        <v>101</v>
      </c>
      <c r="E748" t="s">
        <v>30</v>
      </c>
      <c r="F748" t="s">
        <v>31</v>
      </c>
      <c r="G748" t="s">
        <v>21</v>
      </c>
      <c r="H748" t="s">
        <v>32</v>
      </c>
      <c r="I748" t="s">
        <v>53</v>
      </c>
      <c r="J748" t="s">
        <v>54</v>
      </c>
      <c r="K748" s="3">
        <v>175909.98</v>
      </c>
      <c r="L748" s="3">
        <v>174432.64000000001</v>
      </c>
      <c r="M748">
        <v>4</v>
      </c>
      <c r="N748" s="4">
        <v>0.2</v>
      </c>
      <c r="O748" t="s">
        <v>34</v>
      </c>
      <c r="P748" t="s">
        <v>58</v>
      </c>
    </row>
    <row r="749" spans="1:16">
      <c r="A749" t="s">
        <v>901</v>
      </c>
      <c r="B749" s="2">
        <v>45336</v>
      </c>
      <c r="C749" t="s">
        <v>197</v>
      </c>
      <c r="D749" t="s">
        <v>198</v>
      </c>
      <c r="E749" t="s">
        <v>19</v>
      </c>
      <c r="F749" t="s">
        <v>20</v>
      </c>
      <c r="G749" t="s">
        <v>21</v>
      </c>
      <c r="H749" t="s">
        <v>22</v>
      </c>
      <c r="I749" t="s">
        <v>84</v>
      </c>
      <c r="J749" t="s">
        <v>142</v>
      </c>
      <c r="K749" s="3">
        <v>3417.94</v>
      </c>
      <c r="L749" s="3">
        <v>2880.99</v>
      </c>
      <c r="M749">
        <v>1</v>
      </c>
      <c r="N749" s="4">
        <v>0</v>
      </c>
      <c r="O749" t="s">
        <v>25</v>
      </c>
      <c r="P749" t="s">
        <v>58</v>
      </c>
    </row>
    <row r="750" spans="1:16">
      <c r="A750" t="s">
        <v>902</v>
      </c>
      <c r="B750" s="2">
        <v>45978</v>
      </c>
      <c r="C750" t="s">
        <v>147</v>
      </c>
      <c r="D750" t="s">
        <v>148</v>
      </c>
      <c r="E750" t="s">
        <v>49</v>
      </c>
      <c r="F750" t="s">
        <v>50</v>
      </c>
      <c r="G750" t="s">
        <v>51</v>
      </c>
      <c r="H750" t="s">
        <v>52</v>
      </c>
      <c r="I750" t="s">
        <v>23</v>
      </c>
      <c r="J750" t="s">
        <v>75</v>
      </c>
      <c r="K750" s="3">
        <v>25160.92</v>
      </c>
      <c r="L750" s="3">
        <v>19022.88</v>
      </c>
      <c r="M750">
        <v>3</v>
      </c>
      <c r="N750" s="4">
        <v>0.1</v>
      </c>
      <c r="O750" t="s">
        <v>34</v>
      </c>
      <c r="P750" t="s">
        <v>77</v>
      </c>
    </row>
    <row r="751" spans="1:16">
      <c r="A751" t="s">
        <v>903</v>
      </c>
      <c r="B751" s="2">
        <v>45804</v>
      </c>
      <c r="C751" t="s">
        <v>158</v>
      </c>
      <c r="D751" t="s">
        <v>159</v>
      </c>
      <c r="E751" t="s">
        <v>117</v>
      </c>
      <c r="F751" t="s">
        <v>118</v>
      </c>
      <c r="G751" t="s">
        <v>51</v>
      </c>
      <c r="H751" t="s">
        <v>119</v>
      </c>
      <c r="I751" t="s">
        <v>53</v>
      </c>
      <c r="J751" t="s">
        <v>102</v>
      </c>
      <c r="K751" s="3">
        <v>42193</v>
      </c>
      <c r="L751" s="3">
        <v>21338.2</v>
      </c>
      <c r="M751">
        <v>5</v>
      </c>
      <c r="N751" s="4">
        <v>0</v>
      </c>
      <c r="O751" t="s">
        <v>34</v>
      </c>
      <c r="P751" t="s">
        <v>58</v>
      </c>
    </row>
    <row r="752" spans="1:16">
      <c r="A752" t="s">
        <v>904</v>
      </c>
      <c r="B752" s="2">
        <v>45488</v>
      </c>
      <c r="C752" t="s">
        <v>114</v>
      </c>
      <c r="D752" t="s">
        <v>115</v>
      </c>
      <c r="E752" t="s">
        <v>49</v>
      </c>
      <c r="F752" t="s">
        <v>50</v>
      </c>
      <c r="G752" t="s">
        <v>51</v>
      </c>
      <c r="H752" t="s">
        <v>52</v>
      </c>
      <c r="I752" t="s">
        <v>42</v>
      </c>
      <c r="J752" t="s">
        <v>162</v>
      </c>
      <c r="K752" s="3">
        <v>46502.46</v>
      </c>
      <c r="L752" s="3">
        <v>19621.439999999999</v>
      </c>
      <c r="M752">
        <v>3</v>
      </c>
      <c r="N752" s="4">
        <v>0</v>
      </c>
      <c r="O752" t="s">
        <v>25</v>
      </c>
      <c r="P752" t="s">
        <v>58</v>
      </c>
    </row>
    <row r="753" spans="1:16">
      <c r="A753" t="s">
        <v>905</v>
      </c>
      <c r="B753" s="2">
        <v>46006</v>
      </c>
      <c r="C753" t="s">
        <v>114</v>
      </c>
      <c r="D753" t="s">
        <v>115</v>
      </c>
      <c r="E753" t="s">
        <v>87</v>
      </c>
      <c r="F753" t="s">
        <v>88</v>
      </c>
      <c r="G753" t="s">
        <v>89</v>
      </c>
      <c r="H753" t="s">
        <v>90</v>
      </c>
      <c r="I753" t="s">
        <v>84</v>
      </c>
      <c r="J753" t="s">
        <v>134</v>
      </c>
      <c r="K753" s="3">
        <v>21812.799999999999</v>
      </c>
      <c r="L753" s="3">
        <v>8433.25</v>
      </c>
      <c r="M753">
        <v>5</v>
      </c>
      <c r="N753" s="4">
        <v>0</v>
      </c>
      <c r="O753" t="s">
        <v>76</v>
      </c>
      <c r="P753" t="s">
        <v>77</v>
      </c>
    </row>
    <row r="754" spans="1:16">
      <c r="A754" t="s">
        <v>906</v>
      </c>
      <c r="B754" s="2">
        <v>45818</v>
      </c>
      <c r="C754" t="s">
        <v>104</v>
      </c>
      <c r="D754" t="s">
        <v>105</v>
      </c>
      <c r="E754" t="s">
        <v>132</v>
      </c>
      <c r="F754" t="s">
        <v>133</v>
      </c>
      <c r="G754" t="s">
        <v>40</v>
      </c>
      <c r="H754" t="s">
        <v>41</v>
      </c>
      <c r="I754" t="s">
        <v>84</v>
      </c>
      <c r="J754" t="s">
        <v>85</v>
      </c>
      <c r="K754" s="3">
        <v>1794.96</v>
      </c>
      <c r="L754" s="3">
        <v>490.76</v>
      </c>
      <c r="M754">
        <v>2</v>
      </c>
      <c r="N754" s="4">
        <v>0.1</v>
      </c>
      <c r="O754" t="s">
        <v>25</v>
      </c>
      <c r="P754" t="s">
        <v>98</v>
      </c>
    </row>
    <row r="755" spans="1:16">
      <c r="A755" t="s">
        <v>907</v>
      </c>
      <c r="B755" s="2">
        <v>45799</v>
      </c>
      <c r="C755" t="s">
        <v>179</v>
      </c>
      <c r="D755" t="s">
        <v>180</v>
      </c>
      <c r="E755" t="s">
        <v>182</v>
      </c>
      <c r="F755" t="s">
        <v>183</v>
      </c>
      <c r="G755" t="s">
        <v>89</v>
      </c>
      <c r="H755" t="s">
        <v>90</v>
      </c>
      <c r="I755" t="s">
        <v>23</v>
      </c>
      <c r="J755" t="s">
        <v>75</v>
      </c>
      <c r="K755" s="3">
        <v>32327.759999999998</v>
      </c>
      <c r="L755" s="3">
        <v>18737.04</v>
      </c>
      <c r="M755">
        <v>3</v>
      </c>
      <c r="N755" s="4">
        <v>0</v>
      </c>
      <c r="O755" t="s">
        <v>25</v>
      </c>
      <c r="P755" t="s">
        <v>77</v>
      </c>
    </row>
    <row r="756" spans="1:16">
      <c r="A756" t="s">
        <v>908</v>
      </c>
      <c r="B756" s="2">
        <v>45582</v>
      </c>
      <c r="C756" t="s">
        <v>197</v>
      </c>
      <c r="D756" t="s">
        <v>198</v>
      </c>
      <c r="E756" t="s">
        <v>19</v>
      </c>
      <c r="F756" t="s">
        <v>20</v>
      </c>
      <c r="G756" t="s">
        <v>21</v>
      </c>
      <c r="H756" t="s">
        <v>22</v>
      </c>
      <c r="I756" t="s">
        <v>56</v>
      </c>
      <c r="J756" t="s">
        <v>91</v>
      </c>
      <c r="K756" s="3">
        <v>17407.05</v>
      </c>
      <c r="L756" s="3">
        <v>12240.92</v>
      </c>
      <c r="M756">
        <v>4</v>
      </c>
      <c r="N756" s="4">
        <v>0.15</v>
      </c>
      <c r="O756" t="s">
        <v>76</v>
      </c>
      <c r="P756" t="s">
        <v>26</v>
      </c>
    </row>
    <row r="757" spans="1:16">
      <c r="A757" t="s">
        <v>909</v>
      </c>
      <c r="B757" s="2">
        <v>45363</v>
      </c>
      <c r="C757" t="s">
        <v>265</v>
      </c>
      <c r="D757" t="s">
        <v>266</v>
      </c>
      <c r="E757" t="s">
        <v>132</v>
      </c>
      <c r="F757" t="s">
        <v>133</v>
      </c>
      <c r="G757" t="s">
        <v>40</v>
      </c>
      <c r="H757" t="s">
        <v>41</v>
      </c>
      <c r="I757" t="s">
        <v>84</v>
      </c>
      <c r="J757" t="s">
        <v>85</v>
      </c>
      <c r="K757" s="3">
        <v>2649.32</v>
      </c>
      <c r="L757" s="3">
        <v>1087.8</v>
      </c>
      <c r="M757">
        <v>4</v>
      </c>
      <c r="N757" s="4">
        <v>0</v>
      </c>
      <c r="O757" t="s">
        <v>136</v>
      </c>
      <c r="P757" t="s">
        <v>58</v>
      </c>
    </row>
    <row r="758" spans="1:16">
      <c r="A758" t="s">
        <v>910</v>
      </c>
      <c r="B758" s="2">
        <v>45966</v>
      </c>
      <c r="C758" t="s">
        <v>104</v>
      </c>
      <c r="D758" t="s">
        <v>105</v>
      </c>
      <c r="E758" t="s">
        <v>38</v>
      </c>
      <c r="F758" t="s">
        <v>39</v>
      </c>
      <c r="G758" t="s">
        <v>40</v>
      </c>
      <c r="H758" t="s">
        <v>41</v>
      </c>
      <c r="I758" t="s">
        <v>56</v>
      </c>
      <c r="J758" t="s">
        <v>57</v>
      </c>
      <c r="K758" s="3">
        <v>985.36</v>
      </c>
      <c r="L758" s="3">
        <v>461.92</v>
      </c>
      <c r="M758">
        <v>1</v>
      </c>
      <c r="N758" s="4">
        <v>0.2</v>
      </c>
      <c r="O758" t="s">
        <v>25</v>
      </c>
      <c r="P758" t="s">
        <v>58</v>
      </c>
    </row>
    <row r="759" spans="1:16">
      <c r="A759" t="s">
        <v>911</v>
      </c>
      <c r="B759" s="2">
        <v>45638</v>
      </c>
      <c r="C759" t="s">
        <v>100</v>
      </c>
      <c r="D759" t="s">
        <v>101</v>
      </c>
      <c r="E759" t="s">
        <v>172</v>
      </c>
      <c r="F759" t="s">
        <v>173</v>
      </c>
      <c r="G759" t="s">
        <v>40</v>
      </c>
      <c r="H759" t="s">
        <v>41</v>
      </c>
      <c r="I759" t="s">
        <v>84</v>
      </c>
      <c r="J759" t="s">
        <v>85</v>
      </c>
      <c r="K759" s="3">
        <v>7944.12</v>
      </c>
      <c r="L759" s="3">
        <v>1834.18</v>
      </c>
      <c r="M759">
        <v>2</v>
      </c>
      <c r="N759" s="4">
        <v>0</v>
      </c>
      <c r="O759" t="s">
        <v>76</v>
      </c>
      <c r="P759" t="s">
        <v>26</v>
      </c>
    </row>
    <row r="760" spans="1:16">
      <c r="A760" t="s">
        <v>912</v>
      </c>
      <c r="B760" s="2">
        <v>46022</v>
      </c>
      <c r="C760" t="s">
        <v>93</v>
      </c>
      <c r="D760" t="s">
        <v>94</v>
      </c>
      <c r="E760" t="s">
        <v>87</v>
      </c>
      <c r="F760" t="s">
        <v>88</v>
      </c>
      <c r="G760" t="s">
        <v>89</v>
      </c>
      <c r="H760" t="s">
        <v>90</v>
      </c>
      <c r="I760" t="s">
        <v>84</v>
      </c>
      <c r="J760" t="s">
        <v>142</v>
      </c>
      <c r="K760" s="3">
        <v>19766.580000000002</v>
      </c>
      <c r="L760" s="3">
        <v>9168.5499999999993</v>
      </c>
      <c r="M760">
        <v>5</v>
      </c>
      <c r="N760" s="4">
        <v>0.15</v>
      </c>
      <c r="O760" t="s">
        <v>44</v>
      </c>
      <c r="P760" t="s">
        <v>98</v>
      </c>
    </row>
    <row r="761" spans="1:16">
      <c r="A761" t="s">
        <v>913</v>
      </c>
      <c r="B761" s="2">
        <v>45788</v>
      </c>
      <c r="C761" t="s">
        <v>130</v>
      </c>
      <c r="D761" t="s">
        <v>131</v>
      </c>
      <c r="E761" t="s">
        <v>193</v>
      </c>
      <c r="F761" t="s">
        <v>194</v>
      </c>
      <c r="G761" t="s">
        <v>89</v>
      </c>
      <c r="H761" t="s">
        <v>90</v>
      </c>
      <c r="I761" t="s">
        <v>56</v>
      </c>
      <c r="J761" t="s">
        <v>91</v>
      </c>
      <c r="K761" s="3">
        <v>7608</v>
      </c>
      <c r="L761" s="3">
        <v>2389.4499999999998</v>
      </c>
      <c r="M761">
        <v>5</v>
      </c>
      <c r="N761" s="4">
        <v>0</v>
      </c>
      <c r="O761" t="s">
        <v>25</v>
      </c>
      <c r="P761" t="s">
        <v>45</v>
      </c>
    </row>
    <row r="762" spans="1:16">
      <c r="A762" t="s">
        <v>914</v>
      </c>
      <c r="B762" s="2">
        <v>45935</v>
      </c>
      <c r="C762" t="s">
        <v>197</v>
      </c>
      <c r="D762" t="s">
        <v>198</v>
      </c>
      <c r="E762" t="s">
        <v>87</v>
      </c>
      <c r="F762" t="s">
        <v>88</v>
      </c>
      <c r="G762" t="s">
        <v>89</v>
      </c>
      <c r="H762" t="s">
        <v>90</v>
      </c>
      <c r="I762" t="s">
        <v>84</v>
      </c>
      <c r="J762" t="s">
        <v>85</v>
      </c>
      <c r="K762" s="3">
        <v>9172.98</v>
      </c>
      <c r="L762" s="3">
        <v>3261.4</v>
      </c>
      <c r="M762">
        <v>2</v>
      </c>
      <c r="N762" s="4">
        <v>0</v>
      </c>
      <c r="O762" t="s">
        <v>136</v>
      </c>
      <c r="P762" t="s">
        <v>58</v>
      </c>
    </row>
    <row r="763" spans="1:16">
      <c r="A763" t="s">
        <v>915</v>
      </c>
      <c r="B763" s="2">
        <v>45987</v>
      </c>
      <c r="C763" t="s">
        <v>200</v>
      </c>
      <c r="D763" t="s">
        <v>201</v>
      </c>
      <c r="E763" t="s">
        <v>106</v>
      </c>
      <c r="F763" t="s">
        <v>107</v>
      </c>
      <c r="G763" t="s">
        <v>40</v>
      </c>
      <c r="H763" t="s">
        <v>108</v>
      </c>
      <c r="I763" t="s">
        <v>42</v>
      </c>
      <c r="J763" t="s">
        <v>43</v>
      </c>
      <c r="K763" s="3">
        <v>6504.99</v>
      </c>
      <c r="L763" s="3">
        <v>1954.14</v>
      </c>
      <c r="M763">
        <v>3</v>
      </c>
      <c r="N763" s="4">
        <v>0</v>
      </c>
      <c r="O763" t="s">
        <v>25</v>
      </c>
      <c r="P763" t="s">
        <v>98</v>
      </c>
    </row>
    <row r="764" spans="1:16">
      <c r="A764" t="s">
        <v>916</v>
      </c>
      <c r="B764" s="2">
        <v>45969</v>
      </c>
      <c r="C764" t="s">
        <v>170</v>
      </c>
      <c r="D764" t="s">
        <v>171</v>
      </c>
      <c r="E764" t="s">
        <v>49</v>
      </c>
      <c r="F764" t="s">
        <v>50</v>
      </c>
      <c r="G764" t="s">
        <v>51</v>
      </c>
      <c r="H764" t="s">
        <v>52</v>
      </c>
      <c r="I764" t="s">
        <v>84</v>
      </c>
      <c r="J764" t="s">
        <v>142</v>
      </c>
      <c r="K764" s="3">
        <v>37794.67</v>
      </c>
      <c r="L764" s="3">
        <v>27945.4</v>
      </c>
      <c r="M764">
        <v>4</v>
      </c>
      <c r="N764" s="4">
        <v>0.1</v>
      </c>
      <c r="O764" t="s">
        <v>34</v>
      </c>
      <c r="P764" t="s">
        <v>58</v>
      </c>
    </row>
    <row r="765" spans="1:16">
      <c r="A765" t="s">
        <v>917</v>
      </c>
      <c r="B765" s="2">
        <v>45413</v>
      </c>
      <c r="C765" t="s">
        <v>79</v>
      </c>
      <c r="D765" t="s">
        <v>80</v>
      </c>
      <c r="E765" t="s">
        <v>81</v>
      </c>
      <c r="F765" t="s">
        <v>82</v>
      </c>
      <c r="G765" t="s">
        <v>21</v>
      </c>
      <c r="H765" t="s">
        <v>83</v>
      </c>
      <c r="I765" t="s">
        <v>56</v>
      </c>
      <c r="J765" t="s">
        <v>91</v>
      </c>
      <c r="K765" s="3">
        <v>111576.61</v>
      </c>
      <c r="L765" s="3">
        <v>71281.679999999993</v>
      </c>
      <c r="M765">
        <v>4</v>
      </c>
      <c r="N765" s="4">
        <v>0.15</v>
      </c>
      <c r="O765" t="s">
        <v>136</v>
      </c>
      <c r="P765" t="s">
        <v>58</v>
      </c>
    </row>
    <row r="766" spans="1:16">
      <c r="A766" t="s">
        <v>918</v>
      </c>
      <c r="B766" s="2">
        <v>45967</v>
      </c>
      <c r="C766" t="s">
        <v>28</v>
      </c>
      <c r="D766" t="s">
        <v>29</v>
      </c>
      <c r="E766" t="s">
        <v>117</v>
      </c>
      <c r="F766" t="s">
        <v>118</v>
      </c>
      <c r="G766" t="s">
        <v>51</v>
      </c>
      <c r="H766" t="s">
        <v>119</v>
      </c>
      <c r="I766" t="s">
        <v>56</v>
      </c>
      <c r="J766" t="s">
        <v>57</v>
      </c>
      <c r="K766" s="3">
        <v>15346.67</v>
      </c>
      <c r="L766" s="3">
        <v>14538.69</v>
      </c>
      <c r="M766">
        <v>3</v>
      </c>
      <c r="N766" s="4">
        <v>0.15</v>
      </c>
      <c r="O766" t="s">
        <v>76</v>
      </c>
      <c r="P766" t="s">
        <v>45</v>
      </c>
    </row>
    <row r="767" spans="1:16">
      <c r="A767" t="s">
        <v>919</v>
      </c>
      <c r="B767" s="2">
        <v>45404</v>
      </c>
      <c r="C767" t="s">
        <v>60</v>
      </c>
      <c r="D767" t="s">
        <v>61</v>
      </c>
      <c r="E767" t="s">
        <v>106</v>
      </c>
      <c r="F767" t="s">
        <v>107</v>
      </c>
      <c r="G767" t="s">
        <v>40</v>
      </c>
      <c r="H767" t="s">
        <v>108</v>
      </c>
      <c r="I767" t="s">
        <v>56</v>
      </c>
      <c r="J767" t="s">
        <v>191</v>
      </c>
      <c r="K767" s="3">
        <v>9008.68</v>
      </c>
      <c r="L767" s="3">
        <v>3622.5</v>
      </c>
      <c r="M767">
        <v>5</v>
      </c>
      <c r="N767" s="4">
        <v>0.2</v>
      </c>
      <c r="O767" t="s">
        <v>34</v>
      </c>
      <c r="P767" t="s">
        <v>98</v>
      </c>
    </row>
    <row r="768" spans="1:16">
      <c r="A768" t="s">
        <v>920</v>
      </c>
      <c r="B768" s="2">
        <v>45452</v>
      </c>
      <c r="C768" t="s">
        <v>197</v>
      </c>
      <c r="D768" t="s">
        <v>198</v>
      </c>
      <c r="E768" t="s">
        <v>187</v>
      </c>
      <c r="F768" t="s">
        <v>188</v>
      </c>
      <c r="G768" t="s">
        <v>89</v>
      </c>
      <c r="H768" t="s">
        <v>189</v>
      </c>
      <c r="I768" t="s">
        <v>53</v>
      </c>
      <c r="J768" t="s">
        <v>102</v>
      </c>
      <c r="K768" s="3">
        <v>31846.36</v>
      </c>
      <c r="L768" s="3">
        <v>25056.55</v>
      </c>
      <c r="M768">
        <v>5</v>
      </c>
      <c r="N768" s="4">
        <v>0.2</v>
      </c>
      <c r="O768" t="s">
        <v>136</v>
      </c>
      <c r="P768" t="s">
        <v>77</v>
      </c>
    </row>
    <row r="769" spans="1:16">
      <c r="A769" t="s">
        <v>921</v>
      </c>
      <c r="B769" s="2">
        <v>45354</v>
      </c>
      <c r="C769" t="s">
        <v>79</v>
      </c>
      <c r="D769" t="s">
        <v>80</v>
      </c>
      <c r="E769" t="s">
        <v>123</v>
      </c>
      <c r="F769" t="s">
        <v>124</v>
      </c>
      <c r="G769" t="s">
        <v>51</v>
      </c>
      <c r="H769" t="s">
        <v>125</v>
      </c>
      <c r="I769" t="s">
        <v>84</v>
      </c>
      <c r="J769" t="s">
        <v>134</v>
      </c>
      <c r="K769" s="3">
        <v>20202.349999999999</v>
      </c>
      <c r="L769" s="3">
        <v>18325.669999999998</v>
      </c>
      <c r="M769">
        <v>1</v>
      </c>
      <c r="N769" s="4">
        <v>0.1</v>
      </c>
      <c r="O769" t="s">
        <v>44</v>
      </c>
      <c r="P769" t="s">
        <v>58</v>
      </c>
    </row>
    <row r="770" spans="1:16">
      <c r="A770" t="s">
        <v>922</v>
      </c>
      <c r="B770" s="2">
        <v>45391</v>
      </c>
      <c r="C770" t="s">
        <v>79</v>
      </c>
      <c r="D770" t="s">
        <v>80</v>
      </c>
      <c r="E770" t="s">
        <v>110</v>
      </c>
      <c r="F770" t="s">
        <v>111</v>
      </c>
      <c r="G770" t="s">
        <v>40</v>
      </c>
      <c r="H770" t="s">
        <v>112</v>
      </c>
      <c r="I770" t="s">
        <v>56</v>
      </c>
      <c r="J770" t="s">
        <v>91</v>
      </c>
      <c r="K770" s="3">
        <v>9541.91</v>
      </c>
      <c r="L770" s="3">
        <v>4651.32</v>
      </c>
      <c r="M770">
        <v>4</v>
      </c>
      <c r="N770" s="4">
        <v>0.1</v>
      </c>
      <c r="O770" t="s">
        <v>25</v>
      </c>
      <c r="P770" t="s">
        <v>58</v>
      </c>
    </row>
    <row r="771" spans="1:16">
      <c r="A771" t="s">
        <v>923</v>
      </c>
      <c r="B771" s="2">
        <v>45611</v>
      </c>
      <c r="C771" t="s">
        <v>36</v>
      </c>
      <c r="D771" t="s">
        <v>37</v>
      </c>
      <c r="E771" t="s">
        <v>72</v>
      </c>
      <c r="F771" t="s">
        <v>73</v>
      </c>
      <c r="G771" t="s">
        <v>51</v>
      </c>
      <c r="H771" t="s">
        <v>74</v>
      </c>
      <c r="I771" t="s">
        <v>42</v>
      </c>
      <c r="J771" t="s">
        <v>68</v>
      </c>
      <c r="K771" s="3">
        <v>37249.699999999997</v>
      </c>
      <c r="L771" s="3">
        <v>18339.75</v>
      </c>
      <c r="M771">
        <v>5</v>
      </c>
      <c r="N771" s="4">
        <v>0.1</v>
      </c>
      <c r="O771" t="s">
        <v>25</v>
      </c>
      <c r="P771" t="s">
        <v>77</v>
      </c>
    </row>
    <row r="772" spans="1:16">
      <c r="A772" t="s">
        <v>924</v>
      </c>
      <c r="B772" s="2">
        <v>45625</v>
      </c>
      <c r="C772" t="s">
        <v>200</v>
      </c>
      <c r="D772" t="s">
        <v>201</v>
      </c>
      <c r="E772" t="s">
        <v>30</v>
      </c>
      <c r="F772" t="s">
        <v>31</v>
      </c>
      <c r="G772" t="s">
        <v>21</v>
      </c>
      <c r="H772" t="s">
        <v>32</v>
      </c>
      <c r="I772" t="s">
        <v>56</v>
      </c>
      <c r="J772" t="s">
        <v>57</v>
      </c>
      <c r="K772" s="3">
        <v>50771.41</v>
      </c>
      <c r="L772" s="3">
        <v>47624.73</v>
      </c>
      <c r="M772">
        <v>1</v>
      </c>
      <c r="N772" s="4">
        <v>0.2</v>
      </c>
      <c r="O772" t="s">
        <v>34</v>
      </c>
      <c r="P772" t="s">
        <v>26</v>
      </c>
    </row>
    <row r="773" spans="1:16">
      <c r="A773" t="s">
        <v>925</v>
      </c>
      <c r="B773" s="2">
        <v>45772</v>
      </c>
      <c r="C773" t="s">
        <v>66</v>
      </c>
      <c r="D773" t="s">
        <v>67</v>
      </c>
      <c r="E773" t="s">
        <v>30</v>
      </c>
      <c r="F773" t="s">
        <v>31</v>
      </c>
      <c r="G773" t="s">
        <v>21</v>
      </c>
      <c r="H773" t="s">
        <v>32</v>
      </c>
      <c r="I773" t="s">
        <v>42</v>
      </c>
      <c r="J773" t="s">
        <v>162</v>
      </c>
      <c r="K773" s="3">
        <v>229270.48</v>
      </c>
      <c r="L773" s="3">
        <v>217067.35</v>
      </c>
      <c r="M773">
        <v>5</v>
      </c>
      <c r="N773" s="4">
        <v>0.2</v>
      </c>
      <c r="O773" t="s">
        <v>136</v>
      </c>
      <c r="P773" t="s">
        <v>77</v>
      </c>
    </row>
    <row r="774" spans="1:16">
      <c r="A774" t="s">
        <v>926</v>
      </c>
      <c r="B774" s="2">
        <v>45792</v>
      </c>
      <c r="C774" t="s">
        <v>147</v>
      </c>
      <c r="D774" t="s">
        <v>148</v>
      </c>
      <c r="E774" t="s">
        <v>19</v>
      </c>
      <c r="F774" t="s">
        <v>20</v>
      </c>
      <c r="G774" t="s">
        <v>21</v>
      </c>
      <c r="H774" t="s">
        <v>22</v>
      </c>
      <c r="I774" t="s">
        <v>53</v>
      </c>
      <c r="J774" t="s">
        <v>54</v>
      </c>
      <c r="K774" s="3">
        <v>3843.12</v>
      </c>
      <c r="L774" s="3">
        <v>3114.52</v>
      </c>
      <c r="M774">
        <v>1</v>
      </c>
      <c r="N774" s="4">
        <v>0.15</v>
      </c>
      <c r="O774" t="s">
        <v>34</v>
      </c>
      <c r="P774" t="s">
        <v>77</v>
      </c>
    </row>
    <row r="775" spans="1:16">
      <c r="A775" t="s">
        <v>927</v>
      </c>
      <c r="B775" s="2">
        <v>45664</v>
      </c>
      <c r="C775" t="s">
        <v>200</v>
      </c>
      <c r="D775" t="s">
        <v>201</v>
      </c>
      <c r="E775" t="s">
        <v>193</v>
      </c>
      <c r="F775" t="s">
        <v>194</v>
      </c>
      <c r="G775" t="s">
        <v>89</v>
      </c>
      <c r="H775" t="s">
        <v>90</v>
      </c>
      <c r="I775" t="s">
        <v>84</v>
      </c>
      <c r="J775" t="s">
        <v>142</v>
      </c>
      <c r="K775" s="3">
        <v>5450.12</v>
      </c>
      <c r="L775" s="3">
        <v>1880.72</v>
      </c>
      <c r="M775">
        <v>4</v>
      </c>
      <c r="N775" s="4">
        <v>0</v>
      </c>
      <c r="O775" t="s">
        <v>34</v>
      </c>
      <c r="P775" t="s">
        <v>58</v>
      </c>
    </row>
    <row r="776" spans="1:16">
      <c r="A776" t="s">
        <v>928</v>
      </c>
      <c r="B776" s="2">
        <v>45596</v>
      </c>
      <c r="C776" t="s">
        <v>265</v>
      </c>
      <c r="D776" t="s">
        <v>266</v>
      </c>
      <c r="E776" t="s">
        <v>175</v>
      </c>
      <c r="F776" t="s">
        <v>176</v>
      </c>
      <c r="G776" t="s">
        <v>51</v>
      </c>
      <c r="H776" t="s">
        <v>177</v>
      </c>
      <c r="I776" t="s">
        <v>23</v>
      </c>
      <c r="J776" t="s">
        <v>24</v>
      </c>
      <c r="K776" s="3">
        <v>105502.35</v>
      </c>
      <c r="L776" s="3">
        <v>78432.45</v>
      </c>
      <c r="M776">
        <v>5</v>
      </c>
      <c r="N776" s="4">
        <v>0</v>
      </c>
      <c r="O776" t="s">
        <v>34</v>
      </c>
      <c r="P776" t="s">
        <v>58</v>
      </c>
    </row>
    <row r="777" spans="1:16">
      <c r="A777" t="s">
        <v>929</v>
      </c>
      <c r="B777" s="2">
        <v>45360</v>
      </c>
      <c r="C777" t="s">
        <v>147</v>
      </c>
      <c r="D777" t="s">
        <v>148</v>
      </c>
      <c r="E777" t="s">
        <v>110</v>
      </c>
      <c r="F777" t="s">
        <v>111</v>
      </c>
      <c r="G777" t="s">
        <v>40</v>
      </c>
      <c r="H777" t="s">
        <v>112</v>
      </c>
      <c r="I777" t="s">
        <v>84</v>
      </c>
      <c r="J777" t="s">
        <v>142</v>
      </c>
      <c r="K777" s="3">
        <v>14637.5</v>
      </c>
      <c r="L777" s="3">
        <v>6361.4</v>
      </c>
      <c r="M777">
        <v>5</v>
      </c>
      <c r="N777" s="4">
        <v>0.05</v>
      </c>
      <c r="O777" t="s">
        <v>44</v>
      </c>
      <c r="P777" t="s">
        <v>58</v>
      </c>
    </row>
    <row r="778" spans="1:16">
      <c r="A778" t="s">
        <v>930</v>
      </c>
      <c r="B778" s="2">
        <v>45599</v>
      </c>
      <c r="C778" t="s">
        <v>17</v>
      </c>
      <c r="D778" t="s">
        <v>18</v>
      </c>
      <c r="E778" t="s">
        <v>123</v>
      </c>
      <c r="F778" t="s">
        <v>124</v>
      </c>
      <c r="G778" t="s">
        <v>51</v>
      </c>
      <c r="H778" t="s">
        <v>125</v>
      </c>
      <c r="I778" t="s">
        <v>56</v>
      </c>
      <c r="J778" t="s">
        <v>57</v>
      </c>
      <c r="K778" s="3">
        <v>87550.75</v>
      </c>
      <c r="L778" s="3">
        <v>74353.759999999995</v>
      </c>
      <c r="M778">
        <v>4</v>
      </c>
      <c r="N778" s="4">
        <v>0.15</v>
      </c>
      <c r="O778" t="s">
        <v>136</v>
      </c>
      <c r="P778" t="s">
        <v>45</v>
      </c>
    </row>
    <row r="779" spans="1:16">
      <c r="A779" t="s">
        <v>931</v>
      </c>
      <c r="B779" s="2">
        <v>45979</v>
      </c>
      <c r="C779" t="s">
        <v>155</v>
      </c>
      <c r="D779" t="s">
        <v>156</v>
      </c>
      <c r="E779" t="s">
        <v>182</v>
      </c>
      <c r="F779" t="s">
        <v>183</v>
      </c>
      <c r="G779" t="s">
        <v>89</v>
      </c>
      <c r="H779" t="s">
        <v>90</v>
      </c>
      <c r="I779" t="s">
        <v>56</v>
      </c>
      <c r="J779" t="s">
        <v>191</v>
      </c>
      <c r="K779" s="3">
        <v>27421.72</v>
      </c>
      <c r="L779" s="3">
        <v>28083.599999999999</v>
      </c>
      <c r="M779">
        <v>5</v>
      </c>
      <c r="N779" s="4">
        <v>0.2</v>
      </c>
      <c r="O779" t="s">
        <v>76</v>
      </c>
      <c r="P779" t="s">
        <v>98</v>
      </c>
    </row>
    <row r="780" spans="1:16">
      <c r="A780" t="s">
        <v>932</v>
      </c>
      <c r="B780" s="2">
        <v>45945</v>
      </c>
      <c r="C780" t="s">
        <v>144</v>
      </c>
      <c r="D780" t="s">
        <v>145</v>
      </c>
      <c r="E780" t="s">
        <v>38</v>
      </c>
      <c r="F780" t="s">
        <v>39</v>
      </c>
      <c r="G780" t="s">
        <v>40</v>
      </c>
      <c r="H780" t="s">
        <v>41</v>
      </c>
      <c r="I780" t="s">
        <v>84</v>
      </c>
      <c r="J780" t="s">
        <v>142</v>
      </c>
      <c r="K780" s="3">
        <v>8348.8700000000008</v>
      </c>
      <c r="L780" s="3">
        <v>2654.45</v>
      </c>
      <c r="M780">
        <v>5</v>
      </c>
      <c r="N780" s="4">
        <v>0.15</v>
      </c>
      <c r="O780" t="s">
        <v>34</v>
      </c>
      <c r="P780" t="s">
        <v>58</v>
      </c>
    </row>
    <row r="781" spans="1:16">
      <c r="A781" t="s">
        <v>933</v>
      </c>
      <c r="B781" s="2">
        <v>45765</v>
      </c>
      <c r="C781" t="s">
        <v>114</v>
      </c>
      <c r="D781" t="s">
        <v>115</v>
      </c>
      <c r="E781" t="s">
        <v>49</v>
      </c>
      <c r="F781" t="s">
        <v>50</v>
      </c>
      <c r="G781" t="s">
        <v>51</v>
      </c>
      <c r="H781" t="s">
        <v>52</v>
      </c>
      <c r="I781" t="s">
        <v>84</v>
      </c>
      <c r="J781" t="s">
        <v>134</v>
      </c>
      <c r="K781" s="3">
        <v>27762.77</v>
      </c>
      <c r="L781" s="3">
        <v>13273.04</v>
      </c>
      <c r="M781">
        <v>2</v>
      </c>
      <c r="N781" s="4">
        <v>0.1</v>
      </c>
      <c r="O781" t="s">
        <v>136</v>
      </c>
      <c r="P781" t="s">
        <v>26</v>
      </c>
    </row>
    <row r="782" spans="1:16">
      <c r="A782" t="s">
        <v>934</v>
      </c>
      <c r="B782" s="2">
        <v>45500</v>
      </c>
      <c r="C782" t="s">
        <v>231</v>
      </c>
      <c r="D782" t="s">
        <v>232</v>
      </c>
      <c r="E782" t="s">
        <v>62</v>
      </c>
      <c r="F782" t="s">
        <v>63</v>
      </c>
      <c r="G782" t="s">
        <v>21</v>
      </c>
      <c r="H782" t="s">
        <v>64</v>
      </c>
      <c r="I782" t="s">
        <v>42</v>
      </c>
      <c r="J782" t="s">
        <v>68</v>
      </c>
      <c r="K782" s="3">
        <v>12551.82</v>
      </c>
      <c r="L782" s="3">
        <v>6864.4</v>
      </c>
      <c r="M782">
        <v>4</v>
      </c>
      <c r="N782" s="4">
        <v>0.05</v>
      </c>
      <c r="O782" t="s">
        <v>44</v>
      </c>
      <c r="P782" t="s">
        <v>58</v>
      </c>
    </row>
    <row r="783" spans="1:16">
      <c r="A783" t="s">
        <v>935</v>
      </c>
      <c r="B783" s="2">
        <v>45445</v>
      </c>
      <c r="C783" t="s">
        <v>104</v>
      </c>
      <c r="D783" t="s">
        <v>105</v>
      </c>
      <c r="E783" t="s">
        <v>72</v>
      </c>
      <c r="F783" t="s">
        <v>73</v>
      </c>
      <c r="G783" t="s">
        <v>51</v>
      </c>
      <c r="H783" t="s">
        <v>74</v>
      </c>
      <c r="I783" t="s">
        <v>23</v>
      </c>
      <c r="J783" t="s">
        <v>33</v>
      </c>
      <c r="K783" s="3">
        <v>15983.44</v>
      </c>
      <c r="L783" s="3">
        <v>7244.32</v>
      </c>
      <c r="M783">
        <v>2</v>
      </c>
      <c r="N783" s="4">
        <v>0.1</v>
      </c>
      <c r="O783" t="s">
        <v>136</v>
      </c>
      <c r="P783" t="s">
        <v>98</v>
      </c>
    </row>
    <row r="784" spans="1:16">
      <c r="A784" t="s">
        <v>936</v>
      </c>
      <c r="B784" s="2">
        <v>45954</v>
      </c>
      <c r="C784" t="s">
        <v>70</v>
      </c>
      <c r="D784" t="s">
        <v>71</v>
      </c>
      <c r="E784" t="s">
        <v>132</v>
      </c>
      <c r="F784" t="s">
        <v>133</v>
      </c>
      <c r="G784" t="s">
        <v>40</v>
      </c>
      <c r="H784" t="s">
        <v>41</v>
      </c>
      <c r="I784" t="s">
        <v>56</v>
      </c>
      <c r="J784" t="s">
        <v>91</v>
      </c>
      <c r="K784" s="3">
        <v>581.80999999999995</v>
      </c>
      <c r="L784" s="3">
        <v>235.1</v>
      </c>
      <c r="M784">
        <v>1</v>
      </c>
      <c r="N784" s="4">
        <v>0</v>
      </c>
      <c r="O784" t="s">
        <v>44</v>
      </c>
      <c r="P784" t="s">
        <v>45</v>
      </c>
    </row>
    <row r="785" spans="1:16">
      <c r="A785" t="s">
        <v>937</v>
      </c>
      <c r="B785" s="2">
        <v>45951</v>
      </c>
      <c r="C785" t="s">
        <v>130</v>
      </c>
      <c r="D785" t="s">
        <v>131</v>
      </c>
      <c r="E785" t="s">
        <v>187</v>
      </c>
      <c r="F785" t="s">
        <v>188</v>
      </c>
      <c r="G785" t="s">
        <v>89</v>
      </c>
      <c r="H785" t="s">
        <v>189</v>
      </c>
      <c r="I785" t="s">
        <v>23</v>
      </c>
      <c r="J785" t="s">
        <v>75</v>
      </c>
      <c r="K785" s="3">
        <v>9483.16</v>
      </c>
      <c r="L785" s="3">
        <v>6010.17</v>
      </c>
      <c r="M785">
        <v>1</v>
      </c>
      <c r="N785" s="4">
        <v>0</v>
      </c>
      <c r="O785" t="s">
        <v>25</v>
      </c>
      <c r="P785" t="s">
        <v>58</v>
      </c>
    </row>
    <row r="786" spans="1:16">
      <c r="A786" t="s">
        <v>938</v>
      </c>
      <c r="B786" s="2">
        <v>45357</v>
      </c>
      <c r="C786" t="s">
        <v>231</v>
      </c>
      <c r="D786" t="s">
        <v>232</v>
      </c>
      <c r="E786" t="s">
        <v>193</v>
      </c>
      <c r="F786" t="s">
        <v>194</v>
      </c>
      <c r="G786" t="s">
        <v>89</v>
      </c>
      <c r="H786" t="s">
        <v>90</v>
      </c>
      <c r="I786" t="s">
        <v>84</v>
      </c>
      <c r="J786" t="s">
        <v>142</v>
      </c>
      <c r="K786" s="3">
        <v>5624.04</v>
      </c>
      <c r="L786" s="3">
        <v>2158.7199999999998</v>
      </c>
      <c r="M786">
        <v>4</v>
      </c>
      <c r="N786" s="4">
        <v>0</v>
      </c>
      <c r="O786" t="s">
        <v>136</v>
      </c>
      <c r="P786" t="s">
        <v>58</v>
      </c>
    </row>
    <row r="787" spans="1:16">
      <c r="A787" t="s">
        <v>939</v>
      </c>
      <c r="B787" s="2">
        <v>45804</v>
      </c>
      <c r="C787" t="s">
        <v>36</v>
      </c>
      <c r="D787" t="s">
        <v>37</v>
      </c>
      <c r="E787" t="s">
        <v>19</v>
      </c>
      <c r="F787" t="s">
        <v>20</v>
      </c>
      <c r="G787" t="s">
        <v>21</v>
      </c>
      <c r="H787" t="s">
        <v>22</v>
      </c>
      <c r="I787" t="s">
        <v>42</v>
      </c>
      <c r="J787" t="s">
        <v>43</v>
      </c>
      <c r="K787" s="3">
        <v>6428.37</v>
      </c>
      <c r="L787" s="3">
        <v>3013.17</v>
      </c>
      <c r="M787">
        <v>1</v>
      </c>
      <c r="N787" s="4">
        <v>0.2</v>
      </c>
      <c r="O787" t="s">
        <v>44</v>
      </c>
      <c r="P787" t="s">
        <v>98</v>
      </c>
    </row>
    <row r="788" spans="1:16">
      <c r="A788" t="s">
        <v>940</v>
      </c>
      <c r="B788" s="2">
        <v>45417</v>
      </c>
      <c r="C788" t="s">
        <v>100</v>
      </c>
      <c r="D788" t="s">
        <v>101</v>
      </c>
      <c r="E788" t="s">
        <v>72</v>
      </c>
      <c r="F788" t="s">
        <v>73</v>
      </c>
      <c r="G788" t="s">
        <v>51</v>
      </c>
      <c r="H788" t="s">
        <v>74</v>
      </c>
      <c r="I788" t="s">
        <v>42</v>
      </c>
      <c r="J788" t="s">
        <v>43</v>
      </c>
      <c r="K788" s="3">
        <v>19648.97</v>
      </c>
      <c r="L788" s="3">
        <v>11590.29</v>
      </c>
      <c r="M788">
        <v>3</v>
      </c>
      <c r="N788" s="4">
        <v>0.15</v>
      </c>
      <c r="O788" t="s">
        <v>76</v>
      </c>
      <c r="P788" t="s">
        <v>26</v>
      </c>
    </row>
    <row r="789" spans="1:16">
      <c r="A789" t="s">
        <v>941</v>
      </c>
      <c r="B789" s="2">
        <v>45471</v>
      </c>
      <c r="C789" t="s">
        <v>144</v>
      </c>
      <c r="D789" t="s">
        <v>145</v>
      </c>
      <c r="E789" t="s">
        <v>152</v>
      </c>
      <c r="F789" t="s">
        <v>153</v>
      </c>
      <c r="G789" t="s">
        <v>21</v>
      </c>
      <c r="H789" t="s">
        <v>32</v>
      </c>
      <c r="I789" t="s">
        <v>23</v>
      </c>
      <c r="J789" t="s">
        <v>33</v>
      </c>
      <c r="K789" s="3">
        <v>21697.040000000001</v>
      </c>
      <c r="L789" s="3">
        <v>17503.759999999998</v>
      </c>
      <c r="M789">
        <v>2</v>
      </c>
      <c r="N789" s="4">
        <v>0.1</v>
      </c>
      <c r="O789" t="s">
        <v>34</v>
      </c>
      <c r="P789" t="s">
        <v>58</v>
      </c>
    </row>
    <row r="790" spans="1:16">
      <c r="A790" t="s">
        <v>942</v>
      </c>
      <c r="B790" s="2">
        <v>46008</v>
      </c>
      <c r="C790" t="s">
        <v>197</v>
      </c>
      <c r="D790" t="s">
        <v>198</v>
      </c>
      <c r="E790" t="s">
        <v>187</v>
      </c>
      <c r="F790" t="s">
        <v>188</v>
      </c>
      <c r="G790" t="s">
        <v>89</v>
      </c>
      <c r="H790" t="s">
        <v>189</v>
      </c>
      <c r="I790" t="s">
        <v>84</v>
      </c>
      <c r="J790" t="s">
        <v>134</v>
      </c>
      <c r="K790" s="3">
        <v>8605.73</v>
      </c>
      <c r="L790" s="3">
        <v>5298.14</v>
      </c>
      <c r="M790">
        <v>1</v>
      </c>
      <c r="N790" s="4">
        <v>0.05</v>
      </c>
      <c r="O790" t="s">
        <v>44</v>
      </c>
      <c r="P790" t="s">
        <v>58</v>
      </c>
    </row>
    <row r="791" spans="1:16">
      <c r="A791" t="s">
        <v>943</v>
      </c>
      <c r="B791" s="2">
        <v>45668</v>
      </c>
      <c r="C791" t="s">
        <v>158</v>
      </c>
      <c r="D791" t="s">
        <v>159</v>
      </c>
      <c r="E791" t="s">
        <v>87</v>
      </c>
      <c r="F791" t="s">
        <v>88</v>
      </c>
      <c r="G791" t="s">
        <v>89</v>
      </c>
      <c r="H791" t="s">
        <v>90</v>
      </c>
      <c r="I791" t="s">
        <v>42</v>
      </c>
      <c r="J791" t="s">
        <v>162</v>
      </c>
      <c r="K791" s="3">
        <v>12922.44</v>
      </c>
      <c r="L791" s="3">
        <v>4882.7700000000004</v>
      </c>
      <c r="M791">
        <v>3</v>
      </c>
      <c r="N791" s="4">
        <v>0.2</v>
      </c>
      <c r="O791" t="s">
        <v>25</v>
      </c>
      <c r="P791" t="s">
        <v>58</v>
      </c>
    </row>
    <row r="792" spans="1:16">
      <c r="A792" t="s">
        <v>944</v>
      </c>
      <c r="B792" s="2">
        <v>45857</v>
      </c>
      <c r="C792" t="s">
        <v>60</v>
      </c>
      <c r="D792" t="s">
        <v>61</v>
      </c>
      <c r="E792" t="s">
        <v>72</v>
      </c>
      <c r="F792" t="s">
        <v>73</v>
      </c>
      <c r="G792" t="s">
        <v>51</v>
      </c>
      <c r="H792" t="s">
        <v>74</v>
      </c>
      <c r="I792" t="s">
        <v>84</v>
      </c>
      <c r="J792" t="s">
        <v>142</v>
      </c>
      <c r="K792" s="3">
        <v>35174.99</v>
      </c>
      <c r="L792" s="3">
        <v>15389.64</v>
      </c>
      <c r="M792">
        <v>4</v>
      </c>
      <c r="N792" s="4">
        <v>0.1</v>
      </c>
      <c r="O792" t="s">
        <v>25</v>
      </c>
      <c r="P792" t="s">
        <v>58</v>
      </c>
    </row>
    <row r="793" spans="1:16">
      <c r="A793" t="s">
        <v>945</v>
      </c>
      <c r="B793" s="2">
        <v>45694</v>
      </c>
      <c r="C793" t="s">
        <v>170</v>
      </c>
      <c r="D793" t="s">
        <v>171</v>
      </c>
      <c r="E793" t="s">
        <v>106</v>
      </c>
      <c r="F793" t="s">
        <v>107</v>
      </c>
      <c r="G793" t="s">
        <v>40</v>
      </c>
      <c r="H793" t="s">
        <v>108</v>
      </c>
      <c r="I793" t="s">
        <v>23</v>
      </c>
      <c r="J793" t="s">
        <v>24</v>
      </c>
      <c r="K793" s="3">
        <v>8150.74</v>
      </c>
      <c r="L793" s="3">
        <v>2016.36</v>
      </c>
      <c r="M793">
        <v>3</v>
      </c>
      <c r="N793" s="4">
        <v>0.05</v>
      </c>
      <c r="O793" t="s">
        <v>44</v>
      </c>
      <c r="P793" t="s">
        <v>58</v>
      </c>
    </row>
    <row r="794" spans="1:16">
      <c r="A794" t="s">
        <v>946</v>
      </c>
      <c r="B794" s="2">
        <v>45616</v>
      </c>
      <c r="C794" t="s">
        <v>200</v>
      </c>
      <c r="D794" t="s">
        <v>201</v>
      </c>
      <c r="E794" t="s">
        <v>38</v>
      </c>
      <c r="F794" t="s">
        <v>39</v>
      </c>
      <c r="G794" t="s">
        <v>40</v>
      </c>
      <c r="H794" t="s">
        <v>41</v>
      </c>
      <c r="I794" t="s">
        <v>42</v>
      </c>
      <c r="J794" t="s">
        <v>68</v>
      </c>
      <c r="K794" s="3">
        <v>4153.84</v>
      </c>
      <c r="L794" s="3">
        <v>2115.7199999999998</v>
      </c>
      <c r="M794">
        <v>4</v>
      </c>
      <c r="N794" s="4">
        <v>0</v>
      </c>
      <c r="O794" t="s">
        <v>136</v>
      </c>
      <c r="P794" t="s">
        <v>98</v>
      </c>
    </row>
    <row r="795" spans="1:16">
      <c r="A795" t="s">
        <v>947</v>
      </c>
      <c r="B795" s="2">
        <v>45632</v>
      </c>
      <c r="C795" t="s">
        <v>93</v>
      </c>
      <c r="D795" t="s">
        <v>94</v>
      </c>
      <c r="E795" t="s">
        <v>132</v>
      </c>
      <c r="F795" t="s">
        <v>133</v>
      </c>
      <c r="G795" t="s">
        <v>40</v>
      </c>
      <c r="H795" t="s">
        <v>41</v>
      </c>
      <c r="I795" t="s">
        <v>53</v>
      </c>
      <c r="J795" t="s">
        <v>102</v>
      </c>
      <c r="K795" s="3">
        <v>3979.4</v>
      </c>
      <c r="L795" s="3">
        <v>1075.3599999999999</v>
      </c>
      <c r="M795">
        <v>4</v>
      </c>
      <c r="N795" s="4">
        <v>0.05</v>
      </c>
      <c r="O795" t="s">
        <v>44</v>
      </c>
      <c r="P795" t="s">
        <v>58</v>
      </c>
    </row>
    <row r="796" spans="1:16">
      <c r="A796" t="s">
        <v>948</v>
      </c>
      <c r="B796" s="2">
        <v>45852</v>
      </c>
      <c r="C796" t="s">
        <v>158</v>
      </c>
      <c r="D796" t="s">
        <v>159</v>
      </c>
      <c r="E796" t="s">
        <v>132</v>
      </c>
      <c r="F796" t="s">
        <v>133</v>
      </c>
      <c r="G796" t="s">
        <v>40</v>
      </c>
      <c r="H796" t="s">
        <v>41</v>
      </c>
      <c r="I796" t="s">
        <v>42</v>
      </c>
      <c r="J796" t="s">
        <v>43</v>
      </c>
      <c r="K796" s="3">
        <v>1119.75</v>
      </c>
      <c r="L796" s="3">
        <v>742.98</v>
      </c>
      <c r="M796">
        <v>3</v>
      </c>
      <c r="N796" s="4">
        <v>0</v>
      </c>
      <c r="O796" t="s">
        <v>76</v>
      </c>
      <c r="P796" t="s">
        <v>98</v>
      </c>
    </row>
    <row r="797" spans="1:16">
      <c r="A797" t="s">
        <v>949</v>
      </c>
      <c r="B797" s="2">
        <v>45702</v>
      </c>
      <c r="C797" t="s">
        <v>17</v>
      </c>
      <c r="D797" t="s">
        <v>18</v>
      </c>
      <c r="E797" t="s">
        <v>152</v>
      </c>
      <c r="F797" t="s">
        <v>153</v>
      </c>
      <c r="G797" t="s">
        <v>21</v>
      </c>
      <c r="H797" t="s">
        <v>32</v>
      </c>
      <c r="I797" t="s">
        <v>23</v>
      </c>
      <c r="J797" t="s">
        <v>24</v>
      </c>
      <c r="K797" s="3">
        <v>22337.200000000001</v>
      </c>
      <c r="L797" s="3">
        <v>16410.54</v>
      </c>
      <c r="M797">
        <v>2</v>
      </c>
      <c r="N797" s="4">
        <v>0</v>
      </c>
      <c r="O797" t="s">
        <v>25</v>
      </c>
      <c r="P797" t="s">
        <v>58</v>
      </c>
    </row>
    <row r="798" spans="1:16">
      <c r="A798" t="s">
        <v>950</v>
      </c>
      <c r="B798" s="2">
        <v>45956</v>
      </c>
      <c r="C798" t="s">
        <v>36</v>
      </c>
      <c r="D798" t="s">
        <v>37</v>
      </c>
      <c r="E798" t="s">
        <v>182</v>
      </c>
      <c r="F798" t="s">
        <v>183</v>
      </c>
      <c r="G798" t="s">
        <v>89</v>
      </c>
      <c r="H798" t="s">
        <v>90</v>
      </c>
      <c r="I798" t="s">
        <v>42</v>
      </c>
      <c r="J798" t="s">
        <v>162</v>
      </c>
      <c r="K798" s="3">
        <v>21082.1</v>
      </c>
      <c r="L798" s="3">
        <v>12832.7</v>
      </c>
      <c r="M798">
        <v>2</v>
      </c>
      <c r="N798" s="4">
        <v>0.1</v>
      </c>
      <c r="O798" t="s">
        <v>136</v>
      </c>
      <c r="P798" t="s">
        <v>98</v>
      </c>
    </row>
    <row r="799" spans="1:16">
      <c r="A799" t="s">
        <v>951</v>
      </c>
      <c r="B799" s="2">
        <v>45469</v>
      </c>
      <c r="C799" t="s">
        <v>93</v>
      </c>
      <c r="D799" t="s">
        <v>94</v>
      </c>
      <c r="E799" t="s">
        <v>152</v>
      </c>
      <c r="F799" t="s">
        <v>153</v>
      </c>
      <c r="G799" t="s">
        <v>21</v>
      </c>
      <c r="H799" t="s">
        <v>32</v>
      </c>
      <c r="I799" t="s">
        <v>84</v>
      </c>
      <c r="J799" t="s">
        <v>142</v>
      </c>
      <c r="K799" s="3">
        <v>69296.23</v>
      </c>
      <c r="L799" s="3">
        <v>42614.15</v>
      </c>
      <c r="M799">
        <v>5</v>
      </c>
      <c r="N799" s="4">
        <v>0.05</v>
      </c>
      <c r="O799" t="s">
        <v>25</v>
      </c>
      <c r="P799" t="s">
        <v>26</v>
      </c>
    </row>
    <row r="800" spans="1:16">
      <c r="A800" t="s">
        <v>952</v>
      </c>
      <c r="B800" s="2">
        <v>45678</v>
      </c>
      <c r="C800" t="s">
        <v>158</v>
      </c>
      <c r="D800" t="s">
        <v>159</v>
      </c>
      <c r="E800" t="s">
        <v>117</v>
      </c>
      <c r="F800" t="s">
        <v>118</v>
      </c>
      <c r="G800" t="s">
        <v>51</v>
      </c>
      <c r="H800" t="s">
        <v>119</v>
      </c>
      <c r="I800" t="s">
        <v>56</v>
      </c>
      <c r="J800" t="s">
        <v>91</v>
      </c>
      <c r="K800" s="3">
        <v>42762.92</v>
      </c>
      <c r="L800" s="3">
        <v>21260.2</v>
      </c>
      <c r="M800">
        <v>5</v>
      </c>
      <c r="N800" s="4">
        <v>0.2</v>
      </c>
      <c r="O800" t="s">
        <v>34</v>
      </c>
      <c r="P800" t="s">
        <v>58</v>
      </c>
    </row>
    <row r="801" spans="1:16">
      <c r="A801" t="s">
        <v>953</v>
      </c>
      <c r="B801" s="2">
        <v>45560</v>
      </c>
      <c r="C801" t="s">
        <v>100</v>
      </c>
      <c r="D801" t="s">
        <v>101</v>
      </c>
      <c r="E801" t="s">
        <v>38</v>
      </c>
      <c r="F801" t="s">
        <v>39</v>
      </c>
      <c r="G801" t="s">
        <v>40</v>
      </c>
      <c r="H801" t="s">
        <v>41</v>
      </c>
      <c r="I801" t="s">
        <v>84</v>
      </c>
      <c r="J801" t="s">
        <v>85</v>
      </c>
      <c r="K801" s="3">
        <v>2542.1</v>
      </c>
      <c r="L801" s="3">
        <v>909.96</v>
      </c>
      <c r="M801">
        <v>2</v>
      </c>
      <c r="N801" s="4">
        <v>0.2</v>
      </c>
      <c r="O801" t="s">
        <v>44</v>
      </c>
      <c r="P801" t="s">
        <v>58</v>
      </c>
    </row>
    <row r="802" spans="1:16">
      <c r="A802" t="s">
        <v>954</v>
      </c>
      <c r="B802" s="2">
        <v>45872</v>
      </c>
      <c r="C802" t="s">
        <v>100</v>
      </c>
      <c r="D802" t="s">
        <v>101</v>
      </c>
      <c r="E802" t="s">
        <v>172</v>
      </c>
      <c r="F802" t="s">
        <v>173</v>
      </c>
      <c r="G802" t="s">
        <v>40</v>
      </c>
      <c r="H802" t="s">
        <v>41</v>
      </c>
      <c r="I802" t="s">
        <v>23</v>
      </c>
      <c r="J802" t="s">
        <v>75</v>
      </c>
      <c r="K802" s="3">
        <v>2194.11</v>
      </c>
      <c r="L802" s="3">
        <v>812.54</v>
      </c>
      <c r="M802">
        <v>1</v>
      </c>
      <c r="N802" s="4">
        <v>0.15</v>
      </c>
      <c r="O802" t="s">
        <v>136</v>
      </c>
      <c r="P802" t="s">
        <v>58</v>
      </c>
    </row>
    <row r="803" spans="1:16">
      <c r="A803" t="s">
        <v>955</v>
      </c>
      <c r="B803" s="2">
        <v>45564</v>
      </c>
      <c r="C803" t="s">
        <v>36</v>
      </c>
      <c r="D803" t="s">
        <v>37</v>
      </c>
      <c r="E803" t="s">
        <v>49</v>
      </c>
      <c r="F803" t="s">
        <v>50</v>
      </c>
      <c r="G803" t="s">
        <v>51</v>
      </c>
      <c r="H803" t="s">
        <v>52</v>
      </c>
      <c r="I803" t="s">
        <v>84</v>
      </c>
      <c r="J803" t="s">
        <v>85</v>
      </c>
      <c r="K803" s="3">
        <v>29890.77</v>
      </c>
      <c r="L803" s="3">
        <v>22035.06</v>
      </c>
      <c r="M803">
        <v>3</v>
      </c>
      <c r="N803" s="4">
        <v>0.15</v>
      </c>
      <c r="O803" t="s">
        <v>76</v>
      </c>
      <c r="P803" t="s">
        <v>58</v>
      </c>
    </row>
    <row r="804" spans="1:16">
      <c r="A804" t="s">
        <v>956</v>
      </c>
      <c r="B804" s="2">
        <v>45476</v>
      </c>
      <c r="C804" t="s">
        <v>265</v>
      </c>
      <c r="D804" t="s">
        <v>266</v>
      </c>
      <c r="E804" t="s">
        <v>49</v>
      </c>
      <c r="F804" t="s">
        <v>50</v>
      </c>
      <c r="G804" t="s">
        <v>51</v>
      </c>
      <c r="H804" t="s">
        <v>52</v>
      </c>
      <c r="I804" t="s">
        <v>56</v>
      </c>
      <c r="J804" t="s">
        <v>91</v>
      </c>
      <c r="K804" s="3">
        <v>29276.39</v>
      </c>
      <c r="L804" s="3">
        <v>29637.8</v>
      </c>
      <c r="M804">
        <v>4</v>
      </c>
      <c r="N804" s="4">
        <v>0.1</v>
      </c>
      <c r="O804" t="s">
        <v>76</v>
      </c>
      <c r="P804" t="s">
        <v>98</v>
      </c>
    </row>
    <row r="805" spans="1:16">
      <c r="A805" t="s">
        <v>957</v>
      </c>
      <c r="B805" s="2">
        <v>45992</v>
      </c>
      <c r="C805" t="s">
        <v>36</v>
      </c>
      <c r="D805" t="s">
        <v>37</v>
      </c>
      <c r="E805" t="s">
        <v>172</v>
      </c>
      <c r="F805" t="s">
        <v>173</v>
      </c>
      <c r="G805" t="s">
        <v>40</v>
      </c>
      <c r="H805" t="s">
        <v>41</v>
      </c>
      <c r="I805" t="s">
        <v>42</v>
      </c>
      <c r="J805" t="s">
        <v>43</v>
      </c>
      <c r="K805" s="3">
        <v>8679.2000000000007</v>
      </c>
      <c r="L805" s="3">
        <v>3301.72</v>
      </c>
      <c r="M805">
        <v>4</v>
      </c>
      <c r="N805" s="4">
        <v>0.1</v>
      </c>
      <c r="O805" t="s">
        <v>136</v>
      </c>
      <c r="P805" t="s">
        <v>58</v>
      </c>
    </row>
    <row r="806" spans="1:16">
      <c r="A806" t="s">
        <v>958</v>
      </c>
      <c r="B806" s="2">
        <v>45725</v>
      </c>
      <c r="C806" t="s">
        <v>60</v>
      </c>
      <c r="D806" t="s">
        <v>61</v>
      </c>
      <c r="E806" t="s">
        <v>106</v>
      </c>
      <c r="F806" t="s">
        <v>107</v>
      </c>
      <c r="G806" t="s">
        <v>40</v>
      </c>
      <c r="H806" t="s">
        <v>108</v>
      </c>
      <c r="I806" t="s">
        <v>42</v>
      </c>
      <c r="J806" t="s">
        <v>162</v>
      </c>
      <c r="K806" s="3">
        <v>5048.05</v>
      </c>
      <c r="L806" s="3">
        <v>3329.35</v>
      </c>
      <c r="M806">
        <v>5</v>
      </c>
      <c r="N806" s="4">
        <v>0</v>
      </c>
      <c r="O806" t="s">
        <v>25</v>
      </c>
      <c r="P806" t="s">
        <v>77</v>
      </c>
    </row>
    <row r="807" spans="1:16">
      <c r="A807" t="s">
        <v>959</v>
      </c>
      <c r="B807" s="2">
        <v>45912</v>
      </c>
      <c r="C807" t="s">
        <v>36</v>
      </c>
      <c r="D807" t="s">
        <v>37</v>
      </c>
      <c r="E807" t="s">
        <v>87</v>
      </c>
      <c r="F807" t="s">
        <v>88</v>
      </c>
      <c r="G807" t="s">
        <v>89</v>
      </c>
      <c r="H807" t="s">
        <v>90</v>
      </c>
      <c r="I807" t="s">
        <v>84</v>
      </c>
      <c r="J807" t="s">
        <v>134</v>
      </c>
      <c r="K807" s="3">
        <v>24187.65</v>
      </c>
      <c r="L807" s="3">
        <v>9377.2000000000007</v>
      </c>
      <c r="M807">
        <v>5</v>
      </c>
      <c r="N807" s="4">
        <v>0</v>
      </c>
      <c r="O807" t="s">
        <v>44</v>
      </c>
      <c r="P807" t="s">
        <v>26</v>
      </c>
    </row>
    <row r="808" spans="1:16">
      <c r="A808" t="s">
        <v>960</v>
      </c>
      <c r="B808" s="2">
        <v>45671</v>
      </c>
      <c r="C808" t="s">
        <v>265</v>
      </c>
      <c r="D808" t="s">
        <v>266</v>
      </c>
      <c r="E808" t="s">
        <v>106</v>
      </c>
      <c r="F808" t="s">
        <v>107</v>
      </c>
      <c r="G808" t="s">
        <v>40</v>
      </c>
      <c r="H808" t="s">
        <v>108</v>
      </c>
      <c r="I808" t="s">
        <v>42</v>
      </c>
      <c r="J808" t="s">
        <v>68</v>
      </c>
      <c r="K808" s="3">
        <v>3249.65</v>
      </c>
      <c r="L808" s="3">
        <v>1531.06</v>
      </c>
      <c r="M808">
        <v>2</v>
      </c>
      <c r="N808" s="4">
        <v>0.2</v>
      </c>
      <c r="O808" t="s">
        <v>76</v>
      </c>
      <c r="P808" t="s">
        <v>45</v>
      </c>
    </row>
    <row r="809" spans="1:16">
      <c r="A809" t="s">
        <v>961</v>
      </c>
      <c r="B809" s="2">
        <v>45639</v>
      </c>
      <c r="C809" t="s">
        <v>200</v>
      </c>
      <c r="D809" t="s">
        <v>201</v>
      </c>
      <c r="E809" t="s">
        <v>182</v>
      </c>
      <c r="F809" t="s">
        <v>183</v>
      </c>
      <c r="G809" t="s">
        <v>89</v>
      </c>
      <c r="H809" t="s">
        <v>90</v>
      </c>
      <c r="I809" t="s">
        <v>56</v>
      </c>
      <c r="J809" t="s">
        <v>191</v>
      </c>
      <c r="K809" s="3">
        <v>28896.22</v>
      </c>
      <c r="L809" s="3">
        <v>22233.200000000001</v>
      </c>
      <c r="M809">
        <v>4</v>
      </c>
      <c r="N809" s="4">
        <v>0.2</v>
      </c>
      <c r="O809" t="s">
        <v>136</v>
      </c>
      <c r="P809" t="s">
        <v>58</v>
      </c>
    </row>
    <row r="810" spans="1:16">
      <c r="A810" t="s">
        <v>962</v>
      </c>
      <c r="B810" s="2">
        <v>45337</v>
      </c>
      <c r="C810" t="s">
        <v>66</v>
      </c>
      <c r="D810" t="s">
        <v>67</v>
      </c>
      <c r="E810" t="s">
        <v>19</v>
      </c>
      <c r="F810" t="s">
        <v>20</v>
      </c>
      <c r="G810" t="s">
        <v>21</v>
      </c>
      <c r="H810" t="s">
        <v>22</v>
      </c>
      <c r="I810" t="s">
        <v>84</v>
      </c>
      <c r="J810" t="s">
        <v>134</v>
      </c>
      <c r="K810" s="3">
        <v>15929.68</v>
      </c>
      <c r="L810" s="3">
        <v>5999.06</v>
      </c>
      <c r="M810">
        <v>2</v>
      </c>
      <c r="N810" s="4">
        <v>0.1</v>
      </c>
      <c r="O810" t="s">
        <v>44</v>
      </c>
      <c r="P810" t="s">
        <v>26</v>
      </c>
    </row>
    <row r="811" spans="1:16">
      <c r="A811" t="s">
        <v>963</v>
      </c>
      <c r="B811" s="2">
        <v>45562</v>
      </c>
      <c r="C811" t="s">
        <v>265</v>
      </c>
      <c r="D811" t="s">
        <v>266</v>
      </c>
      <c r="E811" t="s">
        <v>175</v>
      </c>
      <c r="F811" t="s">
        <v>176</v>
      </c>
      <c r="G811" t="s">
        <v>51</v>
      </c>
      <c r="H811" t="s">
        <v>177</v>
      </c>
      <c r="I811" t="s">
        <v>42</v>
      </c>
      <c r="J811" t="s">
        <v>43</v>
      </c>
      <c r="K811" s="3">
        <v>137199.69</v>
      </c>
      <c r="L811" s="3">
        <v>77008.149999999994</v>
      </c>
      <c r="M811">
        <v>5</v>
      </c>
      <c r="N811" s="4">
        <v>0.1</v>
      </c>
      <c r="O811" t="s">
        <v>136</v>
      </c>
      <c r="P811" t="s">
        <v>58</v>
      </c>
    </row>
    <row r="812" spans="1:16">
      <c r="A812" t="s">
        <v>964</v>
      </c>
      <c r="B812" s="2">
        <v>45485</v>
      </c>
      <c r="C812" t="s">
        <v>70</v>
      </c>
      <c r="D812" t="s">
        <v>71</v>
      </c>
      <c r="E812" t="s">
        <v>38</v>
      </c>
      <c r="F812" t="s">
        <v>39</v>
      </c>
      <c r="G812" t="s">
        <v>40</v>
      </c>
      <c r="H812" t="s">
        <v>41</v>
      </c>
      <c r="I812" t="s">
        <v>23</v>
      </c>
      <c r="J812" t="s">
        <v>24</v>
      </c>
      <c r="K812" s="3">
        <v>1518.15</v>
      </c>
      <c r="L812" s="3">
        <v>910.92</v>
      </c>
      <c r="M812">
        <v>2</v>
      </c>
      <c r="N812" s="4">
        <v>0.15</v>
      </c>
      <c r="O812" t="s">
        <v>44</v>
      </c>
      <c r="P812" t="s">
        <v>58</v>
      </c>
    </row>
    <row r="813" spans="1:16">
      <c r="A813" t="s">
        <v>965</v>
      </c>
      <c r="B813" s="2">
        <v>45410</v>
      </c>
      <c r="C813" t="s">
        <v>60</v>
      </c>
      <c r="D813" t="s">
        <v>61</v>
      </c>
      <c r="E813" t="s">
        <v>38</v>
      </c>
      <c r="F813" t="s">
        <v>39</v>
      </c>
      <c r="G813" t="s">
        <v>40</v>
      </c>
      <c r="H813" t="s">
        <v>41</v>
      </c>
      <c r="I813" t="s">
        <v>56</v>
      </c>
      <c r="J813" t="s">
        <v>91</v>
      </c>
      <c r="K813" s="3">
        <v>3745.38</v>
      </c>
      <c r="L813" s="3">
        <v>1816.32</v>
      </c>
      <c r="M813">
        <v>4</v>
      </c>
      <c r="N813" s="4">
        <v>0.2</v>
      </c>
      <c r="O813" t="s">
        <v>136</v>
      </c>
      <c r="P813" t="s">
        <v>98</v>
      </c>
    </row>
    <row r="814" spans="1:16">
      <c r="A814" t="s">
        <v>966</v>
      </c>
      <c r="B814" s="2">
        <v>45443</v>
      </c>
      <c r="C814" t="s">
        <v>197</v>
      </c>
      <c r="D814" t="s">
        <v>198</v>
      </c>
      <c r="E814" t="s">
        <v>19</v>
      </c>
      <c r="F814" t="s">
        <v>20</v>
      </c>
      <c r="G814" t="s">
        <v>21</v>
      </c>
      <c r="H814" t="s">
        <v>22</v>
      </c>
      <c r="I814" t="s">
        <v>53</v>
      </c>
      <c r="J814" t="s">
        <v>102</v>
      </c>
      <c r="K814" s="3">
        <v>4058.15</v>
      </c>
      <c r="L814" s="3">
        <v>2909.76</v>
      </c>
      <c r="M814">
        <v>1</v>
      </c>
      <c r="N814" s="4">
        <v>0.1</v>
      </c>
      <c r="O814" t="s">
        <v>76</v>
      </c>
      <c r="P814" t="s">
        <v>58</v>
      </c>
    </row>
    <row r="815" spans="1:16">
      <c r="A815" t="s">
        <v>967</v>
      </c>
      <c r="B815" s="2">
        <v>45571</v>
      </c>
      <c r="C815" t="s">
        <v>93</v>
      </c>
      <c r="D815" t="s">
        <v>94</v>
      </c>
      <c r="E815" t="s">
        <v>182</v>
      </c>
      <c r="F815" t="s">
        <v>183</v>
      </c>
      <c r="G815" t="s">
        <v>89</v>
      </c>
      <c r="H815" t="s">
        <v>90</v>
      </c>
      <c r="I815" t="s">
        <v>53</v>
      </c>
      <c r="J815" t="s">
        <v>102</v>
      </c>
      <c r="K815" s="3">
        <v>43934.92</v>
      </c>
      <c r="L815" s="3">
        <v>32345.35</v>
      </c>
      <c r="M815">
        <v>5</v>
      </c>
      <c r="N815" s="4">
        <v>0.2</v>
      </c>
      <c r="O815" t="s">
        <v>25</v>
      </c>
      <c r="P815" t="s">
        <v>58</v>
      </c>
    </row>
    <row r="816" spans="1:16">
      <c r="A816" t="s">
        <v>968</v>
      </c>
      <c r="B816" s="2">
        <v>45802</v>
      </c>
      <c r="C816" t="s">
        <v>207</v>
      </c>
      <c r="D816" t="s">
        <v>208</v>
      </c>
      <c r="E816" t="s">
        <v>62</v>
      </c>
      <c r="F816" t="s">
        <v>63</v>
      </c>
      <c r="G816" t="s">
        <v>21</v>
      </c>
      <c r="H816" t="s">
        <v>64</v>
      </c>
      <c r="I816" t="s">
        <v>84</v>
      </c>
      <c r="J816" t="s">
        <v>85</v>
      </c>
      <c r="K816" s="3">
        <v>2132.41</v>
      </c>
      <c r="L816" s="3">
        <v>1939.45</v>
      </c>
      <c r="M816">
        <v>1</v>
      </c>
      <c r="N816" s="4">
        <v>0</v>
      </c>
      <c r="O816" t="s">
        <v>136</v>
      </c>
      <c r="P816" t="s">
        <v>77</v>
      </c>
    </row>
    <row r="817" spans="1:16">
      <c r="A817" t="s">
        <v>969</v>
      </c>
      <c r="B817" s="2">
        <v>45623</v>
      </c>
      <c r="C817" t="s">
        <v>147</v>
      </c>
      <c r="D817" t="s">
        <v>148</v>
      </c>
      <c r="E817" t="s">
        <v>19</v>
      </c>
      <c r="F817" t="s">
        <v>20</v>
      </c>
      <c r="G817" t="s">
        <v>21</v>
      </c>
      <c r="H817" t="s">
        <v>22</v>
      </c>
      <c r="I817" t="s">
        <v>53</v>
      </c>
      <c r="J817" t="s">
        <v>102</v>
      </c>
      <c r="K817" s="3">
        <v>10124.719999999999</v>
      </c>
      <c r="L817" s="3">
        <v>5434.64</v>
      </c>
      <c r="M817">
        <v>2</v>
      </c>
      <c r="N817" s="4">
        <v>0.15</v>
      </c>
      <c r="O817" t="s">
        <v>136</v>
      </c>
      <c r="P817" t="s">
        <v>45</v>
      </c>
    </row>
    <row r="818" spans="1:16">
      <c r="A818" t="s">
        <v>970</v>
      </c>
      <c r="B818" s="2">
        <v>45336</v>
      </c>
      <c r="C818" t="s">
        <v>155</v>
      </c>
      <c r="D818" t="s">
        <v>156</v>
      </c>
      <c r="E818" t="s">
        <v>30</v>
      </c>
      <c r="F818" t="s">
        <v>31</v>
      </c>
      <c r="G818" t="s">
        <v>21</v>
      </c>
      <c r="H818" t="s">
        <v>32</v>
      </c>
      <c r="I818" t="s">
        <v>84</v>
      </c>
      <c r="J818" t="s">
        <v>134</v>
      </c>
      <c r="K818" s="3">
        <v>229648.2</v>
      </c>
      <c r="L818" s="3">
        <v>261643</v>
      </c>
      <c r="M818">
        <v>5</v>
      </c>
      <c r="N818" s="4">
        <v>0.2</v>
      </c>
      <c r="O818" t="s">
        <v>76</v>
      </c>
      <c r="P818" t="s">
        <v>58</v>
      </c>
    </row>
    <row r="819" spans="1:16">
      <c r="A819" t="s">
        <v>971</v>
      </c>
      <c r="B819" s="2">
        <v>45348</v>
      </c>
      <c r="C819" t="s">
        <v>28</v>
      </c>
      <c r="D819" t="s">
        <v>29</v>
      </c>
      <c r="E819" t="s">
        <v>123</v>
      </c>
      <c r="F819" t="s">
        <v>124</v>
      </c>
      <c r="G819" t="s">
        <v>51</v>
      </c>
      <c r="H819" t="s">
        <v>125</v>
      </c>
      <c r="I819" t="s">
        <v>84</v>
      </c>
      <c r="J819" t="s">
        <v>134</v>
      </c>
      <c r="K819" s="3">
        <v>30904.880000000001</v>
      </c>
      <c r="L819" s="3">
        <v>18169.759999999998</v>
      </c>
      <c r="M819">
        <v>1</v>
      </c>
      <c r="N819" s="4">
        <v>0</v>
      </c>
      <c r="O819" t="s">
        <v>136</v>
      </c>
      <c r="P819" t="s">
        <v>45</v>
      </c>
    </row>
    <row r="820" spans="1:16">
      <c r="A820" t="s">
        <v>972</v>
      </c>
      <c r="B820" s="2">
        <v>45700</v>
      </c>
      <c r="C820" t="s">
        <v>200</v>
      </c>
      <c r="D820" t="s">
        <v>201</v>
      </c>
      <c r="E820" t="s">
        <v>72</v>
      </c>
      <c r="F820" t="s">
        <v>73</v>
      </c>
      <c r="G820" t="s">
        <v>51</v>
      </c>
      <c r="H820" t="s">
        <v>74</v>
      </c>
      <c r="I820" t="s">
        <v>53</v>
      </c>
      <c r="J820" t="s">
        <v>54</v>
      </c>
      <c r="K820" s="3">
        <v>4784.9799999999996</v>
      </c>
      <c r="L820" s="3">
        <v>3616.41</v>
      </c>
      <c r="M820">
        <v>1</v>
      </c>
      <c r="N820" s="4">
        <v>0.15</v>
      </c>
      <c r="O820" t="s">
        <v>136</v>
      </c>
      <c r="P820" t="s">
        <v>45</v>
      </c>
    </row>
    <row r="821" spans="1:16">
      <c r="A821" t="s">
        <v>973</v>
      </c>
      <c r="B821" s="2">
        <v>45597</v>
      </c>
      <c r="C821" t="s">
        <v>17</v>
      </c>
      <c r="D821" t="s">
        <v>18</v>
      </c>
      <c r="E821" t="s">
        <v>152</v>
      </c>
      <c r="F821" t="s">
        <v>153</v>
      </c>
      <c r="G821" t="s">
        <v>21</v>
      </c>
      <c r="H821" t="s">
        <v>32</v>
      </c>
      <c r="I821" t="s">
        <v>23</v>
      </c>
      <c r="J821" t="s">
        <v>33</v>
      </c>
      <c r="K821" s="3">
        <v>50906.38</v>
      </c>
      <c r="L821" s="3">
        <v>33927.040000000001</v>
      </c>
      <c r="M821">
        <v>4</v>
      </c>
      <c r="N821" s="4">
        <v>0.1</v>
      </c>
      <c r="O821" t="s">
        <v>34</v>
      </c>
      <c r="P821" t="s">
        <v>58</v>
      </c>
    </row>
    <row r="822" spans="1:16">
      <c r="A822" t="s">
        <v>974</v>
      </c>
      <c r="B822" s="2">
        <v>45668</v>
      </c>
      <c r="C822" t="s">
        <v>158</v>
      </c>
      <c r="D822" t="s">
        <v>159</v>
      </c>
      <c r="E822" t="s">
        <v>19</v>
      </c>
      <c r="F822" t="s">
        <v>20</v>
      </c>
      <c r="G822" t="s">
        <v>21</v>
      </c>
      <c r="H822" t="s">
        <v>22</v>
      </c>
      <c r="I822" t="s">
        <v>53</v>
      </c>
      <c r="J822" t="s">
        <v>102</v>
      </c>
      <c r="K822" s="3">
        <v>24957.27</v>
      </c>
      <c r="L822" s="3">
        <v>14099.6</v>
      </c>
      <c r="M822">
        <v>5</v>
      </c>
      <c r="N822" s="4">
        <v>0.15</v>
      </c>
      <c r="O822" t="s">
        <v>136</v>
      </c>
      <c r="P822" t="s">
        <v>45</v>
      </c>
    </row>
    <row r="823" spans="1:16">
      <c r="A823" t="s">
        <v>975</v>
      </c>
      <c r="B823" s="2">
        <v>45384</v>
      </c>
      <c r="C823" t="s">
        <v>147</v>
      </c>
      <c r="D823" t="s">
        <v>148</v>
      </c>
      <c r="E823" t="s">
        <v>193</v>
      </c>
      <c r="F823" t="s">
        <v>194</v>
      </c>
      <c r="G823" t="s">
        <v>89</v>
      </c>
      <c r="H823" t="s">
        <v>90</v>
      </c>
      <c r="I823" t="s">
        <v>56</v>
      </c>
      <c r="J823" t="s">
        <v>91</v>
      </c>
      <c r="K823" s="3">
        <v>4544.58</v>
      </c>
      <c r="L823" s="3">
        <v>2124.4</v>
      </c>
      <c r="M823">
        <v>4</v>
      </c>
      <c r="N823" s="4">
        <v>0.15</v>
      </c>
      <c r="O823" t="s">
        <v>136</v>
      </c>
      <c r="P823" t="s">
        <v>58</v>
      </c>
    </row>
    <row r="824" spans="1:16">
      <c r="A824" t="s">
        <v>976</v>
      </c>
      <c r="B824" s="2">
        <v>45766</v>
      </c>
      <c r="C824" t="s">
        <v>28</v>
      </c>
      <c r="D824" t="s">
        <v>29</v>
      </c>
      <c r="E824" t="s">
        <v>182</v>
      </c>
      <c r="F824" t="s">
        <v>183</v>
      </c>
      <c r="G824" t="s">
        <v>89</v>
      </c>
      <c r="H824" t="s">
        <v>90</v>
      </c>
      <c r="I824" t="s">
        <v>84</v>
      </c>
      <c r="J824" t="s">
        <v>134</v>
      </c>
      <c r="K824" s="3">
        <v>20255.96</v>
      </c>
      <c r="L824" s="3">
        <v>12354.26</v>
      </c>
      <c r="M824">
        <v>2</v>
      </c>
      <c r="N824" s="4">
        <v>0.15</v>
      </c>
      <c r="O824" t="s">
        <v>34</v>
      </c>
      <c r="P824" t="s">
        <v>58</v>
      </c>
    </row>
    <row r="825" spans="1:16">
      <c r="A825" t="s">
        <v>977</v>
      </c>
      <c r="B825" s="2">
        <v>45373</v>
      </c>
      <c r="C825" t="s">
        <v>265</v>
      </c>
      <c r="D825" t="s">
        <v>266</v>
      </c>
      <c r="E825" t="s">
        <v>38</v>
      </c>
      <c r="F825" t="s">
        <v>39</v>
      </c>
      <c r="G825" t="s">
        <v>40</v>
      </c>
      <c r="H825" t="s">
        <v>41</v>
      </c>
      <c r="I825" t="s">
        <v>56</v>
      </c>
      <c r="J825" t="s">
        <v>91</v>
      </c>
      <c r="K825" s="3">
        <v>7828.92</v>
      </c>
      <c r="L825" s="3">
        <v>1920.16</v>
      </c>
      <c r="M825">
        <v>4</v>
      </c>
      <c r="N825" s="4">
        <v>0.1</v>
      </c>
      <c r="O825" t="s">
        <v>76</v>
      </c>
      <c r="P825" t="s">
        <v>26</v>
      </c>
    </row>
    <row r="826" spans="1:16">
      <c r="A826" t="s">
        <v>978</v>
      </c>
      <c r="B826" s="2">
        <v>45856</v>
      </c>
      <c r="C826" t="s">
        <v>265</v>
      </c>
      <c r="D826" t="s">
        <v>266</v>
      </c>
      <c r="E826" t="s">
        <v>95</v>
      </c>
      <c r="F826" t="s">
        <v>96</v>
      </c>
      <c r="G826" t="s">
        <v>89</v>
      </c>
      <c r="H826" t="s">
        <v>97</v>
      </c>
      <c r="I826" t="s">
        <v>23</v>
      </c>
      <c r="J826" t="s">
        <v>24</v>
      </c>
      <c r="K826" s="3">
        <v>5222.5200000000004</v>
      </c>
      <c r="L826" s="3">
        <v>3792.11</v>
      </c>
      <c r="M826">
        <v>1</v>
      </c>
      <c r="N826" s="4">
        <v>0.2</v>
      </c>
      <c r="O826" t="s">
        <v>136</v>
      </c>
      <c r="P826" t="s">
        <v>26</v>
      </c>
    </row>
    <row r="827" spans="1:16">
      <c r="A827" t="s">
        <v>979</v>
      </c>
      <c r="B827" s="2">
        <v>45874</v>
      </c>
      <c r="C827" t="s">
        <v>179</v>
      </c>
      <c r="D827" t="s">
        <v>180</v>
      </c>
      <c r="E827" t="s">
        <v>38</v>
      </c>
      <c r="F827" t="s">
        <v>39</v>
      </c>
      <c r="G827" t="s">
        <v>40</v>
      </c>
      <c r="H827" t="s">
        <v>41</v>
      </c>
      <c r="I827" t="s">
        <v>42</v>
      </c>
      <c r="J827" t="s">
        <v>68</v>
      </c>
      <c r="K827" s="3">
        <v>3688.58</v>
      </c>
      <c r="L827" s="3">
        <v>1456.65</v>
      </c>
      <c r="M827">
        <v>3</v>
      </c>
      <c r="N827" s="4">
        <v>0.2</v>
      </c>
      <c r="O827" t="s">
        <v>25</v>
      </c>
      <c r="P827" t="s">
        <v>58</v>
      </c>
    </row>
    <row r="828" spans="1:16">
      <c r="A828" t="s">
        <v>980</v>
      </c>
      <c r="B828" s="2">
        <v>45478</v>
      </c>
      <c r="C828" t="s">
        <v>93</v>
      </c>
      <c r="D828" t="s">
        <v>94</v>
      </c>
      <c r="E828" t="s">
        <v>38</v>
      </c>
      <c r="F828" t="s">
        <v>39</v>
      </c>
      <c r="G828" t="s">
        <v>40</v>
      </c>
      <c r="H828" t="s">
        <v>41</v>
      </c>
      <c r="I828" t="s">
        <v>23</v>
      </c>
      <c r="J828" t="s">
        <v>75</v>
      </c>
      <c r="K828" s="3">
        <v>4557.6000000000004</v>
      </c>
      <c r="L828" s="3">
        <v>1818.12</v>
      </c>
      <c r="M828">
        <v>4</v>
      </c>
      <c r="N828" s="4">
        <v>0.1</v>
      </c>
      <c r="O828" t="s">
        <v>44</v>
      </c>
      <c r="P828" t="s">
        <v>98</v>
      </c>
    </row>
    <row r="829" spans="1:16">
      <c r="A829" t="s">
        <v>981</v>
      </c>
      <c r="B829" s="2">
        <v>45563</v>
      </c>
      <c r="C829" t="s">
        <v>79</v>
      </c>
      <c r="D829" t="s">
        <v>80</v>
      </c>
      <c r="E829" t="s">
        <v>38</v>
      </c>
      <c r="F829" t="s">
        <v>39</v>
      </c>
      <c r="G829" t="s">
        <v>40</v>
      </c>
      <c r="H829" t="s">
        <v>41</v>
      </c>
      <c r="I829" t="s">
        <v>42</v>
      </c>
      <c r="J829" t="s">
        <v>43</v>
      </c>
      <c r="K829" s="3">
        <v>5683.33</v>
      </c>
      <c r="L829" s="3">
        <v>1640.01</v>
      </c>
      <c r="M829">
        <v>3</v>
      </c>
      <c r="N829" s="4">
        <v>0.05</v>
      </c>
      <c r="O829" t="s">
        <v>76</v>
      </c>
      <c r="P829" t="s">
        <v>58</v>
      </c>
    </row>
    <row r="830" spans="1:16">
      <c r="A830" t="s">
        <v>982</v>
      </c>
      <c r="B830" s="2">
        <v>45981</v>
      </c>
      <c r="C830" t="s">
        <v>100</v>
      </c>
      <c r="D830" t="s">
        <v>101</v>
      </c>
      <c r="E830" t="s">
        <v>193</v>
      </c>
      <c r="F830" t="s">
        <v>194</v>
      </c>
      <c r="G830" t="s">
        <v>89</v>
      </c>
      <c r="H830" t="s">
        <v>90</v>
      </c>
      <c r="I830" t="s">
        <v>84</v>
      </c>
      <c r="J830" t="s">
        <v>142</v>
      </c>
      <c r="K830" s="3">
        <v>528.27</v>
      </c>
      <c r="L830" s="3">
        <v>493.38</v>
      </c>
      <c r="M830">
        <v>1</v>
      </c>
      <c r="N830" s="4">
        <v>0.15</v>
      </c>
      <c r="O830" t="s">
        <v>25</v>
      </c>
      <c r="P830" t="s">
        <v>58</v>
      </c>
    </row>
    <row r="831" spans="1:16">
      <c r="A831" t="s">
        <v>983</v>
      </c>
      <c r="B831" s="2">
        <v>46000</v>
      </c>
      <c r="C831" t="s">
        <v>200</v>
      </c>
      <c r="D831" t="s">
        <v>201</v>
      </c>
      <c r="E831" t="s">
        <v>87</v>
      </c>
      <c r="F831" t="s">
        <v>88</v>
      </c>
      <c r="G831" t="s">
        <v>89</v>
      </c>
      <c r="H831" t="s">
        <v>90</v>
      </c>
      <c r="I831" t="s">
        <v>56</v>
      </c>
      <c r="J831" t="s">
        <v>191</v>
      </c>
      <c r="K831" s="3">
        <v>17218.75</v>
      </c>
      <c r="L831" s="3">
        <v>7731.04</v>
      </c>
      <c r="M831">
        <v>4</v>
      </c>
      <c r="N831" s="4">
        <v>0.2</v>
      </c>
      <c r="O831" t="s">
        <v>136</v>
      </c>
      <c r="P831" t="s">
        <v>45</v>
      </c>
    </row>
    <row r="832" spans="1:16">
      <c r="A832" t="s">
        <v>984</v>
      </c>
      <c r="B832" s="2">
        <v>45999</v>
      </c>
      <c r="C832" t="s">
        <v>155</v>
      </c>
      <c r="D832" t="s">
        <v>156</v>
      </c>
      <c r="E832" t="s">
        <v>193</v>
      </c>
      <c r="F832" t="s">
        <v>194</v>
      </c>
      <c r="G832" t="s">
        <v>89</v>
      </c>
      <c r="H832" t="s">
        <v>90</v>
      </c>
      <c r="I832" t="s">
        <v>84</v>
      </c>
      <c r="J832" t="s">
        <v>134</v>
      </c>
      <c r="K832" s="3">
        <v>2679.61</v>
      </c>
      <c r="L832" s="3">
        <v>2121.84</v>
      </c>
      <c r="M832">
        <v>4</v>
      </c>
      <c r="N832" s="4">
        <v>0.05</v>
      </c>
      <c r="O832" t="s">
        <v>25</v>
      </c>
      <c r="P832" t="s">
        <v>58</v>
      </c>
    </row>
    <row r="833" spans="1:16">
      <c r="A833" t="s">
        <v>985</v>
      </c>
      <c r="B833" s="2">
        <v>45484</v>
      </c>
      <c r="C833" t="s">
        <v>179</v>
      </c>
      <c r="D833" t="s">
        <v>180</v>
      </c>
      <c r="E833" t="s">
        <v>30</v>
      </c>
      <c r="F833" t="s">
        <v>31</v>
      </c>
      <c r="G833" t="s">
        <v>21</v>
      </c>
      <c r="H833" t="s">
        <v>32</v>
      </c>
      <c r="I833" t="s">
        <v>42</v>
      </c>
      <c r="J833" t="s">
        <v>162</v>
      </c>
      <c r="K833" s="3">
        <v>57998</v>
      </c>
      <c r="L833" s="3">
        <v>45208.6</v>
      </c>
      <c r="M833">
        <v>1</v>
      </c>
      <c r="N833" s="4">
        <v>0.05</v>
      </c>
      <c r="O833" t="s">
        <v>136</v>
      </c>
      <c r="P833" t="s">
        <v>58</v>
      </c>
    </row>
    <row r="834" spans="1:16">
      <c r="A834" t="s">
        <v>986</v>
      </c>
      <c r="B834" s="2">
        <v>45766</v>
      </c>
      <c r="C834" t="s">
        <v>100</v>
      </c>
      <c r="D834" t="s">
        <v>101</v>
      </c>
      <c r="E834" t="s">
        <v>123</v>
      </c>
      <c r="F834" t="s">
        <v>124</v>
      </c>
      <c r="G834" t="s">
        <v>51</v>
      </c>
      <c r="H834" t="s">
        <v>125</v>
      </c>
      <c r="I834" t="s">
        <v>53</v>
      </c>
      <c r="J834" t="s">
        <v>54</v>
      </c>
      <c r="K834" s="3">
        <v>39043.5</v>
      </c>
      <c r="L834" s="3">
        <v>35812.720000000001</v>
      </c>
      <c r="M834">
        <v>2</v>
      </c>
      <c r="N834" s="4">
        <v>0.05</v>
      </c>
      <c r="O834" t="s">
        <v>76</v>
      </c>
      <c r="P834" t="s">
        <v>98</v>
      </c>
    </row>
    <row r="835" spans="1:16">
      <c r="A835" t="s">
        <v>987</v>
      </c>
      <c r="B835" s="2">
        <v>45752</v>
      </c>
      <c r="C835" t="s">
        <v>197</v>
      </c>
      <c r="D835" t="s">
        <v>198</v>
      </c>
      <c r="E835" t="s">
        <v>87</v>
      </c>
      <c r="F835" t="s">
        <v>88</v>
      </c>
      <c r="G835" t="s">
        <v>89</v>
      </c>
      <c r="H835" t="s">
        <v>90</v>
      </c>
      <c r="I835" t="s">
        <v>23</v>
      </c>
      <c r="J835" t="s">
        <v>24</v>
      </c>
      <c r="K835" s="3">
        <v>12933.56</v>
      </c>
      <c r="L835" s="3">
        <v>8536.75</v>
      </c>
      <c r="M835">
        <v>5</v>
      </c>
      <c r="N835" s="4">
        <v>0.15</v>
      </c>
      <c r="O835" t="s">
        <v>25</v>
      </c>
      <c r="P835" t="s">
        <v>77</v>
      </c>
    </row>
    <row r="836" spans="1:16">
      <c r="A836" t="s">
        <v>988</v>
      </c>
      <c r="B836" s="2">
        <v>46022</v>
      </c>
      <c r="C836" t="s">
        <v>140</v>
      </c>
      <c r="D836" t="s">
        <v>141</v>
      </c>
      <c r="E836" t="s">
        <v>19</v>
      </c>
      <c r="F836" t="s">
        <v>20</v>
      </c>
      <c r="G836" t="s">
        <v>21</v>
      </c>
      <c r="H836" t="s">
        <v>22</v>
      </c>
      <c r="I836" t="s">
        <v>42</v>
      </c>
      <c r="J836" t="s">
        <v>68</v>
      </c>
      <c r="K836" s="3">
        <v>26067.84</v>
      </c>
      <c r="L836" s="3">
        <v>13150.76</v>
      </c>
      <c r="M836">
        <v>4</v>
      </c>
      <c r="N836" s="4">
        <v>0.2</v>
      </c>
      <c r="O836" t="s">
        <v>34</v>
      </c>
      <c r="P836" t="s">
        <v>45</v>
      </c>
    </row>
    <row r="837" spans="1:16">
      <c r="A837" t="s">
        <v>989</v>
      </c>
      <c r="B837" s="2">
        <v>45789</v>
      </c>
      <c r="C837" t="s">
        <v>28</v>
      </c>
      <c r="D837" t="s">
        <v>29</v>
      </c>
      <c r="E837" t="s">
        <v>87</v>
      </c>
      <c r="F837" t="s">
        <v>88</v>
      </c>
      <c r="G837" t="s">
        <v>89</v>
      </c>
      <c r="H837" t="s">
        <v>90</v>
      </c>
      <c r="I837" t="s">
        <v>56</v>
      </c>
      <c r="J837" t="s">
        <v>91</v>
      </c>
      <c r="K837" s="3">
        <v>17622.41</v>
      </c>
      <c r="L837" s="3">
        <v>9163.85</v>
      </c>
      <c r="M837">
        <v>5</v>
      </c>
      <c r="N837" s="4">
        <v>0.15</v>
      </c>
      <c r="O837" t="s">
        <v>76</v>
      </c>
      <c r="P837" t="s">
        <v>58</v>
      </c>
    </row>
    <row r="838" spans="1:16">
      <c r="A838" t="s">
        <v>990</v>
      </c>
      <c r="B838" s="2">
        <v>45882</v>
      </c>
      <c r="C838" t="s">
        <v>114</v>
      </c>
      <c r="D838" t="s">
        <v>115</v>
      </c>
      <c r="E838" t="s">
        <v>30</v>
      </c>
      <c r="F838" t="s">
        <v>31</v>
      </c>
      <c r="G838" t="s">
        <v>21</v>
      </c>
      <c r="H838" t="s">
        <v>32</v>
      </c>
      <c r="I838" t="s">
        <v>56</v>
      </c>
      <c r="J838" t="s">
        <v>91</v>
      </c>
      <c r="K838" s="3">
        <v>144765.07999999999</v>
      </c>
      <c r="L838" s="3">
        <v>145533.75</v>
      </c>
      <c r="M838">
        <v>3</v>
      </c>
      <c r="N838" s="4">
        <v>0.15</v>
      </c>
      <c r="O838" t="s">
        <v>136</v>
      </c>
      <c r="P838" t="s">
        <v>58</v>
      </c>
    </row>
    <row r="839" spans="1:16">
      <c r="A839" t="s">
        <v>991</v>
      </c>
      <c r="B839" s="2">
        <v>45647</v>
      </c>
      <c r="C839" t="s">
        <v>197</v>
      </c>
      <c r="D839" t="s">
        <v>198</v>
      </c>
      <c r="E839" t="s">
        <v>193</v>
      </c>
      <c r="F839" t="s">
        <v>194</v>
      </c>
      <c r="G839" t="s">
        <v>89</v>
      </c>
      <c r="H839" t="s">
        <v>90</v>
      </c>
      <c r="I839" t="s">
        <v>42</v>
      </c>
      <c r="J839" t="s">
        <v>68</v>
      </c>
      <c r="K839" s="3">
        <v>2249.89</v>
      </c>
      <c r="L839" s="3">
        <v>2079</v>
      </c>
      <c r="M839">
        <v>4</v>
      </c>
      <c r="N839" s="4">
        <v>0.1</v>
      </c>
      <c r="O839" t="s">
        <v>76</v>
      </c>
      <c r="P839" t="s">
        <v>98</v>
      </c>
    </row>
    <row r="840" spans="1:16">
      <c r="A840" t="s">
        <v>992</v>
      </c>
      <c r="B840" s="2">
        <v>45811</v>
      </c>
      <c r="C840" t="s">
        <v>158</v>
      </c>
      <c r="D840" t="s">
        <v>159</v>
      </c>
      <c r="E840" t="s">
        <v>38</v>
      </c>
      <c r="F840" t="s">
        <v>39</v>
      </c>
      <c r="G840" t="s">
        <v>40</v>
      </c>
      <c r="H840" t="s">
        <v>41</v>
      </c>
      <c r="I840" t="s">
        <v>84</v>
      </c>
      <c r="J840" t="s">
        <v>85</v>
      </c>
      <c r="K840" s="3">
        <v>2713.54</v>
      </c>
      <c r="L840" s="3">
        <v>1017.54</v>
      </c>
      <c r="M840">
        <v>2</v>
      </c>
      <c r="N840" s="4">
        <v>0.2</v>
      </c>
      <c r="O840" t="s">
        <v>136</v>
      </c>
      <c r="P840" t="s">
        <v>58</v>
      </c>
    </row>
    <row r="841" spans="1:16">
      <c r="A841" t="s">
        <v>993</v>
      </c>
      <c r="B841" s="2">
        <v>45981</v>
      </c>
      <c r="C841" t="s">
        <v>265</v>
      </c>
      <c r="D841" t="s">
        <v>266</v>
      </c>
      <c r="E841" t="s">
        <v>106</v>
      </c>
      <c r="F841" t="s">
        <v>107</v>
      </c>
      <c r="G841" t="s">
        <v>40</v>
      </c>
      <c r="H841" t="s">
        <v>108</v>
      </c>
      <c r="I841" t="s">
        <v>56</v>
      </c>
      <c r="J841" t="s">
        <v>91</v>
      </c>
      <c r="K841" s="3">
        <v>7294.46</v>
      </c>
      <c r="L841" s="3">
        <v>2224.3200000000002</v>
      </c>
      <c r="M841">
        <v>3</v>
      </c>
      <c r="N841" s="4">
        <v>0.05</v>
      </c>
      <c r="O841" t="s">
        <v>34</v>
      </c>
      <c r="P841" t="s">
        <v>58</v>
      </c>
    </row>
    <row r="842" spans="1:16">
      <c r="A842" t="s">
        <v>994</v>
      </c>
      <c r="B842" s="2">
        <v>45786</v>
      </c>
      <c r="C842" t="s">
        <v>265</v>
      </c>
      <c r="D842" t="s">
        <v>266</v>
      </c>
      <c r="E842" t="s">
        <v>62</v>
      </c>
      <c r="F842" t="s">
        <v>63</v>
      </c>
      <c r="G842" t="s">
        <v>21</v>
      </c>
      <c r="H842" t="s">
        <v>64</v>
      </c>
      <c r="I842" t="s">
        <v>42</v>
      </c>
      <c r="J842" t="s">
        <v>68</v>
      </c>
      <c r="K842" s="3">
        <v>4618.75</v>
      </c>
      <c r="L842" s="3">
        <v>3364.76</v>
      </c>
      <c r="M842">
        <v>2</v>
      </c>
      <c r="N842" s="4">
        <v>0.15</v>
      </c>
      <c r="O842" t="s">
        <v>25</v>
      </c>
      <c r="P842" t="s">
        <v>26</v>
      </c>
    </row>
    <row r="843" spans="1:16">
      <c r="A843" t="s">
        <v>995</v>
      </c>
      <c r="B843" s="2">
        <v>45506</v>
      </c>
      <c r="C843" t="s">
        <v>197</v>
      </c>
      <c r="D843" t="s">
        <v>198</v>
      </c>
      <c r="E843" t="s">
        <v>123</v>
      </c>
      <c r="F843" t="s">
        <v>124</v>
      </c>
      <c r="G843" t="s">
        <v>51</v>
      </c>
      <c r="H843" t="s">
        <v>125</v>
      </c>
      <c r="I843" t="s">
        <v>84</v>
      </c>
      <c r="J843" t="s">
        <v>85</v>
      </c>
      <c r="K843" s="3">
        <v>92175.53</v>
      </c>
      <c r="L843" s="3">
        <v>81846.899999999994</v>
      </c>
      <c r="M843">
        <v>5</v>
      </c>
      <c r="N843" s="4">
        <v>0.1</v>
      </c>
      <c r="O843" t="s">
        <v>44</v>
      </c>
      <c r="P843" t="s">
        <v>58</v>
      </c>
    </row>
    <row r="844" spans="1:16">
      <c r="A844" t="s">
        <v>996</v>
      </c>
      <c r="B844" s="2">
        <v>45357</v>
      </c>
      <c r="C844" t="s">
        <v>200</v>
      </c>
      <c r="D844" t="s">
        <v>201</v>
      </c>
      <c r="E844" t="s">
        <v>182</v>
      </c>
      <c r="F844" t="s">
        <v>183</v>
      </c>
      <c r="G844" t="s">
        <v>89</v>
      </c>
      <c r="H844" t="s">
        <v>90</v>
      </c>
      <c r="I844" t="s">
        <v>23</v>
      </c>
      <c r="J844" t="s">
        <v>24</v>
      </c>
      <c r="K844" s="3">
        <v>33647.58</v>
      </c>
      <c r="L844" s="3">
        <v>17750.22</v>
      </c>
      <c r="M844">
        <v>3</v>
      </c>
      <c r="N844" s="4">
        <v>0</v>
      </c>
      <c r="O844" t="s">
        <v>34</v>
      </c>
      <c r="P844" t="s">
        <v>58</v>
      </c>
    </row>
    <row r="845" spans="1:16">
      <c r="A845" t="s">
        <v>997</v>
      </c>
      <c r="B845" s="2">
        <v>45655</v>
      </c>
      <c r="C845" t="s">
        <v>197</v>
      </c>
      <c r="D845" t="s">
        <v>198</v>
      </c>
      <c r="E845" t="s">
        <v>175</v>
      </c>
      <c r="F845" t="s">
        <v>176</v>
      </c>
      <c r="G845" t="s">
        <v>51</v>
      </c>
      <c r="H845" t="s">
        <v>177</v>
      </c>
      <c r="I845" t="s">
        <v>84</v>
      </c>
      <c r="J845" t="s">
        <v>134</v>
      </c>
      <c r="K845" s="3">
        <v>24474.73</v>
      </c>
      <c r="L845" s="3">
        <v>16864.3</v>
      </c>
      <c r="M845">
        <v>1</v>
      </c>
      <c r="N845" s="4">
        <v>0.05</v>
      </c>
      <c r="O845" t="s">
        <v>34</v>
      </c>
      <c r="P845" t="s">
        <v>58</v>
      </c>
    </row>
    <row r="846" spans="1:16">
      <c r="A846" t="s">
        <v>998</v>
      </c>
      <c r="B846" s="2">
        <v>45760</v>
      </c>
      <c r="C846" t="s">
        <v>60</v>
      </c>
      <c r="D846" t="s">
        <v>61</v>
      </c>
      <c r="E846" t="s">
        <v>81</v>
      </c>
      <c r="F846" t="s">
        <v>82</v>
      </c>
      <c r="G846" t="s">
        <v>21</v>
      </c>
      <c r="H846" t="s">
        <v>83</v>
      </c>
      <c r="I846" t="s">
        <v>56</v>
      </c>
      <c r="J846" t="s">
        <v>191</v>
      </c>
      <c r="K846" s="3">
        <v>25407.78</v>
      </c>
      <c r="L846" s="3">
        <v>19708.78</v>
      </c>
      <c r="M846">
        <v>1</v>
      </c>
      <c r="N846" s="4">
        <v>0.2</v>
      </c>
      <c r="O846" t="s">
        <v>25</v>
      </c>
      <c r="P846" t="s">
        <v>58</v>
      </c>
    </row>
    <row r="847" spans="1:16">
      <c r="A847" t="s">
        <v>999</v>
      </c>
      <c r="B847" s="2">
        <v>45937</v>
      </c>
      <c r="C847" t="s">
        <v>114</v>
      </c>
      <c r="D847" t="s">
        <v>115</v>
      </c>
      <c r="E847" t="s">
        <v>19</v>
      </c>
      <c r="F847" t="s">
        <v>20</v>
      </c>
      <c r="G847" t="s">
        <v>21</v>
      </c>
      <c r="H847" t="s">
        <v>22</v>
      </c>
      <c r="I847" t="s">
        <v>23</v>
      </c>
      <c r="J847" t="s">
        <v>75</v>
      </c>
      <c r="K847" s="3">
        <v>8073.06</v>
      </c>
      <c r="L847" s="3">
        <v>3222.52</v>
      </c>
      <c r="M847">
        <v>1</v>
      </c>
      <c r="N847" s="4">
        <v>0.05</v>
      </c>
      <c r="O847" t="s">
        <v>44</v>
      </c>
      <c r="P847" t="s">
        <v>98</v>
      </c>
    </row>
    <row r="848" spans="1:16">
      <c r="A848" t="s">
        <v>1000</v>
      </c>
      <c r="B848" s="2">
        <v>45393</v>
      </c>
      <c r="C848" t="s">
        <v>79</v>
      </c>
      <c r="D848" t="s">
        <v>80</v>
      </c>
      <c r="E848" t="s">
        <v>182</v>
      </c>
      <c r="F848" t="s">
        <v>183</v>
      </c>
      <c r="G848" t="s">
        <v>89</v>
      </c>
      <c r="H848" t="s">
        <v>90</v>
      </c>
      <c r="I848" t="s">
        <v>56</v>
      </c>
      <c r="J848" t="s">
        <v>191</v>
      </c>
      <c r="K848" s="3">
        <v>17396.29</v>
      </c>
      <c r="L848" s="3">
        <v>12353.02</v>
      </c>
      <c r="M848">
        <v>2</v>
      </c>
      <c r="N848" s="4">
        <v>0.05</v>
      </c>
      <c r="O848" t="s">
        <v>25</v>
      </c>
      <c r="P848" t="s">
        <v>58</v>
      </c>
    </row>
    <row r="849" spans="1:16">
      <c r="A849" t="s">
        <v>1001</v>
      </c>
      <c r="B849" s="2">
        <v>45298</v>
      </c>
      <c r="C849" t="s">
        <v>170</v>
      </c>
      <c r="D849" t="s">
        <v>171</v>
      </c>
      <c r="E849" t="s">
        <v>132</v>
      </c>
      <c r="F849" t="s">
        <v>133</v>
      </c>
      <c r="G849" t="s">
        <v>40</v>
      </c>
      <c r="H849" t="s">
        <v>41</v>
      </c>
      <c r="I849" t="s">
        <v>53</v>
      </c>
      <c r="J849" t="s">
        <v>54</v>
      </c>
      <c r="K849" s="3">
        <v>1354.7</v>
      </c>
      <c r="L849" s="3">
        <v>533.48</v>
      </c>
      <c r="M849">
        <v>2</v>
      </c>
      <c r="N849" s="4">
        <v>0.1</v>
      </c>
      <c r="O849" t="s">
        <v>34</v>
      </c>
      <c r="P849" t="s">
        <v>58</v>
      </c>
    </row>
    <row r="850" spans="1:16">
      <c r="A850" t="s">
        <v>1002</v>
      </c>
      <c r="B850" s="2">
        <v>45716</v>
      </c>
      <c r="C850" t="s">
        <v>100</v>
      </c>
      <c r="D850" t="s">
        <v>101</v>
      </c>
      <c r="E850" t="s">
        <v>175</v>
      </c>
      <c r="F850" t="s">
        <v>176</v>
      </c>
      <c r="G850" t="s">
        <v>51</v>
      </c>
      <c r="H850" t="s">
        <v>177</v>
      </c>
      <c r="I850" t="s">
        <v>84</v>
      </c>
      <c r="J850" t="s">
        <v>134</v>
      </c>
      <c r="K850" s="3">
        <v>51302.28</v>
      </c>
      <c r="L850" s="3">
        <v>49242.63</v>
      </c>
      <c r="M850">
        <v>3</v>
      </c>
      <c r="N850" s="4">
        <v>0.2</v>
      </c>
      <c r="O850" t="s">
        <v>136</v>
      </c>
      <c r="P850" t="s">
        <v>58</v>
      </c>
    </row>
    <row r="851" spans="1:16">
      <c r="A851" t="s">
        <v>1003</v>
      </c>
      <c r="B851" s="2">
        <v>45711</v>
      </c>
      <c r="C851" t="s">
        <v>47</v>
      </c>
      <c r="D851" t="s">
        <v>48</v>
      </c>
      <c r="E851" t="s">
        <v>132</v>
      </c>
      <c r="F851" t="s">
        <v>133</v>
      </c>
      <c r="G851" t="s">
        <v>40</v>
      </c>
      <c r="H851" t="s">
        <v>41</v>
      </c>
      <c r="I851" t="s">
        <v>56</v>
      </c>
      <c r="J851" t="s">
        <v>91</v>
      </c>
      <c r="K851" s="3">
        <v>2839.43</v>
      </c>
      <c r="L851" s="3">
        <v>1090.3599999999999</v>
      </c>
      <c r="M851">
        <v>4</v>
      </c>
      <c r="N851" s="4">
        <v>0.1</v>
      </c>
      <c r="O851" t="s">
        <v>25</v>
      </c>
      <c r="P851" t="s">
        <v>98</v>
      </c>
    </row>
    <row r="852" spans="1:16">
      <c r="A852" t="s">
        <v>1004</v>
      </c>
      <c r="B852" s="2">
        <v>45821</v>
      </c>
      <c r="C852" t="s">
        <v>47</v>
      </c>
      <c r="D852" t="s">
        <v>48</v>
      </c>
      <c r="E852" t="s">
        <v>30</v>
      </c>
      <c r="F852" t="s">
        <v>31</v>
      </c>
      <c r="G852" t="s">
        <v>21</v>
      </c>
      <c r="H852" t="s">
        <v>32</v>
      </c>
      <c r="I852" t="s">
        <v>42</v>
      </c>
      <c r="J852" t="s">
        <v>162</v>
      </c>
      <c r="K852" s="3">
        <v>54433.48</v>
      </c>
      <c r="L852" s="3">
        <v>44013.87</v>
      </c>
      <c r="M852">
        <v>1</v>
      </c>
      <c r="N852" s="4">
        <v>0.05</v>
      </c>
      <c r="O852" t="s">
        <v>136</v>
      </c>
      <c r="P852" t="s">
        <v>58</v>
      </c>
    </row>
    <row r="853" spans="1:16">
      <c r="A853" t="s">
        <v>1005</v>
      </c>
      <c r="B853" s="2">
        <v>45948</v>
      </c>
      <c r="C853" t="s">
        <v>104</v>
      </c>
      <c r="D853" t="s">
        <v>105</v>
      </c>
      <c r="E853" t="s">
        <v>81</v>
      </c>
      <c r="F853" t="s">
        <v>82</v>
      </c>
      <c r="G853" t="s">
        <v>21</v>
      </c>
      <c r="H853" t="s">
        <v>83</v>
      </c>
      <c r="I853" t="s">
        <v>42</v>
      </c>
      <c r="J853" t="s">
        <v>68</v>
      </c>
      <c r="K853" s="3">
        <v>33628.639999999999</v>
      </c>
      <c r="L853" s="3">
        <v>38898.080000000002</v>
      </c>
      <c r="M853">
        <v>2</v>
      </c>
      <c r="N853" s="4">
        <v>0.2</v>
      </c>
      <c r="O853" t="s">
        <v>44</v>
      </c>
      <c r="P853" t="s">
        <v>26</v>
      </c>
    </row>
    <row r="854" spans="1:16">
      <c r="A854" t="s">
        <v>1006</v>
      </c>
      <c r="B854" s="2">
        <v>45603</v>
      </c>
      <c r="C854" t="s">
        <v>104</v>
      </c>
      <c r="D854" t="s">
        <v>105</v>
      </c>
      <c r="E854" t="s">
        <v>187</v>
      </c>
      <c r="F854" t="s">
        <v>188</v>
      </c>
      <c r="G854" t="s">
        <v>89</v>
      </c>
      <c r="H854" t="s">
        <v>189</v>
      </c>
      <c r="I854" t="s">
        <v>53</v>
      </c>
      <c r="J854" t="s">
        <v>102</v>
      </c>
      <c r="K854" s="3">
        <v>16777.939999999999</v>
      </c>
      <c r="L854" s="3">
        <v>17850.45</v>
      </c>
      <c r="M854">
        <v>3</v>
      </c>
      <c r="N854" s="4">
        <v>0.1</v>
      </c>
      <c r="O854" t="s">
        <v>34</v>
      </c>
      <c r="P854" t="s">
        <v>58</v>
      </c>
    </row>
    <row r="855" spans="1:16">
      <c r="A855" t="s">
        <v>1007</v>
      </c>
      <c r="B855" s="2">
        <v>45951</v>
      </c>
      <c r="C855" t="s">
        <v>60</v>
      </c>
      <c r="D855" t="s">
        <v>61</v>
      </c>
      <c r="E855" t="s">
        <v>106</v>
      </c>
      <c r="F855" t="s">
        <v>107</v>
      </c>
      <c r="G855" t="s">
        <v>40</v>
      </c>
      <c r="H855" t="s">
        <v>108</v>
      </c>
      <c r="I855" t="s">
        <v>56</v>
      </c>
      <c r="J855" t="s">
        <v>191</v>
      </c>
      <c r="K855" s="3">
        <v>3477.74</v>
      </c>
      <c r="L855" s="3">
        <v>1508.52</v>
      </c>
      <c r="M855">
        <v>2</v>
      </c>
      <c r="N855" s="4">
        <v>0.2</v>
      </c>
      <c r="O855" t="s">
        <v>136</v>
      </c>
      <c r="P855" t="s">
        <v>77</v>
      </c>
    </row>
    <row r="856" spans="1:16">
      <c r="A856" t="s">
        <v>1008</v>
      </c>
      <c r="B856" s="2">
        <v>45494</v>
      </c>
      <c r="C856" t="s">
        <v>17</v>
      </c>
      <c r="D856" t="s">
        <v>18</v>
      </c>
      <c r="E856" t="s">
        <v>106</v>
      </c>
      <c r="F856" t="s">
        <v>107</v>
      </c>
      <c r="G856" t="s">
        <v>40</v>
      </c>
      <c r="H856" t="s">
        <v>108</v>
      </c>
      <c r="I856" t="s">
        <v>53</v>
      </c>
      <c r="J856" t="s">
        <v>54</v>
      </c>
      <c r="K856" s="3">
        <v>5054.99</v>
      </c>
      <c r="L856" s="3">
        <v>1925.4</v>
      </c>
      <c r="M856">
        <v>3</v>
      </c>
      <c r="N856" s="4">
        <v>0.15</v>
      </c>
      <c r="O856" t="s">
        <v>76</v>
      </c>
      <c r="P856" t="s">
        <v>45</v>
      </c>
    </row>
    <row r="857" spans="1:16">
      <c r="A857" t="s">
        <v>1009</v>
      </c>
      <c r="B857" s="2">
        <v>45857</v>
      </c>
      <c r="C857" t="s">
        <v>144</v>
      </c>
      <c r="D857" t="s">
        <v>145</v>
      </c>
      <c r="E857" t="s">
        <v>62</v>
      </c>
      <c r="F857" t="s">
        <v>63</v>
      </c>
      <c r="G857" t="s">
        <v>21</v>
      </c>
      <c r="H857" t="s">
        <v>64</v>
      </c>
      <c r="I857" t="s">
        <v>56</v>
      </c>
      <c r="J857" t="s">
        <v>57</v>
      </c>
      <c r="K857" s="3">
        <v>15420.21</v>
      </c>
      <c r="L857" s="3">
        <v>5423.04</v>
      </c>
      <c r="M857">
        <v>3</v>
      </c>
      <c r="N857" s="4">
        <v>0.05</v>
      </c>
      <c r="O857" t="s">
        <v>25</v>
      </c>
      <c r="P857" t="s">
        <v>58</v>
      </c>
    </row>
    <row r="858" spans="1:16">
      <c r="A858" t="s">
        <v>1010</v>
      </c>
      <c r="B858" s="2">
        <v>45539</v>
      </c>
      <c r="C858" t="s">
        <v>70</v>
      </c>
      <c r="D858" t="s">
        <v>71</v>
      </c>
      <c r="E858" t="s">
        <v>95</v>
      </c>
      <c r="F858" t="s">
        <v>96</v>
      </c>
      <c r="G858" t="s">
        <v>89</v>
      </c>
      <c r="H858" t="s">
        <v>97</v>
      </c>
      <c r="I858" t="s">
        <v>84</v>
      </c>
      <c r="J858" t="s">
        <v>142</v>
      </c>
      <c r="K858" s="3">
        <v>26801.19</v>
      </c>
      <c r="L858" s="3">
        <v>10975.68</v>
      </c>
      <c r="M858">
        <v>3</v>
      </c>
      <c r="N858" s="4">
        <v>0</v>
      </c>
      <c r="O858" t="s">
        <v>25</v>
      </c>
      <c r="P858" t="s">
        <v>77</v>
      </c>
    </row>
    <row r="859" spans="1:16">
      <c r="A859" t="s">
        <v>1011</v>
      </c>
      <c r="B859" s="2">
        <v>45418</v>
      </c>
      <c r="C859" t="s">
        <v>66</v>
      </c>
      <c r="D859" t="s">
        <v>67</v>
      </c>
      <c r="E859" t="s">
        <v>182</v>
      </c>
      <c r="F859" t="s">
        <v>183</v>
      </c>
      <c r="G859" t="s">
        <v>89</v>
      </c>
      <c r="H859" t="s">
        <v>90</v>
      </c>
      <c r="I859" t="s">
        <v>84</v>
      </c>
      <c r="J859" t="s">
        <v>134</v>
      </c>
      <c r="K859" s="3">
        <v>11537.03</v>
      </c>
      <c r="L859" s="3">
        <v>6307.87</v>
      </c>
      <c r="M859">
        <v>1</v>
      </c>
      <c r="N859" s="4">
        <v>0.15</v>
      </c>
      <c r="O859" t="s">
        <v>44</v>
      </c>
      <c r="P859" t="s">
        <v>58</v>
      </c>
    </row>
    <row r="860" spans="1:16">
      <c r="A860" t="s">
        <v>1012</v>
      </c>
      <c r="B860" s="2">
        <v>45887</v>
      </c>
      <c r="C860" t="s">
        <v>170</v>
      </c>
      <c r="D860" t="s">
        <v>171</v>
      </c>
      <c r="E860" t="s">
        <v>110</v>
      </c>
      <c r="F860" t="s">
        <v>111</v>
      </c>
      <c r="G860" t="s">
        <v>40</v>
      </c>
      <c r="H860" t="s">
        <v>112</v>
      </c>
      <c r="I860" t="s">
        <v>84</v>
      </c>
      <c r="J860" t="s">
        <v>85</v>
      </c>
      <c r="K860" s="3">
        <v>19086.560000000001</v>
      </c>
      <c r="L860" s="3">
        <v>6257.6</v>
      </c>
      <c r="M860">
        <v>5</v>
      </c>
      <c r="N860" s="4">
        <v>0.2</v>
      </c>
      <c r="O860" t="s">
        <v>34</v>
      </c>
      <c r="P860" t="s">
        <v>58</v>
      </c>
    </row>
    <row r="861" spans="1:16">
      <c r="A861" t="s">
        <v>1013</v>
      </c>
      <c r="B861" s="2">
        <v>45974</v>
      </c>
      <c r="C861" t="s">
        <v>158</v>
      </c>
      <c r="D861" t="s">
        <v>159</v>
      </c>
      <c r="E861" t="s">
        <v>123</v>
      </c>
      <c r="F861" t="s">
        <v>124</v>
      </c>
      <c r="G861" t="s">
        <v>51</v>
      </c>
      <c r="H861" t="s">
        <v>125</v>
      </c>
      <c r="I861" t="s">
        <v>84</v>
      </c>
      <c r="J861" t="s">
        <v>142</v>
      </c>
      <c r="K861" s="3">
        <v>131616.07999999999</v>
      </c>
      <c r="L861" s="3">
        <v>93103.8</v>
      </c>
      <c r="M861">
        <v>5</v>
      </c>
      <c r="N861" s="4">
        <v>0.2</v>
      </c>
      <c r="O861" t="s">
        <v>76</v>
      </c>
      <c r="P861" t="s">
        <v>58</v>
      </c>
    </row>
    <row r="862" spans="1:16">
      <c r="A862" t="s">
        <v>1014</v>
      </c>
      <c r="B862" s="2">
        <v>45489</v>
      </c>
      <c r="C862" t="s">
        <v>231</v>
      </c>
      <c r="D862" t="s">
        <v>232</v>
      </c>
      <c r="E862" t="s">
        <v>182</v>
      </c>
      <c r="F862" t="s">
        <v>183</v>
      </c>
      <c r="G862" t="s">
        <v>89</v>
      </c>
      <c r="H862" t="s">
        <v>90</v>
      </c>
      <c r="I862" t="s">
        <v>42</v>
      </c>
      <c r="J862" t="s">
        <v>43</v>
      </c>
      <c r="K862" s="3">
        <v>19856.62</v>
      </c>
      <c r="L862" s="3">
        <v>17835.509999999998</v>
      </c>
      <c r="M862">
        <v>3</v>
      </c>
      <c r="N862" s="4">
        <v>0.15</v>
      </c>
      <c r="O862" t="s">
        <v>136</v>
      </c>
      <c r="P862" t="s">
        <v>58</v>
      </c>
    </row>
    <row r="863" spans="1:16">
      <c r="A863" t="s">
        <v>1015</v>
      </c>
      <c r="B863" s="2">
        <v>45425</v>
      </c>
      <c r="C863" t="s">
        <v>100</v>
      </c>
      <c r="D863" t="s">
        <v>101</v>
      </c>
      <c r="E863" t="s">
        <v>81</v>
      </c>
      <c r="F863" t="s">
        <v>82</v>
      </c>
      <c r="G863" t="s">
        <v>21</v>
      </c>
      <c r="H863" t="s">
        <v>83</v>
      </c>
      <c r="I863" t="s">
        <v>56</v>
      </c>
      <c r="J863" t="s">
        <v>91</v>
      </c>
      <c r="K863" s="3">
        <v>68219.520000000004</v>
      </c>
      <c r="L863" s="3">
        <v>67892.88</v>
      </c>
      <c r="M863">
        <v>4</v>
      </c>
      <c r="N863" s="4">
        <v>0.2</v>
      </c>
      <c r="O863" t="s">
        <v>136</v>
      </c>
      <c r="P863" t="s">
        <v>26</v>
      </c>
    </row>
    <row r="864" spans="1:16">
      <c r="A864" t="s">
        <v>1016</v>
      </c>
      <c r="B864" s="2">
        <v>45943</v>
      </c>
      <c r="C864" t="s">
        <v>66</v>
      </c>
      <c r="D864" t="s">
        <v>67</v>
      </c>
      <c r="E864" t="s">
        <v>95</v>
      </c>
      <c r="F864" t="s">
        <v>96</v>
      </c>
      <c r="G864" t="s">
        <v>89</v>
      </c>
      <c r="H864" t="s">
        <v>97</v>
      </c>
      <c r="I864" t="s">
        <v>56</v>
      </c>
      <c r="J864" t="s">
        <v>191</v>
      </c>
      <c r="K864" s="3">
        <v>25228.71</v>
      </c>
      <c r="L864" s="3">
        <v>15390.24</v>
      </c>
      <c r="M864">
        <v>4</v>
      </c>
      <c r="N864" s="4">
        <v>0.15</v>
      </c>
      <c r="O864" t="s">
        <v>136</v>
      </c>
      <c r="P864" t="s">
        <v>58</v>
      </c>
    </row>
    <row r="865" spans="1:16">
      <c r="A865" t="s">
        <v>1017</v>
      </c>
      <c r="B865" s="2">
        <v>45788</v>
      </c>
      <c r="C865" t="s">
        <v>47</v>
      </c>
      <c r="D865" t="s">
        <v>48</v>
      </c>
      <c r="E865" t="s">
        <v>182</v>
      </c>
      <c r="F865" t="s">
        <v>183</v>
      </c>
      <c r="G865" t="s">
        <v>89</v>
      </c>
      <c r="H865" t="s">
        <v>90</v>
      </c>
      <c r="I865" t="s">
        <v>23</v>
      </c>
      <c r="J865" t="s">
        <v>75</v>
      </c>
      <c r="K865" s="3">
        <v>37916.61</v>
      </c>
      <c r="L865" s="3">
        <v>22221.040000000001</v>
      </c>
      <c r="M865">
        <v>4</v>
      </c>
      <c r="N865" s="4">
        <v>0.2</v>
      </c>
      <c r="O865" t="s">
        <v>25</v>
      </c>
      <c r="P865" t="s">
        <v>58</v>
      </c>
    </row>
    <row r="866" spans="1:16">
      <c r="A866" t="s">
        <v>1018</v>
      </c>
      <c r="B866" s="2">
        <v>45452</v>
      </c>
      <c r="C866" t="s">
        <v>170</v>
      </c>
      <c r="D866" t="s">
        <v>171</v>
      </c>
      <c r="E866" t="s">
        <v>87</v>
      </c>
      <c r="F866" t="s">
        <v>88</v>
      </c>
      <c r="G866" t="s">
        <v>89</v>
      </c>
      <c r="H866" t="s">
        <v>90</v>
      </c>
      <c r="I866" t="s">
        <v>23</v>
      </c>
      <c r="J866" t="s">
        <v>24</v>
      </c>
      <c r="K866" s="3">
        <v>21328.6</v>
      </c>
      <c r="L866" s="3">
        <v>8764.7999999999993</v>
      </c>
      <c r="M866">
        <v>5</v>
      </c>
      <c r="N866" s="4">
        <v>0.2</v>
      </c>
      <c r="O866" t="s">
        <v>136</v>
      </c>
      <c r="P866" t="s">
        <v>58</v>
      </c>
    </row>
    <row r="867" spans="1:16">
      <c r="A867" t="s">
        <v>1019</v>
      </c>
      <c r="B867" s="2">
        <v>45588</v>
      </c>
      <c r="C867" t="s">
        <v>179</v>
      </c>
      <c r="D867" t="s">
        <v>180</v>
      </c>
      <c r="E867" t="s">
        <v>172</v>
      </c>
      <c r="F867" t="s">
        <v>173</v>
      </c>
      <c r="G867" t="s">
        <v>40</v>
      </c>
      <c r="H867" t="s">
        <v>41</v>
      </c>
      <c r="I867" t="s">
        <v>42</v>
      </c>
      <c r="J867" t="s">
        <v>43</v>
      </c>
      <c r="K867" s="3">
        <v>1224.25</v>
      </c>
      <c r="L867" s="3">
        <v>904.1</v>
      </c>
      <c r="M867">
        <v>1</v>
      </c>
      <c r="N867" s="4">
        <v>0.1</v>
      </c>
      <c r="O867" t="s">
        <v>44</v>
      </c>
      <c r="P867" t="s">
        <v>45</v>
      </c>
    </row>
    <row r="868" spans="1:16">
      <c r="A868" t="s">
        <v>1020</v>
      </c>
      <c r="B868" s="2">
        <v>45438</v>
      </c>
      <c r="C868" t="s">
        <v>265</v>
      </c>
      <c r="D868" t="s">
        <v>266</v>
      </c>
      <c r="E868" t="s">
        <v>87</v>
      </c>
      <c r="F868" t="s">
        <v>88</v>
      </c>
      <c r="G868" t="s">
        <v>89</v>
      </c>
      <c r="H868" t="s">
        <v>90</v>
      </c>
      <c r="I868" t="s">
        <v>23</v>
      </c>
      <c r="J868" t="s">
        <v>24</v>
      </c>
      <c r="K868" s="3">
        <v>6273.72</v>
      </c>
      <c r="L868" s="3">
        <v>3804.34</v>
      </c>
      <c r="M868">
        <v>2</v>
      </c>
      <c r="N868" s="4">
        <v>0.1</v>
      </c>
      <c r="O868" t="s">
        <v>44</v>
      </c>
      <c r="P868" t="s">
        <v>58</v>
      </c>
    </row>
    <row r="869" spans="1:16">
      <c r="A869" t="s">
        <v>1021</v>
      </c>
      <c r="B869" s="2">
        <v>45417</v>
      </c>
      <c r="C869" t="s">
        <v>200</v>
      </c>
      <c r="D869" t="s">
        <v>201</v>
      </c>
      <c r="E869" t="s">
        <v>87</v>
      </c>
      <c r="F869" t="s">
        <v>88</v>
      </c>
      <c r="G869" t="s">
        <v>89</v>
      </c>
      <c r="H869" t="s">
        <v>90</v>
      </c>
      <c r="I869" t="s">
        <v>23</v>
      </c>
      <c r="J869" t="s">
        <v>24</v>
      </c>
      <c r="K869" s="3">
        <v>21456.42</v>
      </c>
      <c r="L869" s="3">
        <v>8727.5499999999993</v>
      </c>
      <c r="M869">
        <v>5</v>
      </c>
      <c r="N869" s="4">
        <v>0.15</v>
      </c>
      <c r="O869" t="s">
        <v>136</v>
      </c>
      <c r="P869" t="s">
        <v>45</v>
      </c>
    </row>
    <row r="870" spans="1:16">
      <c r="A870" t="s">
        <v>1022</v>
      </c>
      <c r="B870" s="2">
        <v>45678</v>
      </c>
      <c r="C870" t="s">
        <v>147</v>
      </c>
      <c r="D870" t="s">
        <v>148</v>
      </c>
      <c r="E870" t="s">
        <v>38</v>
      </c>
      <c r="F870" t="s">
        <v>39</v>
      </c>
      <c r="G870" t="s">
        <v>40</v>
      </c>
      <c r="H870" t="s">
        <v>41</v>
      </c>
      <c r="I870" t="s">
        <v>84</v>
      </c>
      <c r="J870" t="s">
        <v>134</v>
      </c>
      <c r="K870" s="3">
        <v>7348.78</v>
      </c>
      <c r="L870" s="3">
        <v>2133.8000000000002</v>
      </c>
      <c r="M870">
        <v>4</v>
      </c>
      <c r="N870" s="4">
        <v>0.05</v>
      </c>
      <c r="O870" t="s">
        <v>76</v>
      </c>
      <c r="P870" t="s">
        <v>98</v>
      </c>
    </row>
    <row r="871" spans="1:16">
      <c r="A871" t="s">
        <v>1023</v>
      </c>
      <c r="B871" s="2">
        <v>45751</v>
      </c>
      <c r="C871" t="s">
        <v>79</v>
      </c>
      <c r="D871" t="s">
        <v>80</v>
      </c>
      <c r="E871" t="s">
        <v>38</v>
      </c>
      <c r="F871" t="s">
        <v>39</v>
      </c>
      <c r="G871" t="s">
        <v>40</v>
      </c>
      <c r="H871" t="s">
        <v>41</v>
      </c>
      <c r="I871" t="s">
        <v>42</v>
      </c>
      <c r="J871" t="s">
        <v>68</v>
      </c>
      <c r="K871" s="3">
        <v>1792.56</v>
      </c>
      <c r="L871" s="3">
        <v>1073.26</v>
      </c>
      <c r="M871">
        <v>2</v>
      </c>
      <c r="N871" s="4">
        <v>0.2</v>
      </c>
      <c r="O871" t="s">
        <v>34</v>
      </c>
      <c r="P871" t="s">
        <v>26</v>
      </c>
    </row>
    <row r="872" spans="1:16">
      <c r="A872" t="s">
        <v>1024</v>
      </c>
      <c r="B872" s="2">
        <v>45639</v>
      </c>
      <c r="C872" t="s">
        <v>104</v>
      </c>
      <c r="D872" t="s">
        <v>105</v>
      </c>
      <c r="E872" t="s">
        <v>72</v>
      </c>
      <c r="F872" t="s">
        <v>73</v>
      </c>
      <c r="G872" t="s">
        <v>51</v>
      </c>
      <c r="H872" t="s">
        <v>74</v>
      </c>
      <c r="I872" t="s">
        <v>56</v>
      </c>
      <c r="J872" t="s">
        <v>91</v>
      </c>
      <c r="K872" s="3">
        <v>34768.61</v>
      </c>
      <c r="L872" s="3">
        <v>18183.3</v>
      </c>
      <c r="M872">
        <v>5</v>
      </c>
      <c r="N872" s="4">
        <v>0.15</v>
      </c>
      <c r="O872" t="s">
        <v>44</v>
      </c>
      <c r="P872" t="s">
        <v>58</v>
      </c>
    </row>
    <row r="873" spans="1:16">
      <c r="A873" t="s">
        <v>1025</v>
      </c>
      <c r="B873" s="2">
        <v>45937</v>
      </c>
      <c r="C873" t="s">
        <v>200</v>
      </c>
      <c r="D873" t="s">
        <v>201</v>
      </c>
      <c r="E873" t="s">
        <v>30</v>
      </c>
      <c r="F873" t="s">
        <v>31</v>
      </c>
      <c r="G873" t="s">
        <v>21</v>
      </c>
      <c r="H873" t="s">
        <v>32</v>
      </c>
      <c r="I873" t="s">
        <v>42</v>
      </c>
      <c r="J873" t="s">
        <v>43</v>
      </c>
      <c r="K873" s="3">
        <v>132363.14000000001</v>
      </c>
      <c r="L873" s="3">
        <v>145758.09</v>
      </c>
      <c r="M873">
        <v>3</v>
      </c>
      <c r="N873" s="4">
        <v>0.2</v>
      </c>
      <c r="O873" t="s">
        <v>25</v>
      </c>
      <c r="P873" t="s">
        <v>58</v>
      </c>
    </row>
    <row r="874" spans="1:16">
      <c r="A874" t="s">
        <v>1026</v>
      </c>
      <c r="B874" s="2">
        <v>45346</v>
      </c>
      <c r="C874" t="s">
        <v>155</v>
      </c>
      <c r="D874" t="s">
        <v>156</v>
      </c>
      <c r="E874" t="s">
        <v>187</v>
      </c>
      <c r="F874" t="s">
        <v>188</v>
      </c>
      <c r="G874" t="s">
        <v>89</v>
      </c>
      <c r="H874" t="s">
        <v>189</v>
      </c>
      <c r="I874" t="s">
        <v>42</v>
      </c>
      <c r="J874" t="s">
        <v>43</v>
      </c>
      <c r="K874" s="3">
        <v>45175.28</v>
      </c>
      <c r="L874" s="3">
        <v>27619.65</v>
      </c>
      <c r="M874">
        <v>5</v>
      </c>
      <c r="N874" s="4">
        <v>0.2</v>
      </c>
      <c r="O874" t="s">
        <v>25</v>
      </c>
      <c r="P874" t="s">
        <v>58</v>
      </c>
    </row>
    <row r="875" spans="1:16">
      <c r="A875" t="s">
        <v>1027</v>
      </c>
      <c r="B875" s="2">
        <v>45311</v>
      </c>
      <c r="C875" t="s">
        <v>130</v>
      </c>
      <c r="D875" t="s">
        <v>131</v>
      </c>
      <c r="E875" t="s">
        <v>187</v>
      </c>
      <c r="F875" t="s">
        <v>188</v>
      </c>
      <c r="G875" t="s">
        <v>89</v>
      </c>
      <c r="H875" t="s">
        <v>189</v>
      </c>
      <c r="I875" t="s">
        <v>23</v>
      </c>
      <c r="J875" t="s">
        <v>75</v>
      </c>
      <c r="K875" s="3">
        <v>18810.62</v>
      </c>
      <c r="L875" s="3">
        <v>17446.29</v>
      </c>
      <c r="M875">
        <v>3</v>
      </c>
      <c r="N875" s="4">
        <v>0.2</v>
      </c>
      <c r="O875" t="s">
        <v>136</v>
      </c>
      <c r="P875" t="s">
        <v>58</v>
      </c>
    </row>
    <row r="876" spans="1:16">
      <c r="A876" t="s">
        <v>1028</v>
      </c>
      <c r="B876" s="2">
        <v>45703</v>
      </c>
      <c r="C876" t="s">
        <v>70</v>
      </c>
      <c r="D876" t="s">
        <v>71</v>
      </c>
      <c r="E876" t="s">
        <v>193</v>
      </c>
      <c r="F876" t="s">
        <v>194</v>
      </c>
      <c r="G876" t="s">
        <v>89</v>
      </c>
      <c r="H876" t="s">
        <v>90</v>
      </c>
      <c r="I876" t="s">
        <v>84</v>
      </c>
      <c r="J876" t="s">
        <v>134</v>
      </c>
      <c r="K876" s="3">
        <v>8171.85</v>
      </c>
      <c r="L876" s="3">
        <v>2272.5</v>
      </c>
      <c r="M876">
        <v>5</v>
      </c>
      <c r="N876" s="4">
        <v>0</v>
      </c>
      <c r="O876" t="s">
        <v>44</v>
      </c>
      <c r="P876" t="s">
        <v>26</v>
      </c>
    </row>
    <row r="877" spans="1:16">
      <c r="A877" t="s">
        <v>1029</v>
      </c>
      <c r="B877" s="2">
        <v>45832</v>
      </c>
      <c r="C877" t="s">
        <v>200</v>
      </c>
      <c r="D877" t="s">
        <v>201</v>
      </c>
      <c r="E877" t="s">
        <v>132</v>
      </c>
      <c r="F877" t="s">
        <v>133</v>
      </c>
      <c r="G877" t="s">
        <v>40</v>
      </c>
      <c r="H877" t="s">
        <v>41</v>
      </c>
      <c r="I877" t="s">
        <v>23</v>
      </c>
      <c r="J877" t="s">
        <v>24</v>
      </c>
      <c r="K877" s="3">
        <v>1282.1099999999999</v>
      </c>
      <c r="L877" s="3">
        <v>732.3</v>
      </c>
      <c r="M877">
        <v>3</v>
      </c>
      <c r="N877" s="4">
        <v>0</v>
      </c>
      <c r="O877" t="s">
        <v>34</v>
      </c>
      <c r="P877" t="s">
        <v>58</v>
      </c>
    </row>
    <row r="878" spans="1:16">
      <c r="A878" t="s">
        <v>1030</v>
      </c>
      <c r="B878" s="2">
        <v>45553</v>
      </c>
      <c r="C878" t="s">
        <v>265</v>
      </c>
      <c r="D878" t="s">
        <v>266</v>
      </c>
      <c r="E878" t="s">
        <v>152</v>
      </c>
      <c r="F878" t="s">
        <v>153</v>
      </c>
      <c r="G878" t="s">
        <v>21</v>
      </c>
      <c r="H878" t="s">
        <v>32</v>
      </c>
      <c r="I878" t="s">
        <v>23</v>
      </c>
      <c r="J878" t="s">
        <v>75</v>
      </c>
      <c r="K878" s="3">
        <v>14880.08</v>
      </c>
      <c r="L878" s="3">
        <v>7446.76</v>
      </c>
      <c r="M878">
        <v>1</v>
      </c>
      <c r="N878" s="4">
        <v>0.05</v>
      </c>
      <c r="O878" t="s">
        <v>25</v>
      </c>
      <c r="P878" t="s">
        <v>77</v>
      </c>
    </row>
    <row r="879" spans="1:16">
      <c r="A879" t="s">
        <v>1031</v>
      </c>
      <c r="B879" s="2">
        <v>45351</v>
      </c>
      <c r="C879" t="s">
        <v>200</v>
      </c>
      <c r="D879" t="s">
        <v>201</v>
      </c>
      <c r="E879" t="s">
        <v>30</v>
      </c>
      <c r="F879" t="s">
        <v>31</v>
      </c>
      <c r="G879" t="s">
        <v>21</v>
      </c>
      <c r="H879" t="s">
        <v>32</v>
      </c>
      <c r="I879" t="s">
        <v>42</v>
      </c>
      <c r="J879" t="s">
        <v>162</v>
      </c>
      <c r="K879" s="3">
        <v>146261.04</v>
      </c>
      <c r="L879" s="3">
        <v>140830.26</v>
      </c>
      <c r="M879">
        <v>3</v>
      </c>
      <c r="N879" s="4">
        <v>0.15</v>
      </c>
      <c r="O879" t="s">
        <v>44</v>
      </c>
      <c r="P879" t="s">
        <v>45</v>
      </c>
    </row>
    <row r="880" spans="1:16">
      <c r="A880" t="s">
        <v>1032</v>
      </c>
      <c r="B880" s="2">
        <v>45499</v>
      </c>
      <c r="C880" t="s">
        <v>104</v>
      </c>
      <c r="D880" t="s">
        <v>105</v>
      </c>
      <c r="E880" t="s">
        <v>19</v>
      </c>
      <c r="F880" t="s">
        <v>20</v>
      </c>
      <c r="G880" t="s">
        <v>21</v>
      </c>
      <c r="H880" t="s">
        <v>22</v>
      </c>
      <c r="I880" t="s">
        <v>23</v>
      </c>
      <c r="J880" t="s">
        <v>24</v>
      </c>
      <c r="K880" s="3">
        <v>11330.84</v>
      </c>
      <c r="L880" s="3">
        <v>6302.56</v>
      </c>
      <c r="M880">
        <v>2</v>
      </c>
      <c r="N880" s="4">
        <v>0.15</v>
      </c>
      <c r="O880" t="s">
        <v>34</v>
      </c>
      <c r="P880" t="s">
        <v>26</v>
      </c>
    </row>
    <row r="881" spans="1:16">
      <c r="A881" t="s">
        <v>1033</v>
      </c>
      <c r="B881" s="2">
        <v>45617</v>
      </c>
      <c r="C881" t="s">
        <v>179</v>
      </c>
      <c r="D881" t="s">
        <v>180</v>
      </c>
      <c r="E881" t="s">
        <v>175</v>
      </c>
      <c r="F881" t="s">
        <v>176</v>
      </c>
      <c r="G881" t="s">
        <v>51</v>
      </c>
      <c r="H881" t="s">
        <v>177</v>
      </c>
      <c r="I881" t="s">
        <v>23</v>
      </c>
      <c r="J881" t="s">
        <v>24</v>
      </c>
      <c r="K881" s="3">
        <v>75366.600000000006</v>
      </c>
      <c r="L881" s="3">
        <v>64679.96</v>
      </c>
      <c r="M881">
        <v>4</v>
      </c>
      <c r="N881" s="4">
        <v>0</v>
      </c>
      <c r="O881" t="s">
        <v>136</v>
      </c>
      <c r="P881" t="s">
        <v>58</v>
      </c>
    </row>
    <row r="882" spans="1:16">
      <c r="A882" t="s">
        <v>1034</v>
      </c>
      <c r="B882" s="2">
        <v>45892</v>
      </c>
      <c r="C882" t="s">
        <v>140</v>
      </c>
      <c r="D882" t="s">
        <v>141</v>
      </c>
      <c r="E882" t="s">
        <v>175</v>
      </c>
      <c r="F882" t="s">
        <v>176</v>
      </c>
      <c r="G882" t="s">
        <v>51</v>
      </c>
      <c r="H882" t="s">
        <v>177</v>
      </c>
      <c r="I882" t="s">
        <v>56</v>
      </c>
      <c r="J882" t="s">
        <v>57</v>
      </c>
      <c r="K882" s="3">
        <v>24443.77</v>
      </c>
      <c r="L882" s="3">
        <v>15188.21</v>
      </c>
      <c r="M882">
        <v>1</v>
      </c>
      <c r="N882" s="4">
        <v>0.05</v>
      </c>
      <c r="O882" t="s">
        <v>44</v>
      </c>
      <c r="P882" t="s">
        <v>26</v>
      </c>
    </row>
    <row r="883" spans="1:16">
      <c r="A883" t="s">
        <v>1035</v>
      </c>
      <c r="B883" s="2">
        <v>45943</v>
      </c>
      <c r="C883" t="s">
        <v>170</v>
      </c>
      <c r="D883" t="s">
        <v>171</v>
      </c>
      <c r="E883" t="s">
        <v>62</v>
      </c>
      <c r="F883" t="s">
        <v>63</v>
      </c>
      <c r="G883" t="s">
        <v>21</v>
      </c>
      <c r="H883" t="s">
        <v>64</v>
      </c>
      <c r="I883" t="s">
        <v>53</v>
      </c>
      <c r="J883" t="s">
        <v>102</v>
      </c>
      <c r="K883" s="3">
        <v>28602.54</v>
      </c>
      <c r="L883" s="3">
        <v>8466.2000000000007</v>
      </c>
      <c r="M883">
        <v>5</v>
      </c>
      <c r="N883" s="4">
        <v>0.1</v>
      </c>
      <c r="O883" t="s">
        <v>34</v>
      </c>
      <c r="P883" t="s">
        <v>58</v>
      </c>
    </row>
    <row r="884" spans="1:16">
      <c r="A884" t="s">
        <v>1036</v>
      </c>
      <c r="B884" s="2">
        <v>45860</v>
      </c>
      <c r="C884" t="s">
        <v>36</v>
      </c>
      <c r="D884" t="s">
        <v>37</v>
      </c>
      <c r="E884" t="s">
        <v>187</v>
      </c>
      <c r="F884" t="s">
        <v>188</v>
      </c>
      <c r="G884" t="s">
        <v>89</v>
      </c>
      <c r="H884" t="s">
        <v>189</v>
      </c>
      <c r="I884" t="s">
        <v>56</v>
      </c>
      <c r="J884" t="s">
        <v>91</v>
      </c>
      <c r="K884" s="3">
        <v>37499.14</v>
      </c>
      <c r="L884" s="3">
        <v>19983.88</v>
      </c>
      <c r="M884">
        <v>4</v>
      </c>
      <c r="N884" s="4">
        <v>0.2</v>
      </c>
      <c r="O884" t="s">
        <v>44</v>
      </c>
      <c r="P884" t="s">
        <v>58</v>
      </c>
    </row>
    <row r="885" spans="1:16">
      <c r="A885" t="s">
        <v>1037</v>
      </c>
      <c r="B885" s="2">
        <v>45571</v>
      </c>
      <c r="C885" t="s">
        <v>140</v>
      </c>
      <c r="D885" t="s">
        <v>141</v>
      </c>
      <c r="E885" t="s">
        <v>81</v>
      </c>
      <c r="F885" t="s">
        <v>82</v>
      </c>
      <c r="G885" t="s">
        <v>21</v>
      </c>
      <c r="H885" t="s">
        <v>83</v>
      </c>
      <c r="I885" t="s">
        <v>56</v>
      </c>
      <c r="J885" t="s">
        <v>191</v>
      </c>
      <c r="K885" s="3">
        <v>136130.26999999999</v>
      </c>
      <c r="L885" s="3">
        <v>85516</v>
      </c>
      <c r="M885">
        <v>5</v>
      </c>
      <c r="N885" s="4">
        <v>0.1</v>
      </c>
      <c r="O885" t="s">
        <v>76</v>
      </c>
      <c r="P885" t="s">
        <v>45</v>
      </c>
    </row>
    <row r="886" spans="1:16">
      <c r="A886" t="s">
        <v>1038</v>
      </c>
      <c r="B886" s="2">
        <v>45838</v>
      </c>
      <c r="C886" t="s">
        <v>28</v>
      </c>
      <c r="D886" t="s">
        <v>29</v>
      </c>
      <c r="E886" t="s">
        <v>117</v>
      </c>
      <c r="F886" t="s">
        <v>118</v>
      </c>
      <c r="G886" t="s">
        <v>51</v>
      </c>
      <c r="H886" t="s">
        <v>119</v>
      </c>
      <c r="I886" t="s">
        <v>42</v>
      </c>
      <c r="J886" t="s">
        <v>162</v>
      </c>
      <c r="K886" s="3">
        <v>27873.5</v>
      </c>
      <c r="L886" s="3">
        <v>20564.7</v>
      </c>
      <c r="M886">
        <v>5</v>
      </c>
      <c r="N886" s="4">
        <v>0</v>
      </c>
      <c r="O886" t="s">
        <v>76</v>
      </c>
      <c r="P886" t="s">
        <v>45</v>
      </c>
    </row>
    <row r="887" spans="1:16">
      <c r="A887" t="s">
        <v>1039</v>
      </c>
      <c r="B887" s="2">
        <v>45808</v>
      </c>
      <c r="C887" t="s">
        <v>207</v>
      </c>
      <c r="D887" t="s">
        <v>208</v>
      </c>
      <c r="E887" t="s">
        <v>49</v>
      </c>
      <c r="F887" t="s">
        <v>50</v>
      </c>
      <c r="G887" t="s">
        <v>51</v>
      </c>
      <c r="H887" t="s">
        <v>52</v>
      </c>
      <c r="I887" t="s">
        <v>42</v>
      </c>
      <c r="J887" t="s">
        <v>43</v>
      </c>
      <c r="K887" s="3">
        <v>47102.45</v>
      </c>
      <c r="L887" s="3">
        <v>22612.5</v>
      </c>
      <c r="M887">
        <v>3</v>
      </c>
      <c r="N887" s="4">
        <v>0.1</v>
      </c>
      <c r="O887" t="s">
        <v>136</v>
      </c>
      <c r="P887" t="s">
        <v>45</v>
      </c>
    </row>
    <row r="888" spans="1:16">
      <c r="A888" t="s">
        <v>1040</v>
      </c>
      <c r="B888" s="2">
        <v>45507</v>
      </c>
      <c r="C888" t="s">
        <v>36</v>
      </c>
      <c r="D888" t="s">
        <v>37</v>
      </c>
      <c r="E888" t="s">
        <v>110</v>
      </c>
      <c r="F888" t="s">
        <v>111</v>
      </c>
      <c r="G888" t="s">
        <v>40</v>
      </c>
      <c r="H888" t="s">
        <v>112</v>
      </c>
      <c r="I888" t="s">
        <v>84</v>
      </c>
      <c r="J888" t="s">
        <v>134</v>
      </c>
      <c r="K888" s="3">
        <v>9670.39</v>
      </c>
      <c r="L888" s="3">
        <v>5240.6400000000003</v>
      </c>
      <c r="M888">
        <v>4</v>
      </c>
      <c r="N888" s="4">
        <v>0.05</v>
      </c>
      <c r="O888" t="s">
        <v>25</v>
      </c>
      <c r="P888" t="s">
        <v>98</v>
      </c>
    </row>
    <row r="889" spans="1:16">
      <c r="A889" t="s">
        <v>1041</v>
      </c>
      <c r="B889" s="2">
        <v>45469</v>
      </c>
      <c r="C889" t="s">
        <v>140</v>
      </c>
      <c r="D889" t="s">
        <v>141</v>
      </c>
      <c r="E889" t="s">
        <v>30</v>
      </c>
      <c r="F889" t="s">
        <v>31</v>
      </c>
      <c r="G889" t="s">
        <v>21</v>
      </c>
      <c r="H889" t="s">
        <v>32</v>
      </c>
      <c r="I889" t="s">
        <v>42</v>
      </c>
      <c r="J889" t="s">
        <v>68</v>
      </c>
      <c r="K889" s="3">
        <v>209401.07</v>
      </c>
      <c r="L889" s="3">
        <v>194142.36</v>
      </c>
      <c r="M889">
        <v>4</v>
      </c>
      <c r="N889" s="4">
        <v>0.15</v>
      </c>
      <c r="O889" t="s">
        <v>136</v>
      </c>
      <c r="P889" t="s">
        <v>58</v>
      </c>
    </row>
    <row r="890" spans="1:16">
      <c r="A890" t="s">
        <v>1042</v>
      </c>
      <c r="B890" s="2">
        <v>45323</v>
      </c>
      <c r="C890" t="s">
        <v>17</v>
      </c>
      <c r="D890" t="s">
        <v>18</v>
      </c>
      <c r="E890" t="s">
        <v>62</v>
      </c>
      <c r="F890" t="s">
        <v>63</v>
      </c>
      <c r="G890" t="s">
        <v>21</v>
      </c>
      <c r="H890" t="s">
        <v>64</v>
      </c>
      <c r="I890" t="s">
        <v>56</v>
      </c>
      <c r="J890" t="s">
        <v>57</v>
      </c>
      <c r="K890" s="3">
        <v>12236.02</v>
      </c>
      <c r="L890" s="3">
        <v>7448.04</v>
      </c>
      <c r="M890">
        <v>4</v>
      </c>
      <c r="N890" s="4">
        <v>0.15</v>
      </c>
      <c r="O890" t="s">
        <v>34</v>
      </c>
      <c r="P890" t="s">
        <v>77</v>
      </c>
    </row>
    <row r="891" spans="1:16">
      <c r="A891" t="s">
        <v>1043</v>
      </c>
      <c r="B891" s="2">
        <v>46005</v>
      </c>
      <c r="C891" t="s">
        <v>104</v>
      </c>
      <c r="D891" t="s">
        <v>105</v>
      </c>
      <c r="E891" t="s">
        <v>117</v>
      </c>
      <c r="F891" t="s">
        <v>118</v>
      </c>
      <c r="G891" t="s">
        <v>51</v>
      </c>
      <c r="H891" t="s">
        <v>119</v>
      </c>
      <c r="I891" t="s">
        <v>53</v>
      </c>
      <c r="J891" t="s">
        <v>102</v>
      </c>
      <c r="K891" s="3">
        <v>6885.66</v>
      </c>
      <c r="L891" s="3">
        <v>4162.29</v>
      </c>
      <c r="M891">
        <v>1</v>
      </c>
      <c r="N891" s="4">
        <v>0.05</v>
      </c>
      <c r="O891" t="s">
        <v>136</v>
      </c>
      <c r="P891" t="s">
        <v>58</v>
      </c>
    </row>
    <row r="892" spans="1:16">
      <c r="A892" t="s">
        <v>1044</v>
      </c>
      <c r="B892" s="2">
        <v>45579</v>
      </c>
      <c r="C892" t="s">
        <v>36</v>
      </c>
      <c r="D892" t="s">
        <v>37</v>
      </c>
      <c r="E892" t="s">
        <v>30</v>
      </c>
      <c r="F892" t="s">
        <v>31</v>
      </c>
      <c r="G892" t="s">
        <v>21</v>
      </c>
      <c r="H892" t="s">
        <v>32</v>
      </c>
      <c r="I892" t="s">
        <v>53</v>
      </c>
      <c r="J892" t="s">
        <v>54</v>
      </c>
      <c r="K892" s="3">
        <v>169924.5</v>
      </c>
      <c r="L892" s="3">
        <v>135115.53</v>
      </c>
      <c r="M892">
        <v>3</v>
      </c>
      <c r="N892" s="4">
        <v>0.1</v>
      </c>
      <c r="O892" t="s">
        <v>76</v>
      </c>
      <c r="P892" t="s">
        <v>58</v>
      </c>
    </row>
    <row r="893" spans="1:16">
      <c r="A893" t="s">
        <v>1045</v>
      </c>
      <c r="B893" s="2">
        <v>45579</v>
      </c>
      <c r="C893" t="s">
        <v>197</v>
      </c>
      <c r="D893" t="s">
        <v>198</v>
      </c>
      <c r="E893" t="s">
        <v>172</v>
      </c>
      <c r="F893" t="s">
        <v>173</v>
      </c>
      <c r="G893" t="s">
        <v>40</v>
      </c>
      <c r="H893" t="s">
        <v>41</v>
      </c>
      <c r="I893" t="s">
        <v>23</v>
      </c>
      <c r="J893" t="s">
        <v>24</v>
      </c>
      <c r="K893" s="3">
        <v>11868.35</v>
      </c>
      <c r="L893" s="3">
        <v>3891.24</v>
      </c>
      <c r="M893">
        <v>4</v>
      </c>
      <c r="N893" s="4">
        <v>0.05</v>
      </c>
      <c r="O893" t="s">
        <v>25</v>
      </c>
      <c r="P893" t="s">
        <v>58</v>
      </c>
    </row>
    <row r="894" spans="1:16">
      <c r="A894" t="s">
        <v>1046</v>
      </c>
      <c r="B894" s="2">
        <v>45576</v>
      </c>
      <c r="C894" t="s">
        <v>17</v>
      </c>
      <c r="D894" t="s">
        <v>18</v>
      </c>
      <c r="E894" t="s">
        <v>106</v>
      </c>
      <c r="F894" t="s">
        <v>107</v>
      </c>
      <c r="G894" t="s">
        <v>40</v>
      </c>
      <c r="H894" t="s">
        <v>108</v>
      </c>
      <c r="I894" t="s">
        <v>23</v>
      </c>
      <c r="J894" t="s">
        <v>33</v>
      </c>
      <c r="K894" s="3">
        <v>5581.49</v>
      </c>
      <c r="L894" s="3">
        <v>3500.25</v>
      </c>
      <c r="M894">
        <v>5</v>
      </c>
      <c r="N894" s="4">
        <v>0.05</v>
      </c>
      <c r="O894" t="s">
        <v>34</v>
      </c>
      <c r="P894" t="s">
        <v>58</v>
      </c>
    </row>
    <row r="895" spans="1:16">
      <c r="A895" t="s">
        <v>1047</v>
      </c>
      <c r="B895" s="2">
        <v>45358</v>
      </c>
      <c r="C895" t="s">
        <v>100</v>
      </c>
      <c r="D895" t="s">
        <v>101</v>
      </c>
      <c r="E895" t="s">
        <v>95</v>
      </c>
      <c r="F895" t="s">
        <v>96</v>
      </c>
      <c r="G895" t="s">
        <v>89</v>
      </c>
      <c r="H895" t="s">
        <v>97</v>
      </c>
      <c r="I895" t="s">
        <v>23</v>
      </c>
      <c r="J895" t="s">
        <v>75</v>
      </c>
      <c r="K895" s="3">
        <v>12948.71</v>
      </c>
      <c r="L895" s="3">
        <v>6663.48</v>
      </c>
      <c r="M895">
        <v>2</v>
      </c>
      <c r="N895" s="4">
        <v>0.05</v>
      </c>
      <c r="O895" t="s">
        <v>34</v>
      </c>
      <c r="P895" t="s">
        <v>45</v>
      </c>
    </row>
    <row r="896" spans="1:16">
      <c r="A896" t="s">
        <v>1048</v>
      </c>
      <c r="B896" s="2">
        <v>45986</v>
      </c>
      <c r="C896" t="s">
        <v>144</v>
      </c>
      <c r="D896" t="s">
        <v>145</v>
      </c>
      <c r="E896" t="s">
        <v>30</v>
      </c>
      <c r="F896" t="s">
        <v>31</v>
      </c>
      <c r="G896" t="s">
        <v>21</v>
      </c>
      <c r="H896" t="s">
        <v>32</v>
      </c>
      <c r="I896" t="s">
        <v>42</v>
      </c>
      <c r="J896" t="s">
        <v>162</v>
      </c>
      <c r="K896" s="3">
        <v>260996.11</v>
      </c>
      <c r="L896" s="3">
        <v>245493.9</v>
      </c>
      <c r="M896">
        <v>5</v>
      </c>
      <c r="N896" s="4">
        <v>0.15</v>
      </c>
      <c r="O896" t="s">
        <v>25</v>
      </c>
      <c r="P896" t="s">
        <v>26</v>
      </c>
    </row>
    <row r="897" spans="1:16">
      <c r="A897" t="s">
        <v>1049</v>
      </c>
      <c r="B897" s="2">
        <v>45622</v>
      </c>
      <c r="C897" t="s">
        <v>17</v>
      </c>
      <c r="D897" t="s">
        <v>18</v>
      </c>
      <c r="E897" t="s">
        <v>81</v>
      </c>
      <c r="F897" t="s">
        <v>82</v>
      </c>
      <c r="G897" t="s">
        <v>21</v>
      </c>
      <c r="H897" t="s">
        <v>83</v>
      </c>
      <c r="I897" t="s">
        <v>53</v>
      </c>
      <c r="J897" t="s">
        <v>102</v>
      </c>
      <c r="K897" s="3">
        <v>104792.16</v>
      </c>
      <c r="L897" s="3">
        <v>76958.52</v>
      </c>
      <c r="M897">
        <v>4</v>
      </c>
      <c r="N897" s="4">
        <v>0</v>
      </c>
      <c r="O897" t="s">
        <v>34</v>
      </c>
      <c r="P897" t="s">
        <v>98</v>
      </c>
    </row>
    <row r="898" spans="1:16">
      <c r="A898" t="s">
        <v>1050</v>
      </c>
      <c r="B898" s="2">
        <v>45336</v>
      </c>
      <c r="C898" t="s">
        <v>197</v>
      </c>
      <c r="D898" t="s">
        <v>198</v>
      </c>
      <c r="E898" t="s">
        <v>172</v>
      </c>
      <c r="F898" t="s">
        <v>173</v>
      </c>
      <c r="G898" t="s">
        <v>40</v>
      </c>
      <c r="H898" t="s">
        <v>41</v>
      </c>
      <c r="I898" t="s">
        <v>56</v>
      </c>
      <c r="J898" t="s">
        <v>57</v>
      </c>
      <c r="K898" s="3">
        <v>6009.33</v>
      </c>
      <c r="L898" s="3">
        <v>1636.9</v>
      </c>
      <c r="M898">
        <v>2</v>
      </c>
      <c r="N898" s="4">
        <v>0.2</v>
      </c>
      <c r="O898" t="s">
        <v>136</v>
      </c>
      <c r="P898" t="s">
        <v>77</v>
      </c>
    </row>
    <row r="899" spans="1:16">
      <c r="A899" t="s">
        <v>1051</v>
      </c>
      <c r="B899" s="2">
        <v>45634</v>
      </c>
      <c r="C899" t="s">
        <v>140</v>
      </c>
      <c r="D899" t="s">
        <v>141</v>
      </c>
      <c r="E899" t="s">
        <v>106</v>
      </c>
      <c r="F899" t="s">
        <v>107</v>
      </c>
      <c r="G899" t="s">
        <v>40</v>
      </c>
      <c r="H899" t="s">
        <v>108</v>
      </c>
      <c r="I899" t="s">
        <v>84</v>
      </c>
      <c r="J899" t="s">
        <v>85</v>
      </c>
      <c r="K899" s="3">
        <v>2448.04</v>
      </c>
      <c r="L899" s="3">
        <v>753.21</v>
      </c>
      <c r="M899">
        <v>1</v>
      </c>
      <c r="N899" s="4">
        <v>0.05</v>
      </c>
      <c r="O899" t="s">
        <v>136</v>
      </c>
      <c r="P899" t="s">
        <v>58</v>
      </c>
    </row>
    <row r="900" spans="1:16">
      <c r="A900" t="s">
        <v>1052</v>
      </c>
      <c r="B900" s="2">
        <v>45629</v>
      </c>
      <c r="C900" t="s">
        <v>36</v>
      </c>
      <c r="D900" t="s">
        <v>37</v>
      </c>
      <c r="E900" t="s">
        <v>49</v>
      </c>
      <c r="F900" t="s">
        <v>50</v>
      </c>
      <c r="G900" t="s">
        <v>51</v>
      </c>
      <c r="H900" t="s">
        <v>52</v>
      </c>
      <c r="I900" t="s">
        <v>23</v>
      </c>
      <c r="J900" t="s">
        <v>75</v>
      </c>
      <c r="K900" s="3">
        <v>42578.97</v>
      </c>
      <c r="L900" s="3">
        <v>19163.939999999999</v>
      </c>
      <c r="M900">
        <v>3</v>
      </c>
      <c r="N900" s="4">
        <v>0</v>
      </c>
      <c r="O900" t="s">
        <v>136</v>
      </c>
      <c r="P900" t="s">
        <v>26</v>
      </c>
    </row>
    <row r="901" spans="1:16">
      <c r="A901" t="s">
        <v>1053</v>
      </c>
      <c r="B901" s="2">
        <v>45933</v>
      </c>
      <c r="C901" t="s">
        <v>140</v>
      </c>
      <c r="D901" t="s">
        <v>141</v>
      </c>
      <c r="E901" t="s">
        <v>95</v>
      </c>
      <c r="F901" t="s">
        <v>96</v>
      </c>
      <c r="G901" t="s">
        <v>89</v>
      </c>
      <c r="H901" t="s">
        <v>97</v>
      </c>
      <c r="I901" t="s">
        <v>53</v>
      </c>
      <c r="J901" t="s">
        <v>54</v>
      </c>
      <c r="K901" s="3">
        <v>13197.63</v>
      </c>
      <c r="L901" s="3">
        <v>11215.08</v>
      </c>
      <c r="M901">
        <v>3</v>
      </c>
      <c r="N901" s="4">
        <v>0.15</v>
      </c>
      <c r="O901" t="s">
        <v>76</v>
      </c>
      <c r="P901" t="s">
        <v>77</v>
      </c>
    </row>
    <row r="902" spans="1:16">
      <c r="A902" t="s">
        <v>1054</v>
      </c>
      <c r="B902" s="2">
        <v>45534</v>
      </c>
      <c r="C902" t="s">
        <v>28</v>
      </c>
      <c r="D902" t="s">
        <v>29</v>
      </c>
      <c r="E902" t="s">
        <v>110</v>
      </c>
      <c r="F902" t="s">
        <v>111</v>
      </c>
      <c r="G902" t="s">
        <v>40</v>
      </c>
      <c r="H902" t="s">
        <v>112</v>
      </c>
      <c r="I902" t="s">
        <v>56</v>
      </c>
      <c r="J902" t="s">
        <v>57</v>
      </c>
      <c r="K902" s="3">
        <v>3609.14</v>
      </c>
      <c r="L902" s="3">
        <v>1266.18</v>
      </c>
      <c r="M902">
        <v>1</v>
      </c>
      <c r="N902" s="4">
        <v>0</v>
      </c>
      <c r="O902" t="s">
        <v>136</v>
      </c>
      <c r="P902" t="s">
        <v>58</v>
      </c>
    </row>
    <row r="903" spans="1:16">
      <c r="A903" t="s">
        <v>1055</v>
      </c>
      <c r="B903" s="2">
        <v>45678</v>
      </c>
      <c r="C903" t="s">
        <v>100</v>
      </c>
      <c r="D903" t="s">
        <v>101</v>
      </c>
      <c r="E903" t="s">
        <v>81</v>
      </c>
      <c r="F903" t="s">
        <v>82</v>
      </c>
      <c r="G903" t="s">
        <v>21</v>
      </c>
      <c r="H903" t="s">
        <v>83</v>
      </c>
      <c r="I903" t="s">
        <v>23</v>
      </c>
      <c r="J903" t="s">
        <v>24</v>
      </c>
      <c r="K903" s="3">
        <v>86781.13</v>
      </c>
      <c r="L903" s="3">
        <v>58212.9</v>
      </c>
      <c r="M903">
        <v>3</v>
      </c>
      <c r="N903" s="4">
        <v>0.05</v>
      </c>
      <c r="O903" t="s">
        <v>25</v>
      </c>
      <c r="P903" t="s">
        <v>98</v>
      </c>
    </row>
    <row r="904" spans="1:16">
      <c r="A904" t="s">
        <v>1056</v>
      </c>
      <c r="B904" s="2">
        <v>45933</v>
      </c>
      <c r="C904" t="s">
        <v>28</v>
      </c>
      <c r="D904" t="s">
        <v>29</v>
      </c>
      <c r="E904" t="s">
        <v>123</v>
      </c>
      <c r="F904" t="s">
        <v>124</v>
      </c>
      <c r="G904" t="s">
        <v>51</v>
      </c>
      <c r="H904" t="s">
        <v>125</v>
      </c>
      <c r="I904" t="s">
        <v>42</v>
      </c>
      <c r="J904" t="s">
        <v>43</v>
      </c>
      <c r="K904" s="3">
        <v>103192.8</v>
      </c>
      <c r="L904" s="3">
        <v>65747.360000000001</v>
      </c>
      <c r="M904">
        <v>4</v>
      </c>
      <c r="N904" s="4">
        <v>0.2</v>
      </c>
      <c r="O904" t="s">
        <v>25</v>
      </c>
      <c r="P904" t="s">
        <v>45</v>
      </c>
    </row>
    <row r="905" spans="1:16">
      <c r="A905" t="s">
        <v>1057</v>
      </c>
      <c r="B905" s="2">
        <v>45924</v>
      </c>
      <c r="C905" t="s">
        <v>104</v>
      </c>
      <c r="D905" t="s">
        <v>105</v>
      </c>
      <c r="E905" t="s">
        <v>106</v>
      </c>
      <c r="F905" t="s">
        <v>107</v>
      </c>
      <c r="G905" t="s">
        <v>40</v>
      </c>
      <c r="H905" t="s">
        <v>108</v>
      </c>
      <c r="I905" t="s">
        <v>23</v>
      </c>
      <c r="J905" t="s">
        <v>33</v>
      </c>
      <c r="K905" s="3">
        <v>6781.02</v>
      </c>
      <c r="L905" s="3">
        <v>2650.56</v>
      </c>
      <c r="M905">
        <v>4</v>
      </c>
      <c r="N905" s="4">
        <v>0.2</v>
      </c>
      <c r="O905" t="s">
        <v>25</v>
      </c>
      <c r="P905" t="s">
        <v>98</v>
      </c>
    </row>
    <row r="906" spans="1:16">
      <c r="A906" t="s">
        <v>1058</v>
      </c>
      <c r="B906" s="2">
        <v>45730</v>
      </c>
      <c r="C906" t="s">
        <v>104</v>
      </c>
      <c r="D906" t="s">
        <v>105</v>
      </c>
      <c r="E906" t="s">
        <v>38</v>
      </c>
      <c r="F906" t="s">
        <v>39</v>
      </c>
      <c r="G906" t="s">
        <v>40</v>
      </c>
      <c r="H906" t="s">
        <v>41</v>
      </c>
      <c r="I906" t="s">
        <v>53</v>
      </c>
      <c r="J906" t="s">
        <v>54</v>
      </c>
      <c r="K906" s="3">
        <v>5716.95</v>
      </c>
      <c r="L906" s="3">
        <v>2559.6</v>
      </c>
      <c r="M906">
        <v>5</v>
      </c>
      <c r="N906" s="4">
        <v>0</v>
      </c>
      <c r="O906" t="s">
        <v>136</v>
      </c>
      <c r="P906" t="s">
        <v>77</v>
      </c>
    </row>
    <row r="907" spans="1:16">
      <c r="A907" t="s">
        <v>1059</v>
      </c>
      <c r="B907" s="2">
        <v>45397</v>
      </c>
      <c r="C907" t="s">
        <v>147</v>
      </c>
      <c r="D907" t="s">
        <v>148</v>
      </c>
      <c r="E907" t="s">
        <v>49</v>
      </c>
      <c r="F907" t="s">
        <v>50</v>
      </c>
      <c r="G907" t="s">
        <v>51</v>
      </c>
      <c r="H907" t="s">
        <v>52</v>
      </c>
      <c r="I907" t="s">
        <v>23</v>
      </c>
      <c r="J907" t="s">
        <v>33</v>
      </c>
      <c r="K907" s="3">
        <v>8099.94</v>
      </c>
      <c r="L907" s="3">
        <v>7133.25</v>
      </c>
      <c r="M907">
        <v>1</v>
      </c>
      <c r="N907" s="4">
        <v>0.05</v>
      </c>
      <c r="O907" t="s">
        <v>34</v>
      </c>
      <c r="P907" t="s">
        <v>58</v>
      </c>
    </row>
    <row r="908" spans="1:16">
      <c r="A908" t="s">
        <v>1060</v>
      </c>
      <c r="B908" s="2">
        <v>45655</v>
      </c>
      <c r="C908" t="s">
        <v>17</v>
      </c>
      <c r="D908" t="s">
        <v>18</v>
      </c>
      <c r="E908" t="s">
        <v>182</v>
      </c>
      <c r="F908" t="s">
        <v>183</v>
      </c>
      <c r="G908" t="s">
        <v>89</v>
      </c>
      <c r="H908" t="s">
        <v>90</v>
      </c>
      <c r="I908" t="s">
        <v>84</v>
      </c>
      <c r="J908" t="s">
        <v>142</v>
      </c>
      <c r="K908" s="3">
        <v>42711.199999999997</v>
      </c>
      <c r="L908" s="3">
        <v>23910.720000000001</v>
      </c>
      <c r="M908">
        <v>4</v>
      </c>
      <c r="N908" s="4">
        <v>0.05</v>
      </c>
      <c r="O908" t="s">
        <v>76</v>
      </c>
      <c r="P908" t="s">
        <v>58</v>
      </c>
    </row>
    <row r="909" spans="1:16">
      <c r="A909" t="s">
        <v>1061</v>
      </c>
      <c r="B909" s="2">
        <v>45611</v>
      </c>
      <c r="C909" t="s">
        <v>28</v>
      </c>
      <c r="D909" t="s">
        <v>29</v>
      </c>
      <c r="E909" t="s">
        <v>81</v>
      </c>
      <c r="F909" t="s">
        <v>82</v>
      </c>
      <c r="G909" t="s">
        <v>21</v>
      </c>
      <c r="H909" t="s">
        <v>83</v>
      </c>
      <c r="I909" t="s">
        <v>23</v>
      </c>
      <c r="J909" t="s">
        <v>75</v>
      </c>
      <c r="K909" s="3">
        <v>154811.51999999999</v>
      </c>
      <c r="L909" s="3">
        <v>88845.25</v>
      </c>
      <c r="M909">
        <v>5</v>
      </c>
      <c r="N909" s="4">
        <v>0.1</v>
      </c>
      <c r="O909" t="s">
        <v>44</v>
      </c>
      <c r="P909" t="s">
        <v>58</v>
      </c>
    </row>
    <row r="910" spans="1:16">
      <c r="A910" t="s">
        <v>1062</v>
      </c>
      <c r="B910" s="2">
        <v>45909</v>
      </c>
      <c r="C910" t="s">
        <v>47</v>
      </c>
      <c r="D910" t="s">
        <v>48</v>
      </c>
      <c r="E910" t="s">
        <v>87</v>
      </c>
      <c r="F910" t="s">
        <v>88</v>
      </c>
      <c r="G910" t="s">
        <v>89</v>
      </c>
      <c r="H910" t="s">
        <v>90</v>
      </c>
      <c r="I910" t="s">
        <v>84</v>
      </c>
      <c r="J910" t="s">
        <v>142</v>
      </c>
      <c r="K910" s="3">
        <v>12951.41</v>
      </c>
      <c r="L910" s="3">
        <v>5174.34</v>
      </c>
      <c r="M910">
        <v>3</v>
      </c>
      <c r="N910" s="4">
        <v>0.2</v>
      </c>
      <c r="O910" t="s">
        <v>34</v>
      </c>
      <c r="P910" t="s">
        <v>58</v>
      </c>
    </row>
    <row r="911" spans="1:16">
      <c r="A911" t="s">
        <v>1063</v>
      </c>
      <c r="B911" s="2">
        <v>45864</v>
      </c>
      <c r="C911" t="s">
        <v>28</v>
      </c>
      <c r="D911" t="s">
        <v>29</v>
      </c>
      <c r="E911" t="s">
        <v>72</v>
      </c>
      <c r="F911" t="s">
        <v>73</v>
      </c>
      <c r="G911" t="s">
        <v>51</v>
      </c>
      <c r="H911" t="s">
        <v>74</v>
      </c>
      <c r="I911" t="s">
        <v>56</v>
      </c>
      <c r="J911" t="s">
        <v>57</v>
      </c>
      <c r="K911" s="3">
        <v>5280.72</v>
      </c>
      <c r="L911" s="3">
        <v>3937.65</v>
      </c>
      <c r="M911">
        <v>1</v>
      </c>
      <c r="N911" s="4">
        <v>0.05</v>
      </c>
      <c r="O911" t="s">
        <v>76</v>
      </c>
      <c r="P911" t="s">
        <v>58</v>
      </c>
    </row>
    <row r="912" spans="1:16">
      <c r="A912" t="s">
        <v>1064</v>
      </c>
      <c r="B912" s="2">
        <v>45779</v>
      </c>
      <c r="C912" t="s">
        <v>231</v>
      </c>
      <c r="D912" t="s">
        <v>232</v>
      </c>
      <c r="E912" t="s">
        <v>49</v>
      </c>
      <c r="F912" t="s">
        <v>50</v>
      </c>
      <c r="G912" t="s">
        <v>51</v>
      </c>
      <c r="H912" t="s">
        <v>52</v>
      </c>
      <c r="I912" t="s">
        <v>42</v>
      </c>
      <c r="J912" t="s">
        <v>68</v>
      </c>
      <c r="K912" s="3">
        <v>35854.21</v>
      </c>
      <c r="L912" s="3">
        <v>28558.68</v>
      </c>
      <c r="M912">
        <v>4</v>
      </c>
      <c r="N912" s="4">
        <v>0.2</v>
      </c>
      <c r="O912" t="s">
        <v>34</v>
      </c>
      <c r="P912" t="s">
        <v>77</v>
      </c>
    </row>
    <row r="913" spans="1:16">
      <c r="A913" t="s">
        <v>1065</v>
      </c>
      <c r="B913" s="2">
        <v>45628</v>
      </c>
      <c r="C913" t="s">
        <v>155</v>
      </c>
      <c r="D913" t="s">
        <v>156</v>
      </c>
      <c r="E913" t="s">
        <v>123</v>
      </c>
      <c r="F913" t="s">
        <v>124</v>
      </c>
      <c r="G913" t="s">
        <v>51</v>
      </c>
      <c r="H913" t="s">
        <v>125</v>
      </c>
      <c r="I913" t="s">
        <v>56</v>
      </c>
      <c r="J913" t="s">
        <v>91</v>
      </c>
      <c r="K913" s="3">
        <v>71579.44</v>
      </c>
      <c r="L913" s="3">
        <v>33154.9</v>
      </c>
      <c r="M913">
        <v>2</v>
      </c>
      <c r="N913" s="4">
        <v>0</v>
      </c>
      <c r="O913" t="s">
        <v>136</v>
      </c>
      <c r="P913" t="s">
        <v>58</v>
      </c>
    </row>
    <row r="914" spans="1:16">
      <c r="A914" t="s">
        <v>1066</v>
      </c>
      <c r="B914" s="2">
        <v>45527</v>
      </c>
      <c r="C914" t="s">
        <v>140</v>
      </c>
      <c r="D914" t="s">
        <v>141</v>
      </c>
      <c r="E914" t="s">
        <v>72</v>
      </c>
      <c r="F914" t="s">
        <v>73</v>
      </c>
      <c r="G914" t="s">
        <v>51</v>
      </c>
      <c r="H914" t="s">
        <v>74</v>
      </c>
      <c r="I914" t="s">
        <v>42</v>
      </c>
      <c r="J914" t="s">
        <v>162</v>
      </c>
      <c r="K914" s="3">
        <v>20877.8</v>
      </c>
      <c r="L914" s="3">
        <v>16396.560000000001</v>
      </c>
      <c r="M914">
        <v>4</v>
      </c>
      <c r="N914" s="4">
        <v>0.1</v>
      </c>
      <c r="O914" t="s">
        <v>136</v>
      </c>
      <c r="P914" t="s">
        <v>58</v>
      </c>
    </row>
    <row r="915" spans="1:16">
      <c r="A915" t="s">
        <v>1067</v>
      </c>
      <c r="B915" s="2">
        <v>45298</v>
      </c>
      <c r="C915" t="s">
        <v>104</v>
      </c>
      <c r="D915" t="s">
        <v>105</v>
      </c>
      <c r="E915" t="s">
        <v>117</v>
      </c>
      <c r="F915" t="s">
        <v>118</v>
      </c>
      <c r="G915" t="s">
        <v>51</v>
      </c>
      <c r="H915" t="s">
        <v>119</v>
      </c>
      <c r="I915" t="s">
        <v>53</v>
      </c>
      <c r="J915" t="s">
        <v>102</v>
      </c>
      <c r="K915" s="3">
        <v>17215.2</v>
      </c>
      <c r="L915" s="3">
        <v>12176.7</v>
      </c>
      <c r="M915">
        <v>3</v>
      </c>
      <c r="N915" s="4">
        <v>0.2</v>
      </c>
      <c r="O915" t="s">
        <v>25</v>
      </c>
      <c r="P915" t="s">
        <v>58</v>
      </c>
    </row>
    <row r="916" spans="1:16">
      <c r="A916" t="s">
        <v>1068</v>
      </c>
      <c r="B916" s="2">
        <v>45938</v>
      </c>
      <c r="C916" t="s">
        <v>265</v>
      </c>
      <c r="D916" t="s">
        <v>266</v>
      </c>
      <c r="E916" t="s">
        <v>38</v>
      </c>
      <c r="F916" t="s">
        <v>39</v>
      </c>
      <c r="G916" t="s">
        <v>40</v>
      </c>
      <c r="H916" t="s">
        <v>41</v>
      </c>
      <c r="I916" t="s">
        <v>84</v>
      </c>
      <c r="J916" t="s">
        <v>85</v>
      </c>
      <c r="K916" s="3">
        <v>5879.25</v>
      </c>
      <c r="L916" s="3">
        <v>2706.35</v>
      </c>
      <c r="M916">
        <v>5</v>
      </c>
      <c r="N916" s="4">
        <v>0</v>
      </c>
      <c r="O916" t="s">
        <v>76</v>
      </c>
      <c r="P916" t="s">
        <v>58</v>
      </c>
    </row>
    <row r="917" spans="1:16">
      <c r="A917" t="s">
        <v>1069</v>
      </c>
      <c r="B917" s="2">
        <v>45560</v>
      </c>
      <c r="C917" t="s">
        <v>265</v>
      </c>
      <c r="D917" t="s">
        <v>266</v>
      </c>
      <c r="E917" t="s">
        <v>117</v>
      </c>
      <c r="F917" t="s">
        <v>118</v>
      </c>
      <c r="G917" t="s">
        <v>51</v>
      </c>
      <c r="H917" t="s">
        <v>119</v>
      </c>
      <c r="I917" t="s">
        <v>84</v>
      </c>
      <c r="J917" t="s">
        <v>85</v>
      </c>
      <c r="K917" s="3">
        <v>15855.22</v>
      </c>
      <c r="L917" s="3">
        <v>8711.68</v>
      </c>
      <c r="M917">
        <v>2</v>
      </c>
      <c r="N917" s="4">
        <v>0.05</v>
      </c>
      <c r="O917" t="s">
        <v>76</v>
      </c>
      <c r="P917" t="s">
        <v>58</v>
      </c>
    </row>
    <row r="918" spans="1:16">
      <c r="A918" t="s">
        <v>1070</v>
      </c>
      <c r="B918" s="2">
        <v>45313</v>
      </c>
      <c r="C918" t="s">
        <v>200</v>
      </c>
      <c r="D918" t="s">
        <v>201</v>
      </c>
      <c r="E918" t="s">
        <v>175</v>
      </c>
      <c r="F918" t="s">
        <v>176</v>
      </c>
      <c r="G918" t="s">
        <v>51</v>
      </c>
      <c r="H918" t="s">
        <v>177</v>
      </c>
      <c r="I918" t="s">
        <v>23</v>
      </c>
      <c r="J918" t="s">
        <v>33</v>
      </c>
      <c r="K918" s="3">
        <v>58013.58</v>
      </c>
      <c r="L918" s="3">
        <v>31225.1</v>
      </c>
      <c r="M918">
        <v>2</v>
      </c>
      <c r="N918" s="4">
        <v>0</v>
      </c>
      <c r="O918" t="s">
        <v>44</v>
      </c>
      <c r="P918" t="s">
        <v>58</v>
      </c>
    </row>
    <row r="919" spans="1:16">
      <c r="A919" t="s">
        <v>1071</v>
      </c>
      <c r="B919" s="2">
        <v>45670</v>
      </c>
      <c r="C919" t="s">
        <v>265</v>
      </c>
      <c r="D919" t="s">
        <v>266</v>
      </c>
      <c r="E919" t="s">
        <v>38</v>
      </c>
      <c r="F919" t="s">
        <v>39</v>
      </c>
      <c r="G919" t="s">
        <v>40</v>
      </c>
      <c r="H919" t="s">
        <v>41</v>
      </c>
      <c r="I919" t="s">
        <v>84</v>
      </c>
      <c r="J919" t="s">
        <v>85</v>
      </c>
      <c r="K919" s="3">
        <v>5054.0600000000004</v>
      </c>
      <c r="L919" s="3">
        <v>1548.27</v>
      </c>
      <c r="M919">
        <v>3</v>
      </c>
      <c r="N919" s="4">
        <v>0.2</v>
      </c>
      <c r="O919" t="s">
        <v>136</v>
      </c>
      <c r="P919" t="s">
        <v>58</v>
      </c>
    </row>
    <row r="920" spans="1:16">
      <c r="A920" t="s">
        <v>1072</v>
      </c>
      <c r="B920" s="2">
        <v>45486</v>
      </c>
      <c r="C920" t="s">
        <v>179</v>
      </c>
      <c r="D920" t="s">
        <v>180</v>
      </c>
      <c r="E920" t="s">
        <v>152</v>
      </c>
      <c r="F920" t="s">
        <v>153</v>
      </c>
      <c r="G920" t="s">
        <v>21</v>
      </c>
      <c r="H920" t="s">
        <v>32</v>
      </c>
      <c r="I920" t="s">
        <v>23</v>
      </c>
      <c r="J920" t="s">
        <v>75</v>
      </c>
      <c r="K920" s="3">
        <v>24926.85</v>
      </c>
      <c r="L920" s="3">
        <v>16104.18</v>
      </c>
      <c r="M920">
        <v>2</v>
      </c>
      <c r="N920" s="4">
        <v>0.1</v>
      </c>
      <c r="O920" t="s">
        <v>34</v>
      </c>
      <c r="P920" t="s">
        <v>26</v>
      </c>
    </row>
    <row r="921" spans="1:16">
      <c r="A921" t="s">
        <v>1073</v>
      </c>
      <c r="B921" s="2">
        <v>45922</v>
      </c>
      <c r="C921" t="s">
        <v>17</v>
      </c>
      <c r="D921" t="s">
        <v>18</v>
      </c>
      <c r="E921" t="s">
        <v>72</v>
      </c>
      <c r="F921" t="s">
        <v>73</v>
      </c>
      <c r="G921" t="s">
        <v>51</v>
      </c>
      <c r="H921" t="s">
        <v>74</v>
      </c>
      <c r="I921" t="s">
        <v>23</v>
      </c>
      <c r="J921" t="s">
        <v>24</v>
      </c>
      <c r="K921" s="3">
        <v>35320</v>
      </c>
      <c r="L921" s="3">
        <v>18756.400000000001</v>
      </c>
      <c r="M921">
        <v>5</v>
      </c>
      <c r="N921" s="4">
        <v>0.05</v>
      </c>
      <c r="O921" t="s">
        <v>44</v>
      </c>
      <c r="P921" t="s">
        <v>58</v>
      </c>
    </row>
    <row r="922" spans="1:16">
      <c r="A922" t="s">
        <v>1074</v>
      </c>
      <c r="B922" s="2">
        <v>45421</v>
      </c>
      <c r="C922" t="s">
        <v>28</v>
      </c>
      <c r="D922" t="s">
        <v>29</v>
      </c>
      <c r="E922" t="s">
        <v>175</v>
      </c>
      <c r="F922" t="s">
        <v>176</v>
      </c>
      <c r="G922" t="s">
        <v>51</v>
      </c>
      <c r="H922" t="s">
        <v>177</v>
      </c>
      <c r="I922" t="s">
        <v>53</v>
      </c>
      <c r="J922" t="s">
        <v>102</v>
      </c>
      <c r="K922" s="3">
        <v>144364.60999999999</v>
      </c>
      <c r="L922" s="3">
        <v>87494.15</v>
      </c>
      <c r="M922">
        <v>5</v>
      </c>
      <c r="N922" s="4">
        <v>0.05</v>
      </c>
      <c r="O922" t="s">
        <v>25</v>
      </c>
      <c r="P922" t="s">
        <v>98</v>
      </c>
    </row>
    <row r="923" spans="1:16">
      <c r="A923" t="s">
        <v>1075</v>
      </c>
      <c r="B923" s="2">
        <v>45463</v>
      </c>
      <c r="C923" t="s">
        <v>130</v>
      </c>
      <c r="D923" t="s">
        <v>131</v>
      </c>
      <c r="E923" t="s">
        <v>193</v>
      </c>
      <c r="F923" t="s">
        <v>194</v>
      </c>
      <c r="G923" t="s">
        <v>89</v>
      </c>
      <c r="H923" t="s">
        <v>90</v>
      </c>
      <c r="I923" t="s">
        <v>23</v>
      </c>
      <c r="J923" t="s">
        <v>33</v>
      </c>
      <c r="K923" s="3">
        <v>6635.64</v>
      </c>
      <c r="L923" s="3">
        <v>2444.0500000000002</v>
      </c>
      <c r="M923">
        <v>5</v>
      </c>
      <c r="N923" s="4">
        <v>0.2</v>
      </c>
      <c r="O923" t="s">
        <v>44</v>
      </c>
      <c r="P923" t="s">
        <v>98</v>
      </c>
    </row>
    <row r="924" spans="1:16">
      <c r="A924" t="s">
        <v>1076</v>
      </c>
      <c r="B924" s="2">
        <v>45621</v>
      </c>
      <c r="C924" t="s">
        <v>114</v>
      </c>
      <c r="D924" t="s">
        <v>115</v>
      </c>
      <c r="E924" t="s">
        <v>38</v>
      </c>
      <c r="F924" t="s">
        <v>39</v>
      </c>
      <c r="G924" t="s">
        <v>40</v>
      </c>
      <c r="H924" t="s">
        <v>41</v>
      </c>
      <c r="I924" t="s">
        <v>23</v>
      </c>
      <c r="J924" t="s">
        <v>75</v>
      </c>
      <c r="K924" s="3">
        <v>3501.86</v>
      </c>
      <c r="L924" s="3">
        <v>1507.65</v>
      </c>
      <c r="M924">
        <v>3</v>
      </c>
      <c r="N924" s="4">
        <v>0.15</v>
      </c>
      <c r="O924" t="s">
        <v>136</v>
      </c>
      <c r="P924" t="s">
        <v>45</v>
      </c>
    </row>
    <row r="925" spans="1:16">
      <c r="A925" t="s">
        <v>1077</v>
      </c>
      <c r="B925" s="2">
        <v>45889</v>
      </c>
      <c r="C925" t="s">
        <v>147</v>
      </c>
      <c r="D925" t="s">
        <v>148</v>
      </c>
      <c r="E925" t="s">
        <v>106</v>
      </c>
      <c r="F925" t="s">
        <v>107</v>
      </c>
      <c r="G925" t="s">
        <v>40</v>
      </c>
      <c r="H925" t="s">
        <v>108</v>
      </c>
      <c r="I925" t="s">
        <v>42</v>
      </c>
      <c r="J925" t="s">
        <v>68</v>
      </c>
      <c r="K925" s="3">
        <v>2353.44</v>
      </c>
      <c r="L925" s="3">
        <v>659.01</v>
      </c>
      <c r="M925">
        <v>1</v>
      </c>
      <c r="N925" s="4">
        <v>0.15</v>
      </c>
      <c r="O925" t="s">
        <v>76</v>
      </c>
      <c r="P925" t="s">
        <v>26</v>
      </c>
    </row>
    <row r="926" spans="1:16">
      <c r="A926" t="s">
        <v>1078</v>
      </c>
      <c r="B926" s="2">
        <v>45678</v>
      </c>
      <c r="C926" t="s">
        <v>144</v>
      </c>
      <c r="D926" t="s">
        <v>145</v>
      </c>
      <c r="E926" t="s">
        <v>123</v>
      </c>
      <c r="F926" t="s">
        <v>124</v>
      </c>
      <c r="G926" t="s">
        <v>51</v>
      </c>
      <c r="H926" t="s">
        <v>125</v>
      </c>
      <c r="I926" t="s">
        <v>56</v>
      </c>
      <c r="J926" t="s">
        <v>91</v>
      </c>
      <c r="K926" s="3">
        <v>158350.41</v>
      </c>
      <c r="L926" s="3">
        <v>83829.75</v>
      </c>
      <c r="M926">
        <v>5</v>
      </c>
      <c r="N926" s="4">
        <v>0.1</v>
      </c>
      <c r="O926" t="s">
        <v>34</v>
      </c>
      <c r="P926" t="s">
        <v>58</v>
      </c>
    </row>
    <row r="927" spans="1:16">
      <c r="A927" t="s">
        <v>1079</v>
      </c>
      <c r="B927" s="2">
        <v>45747</v>
      </c>
      <c r="C927" t="s">
        <v>47</v>
      </c>
      <c r="D927" t="s">
        <v>48</v>
      </c>
      <c r="E927" t="s">
        <v>62</v>
      </c>
      <c r="F927" t="s">
        <v>63</v>
      </c>
      <c r="G927" t="s">
        <v>21</v>
      </c>
      <c r="H927" t="s">
        <v>64</v>
      </c>
      <c r="I927" t="s">
        <v>84</v>
      </c>
      <c r="J927" t="s">
        <v>142</v>
      </c>
      <c r="K927" s="3">
        <v>19696.580000000002</v>
      </c>
      <c r="L927" s="3">
        <v>8732.85</v>
      </c>
      <c r="M927">
        <v>5</v>
      </c>
      <c r="N927" s="4">
        <v>0.15</v>
      </c>
      <c r="O927" t="s">
        <v>34</v>
      </c>
      <c r="P927" t="s">
        <v>77</v>
      </c>
    </row>
    <row r="928" spans="1:16">
      <c r="A928" t="s">
        <v>1080</v>
      </c>
      <c r="B928" s="2">
        <v>45734</v>
      </c>
      <c r="C928" t="s">
        <v>207</v>
      </c>
      <c r="D928" t="s">
        <v>208</v>
      </c>
      <c r="E928" t="s">
        <v>38</v>
      </c>
      <c r="F928" t="s">
        <v>39</v>
      </c>
      <c r="G928" t="s">
        <v>40</v>
      </c>
      <c r="H928" t="s">
        <v>41</v>
      </c>
      <c r="I928" t="s">
        <v>56</v>
      </c>
      <c r="J928" t="s">
        <v>191</v>
      </c>
      <c r="K928" s="3">
        <v>5025.8500000000004</v>
      </c>
      <c r="L928" s="3">
        <v>1947</v>
      </c>
      <c r="M928">
        <v>4</v>
      </c>
      <c r="N928" s="4">
        <v>0.1</v>
      </c>
      <c r="O928" t="s">
        <v>136</v>
      </c>
      <c r="P928" t="s">
        <v>58</v>
      </c>
    </row>
    <row r="929" spans="1:16">
      <c r="A929" t="s">
        <v>1081</v>
      </c>
      <c r="B929" s="2">
        <v>45563</v>
      </c>
      <c r="C929" t="s">
        <v>200</v>
      </c>
      <c r="D929" t="s">
        <v>201</v>
      </c>
      <c r="E929" t="s">
        <v>38</v>
      </c>
      <c r="F929" t="s">
        <v>39</v>
      </c>
      <c r="G929" t="s">
        <v>40</v>
      </c>
      <c r="H929" t="s">
        <v>41</v>
      </c>
      <c r="I929" t="s">
        <v>84</v>
      </c>
      <c r="J929" t="s">
        <v>85</v>
      </c>
      <c r="K929" s="3">
        <v>585.5</v>
      </c>
      <c r="L929" s="3">
        <v>485.91</v>
      </c>
      <c r="M929">
        <v>1</v>
      </c>
      <c r="N929" s="4">
        <v>0.2</v>
      </c>
      <c r="O929" t="s">
        <v>34</v>
      </c>
      <c r="P929" t="s">
        <v>58</v>
      </c>
    </row>
    <row r="930" spans="1:16">
      <c r="A930" t="s">
        <v>1082</v>
      </c>
      <c r="B930" s="2">
        <v>45413</v>
      </c>
      <c r="C930" t="s">
        <v>66</v>
      </c>
      <c r="D930" t="s">
        <v>67</v>
      </c>
      <c r="E930" t="s">
        <v>72</v>
      </c>
      <c r="F930" t="s">
        <v>73</v>
      </c>
      <c r="G930" t="s">
        <v>51</v>
      </c>
      <c r="H930" t="s">
        <v>74</v>
      </c>
      <c r="I930" t="s">
        <v>23</v>
      </c>
      <c r="J930" t="s">
        <v>33</v>
      </c>
      <c r="K930" s="3">
        <v>6744.65</v>
      </c>
      <c r="L930" s="3">
        <v>3888.19</v>
      </c>
      <c r="M930">
        <v>1</v>
      </c>
      <c r="N930" s="4">
        <v>0.1</v>
      </c>
      <c r="O930" t="s">
        <v>76</v>
      </c>
      <c r="P930" t="s">
        <v>77</v>
      </c>
    </row>
    <row r="931" spans="1:16">
      <c r="A931" t="s">
        <v>1083</v>
      </c>
      <c r="B931" s="2">
        <v>45991</v>
      </c>
      <c r="C931" t="s">
        <v>66</v>
      </c>
      <c r="D931" t="s">
        <v>67</v>
      </c>
      <c r="E931" t="s">
        <v>123</v>
      </c>
      <c r="F931" t="s">
        <v>124</v>
      </c>
      <c r="G931" t="s">
        <v>51</v>
      </c>
      <c r="H931" t="s">
        <v>125</v>
      </c>
      <c r="I931" t="s">
        <v>42</v>
      </c>
      <c r="J931" t="s">
        <v>162</v>
      </c>
      <c r="K931" s="3">
        <v>88167.51</v>
      </c>
      <c r="L931" s="3">
        <v>50658.93</v>
      </c>
      <c r="M931">
        <v>3</v>
      </c>
      <c r="N931" s="4">
        <v>0.05</v>
      </c>
      <c r="O931" t="s">
        <v>34</v>
      </c>
      <c r="P931" t="s">
        <v>45</v>
      </c>
    </row>
    <row r="932" spans="1:16">
      <c r="A932" t="s">
        <v>1084</v>
      </c>
      <c r="B932" s="2">
        <v>45646</v>
      </c>
      <c r="C932" t="s">
        <v>140</v>
      </c>
      <c r="D932" t="s">
        <v>141</v>
      </c>
      <c r="E932" t="s">
        <v>123</v>
      </c>
      <c r="F932" t="s">
        <v>124</v>
      </c>
      <c r="G932" t="s">
        <v>51</v>
      </c>
      <c r="H932" t="s">
        <v>125</v>
      </c>
      <c r="I932" t="s">
        <v>84</v>
      </c>
      <c r="J932" t="s">
        <v>142</v>
      </c>
      <c r="K932" s="3">
        <v>139288.04</v>
      </c>
      <c r="L932" s="3">
        <v>78419.72</v>
      </c>
      <c r="M932">
        <v>4</v>
      </c>
      <c r="N932" s="4">
        <v>0</v>
      </c>
      <c r="O932" t="s">
        <v>136</v>
      </c>
      <c r="P932" t="s">
        <v>58</v>
      </c>
    </row>
    <row r="933" spans="1:16">
      <c r="A933" t="s">
        <v>1085</v>
      </c>
      <c r="B933" s="2">
        <v>45506</v>
      </c>
      <c r="C933" t="s">
        <v>104</v>
      </c>
      <c r="D933" t="s">
        <v>105</v>
      </c>
      <c r="E933" t="s">
        <v>72</v>
      </c>
      <c r="F933" t="s">
        <v>73</v>
      </c>
      <c r="G933" t="s">
        <v>51</v>
      </c>
      <c r="H933" t="s">
        <v>74</v>
      </c>
      <c r="I933" t="s">
        <v>84</v>
      </c>
      <c r="J933" t="s">
        <v>85</v>
      </c>
      <c r="K933" s="3">
        <v>24704.83</v>
      </c>
      <c r="L933" s="3">
        <v>15147.92</v>
      </c>
      <c r="M933">
        <v>4</v>
      </c>
      <c r="N933" s="4">
        <v>0.2</v>
      </c>
      <c r="O933" t="s">
        <v>136</v>
      </c>
      <c r="P933" t="s">
        <v>98</v>
      </c>
    </row>
    <row r="934" spans="1:16">
      <c r="A934" t="s">
        <v>1086</v>
      </c>
      <c r="B934" s="2">
        <v>45484</v>
      </c>
      <c r="C934" t="s">
        <v>231</v>
      </c>
      <c r="D934" t="s">
        <v>232</v>
      </c>
      <c r="E934" t="s">
        <v>62</v>
      </c>
      <c r="F934" t="s">
        <v>63</v>
      </c>
      <c r="G934" t="s">
        <v>21</v>
      </c>
      <c r="H934" t="s">
        <v>64</v>
      </c>
      <c r="I934" t="s">
        <v>84</v>
      </c>
      <c r="J934" t="s">
        <v>134</v>
      </c>
      <c r="K934" s="3">
        <v>19553.169999999998</v>
      </c>
      <c r="L934" s="3">
        <v>7589</v>
      </c>
      <c r="M934">
        <v>4</v>
      </c>
      <c r="N934" s="4">
        <v>0.05</v>
      </c>
      <c r="O934" t="s">
        <v>136</v>
      </c>
      <c r="P934" t="s">
        <v>98</v>
      </c>
    </row>
    <row r="935" spans="1:16">
      <c r="A935" t="s">
        <v>1087</v>
      </c>
      <c r="B935" s="2">
        <v>45434</v>
      </c>
      <c r="C935" t="s">
        <v>70</v>
      </c>
      <c r="D935" t="s">
        <v>71</v>
      </c>
      <c r="E935" t="s">
        <v>30</v>
      </c>
      <c r="F935" t="s">
        <v>31</v>
      </c>
      <c r="G935" t="s">
        <v>21</v>
      </c>
      <c r="H935" t="s">
        <v>32</v>
      </c>
      <c r="I935" t="s">
        <v>84</v>
      </c>
      <c r="J935" t="s">
        <v>134</v>
      </c>
      <c r="K935" s="3">
        <v>285973.15000000002</v>
      </c>
      <c r="L935" s="3">
        <v>257940</v>
      </c>
      <c r="M935">
        <v>5</v>
      </c>
      <c r="N935" s="4">
        <v>0</v>
      </c>
      <c r="O935" t="s">
        <v>136</v>
      </c>
      <c r="P935" t="s">
        <v>77</v>
      </c>
    </row>
    <row r="936" spans="1:16">
      <c r="A936" t="s">
        <v>1088</v>
      </c>
      <c r="B936" s="2">
        <v>45727</v>
      </c>
      <c r="C936" t="s">
        <v>231</v>
      </c>
      <c r="D936" t="s">
        <v>232</v>
      </c>
      <c r="E936" t="s">
        <v>72</v>
      </c>
      <c r="F936" t="s">
        <v>73</v>
      </c>
      <c r="G936" t="s">
        <v>51</v>
      </c>
      <c r="H936" t="s">
        <v>74</v>
      </c>
      <c r="I936" t="s">
        <v>56</v>
      </c>
      <c r="J936" t="s">
        <v>91</v>
      </c>
      <c r="K936" s="3">
        <v>29849.98</v>
      </c>
      <c r="L936" s="3">
        <v>16841.080000000002</v>
      </c>
      <c r="M936">
        <v>4</v>
      </c>
      <c r="N936" s="4">
        <v>0.1</v>
      </c>
      <c r="O936" t="s">
        <v>44</v>
      </c>
      <c r="P936" t="s">
        <v>58</v>
      </c>
    </row>
    <row r="937" spans="1:16">
      <c r="A937" t="s">
        <v>1089</v>
      </c>
      <c r="B937" s="2">
        <v>45449</v>
      </c>
      <c r="C937" t="s">
        <v>147</v>
      </c>
      <c r="D937" t="s">
        <v>148</v>
      </c>
      <c r="E937" t="s">
        <v>81</v>
      </c>
      <c r="F937" t="s">
        <v>82</v>
      </c>
      <c r="G937" t="s">
        <v>21</v>
      </c>
      <c r="H937" t="s">
        <v>83</v>
      </c>
      <c r="I937" t="s">
        <v>23</v>
      </c>
      <c r="J937" t="s">
        <v>75</v>
      </c>
      <c r="K937" s="3">
        <v>76846.37</v>
      </c>
      <c r="L937" s="3">
        <v>54736.47</v>
      </c>
      <c r="M937">
        <v>3</v>
      </c>
      <c r="N937" s="4">
        <v>0.2</v>
      </c>
      <c r="O937" t="s">
        <v>34</v>
      </c>
      <c r="P937" t="s">
        <v>26</v>
      </c>
    </row>
    <row r="938" spans="1:16">
      <c r="A938" t="s">
        <v>1090</v>
      </c>
      <c r="B938" s="2">
        <v>45357</v>
      </c>
      <c r="C938" t="s">
        <v>104</v>
      </c>
      <c r="D938" t="s">
        <v>105</v>
      </c>
      <c r="E938" t="s">
        <v>49</v>
      </c>
      <c r="F938" t="s">
        <v>50</v>
      </c>
      <c r="G938" t="s">
        <v>51</v>
      </c>
      <c r="H938" t="s">
        <v>52</v>
      </c>
      <c r="I938" t="s">
        <v>56</v>
      </c>
      <c r="J938" t="s">
        <v>91</v>
      </c>
      <c r="K938" s="3">
        <v>56986.83</v>
      </c>
      <c r="L938" s="3">
        <v>34205.050000000003</v>
      </c>
      <c r="M938">
        <v>5</v>
      </c>
      <c r="N938" s="4">
        <v>0.1</v>
      </c>
      <c r="O938" t="s">
        <v>34</v>
      </c>
      <c r="P938" t="s">
        <v>98</v>
      </c>
    </row>
    <row r="939" spans="1:16">
      <c r="A939" t="s">
        <v>1091</v>
      </c>
      <c r="B939" s="2">
        <v>45467</v>
      </c>
      <c r="C939" t="s">
        <v>17</v>
      </c>
      <c r="D939" t="s">
        <v>18</v>
      </c>
      <c r="E939" t="s">
        <v>123</v>
      </c>
      <c r="F939" t="s">
        <v>124</v>
      </c>
      <c r="G939" t="s">
        <v>51</v>
      </c>
      <c r="H939" t="s">
        <v>125</v>
      </c>
      <c r="I939" t="s">
        <v>23</v>
      </c>
      <c r="J939" t="s">
        <v>33</v>
      </c>
      <c r="K939" s="3">
        <v>18663.22</v>
      </c>
      <c r="L939" s="3">
        <v>18629.59</v>
      </c>
      <c r="M939">
        <v>1</v>
      </c>
      <c r="N939" s="4">
        <v>0.2</v>
      </c>
      <c r="O939" t="s">
        <v>136</v>
      </c>
      <c r="P939" t="s">
        <v>58</v>
      </c>
    </row>
    <row r="940" spans="1:16">
      <c r="A940" t="s">
        <v>1092</v>
      </c>
      <c r="B940" s="2">
        <v>45687</v>
      </c>
      <c r="C940" t="s">
        <v>200</v>
      </c>
      <c r="D940" t="s">
        <v>201</v>
      </c>
      <c r="E940" t="s">
        <v>49</v>
      </c>
      <c r="F940" t="s">
        <v>50</v>
      </c>
      <c r="G940" t="s">
        <v>51</v>
      </c>
      <c r="H940" t="s">
        <v>52</v>
      </c>
      <c r="I940" t="s">
        <v>23</v>
      </c>
      <c r="J940" t="s">
        <v>33</v>
      </c>
      <c r="K940" s="3">
        <v>25914.31</v>
      </c>
      <c r="L940" s="3">
        <v>19764.75</v>
      </c>
      <c r="M940">
        <v>3</v>
      </c>
      <c r="N940" s="4">
        <v>0.2</v>
      </c>
      <c r="O940" t="s">
        <v>25</v>
      </c>
      <c r="P940" t="s">
        <v>98</v>
      </c>
    </row>
    <row r="941" spans="1:16">
      <c r="A941" t="s">
        <v>1093</v>
      </c>
      <c r="B941" s="2">
        <v>45303</v>
      </c>
      <c r="C941" t="s">
        <v>28</v>
      </c>
      <c r="D941" t="s">
        <v>29</v>
      </c>
      <c r="E941" t="s">
        <v>172</v>
      </c>
      <c r="F941" t="s">
        <v>173</v>
      </c>
      <c r="G941" t="s">
        <v>40</v>
      </c>
      <c r="H941" t="s">
        <v>41</v>
      </c>
      <c r="I941" t="s">
        <v>56</v>
      </c>
      <c r="J941" t="s">
        <v>57</v>
      </c>
      <c r="K941" s="3">
        <v>6341.27</v>
      </c>
      <c r="L941" s="3">
        <v>1737.64</v>
      </c>
      <c r="M941">
        <v>2</v>
      </c>
      <c r="N941" s="4">
        <v>0.15</v>
      </c>
      <c r="O941" t="s">
        <v>76</v>
      </c>
      <c r="P941" t="s">
        <v>58</v>
      </c>
    </row>
    <row r="942" spans="1:16">
      <c r="A942" t="s">
        <v>1094</v>
      </c>
      <c r="B942" s="2">
        <v>45781</v>
      </c>
      <c r="C942" t="s">
        <v>47</v>
      </c>
      <c r="D942" t="s">
        <v>48</v>
      </c>
      <c r="E942" t="s">
        <v>187</v>
      </c>
      <c r="F942" t="s">
        <v>188</v>
      </c>
      <c r="G942" t="s">
        <v>89</v>
      </c>
      <c r="H942" t="s">
        <v>189</v>
      </c>
      <c r="I942" t="s">
        <v>56</v>
      </c>
      <c r="J942" t="s">
        <v>91</v>
      </c>
      <c r="K942" s="3">
        <v>11723.51</v>
      </c>
      <c r="L942" s="3">
        <v>5377.89</v>
      </c>
      <c r="M942">
        <v>1</v>
      </c>
      <c r="N942" s="4">
        <v>0.05</v>
      </c>
      <c r="O942" t="s">
        <v>76</v>
      </c>
      <c r="P942" t="s">
        <v>58</v>
      </c>
    </row>
    <row r="943" spans="1:16">
      <c r="A943" t="s">
        <v>1095</v>
      </c>
      <c r="B943" s="2">
        <v>46018</v>
      </c>
      <c r="C943" t="s">
        <v>265</v>
      </c>
      <c r="D943" t="s">
        <v>266</v>
      </c>
      <c r="E943" t="s">
        <v>132</v>
      </c>
      <c r="F943" t="s">
        <v>133</v>
      </c>
      <c r="G943" t="s">
        <v>40</v>
      </c>
      <c r="H943" t="s">
        <v>41</v>
      </c>
      <c r="I943" t="s">
        <v>53</v>
      </c>
      <c r="J943" t="s">
        <v>102</v>
      </c>
      <c r="K943" s="3">
        <v>3019.79</v>
      </c>
      <c r="L943" s="3">
        <v>931.76</v>
      </c>
      <c r="M943">
        <v>4</v>
      </c>
      <c r="N943" s="4">
        <v>0.1</v>
      </c>
      <c r="O943" t="s">
        <v>34</v>
      </c>
      <c r="P943" t="s">
        <v>58</v>
      </c>
    </row>
    <row r="944" spans="1:16">
      <c r="A944" t="s">
        <v>1096</v>
      </c>
      <c r="B944" s="2">
        <v>45498</v>
      </c>
      <c r="C944" t="s">
        <v>114</v>
      </c>
      <c r="D944" t="s">
        <v>115</v>
      </c>
      <c r="E944" t="s">
        <v>38</v>
      </c>
      <c r="F944" t="s">
        <v>39</v>
      </c>
      <c r="G944" t="s">
        <v>40</v>
      </c>
      <c r="H944" t="s">
        <v>41</v>
      </c>
      <c r="I944" t="s">
        <v>84</v>
      </c>
      <c r="J944" t="s">
        <v>142</v>
      </c>
      <c r="K944" s="3">
        <v>1116.19</v>
      </c>
      <c r="L944" s="3">
        <v>549.11</v>
      </c>
      <c r="M944">
        <v>1</v>
      </c>
      <c r="N944" s="4">
        <v>0.15</v>
      </c>
      <c r="O944" t="s">
        <v>34</v>
      </c>
      <c r="P944" t="s">
        <v>58</v>
      </c>
    </row>
    <row r="945" spans="1:16">
      <c r="A945" t="s">
        <v>1097</v>
      </c>
      <c r="B945" s="2">
        <v>45794</v>
      </c>
      <c r="C945" t="s">
        <v>114</v>
      </c>
      <c r="D945" t="s">
        <v>115</v>
      </c>
      <c r="E945" t="s">
        <v>110</v>
      </c>
      <c r="F945" t="s">
        <v>111</v>
      </c>
      <c r="G945" t="s">
        <v>40</v>
      </c>
      <c r="H945" t="s">
        <v>112</v>
      </c>
      <c r="I945" t="s">
        <v>42</v>
      </c>
      <c r="J945" t="s">
        <v>43</v>
      </c>
      <c r="K945" s="3">
        <v>5947.56</v>
      </c>
      <c r="L945" s="3">
        <v>4764.2</v>
      </c>
      <c r="M945">
        <v>4</v>
      </c>
      <c r="N945" s="4">
        <v>0</v>
      </c>
      <c r="O945" t="s">
        <v>44</v>
      </c>
      <c r="P945" t="s">
        <v>98</v>
      </c>
    </row>
    <row r="946" spans="1:16">
      <c r="A946" t="s">
        <v>1098</v>
      </c>
      <c r="B946" s="2">
        <v>45919</v>
      </c>
      <c r="C946" t="s">
        <v>158</v>
      </c>
      <c r="D946" t="s">
        <v>159</v>
      </c>
      <c r="E946" t="s">
        <v>123</v>
      </c>
      <c r="F946" t="s">
        <v>124</v>
      </c>
      <c r="G946" t="s">
        <v>51</v>
      </c>
      <c r="H946" t="s">
        <v>125</v>
      </c>
      <c r="I946" t="s">
        <v>56</v>
      </c>
      <c r="J946" t="s">
        <v>91</v>
      </c>
      <c r="K946" s="3">
        <v>37381.870000000003</v>
      </c>
      <c r="L946" s="3">
        <v>35388.379999999997</v>
      </c>
      <c r="M946">
        <v>2</v>
      </c>
      <c r="N946" s="4">
        <v>0.2</v>
      </c>
      <c r="O946" t="s">
        <v>136</v>
      </c>
      <c r="P946" t="s">
        <v>98</v>
      </c>
    </row>
    <row r="947" spans="1:16">
      <c r="A947" t="s">
        <v>1099</v>
      </c>
      <c r="B947" s="2">
        <v>45874</v>
      </c>
      <c r="C947" t="s">
        <v>104</v>
      </c>
      <c r="D947" t="s">
        <v>105</v>
      </c>
      <c r="E947" t="s">
        <v>117</v>
      </c>
      <c r="F947" t="s">
        <v>118</v>
      </c>
      <c r="G947" t="s">
        <v>51</v>
      </c>
      <c r="H947" t="s">
        <v>119</v>
      </c>
      <c r="I947" t="s">
        <v>42</v>
      </c>
      <c r="J947" t="s">
        <v>162</v>
      </c>
      <c r="K947" s="3">
        <v>10142.48</v>
      </c>
      <c r="L947" s="3">
        <v>4404.2</v>
      </c>
      <c r="M947">
        <v>1</v>
      </c>
      <c r="N947" s="4">
        <v>0.05</v>
      </c>
      <c r="O947" t="s">
        <v>76</v>
      </c>
      <c r="P947" t="s">
        <v>45</v>
      </c>
    </row>
    <row r="948" spans="1:16">
      <c r="A948" t="s">
        <v>1100</v>
      </c>
      <c r="B948" s="2">
        <v>45974</v>
      </c>
      <c r="C948" t="s">
        <v>17</v>
      </c>
      <c r="D948" t="s">
        <v>18</v>
      </c>
      <c r="E948" t="s">
        <v>187</v>
      </c>
      <c r="F948" t="s">
        <v>188</v>
      </c>
      <c r="G948" t="s">
        <v>89</v>
      </c>
      <c r="H948" t="s">
        <v>189</v>
      </c>
      <c r="I948" t="s">
        <v>84</v>
      </c>
      <c r="J948" t="s">
        <v>142</v>
      </c>
      <c r="K948" s="3">
        <v>10546.22</v>
      </c>
      <c r="L948" s="3">
        <v>5717.85</v>
      </c>
      <c r="M948">
        <v>1</v>
      </c>
      <c r="N948" s="4">
        <v>0.05</v>
      </c>
      <c r="O948" t="s">
        <v>136</v>
      </c>
      <c r="P948" t="s">
        <v>26</v>
      </c>
    </row>
    <row r="949" spans="1:16">
      <c r="A949" t="s">
        <v>1101</v>
      </c>
      <c r="B949" s="2">
        <v>45669</v>
      </c>
      <c r="C949" t="s">
        <v>79</v>
      </c>
      <c r="D949" t="s">
        <v>80</v>
      </c>
      <c r="E949" t="s">
        <v>187</v>
      </c>
      <c r="F949" t="s">
        <v>188</v>
      </c>
      <c r="G949" t="s">
        <v>89</v>
      </c>
      <c r="H949" t="s">
        <v>189</v>
      </c>
      <c r="I949" t="s">
        <v>23</v>
      </c>
      <c r="J949" t="s">
        <v>33</v>
      </c>
      <c r="K949" s="3">
        <v>8649.0499999999993</v>
      </c>
      <c r="L949" s="3">
        <v>5780.94</v>
      </c>
      <c r="M949">
        <v>1</v>
      </c>
      <c r="N949" s="4">
        <v>0.1</v>
      </c>
      <c r="O949" t="s">
        <v>136</v>
      </c>
      <c r="P949" t="s">
        <v>98</v>
      </c>
    </row>
    <row r="950" spans="1:16">
      <c r="A950" t="s">
        <v>1102</v>
      </c>
      <c r="B950" s="2">
        <v>45810</v>
      </c>
      <c r="C950" t="s">
        <v>200</v>
      </c>
      <c r="D950" t="s">
        <v>201</v>
      </c>
      <c r="E950" t="s">
        <v>175</v>
      </c>
      <c r="F950" t="s">
        <v>176</v>
      </c>
      <c r="G950" t="s">
        <v>51</v>
      </c>
      <c r="H950" t="s">
        <v>177</v>
      </c>
      <c r="I950" t="s">
        <v>84</v>
      </c>
      <c r="J950" t="s">
        <v>85</v>
      </c>
      <c r="K950" s="3">
        <v>16108</v>
      </c>
      <c r="L950" s="3">
        <v>15878.94</v>
      </c>
      <c r="M950">
        <v>1</v>
      </c>
      <c r="N950" s="4">
        <v>0.15</v>
      </c>
      <c r="O950" t="s">
        <v>136</v>
      </c>
      <c r="P950" t="s">
        <v>77</v>
      </c>
    </row>
    <row r="951" spans="1:16">
      <c r="A951" t="s">
        <v>1103</v>
      </c>
      <c r="B951" s="2">
        <v>45491</v>
      </c>
      <c r="C951" t="s">
        <v>93</v>
      </c>
      <c r="D951" t="s">
        <v>94</v>
      </c>
      <c r="E951" t="s">
        <v>106</v>
      </c>
      <c r="F951" t="s">
        <v>107</v>
      </c>
      <c r="G951" t="s">
        <v>40</v>
      </c>
      <c r="H951" t="s">
        <v>108</v>
      </c>
      <c r="I951" t="s">
        <v>53</v>
      </c>
      <c r="J951" t="s">
        <v>102</v>
      </c>
      <c r="K951" s="3">
        <v>5135.05</v>
      </c>
      <c r="L951" s="3">
        <v>2541.16</v>
      </c>
      <c r="M951">
        <v>4</v>
      </c>
      <c r="N951" s="4">
        <v>0.05</v>
      </c>
      <c r="O951" t="s">
        <v>44</v>
      </c>
      <c r="P951" t="s">
        <v>98</v>
      </c>
    </row>
    <row r="952" spans="1:16">
      <c r="A952" t="s">
        <v>1104</v>
      </c>
      <c r="B952" s="2">
        <v>45376</v>
      </c>
      <c r="C952" t="s">
        <v>197</v>
      </c>
      <c r="D952" t="s">
        <v>198</v>
      </c>
      <c r="E952" t="s">
        <v>38</v>
      </c>
      <c r="F952" t="s">
        <v>39</v>
      </c>
      <c r="G952" t="s">
        <v>40</v>
      </c>
      <c r="H952" t="s">
        <v>41</v>
      </c>
      <c r="I952" t="s">
        <v>23</v>
      </c>
      <c r="J952" t="s">
        <v>33</v>
      </c>
      <c r="K952" s="3">
        <v>7402.35</v>
      </c>
      <c r="L952" s="3">
        <v>2578.5</v>
      </c>
      <c r="M952">
        <v>5</v>
      </c>
      <c r="N952" s="4">
        <v>0.15</v>
      </c>
      <c r="O952" t="s">
        <v>76</v>
      </c>
      <c r="P952" t="s">
        <v>98</v>
      </c>
    </row>
    <row r="953" spans="1:16">
      <c r="A953" t="s">
        <v>1105</v>
      </c>
      <c r="B953" s="2">
        <v>45310</v>
      </c>
      <c r="C953" t="s">
        <v>66</v>
      </c>
      <c r="D953" t="s">
        <v>67</v>
      </c>
      <c r="E953" t="s">
        <v>117</v>
      </c>
      <c r="F953" t="s">
        <v>118</v>
      </c>
      <c r="G953" t="s">
        <v>51</v>
      </c>
      <c r="H953" t="s">
        <v>119</v>
      </c>
      <c r="I953" t="s">
        <v>23</v>
      </c>
      <c r="J953" t="s">
        <v>75</v>
      </c>
      <c r="K953" s="3">
        <v>27172.400000000001</v>
      </c>
      <c r="L953" s="3">
        <v>20702.3</v>
      </c>
      <c r="M953">
        <v>5</v>
      </c>
      <c r="N953" s="4">
        <v>0.2</v>
      </c>
      <c r="O953" t="s">
        <v>136</v>
      </c>
      <c r="P953" t="s">
        <v>58</v>
      </c>
    </row>
    <row r="954" spans="1:16">
      <c r="A954" t="s">
        <v>1106</v>
      </c>
      <c r="B954" s="2">
        <v>45571</v>
      </c>
      <c r="C954" t="s">
        <v>100</v>
      </c>
      <c r="D954" t="s">
        <v>101</v>
      </c>
      <c r="E954" t="s">
        <v>30</v>
      </c>
      <c r="F954" t="s">
        <v>31</v>
      </c>
      <c r="G954" t="s">
        <v>21</v>
      </c>
      <c r="H954" t="s">
        <v>32</v>
      </c>
      <c r="I954" t="s">
        <v>42</v>
      </c>
      <c r="J954" t="s">
        <v>68</v>
      </c>
      <c r="K954" s="3">
        <v>111520.1</v>
      </c>
      <c r="L954" s="3">
        <v>94860.64</v>
      </c>
      <c r="M954">
        <v>2</v>
      </c>
      <c r="N954" s="4">
        <v>0</v>
      </c>
      <c r="O954" t="s">
        <v>34</v>
      </c>
      <c r="P954" t="s">
        <v>58</v>
      </c>
    </row>
    <row r="955" spans="1:16">
      <c r="A955" t="s">
        <v>1107</v>
      </c>
      <c r="B955" s="2">
        <v>45942</v>
      </c>
      <c r="C955" t="s">
        <v>170</v>
      </c>
      <c r="D955" t="s">
        <v>171</v>
      </c>
      <c r="E955" t="s">
        <v>81</v>
      </c>
      <c r="F955" t="s">
        <v>82</v>
      </c>
      <c r="G955" t="s">
        <v>21</v>
      </c>
      <c r="H955" t="s">
        <v>83</v>
      </c>
      <c r="I955" t="s">
        <v>53</v>
      </c>
      <c r="J955" t="s">
        <v>102</v>
      </c>
      <c r="K955" s="3">
        <v>153957.65</v>
      </c>
      <c r="L955" s="3">
        <v>92538.2</v>
      </c>
      <c r="M955">
        <v>5</v>
      </c>
      <c r="N955" s="4">
        <v>0</v>
      </c>
      <c r="O955" t="s">
        <v>136</v>
      </c>
      <c r="P955" t="s">
        <v>45</v>
      </c>
    </row>
    <row r="956" spans="1:16">
      <c r="A956" t="s">
        <v>1108</v>
      </c>
      <c r="B956" s="2">
        <v>45296</v>
      </c>
      <c r="C956" t="s">
        <v>170</v>
      </c>
      <c r="D956" t="s">
        <v>171</v>
      </c>
      <c r="E956" t="s">
        <v>81</v>
      </c>
      <c r="F956" t="s">
        <v>82</v>
      </c>
      <c r="G956" t="s">
        <v>21</v>
      </c>
      <c r="H956" t="s">
        <v>83</v>
      </c>
      <c r="I956" t="s">
        <v>42</v>
      </c>
      <c r="J956" t="s">
        <v>43</v>
      </c>
      <c r="K956" s="3">
        <v>29966.78</v>
      </c>
      <c r="L956" s="3">
        <v>18980.669999999998</v>
      </c>
      <c r="M956">
        <v>1</v>
      </c>
      <c r="N956" s="4">
        <v>0.05</v>
      </c>
      <c r="O956" t="s">
        <v>44</v>
      </c>
      <c r="P956" t="s">
        <v>58</v>
      </c>
    </row>
    <row r="957" spans="1:16">
      <c r="A957" t="s">
        <v>1109</v>
      </c>
      <c r="B957" s="2">
        <v>45723</v>
      </c>
      <c r="C957" t="s">
        <v>144</v>
      </c>
      <c r="D957" t="s">
        <v>145</v>
      </c>
      <c r="E957" t="s">
        <v>62</v>
      </c>
      <c r="F957" t="s">
        <v>63</v>
      </c>
      <c r="G957" t="s">
        <v>21</v>
      </c>
      <c r="H957" t="s">
        <v>64</v>
      </c>
      <c r="I957" t="s">
        <v>23</v>
      </c>
      <c r="J957" t="s">
        <v>24</v>
      </c>
      <c r="K957" s="3">
        <v>3351.25</v>
      </c>
      <c r="L957" s="3">
        <v>1976.14</v>
      </c>
      <c r="M957">
        <v>1</v>
      </c>
      <c r="N957" s="4">
        <v>0.05</v>
      </c>
      <c r="O957" t="s">
        <v>25</v>
      </c>
      <c r="P957" t="s">
        <v>58</v>
      </c>
    </row>
    <row r="958" spans="1:16">
      <c r="A958" t="s">
        <v>1110</v>
      </c>
      <c r="B958" s="2">
        <v>45463</v>
      </c>
      <c r="C958" t="s">
        <v>179</v>
      </c>
      <c r="D958" t="s">
        <v>180</v>
      </c>
      <c r="E958" t="s">
        <v>117</v>
      </c>
      <c r="F958" t="s">
        <v>118</v>
      </c>
      <c r="G958" t="s">
        <v>51</v>
      </c>
      <c r="H958" t="s">
        <v>119</v>
      </c>
      <c r="I958" t="s">
        <v>42</v>
      </c>
      <c r="J958" t="s">
        <v>162</v>
      </c>
      <c r="K958" s="3">
        <v>5113.62</v>
      </c>
      <c r="L958" s="3">
        <v>4424.1099999999997</v>
      </c>
      <c r="M958">
        <v>1</v>
      </c>
      <c r="N958" s="4">
        <v>0.1</v>
      </c>
      <c r="O958" t="s">
        <v>44</v>
      </c>
      <c r="P958" t="s">
        <v>58</v>
      </c>
    </row>
    <row r="959" spans="1:16">
      <c r="A959" t="s">
        <v>1111</v>
      </c>
      <c r="B959" s="2">
        <v>45696</v>
      </c>
      <c r="C959" t="s">
        <v>155</v>
      </c>
      <c r="D959" t="s">
        <v>156</v>
      </c>
      <c r="E959" t="s">
        <v>49</v>
      </c>
      <c r="F959" t="s">
        <v>50</v>
      </c>
      <c r="G959" t="s">
        <v>51</v>
      </c>
      <c r="H959" t="s">
        <v>52</v>
      </c>
      <c r="I959" t="s">
        <v>56</v>
      </c>
      <c r="J959" t="s">
        <v>57</v>
      </c>
      <c r="K959" s="3">
        <v>36043.199999999997</v>
      </c>
      <c r="L959" s="3">
        <v>25876.52</v>
      </c>
      <c r="M959">
        <v>4</v>
      </c>
      <c r="N959" s="4">
        <v>0.1</v>
      </c>
      <c r="O959" t="s">
        <v>44</v>
      </c>
      <c r="P959" t="s">
        <v>58</v>
      </c>
    </row>
    <row r="960" spans="1:16">
      <c r="A960" t="s">
        <v>1112</v>
      </c>
      <c r="B960" s="2">
        <v>45615</v>
      </c>
      <c r="C960" t="s">
        <v>140</v>
      </c>
      <c r="D960" t="s">
        <v>141</v>
      </c>
      <c r="E960" t="s">
        <v>106</v>
      </c>
      <c r="F960" t="s">
        <v>107</v>
      </c>
      <c r="G960" t="s">
        <v>40</v>
      </c>
      <c r="H960" t="s">
        <v>108</v>
      </c>
      <c r="I960" t="s">
        <v>42</v>
      </c>
      <c r="J960" t="s">
        <v>68</v>
      </c>
      <c r="K960" s="3">
        <v>1809.31</v>
      </c>
      <c r="L960" s="3">
        <v>684.49</v>
      </c>
      <c r="M960">
        <v>1</v>
      </c>
      <c r="N960" s="4">
        <v>0</v>
      </c>
      <c r="O960" t="s">
        <v>44</v>
      </c>
      <c r="P960" t="s">
        <v>77</v>
      </c>
    </row>
    <row r="961" spans="1:16">
      <c r="A961" t="s">
        <v>1113</v>
      </c>
      <c r="B961" s="2">
        <v>45712</v>
      </c>
      <c r="C961" t="s">
        <v>28</v>
      </c>
      <c r="D961" t="s">
        <v>29</v>
      </c>
      <c r="E961" t="s">
        <v>62</v>
      </c>
      <c r="F961" t="s">
        <v>63</v>
      </c>
      <c r="G961" t="s">
        <v>21</v>
      </c>
      <c r="H961" t="s">
        <v>64</v>
      </c>
      <c r="I961" t="s">
        <v>84</v>
      </c>
      <c r="J961" t="s">
        <v>85</v>
      </c>
      <c r="K961" s="3">
        <v>12768.3</v>
      </c>
      <c r="L961" s="3">
        <v>5688.96</v>
      </c>
      <c r="M961">
        <v>3</v>
      </c>
      <c r="N961" s="4">
        <v>0</v>
      </c>
      <c r="O961" t="s">
        <v>34</v>
      </c>
      <c r="P961" t="s">
        <v>58</v>
      </c>
    </row>
    <row r="962" spans="1:16">
      <c r="A962" t="s">
        <v>1114</v>
      </c>
      <c r="B962" s="2">
        <v>45624</v>
      </c>
      <c r="C962" t="s">
        <v>66</v>
      </c>
      <c r="D962" t="s">
        <v>67</v>
      </c>
      <c r="E962" t="s">
        <v>19</v>
      </c>
      <c r="F962" t="s">
        <v>20</v>
      </c>
      <c r="G962" t="s">
        <v>21</v>
      </c>
      <c r="H962" t="s">
        <v>22</v>
      </c>
      <c r="I962" t="s">
        <v>42</v>
      </c>
      <c r="J962" t="s">
        <v>43</v>
      </c>
      <c r="K962" s="3">
        <v>33607.769999999997</v>
      </c>
      <c r="L962" s="3">
        <v>12426.96</v>
      </c>
      <c r="M962">
        <v>4</v>
      </c>
      <c r="N962" s="4">
        <v>0.05</v>
      </c>
      <c r="O962" t="s">
        <v>44</v>
      </c>
      <c r="P962" t="s">
        <v>58</v>
      </c>
    </row>
    <row r="963" spans="1:16">
      <c r="A963" t="s">
        <v>1115</v>
      </c>
      <c r="B963" s="2">
        <v>45974</v>
      </c>
      <c r="C963" t="s">
        <v>17</v>
      </c>
      <c r="D963" t="s">
        <v>18</v>
      </c>
      <c r="E963" t="s">
        <v>110</v>
      </c>
      <c r="F963" t="s">
        <v>111</v>
      </c>
      <c r="G963" t="s">
        <v>40</v>
      </c>
      <c r="H963" t="s">
        <v>112</v>
      </c>
      <c r="I963" t="s">
        <v>53</v>
      </c>
      <c r="J963" t="s">
        <v>102</v>
      </c>
      <c r="K963" s="3">
        <v>4507.26</v>
      </c>
      <c r="L963" s="3">
        <v>4384.8</v>
      </c>
      <c r="M963">
        <v>4</v>
      </c>
      <c r="N963" s="4">
        <v>0.2</v>
      </c>
      <c r="O963" t="s">
        <v>136</v>
      </c>
      <c r="P963" t="s">
        <v>26</v>
      </c>
    </row>
    <row r="964" spans="1:16">
      <c r="A964" t="s">
        <v>1116</v>
      </c>
      <c r="B964" s="2">
        <v>45893</v>
      </c>
      <c r="C964" t="s">
        <v>114</v>
      </c>
      <c r="D964" t="s">
        <v>115</v>
      </c>
      <c r="E964" t="s">
        <v>72</v>
      </c>
      <c r="F964" t="s">
        <v>73</v>
      </c>
      <c r="G964" t="s">
        <v>51</v>
      </c>
      <c r="H964" t="s">
        <v>74</v>
      </c>
      <c r="I964" t="s">
        <v>56</v>
      </c>
      <c r="J964" t="s">
        <v>57</v>
      </c>
      <c r="K964" s="3">
        <v>7882.24</v>
      </c>
      <c r="L964" s="3">
        <v>3786.08</v>
      </c>
      <c r="M964">
        <v>1</v>
      </c>
      <c r="N964" s="4">
        <v>0</v>
      </c>
      <c r="O964" t="s">
        <v>44</v>
      </c>
      <c r="P964" t="s">
        <v>58</v>
      </c>
    </row>
    <row r="965" spans="1:16">
      <c r="A965" t="s">
        <v>1117</v>
      </c>
      <c r="B965" s="2">
        <v>45541</v>
      </c>
      <c r="C965" t="s">
        <v>93</v>
      </c>
      <c r="D965" t="s">
        <v>94</v>
      </c>
      <c r="E965" t="s">
        <v>132</v>
      </c>
      <c r="F965" t="s">
        <v>133</v>
      </c>
      <c r="G965" t="s">
        <v>40</v>
      </c>
      <c r="H965" t="s">
        <v>41</v>
      </c>
      <c r="I965" t="s">
        <v>53</v>
      </c>
      <c r="J965" t="s">
        <v>54</v>
      </c>
      <c r="K965" s="3">
        <v>1984.41</v>
      </c>
      <c r="L965" s="3">
        <v>1144.8499999999999</v>
      </c>
      <c r="M965">
        <v>5</v>
      </c>
      <c r="N965" s="4">
        <v>0.15</v>
      </c>
      <c r="O965" t="s">
        <v>44</v>
      </c>
      <c r="P965" t="s">
        <v>58</v>
      </c>
    </row>
    <row r="966" spans="1:16">
      <c r="A966" t="s">
        <v>1118</v>
      </c>
      <c r="B966" s="2">
        <v>45949</v>
      </c>
      <c r="C966" t="s">
        <v>47</v>
      </c>
      <c r="D966" t="s">
        <v>48</v>
      </c>
      <c r="E966" t="s">
        <v>106</v>
      </c>
      <c r="F966" t="s">
        <v>107</v>
      </c>
      <c r="G966" t="s">
        <v>40</v>
      </c>
      <c r="H966" t="s">
        <v>108</v>
      </c>
      <c r="I966" t="s">
        <v>84</v>
      </c>
      <c r="J966" t="s">
        <v>85</v>
      </c>
      <c r="K966" s="3">
        <v>2036.33</v>
      </c>
      <c r="L966" s="3">
        <v>663.33</v>
      </c>
      <c r="M966">
        <v>1</v>
      </c>
      <c r="N966" s="4">
        <v>0.15</v>
      </c>
      <c r="O966" t="s">
        <v>44</v>
      </c>
      <c r="P966" t="s">
        <v>58</v>
      </c>
    </row>
    <row r="967" spans="1:16">
      <c r="A967" t="s">
        <v>1119</v>
      </c>
      <c r="B967" s="2">
        <v>45332</v>
      </c>
      <c r="C967" t="s">
        <v>66</v>
      </c>
      <c r="D967" t="s">
        <v>67</v>
      </c>
      <c r="E967" t="s">
        <v>110</v>
      </c>
      <c r="F967" t="s">
        <v>111</v>
      </c>
      <c r="G967" t="s">
        <v>40</v>
      </c>
      <c r="H967" t="s">
        <v>112</v>
      </c>
      <c r="I967" t="s">
        <v>42</v>
      </c>
      <c r="J967" t="s">
        <v>68</v>
      </c>
      <c r="K967" s="3">
        <v>12873.83</v>
      </c>
      <c r="L967" s="3">
        <v>6350.15</v>
      </c>
      <c r="M967">
        <v>5</v>
      </c>
      <c r="N967" s="4">
        <v>0.1</v>
      </c>
      <c r="O967" t="s">
        <v>25</v>
      </c>
      <c r="P967" t="s">
        <v>58</v>
      </c>
    </row>
    <row r="968" spans="1:16">
      <c r="A968" t="s">
        <v>1120</v>
      </c>
      <c r="B968" s="2">
        <v>45540</v>
      </c>
      <c r="C968" t="s">
        <v>93</v>
      </c>
      <c r="D968" t="s">
        <v>94</v>
      </c>
      <c r="E968" t="s">
        <v>110</v>
      </c>
      <c r="F968" t="s">
        <v>111</v>
      </c>
      <c r="G968" t="s">
        <v>40</v>
      </c>
      <c r="H968" t="s">
        <v>112</v>
      </c>
      <c r="I968" t="s">
        <v>84</v>
      </c>
      <c r="J968" t="s">
        <v>134</v>
      </c>
      <c r="K968" s="3">
        <v>8851.43</v>
      </c>
      <c r="L968" s="3">
        <v>2418.86</v>
      </c>
      <c r="M968">
        <v>2</v>
      </c>
      <c r="N968" s="4">
        <v>0.05</v>
      </c>
      <c r="O968" t="s">
        <v>76</v>
      </c>
      <c r="P968" t="s">
        <v>26</v>
      </c>
    </row>
    <row r="969" spans="1:16">
      <c r="A969" t="s">
        <v>1121</v>
      </c>
      <c r="B969" s="2">
        <v>45744</v>
      </c>
      <c r="C969" t="s">
        <v>114</v>
      </c>
      <c r="D969" t="s">
        <v>115</v>
      </c>
      <c r="E969" t="s">
        <v>110</v>
      </c>
      <c r="F969" t="s">
        <v>111</v>
      </c>
      <c r="G969" t="s">
        <v>40</v>
      </c>
      <c r="H969" t="s">
        <v>112</v>
      </c>
      <c r="I969" t="s">
        <v>23</v>
      </c>
      <c r="J969" t="s">
        <v>75</v>
      </c>
      <c r="K969" s="3">
        <v>2984.37</v>
      </c>
      <c r="L969" s="3">
        <v>1095.51</v>
      </c>
      <c r="M969">
        <v>1</v>
      </c>
      <c r="N969" s="4">
        <v>0.05</v>
      </c>
      <c r="O969" t="s">
        <v>25</v>
      </c>
      <c r="P969" t="s">
        <v>58</v>
      </c>
    </row>
    <row r="970" spans="1:16">
      <c r="A970" t="s">
        <v>1122</v>
      </c>
      <c r="B970" s="2">
        <v>45469</v>
      </c>
      <c r="C970" t="s">
        <v>144</v>
      </c>
      <c r="D970" t="s">
        <v>145</v>
      </c>
      <c r="E970" t="s">
        <v>152</v>
      </c>
      <c r="F970" t="s">
        <v>153</v>
      </c>
      <c r="G970" t="s">
        <v>21</v>
      </c>
      <c r="H970" t="s">
        <v>32</v>
      </c>
      <c r="I970" t="s">
        <v>23</v>
      </c>
      <c r="J970" t="s">
        <v>33</v>
      </c>
      <c r="K970" s="3">
        <v>69152.59</v>
      </c>
      <c r="L970" s="3">
        <v>40390.800000000003</v>
      </c>
      <c r="M970">
        <v>5</v>
      </c>
      <c r="N970" s="4">
        <v>0.05</v>
      </c>
      <c r="O970" t="s">
        <v>76</v>
      </c>
      <c r="P970" t="s">
        <v>58</v>
      </c>
    </row>
    <row r="971" spans="1:16">
      <c r="A971" t="s">
        <v>1123</v>
      </c>
      <c r="B971" s="2">
        <v>45460</v>
      </c>
      <c r="C971" t="s">
        <v>207</v>
      </c>
      <c r="D971" t="s">
        <v>208</v>
      </c>
      <c r="E971" t="s">
        <v>38</v>
      </c>
      <c r="F971" t="s">
        <v>39</v>
      </c>
      <c r="G971" t="s">
        <v>40</v>
      </c>
      <c r="H971" t="s">
        <v>41</v>
      </c>
      <c r="I971" t="s">
        <v>84</v>
      </c>
      <c r="J971" t="s">
        <v>142</v>
      </c>
      <c r="K971" s="3">
        <v>1676.37</v>
      </c>
      <c r="L971" s="3">
        <v>948.98</v>
      </c>
      <c r="M971">
        <v>2</v>
      </c>
      <c r="N971" s="4">
        <v>0.05</v>
      </c>
      <c r="O971" t="s">
        <v>44</v>
      </c>
      <c r="P971" t="s">
        <v>45</v>
      </c>
    </row>
    <row r="972" spans="1:16">
      <c r="A972" t="s">
        <v>1124</v>
      </c>
      <c r="B972" s="2">
        <v>45498</v>
      </c>
      <c r="C972" t="s">
        <v>147</v>
      </c>
      <c r="D972" t="s">
        <v>148</v>
      </c>
      <c r="E972" t="s">
        <v>38</v>
      </c>
      <c r="F972" t="s">
        <v>39</v>
      </c>
      <c r="G972" t="s">
        <v>40</v>
      </c>
      <c r="H972" t="s">
        <v>41</v>
      </c>
      <c r="I972" t="s">
        <v>42</v>
      </c>
      <c r="J972" t="s">
        <v>68</v>
      </c>
      <c r="K972" s="3">
        <v>3698.65</v>
      </c>
      <c r="L972" s="3">
        <v>1608.72</v>
      </c>
      <c r="M972">
        <v>3</v>
      </c>
      <c r="N972" s="4">
        <v>0.1</v>
      </c>
      <c r="O972" t="s">
        <v>136</v>
      </c>
      <c r="P972" t="s">
        <v>26</v>
      </c>
    </row>
    <row r="973" spans="1:16">
      <c r="A973" t="s">
        <v>1125</v>
      </c>
      <c r="B973" s="2">
        <v>45724</v>
      </c>
      <c r="C973" t="s">
        <v>200</v>
      </c>
      <c r="D973" t="s">
        <v>201</v>
      </c>
      <c r="E973" t="s">
        <v>87</v>
      </c>
      <c r="F973" t="s">
        <v>88</v>
      </c>
      <c r="G973" t="s">
        <v>89</v>
      </c>
      <c r="H973" t="s">
        <v>90</v>
      </c>
      <c r="I973" t="s">
        <v>56</v>
      </c>
      <c r="J973" t="s">
        <v>191</v>
      </c>
      <c r="K973" s="3">
        <v>16748.830000000002</v>
      </c>
      <c r="L973" s="3">
        <v>9196.9</v>
      </c>
      <c r="M973">
        <v>5</v>
      </c>
      <c r="N973" s="4">
        <v>0.05</v>
      </c>
      <c r="O973" t="s">
        <v>136</v>
      </c>
      <c r="P973" t="s">
        <v>58</v>
      </c>
    </row>
    <row r="974" spans="1:16">
      <c r="A974" t="s">
        <v>1126</v>
      </c>
      <c r="B974" s="2">
        <v>45377</v>
      </c>
      <c r="C974" t="s">
        <v>79</v>
      </c>
      <c r="D974" t="s">
        <v>80</v>
      </c>
      <c r="E974" t="s">
        <v>106</v>
      </c>
      <c r="F974" t="s">
        <v>107</v>
      </c>
      <c r="G974" t="s">
        <v>40</v>
      </c>
      <c r="H974" t="s">
        <v>108</v>
      </c>
      <c r="I974" t="s">
        <v>56</v>
      </c>
      <c r="J974" t="s">
        <v>91</v>
      </c>
      <c r="K974" s="3">
        <v>3238.06</v>
      </c>
      <c r="L974" s="3">
        <v>2139.9899999999998</v>
      </c>
      <c r="M974">
        <v>3</v>
      </c>
      <c r="N974" s="4">
        <v>0.05</v>
      </c>
      <c r="O974" t="s">
        <v>44</v>
      </c>
      <c r="P974" t="s">
        <v>26</v>
      </c>
    </row>
    <row r="975" spans="1:16">
      <c r="A975" t="s">
        <v>1127</v>
      </c>
      <c r="B975" s="2">
        <v>45582</v>
      </c>
      <c r="C975" t="s">
        <v>170</v>
      </c>
      <c r="D975" t="s">
        <v>171</v>
      </c>
      <c r="E975" t="s">
        <v>123</v>
      </c>
      <c r="F975" t="s">
        <v>124</v>
      </c>
      <c r="G975" t="s">
        <v>51</v>
      </c>
      <c r="H975" t="s">
        <v>125</v>
      </c>
      <c r="I975" t="s">
        <v>56</v>
      </c>
      <c r="J975" t="s">
        <v>191</v>
      </c>
      <c r="K975" s="3">
        <v>103457.74</v>
      </c>
      <c r="L975" s="3">
        <v>72894.84</v>
      </c>
      <c r="M975">
        <v>4</v>
      </c>
      <c r="N975" s="4">
        <v>0.1</v>
      </c>
      <c r="O975" t="s">
        <v>76</v>
      </c>
      <c r="P975" t="s">
        <v>98</v>
      </c>
    </row>
    <row r="976" spans="1:16">
      <c r="A976" t="s">
        <v>1128</v>
      </c>
      <c r="B976" s="2">
        <v>45296</v>
      </c>
      <c r="C976" t="s">
        <v>144</v>
      </c>
      <c r="D976" t="s">
        <v>145</v>
      </c>
      <c r="E976" t="s">
        <v>152</v>
      </c>
      <c r="F976" t="s">
        <v>153</v>
      </c>
      <c r="G976" t="s">
        <v>21</v>
      </c>
      <c r="H976" t="s">
        <v>32</v>
      </c>
      <c r="I976" t="s">
        <v>84</v>
      </c>
      <c r="J976" t="s">
        <v>85</v>
      </c>
      <c r="K976" s="3">
        <v>12691.62</v>
      </c>
      <c r="L976" s="3">
        <v>8578.65</v>
      </c>
      <c r="M976">
        <v>1</v>
      </c>
      <c r="N976" s="4">
        <v>0.1</v>
      </c>
      <c r="O976" t="s">
        <v>136</v>
      </c>
      <c r="P976" t="s">
        <v>26</v>
      </c>
    </row>
    <row r="977" spans="1:16">
      <c r="A977" t="s">
        <v>1129</v>
      </c>
      <c r="B977" s="2">
        <v>45674</v>
      </c>
      <c r="C977" t="s">
        <v>207</v>
      </c>
      <c r="D977" t="s">
        <v>208</v>
      </c>
      <c r="E977" t="s">
        <v>106</v>
      </c>
      <c r="F977" t="s">
        <v>107</v>
      </c>
      <c r="G977" t="s">
        <v>40</v>
      </c>
      <c r="H977" t="s">
        <v>108</v>
      </c>
      <c r="I977" t="s">
        <v>42</v>
      </c>
      <c r="J977" t="s">
        <v>162</v>
      </c>
      <c r="K977" s="3">
        <v>7072.99</v>
      </c>
      <c r="L977" s="3">
        <v>2794.16</v>
      </c>
      <c r="M977">
        <v>4</v>
      </c>
      <c r="N977" s="4">
        <v>0.2</v>
      </c>
      <c r="O977" t="s">
        <v>25</v>
      </c>
      <c r="P977" t="s">
        <v>26</v>
      </c>
    </row>
    <row r="978" spans="1:16">
      <c r="A978" t="s">
        <v>1130</v>
      </c>
      <c r="B978" s="2">
        <v>45871</v>
      </c>
      <c r="C978" t="s">
        <v>28</v>
      </c>
      <c r="D978" t="s">
        <v>29</v>
      </c>
      <c r="E978" t="s">
        <v>19</v>
      </c>
      <c r="F978" t="s">
        <v>20</v>
      </c>
      <c r="G978" t="s">
        <v>21</v>
      </c>
      <c r="H978" t="s">
        <v>22</v>
      </c>
      <c r="I978" t="s">
        <v>56</v>
      </c>
      <c r="J978" t="s">
        <v>91</v>
      </c>
      <c r="K978" s="3">
        <v>10477.299999999999</v>
      </c>
      <c r="L978" s="3">
        <v>5633.08</v>
      </c>
      <c r="M978">
        <v>2</v>
      </c>
      <c r="N978" s="4">
        <v>0.1</v>
      </c>
      <c r="O978" t="s">
        <v>44</v>
      </c>
      <c r="P978" t="s">
        <v>98</v>
      </c>
    </row>
    <row r="979" spans="1:16">
      <c r="A979" t="s">
        <v>1131</v>
      </c>
      <c r="B979" s="2">
        <v>45351</v>
      </c>
      <c r="C979" t="s">
        <v>17</v>
      </c>
      <c r="D979" t="s">
        <v>18</v>
      </c>
      <c r="E979" t="s">
        <v>172</v>
      </c>
      <c r="F979" t="s">
        <v>173</v>
      </c>
      <c r="G979" t="s">
        <v>40</v>
      </c>
      <c r="H979" t="s">
        <v>41</v>
      </c>
      <c r="I979" t="s">
        <v>42</v>
      </c>
      <c r="J979" t="s">
        <v>162</v>
      </c>
      <c r="K979" s="3">
        <v>12194.62</v>
      </c>
      <c r="L979" s="3">
        <v>3907.08</v>
      </c>
      <c r="M979">
        <v>4</v>
      </c>
      <c r="N979" s="4">
        <v>0.05</v>
      </c>
      <c r="O979" t="s">
        <v>136</v>
      </c>
      <c r="P979" t="s">
        <v>58</v>
      </c>
    </row>
    <row r="980" spans="1:16">
      <c r="A980" t="s">
        <v>1132</v>
      </c>
      <c r="B980" s="2">
        <v>45973</v>
      </c>
      <c r="C980" t="s">
        <v>158</v>
      </c>
      <c r="D980" t="s">
        <v>159</v>
      </c>
      <c r="E980" t="s">
        <v>30</v>
      </c>
      <c r="F980" t="s">
        <v>31</v>
      </c>
      <c r="G980" t="s">
        <v>21</v>
      </c>
      <c r="H980" t="s">
        <v>32</v>
      </c>
      <c r="I980" t="s">
        <v>42</v>
      </c>
      <c r="J980" t="s">
        <v>162</v>
      </c>
      <c r="K980" s="3">
        <v>111871.03</v>
      </c>
      <c r="L980" s="3">
        <v>91417.54</v>
      </c>
      <c r="M980">
        <v>2</v>
      </c>
      <c r="N980" s="4">
        <v>0.05</v>
      </c>
      <c r="O980" t="s">
        <v>44</v>
      </c>
      <c r="P980" t="s">
        <v>58</v>
      </c>
    </row>
    <row r="981" spans="1:16">
      <c r="A981" t="s">
        <v>1133</v>
      </c>
      <c r="B981" s="2">
        <v>45457</v>
      </c>
      <c r="C981" t="s">
        <v>155</v>
      </c>
      <c r="D981" t="s">
        <v>156</v>
      </c>
      <c r="E981" t="s">
        <v>95</v>
      </c>
      <c r="F981" t="s">
        <v>96</v>
      </c>
      <c r="G981" t="s">
        <v>89</v>
      </c>
      <c r="H981" t="s">
        <v>97</v>
      </c>
      <c r="I981" t="s">
        <v>42</v>
      </c>
      <c r="J981" t="s">
        <v>68</v>
      </c>
      <c r="K981" s="3">
        <v>3730.57</v>
      </c>
      <c r="L981" s="3">
        <v>3231.71</v>
      </c>
      <c r="M981">
        <v>1</v>
      </c>
      <c r="N981" s="4">
        <v>0.15</v>
      </c>
      <c r="O981" t="s">
        <v>136</v>
      </c>
      <c r="P981" t="s">
        <v>58</v>
      </c>
    </row>
    <row r="982" spans="1:16">
      <c r="A982" t="s">
        <v>1134</v>
      </c>
      <c r="B982" s="2">
        <v>45461</v>
      </c>
      <c r="C982" t="s">
        <v>114</v>
      </c>
      <c r="D982" t="s">
        <v>115</v>
      </c>
      <c r="E982" t="s">
        <v>49</v>
      </c>
      <c r="F982" t="s">
        <v>50</v>
      </c>
      <c r="G982" t="s">
        <v>51</v>
      </c>
      <c r="H982" t="s">
        <v>52</v>
      </c>
      <c r="I982" t="s">
        <v>56</v>
      </c>
      <c r="J982" t="s">
        <v>91</v>
      </c>
      <c r="K982" s="3">
        <v>34913.760000000002</v>
      </c>
      <c r="L982" s="3">
        <v>26616.080000000002</v>
      </c>
      <c r="M982">
        <v>4</v>
      </c>
      <c r="N982" s="4">
        <v>0.2</v>
      </c>
      <c r="O982" t="s">
        <v>136</v>
      </c>
      <c r="P982" t="s">
        <v>45</v>
      </c>
    </row>
    <row r="983" spans="1:16">
      <c r="A983" t="s">
        <v>1135</v>
      </c>
      <c r="B983" s="2">
        <v>45383</v>
      </c>
      <c r="C983" t="s">
        <v>93</v>
      </c>
      <c r="D983" t="s">
        <v>94</v>
      </c>
      <c r="E983" t="s">
        <v>132</v>
      </c>
      <c r="F983" t="s">
        <v>133</v>
      </c>
      <c r="G983" t="s">
        <v>40</v>
      </c>
      <c r="H983" t="s">
        <v>41</v>
      </c>
      <c r="I983" t="s">
        <v>53</v>
      </c>
      <c r="J983" t="s">
        <v>54</v>
      </c>
      <c r="K983" s="3">
        <v>909.17</v>
      </c>
      <c r="L983" s="3">
        <v>256.81</v>
      </c>
      <c r="M983">
        <v>1</v>
      </c>
      <c r="N983" s="4">
        <v>0.1</v>
      </c>
      <c r="O983" t="s">
        <v>76</v>
      </c>
      <c r="P983" t="s">
        <v>45</v>
      </c>
    </row>
    <row r="984" spans="1:16">
      <c r="A984" t="s">
        <v>1136</v>
      </c>
      <c r="B984" s="2">
        <v>45699</v>
      </c>
      <c r="C984" t="s">
        <v>93</v>
      </c>
      <c r="D984" t="s">
        <v>94</v>
      </c>
      <c r="E984" t="s">
        <v>49</v>
      </c>
      <c r="F984" t="s">
        <v>50</v>
      </c>
      <c r="G984" t="s">
        <v>51</v>
      </c>
      <c r="H984" t="s">
        <v>52</v>
      </c>
      <c r="I984" t="s">
        <v>42</v>
      </c>
      <c r="J984" t="s">
        <v>162</v>
      </c>
      <c r="K984" s="3">
        <v>24354.87</v>
      </c>
      <c r="L984" s="3">
        <v>18926.97</v>
      </c>
      <c r="M984">
        <v>3</v>
      </c>
      <c r="N984" s="4">
        <v>0.15</v>
      </c>
      <c r="O984" t="s">
        <v>25</v>
      </c>
      <c r="P984" t="s">
        <v>58</v>
      </c>
    </row>
    <row r="985" spans="1:16">
      <c r="A985" t="s">
        <v>1137</v>
      </c>
      <c r="B985" s="2">
        <v>45718</v>
      </c>
      <c r="C985" t="s">
        <v>100</v>
      </c>
      <c r="D985" t="s">
        <v>101</v>
      </c>
      <c r="E985" t="s">
        <v>132</v>
      </c>
      <c r="F985" t="s">
        <v>133</v>
      </c>
      <c r="G985" t="s">
        <v>40</v>
      </c>
      <c r="H985" t="s">
        <v>41</v>
      </c>
      <c r="I985" t="s">
        <v>56</v>
      </c>
      <c r="J985" t="s">
        <v>57</v>
      </c>
      <c r="K985" s="3">
        <v>1336.61</v>
      </c>
      <c r="L985" s="3">
        <v>784.95</v>
      </c>
      <c r="M985">
        <v>3</v>
      </c>
      <c r="N985" s="4">
        <v>0.1</v>
      </c>
      <c r="O985" t="s">
        <v>76</v>
      </c>
      <c r="P985" t="s">
        <v>58</v>
      </c>
    </row>
    <row r="986" spans="1:16">
      <c r="A986" t="s">
        <v>1138</v>
      </c>
      <c r="B986" s="2">
        <v>45806</v>
      </c>
      <c r="C986" t="s">
        <v>144</v>
      </c>
      <c r="D986" t="s">
        <v>145</v>
      </c>
      <c r="E986" t="s">
        <v>87</v>
      </c>
      <c r="F986" t="s">
        <v>88</v>
      </c>
      <c r="G986" t="s">
        <v>89</v>
      </c>
      <c r="H986" t="s">
        <v>90</v>
      </c>
      <c r="I986" t="s">
        <v>23</v>
      </c>
      <c r="J986" t="s">
        <v>75</v>
      </c>
      <c r="K986" s="3">
        <v>4610.6099999999997</v>
      </c>
      <c r="L986" s="3">
        <v>1782.24</v>
      </c>
      <c r="M986">
        <v>1</v>
      </c>
      <c r="N986" s="4">
        <v>0.05</v>
      </c>
      <c r="O986" t="s">
        <v>76</v>
      </c>
      <c r="P986" t="s">
        <v>58</v>
      </c>
    </row>
    <row r="987" spans="1:16">
      <c r="A987" t="s">
        <v>1139</v>
      </c>
      <c r="B987" s="2">
        <v>45488</v>
      </c>
      <c r="C987" t="s">
        <v>93</v>
      </c>
      <c r="D987" t="s">
        <v>94</v>
      </c>
      <c r="E987" t="s">
        <v>117</v>
      </c>
      <c r="F987" t="s">
        <v>118</v>
      </c>
      <c r="G987" t="s">
        <v>51</v>
      </c>
      <c r="H987" t="s">
        <v>119</v>
      </c>
      <c r="I987" t="s">
        <v>53</v>
      </c>
      <c r="J987" t="s">
        <v>54</v>
      </c>
      <c r="K987" s="3">
        <v>26098.82</v>
      </c>
      <c r="L987" s="3">
        <v>14803.95</v>
      </c>
      <c r="M987">
        <v>3</v>
      </c>
      <c r="N987" s="4">
        <v>0.15</v>
      </c>
      <c r="O987" t="s">
        <v>34</v>
      </c>
      <c r="P987" t="s">
        <v>58</v>
      </c>
    </row>
    <row r="988" spans="1:16">
      <c r="A988" t="s">
        <v>1140</v>
      </c>
      <c r="B988" s="2">
        <v>45592</v>
      </c>
      <c r="C988" t="s">
        <v>17</v>
      </c>
      <c r="D988" t="s">
        <v>18</v>
      </c>
      <c r="E988" t="s">
        <v>117</v>
      </c>
      <c r="F988" t="s">
        <v>118</v>
      </c>
      <c r="G988" t="s">
        <v>51</v>
      </c>
      <c r="H988" t="s">
        <v>119</v>
      </c>
      <c r="I988" t="s">
        <v>23</v>
      </c>
      <c r="J988" t="s">
        <v>33</v>
      </c>
      <c r="K988" s="3">
        <v>6020.55</v>
      </c>
      <c r="L988" s="3">
        <v>4389.96</v>
      </c>
      <c r="M988">
        <v>1</v>
      </c>
      <c r="N988" s="4">
        <v>0.1</v>
      </c>
      <c r="O988" t="s">
        <v>25</v>
      </c>
      <c r="P988" t="s">
        <v>58</v>
      </c>
    </row>
    <row r="989" spans="1:16">
      <c r="A989" t="s">
        <v>1141</v>
      </c>
      <c r="B989" s="2">
        <v>45395</v>
      </c>
      <c r="C989" t="s">
        <v>197</v>
      </c>
      <c r="D989" t="s">
        <v>198</v>
      </c>
      <c r="E989" t="s">
        <v>87</v>
      </c>
      <c r="F989" t="s">
        <v>88</v>
      </c>
      <c r="G989" t="s">
        <v>89</v>
      </c>
      <c r="H989" t="s">
        <v>90</v>
      </c>
      <c r="I989" t="s">
        <v>42</v>
      </c>
      <c r="J989" t="s">
        <v>68</v>
      </c>
      <c r="K989" s="3">
        <v>4635.2700000000004</v>
      </c>
      <c r="L989" s="3">
        <v>1641.98</v>
      </c>
      <c r="M989">
        <v>1</v>
      </c>
      <c r="N989" s="4">
        <v>0</v>
      </c>
      <c r="O989" t="s">
        <v>34</v>
      </c>
      <c r="P989" t="s">
        <v>58</v>
      </c>
    </row>
    <row r="990" spans="1:16">
      <c r="A990" t="s">
        <v>1142</v>
      </c>
      <c r="B990" s="2">
        <v>45299</v>
      </c>
      <c r="C990" t="s">
        <v>179</v>
      </c>
      <c r="D990" t="s">
        <v>180</v>
      </c>
      <c r="E990" t="s">
        <v>49</v>
      </c>
      <c r="F990" t="s">
        <v>50</v>
      </c>
      <c r="G990" t="s">
        <v>51</v>
      </c>
      <c r="H990" t="s">
        <v>52</v>
      </c>
      <c r="I990" t="s">
        <v>56</v>
      </c>
      <c r="J990" t="s">
        <v>57</v>
      </c>
      <c r="K990" s="3">
        <v>64320.73</v>
      </c>
      <c r="L990" s="3">
        <v>28576.720000000001</v>
      </c>
      <c r="M990">
        <v>4</v>
      </c>
      <c r="N990" s="4">
        <v>0.1</v>
      </c>
      <c r="O990" t="s">
        <v>136</v>
      </c>
      <c r="P990" t="s">
        <v>98</v>
      </c>
    </row>
    <row r="991" spans="1:16">
      <c r="A991" t="s">
        <v>1143</v>
      </c>
      <c r="B991" s="2">
        <v>45731</v>
      </c>
      <c r="C991" t="s">
        <v>79</v>
      </c>
      <c r="D991" t="s">
        <v>80</v>
      </c>
      <c r="E991" t="s">
        <v>110</v>
      </c>
      <c r="F991" t="s">
        <v>111</v>
      </c>
      <c r="G991" t="s">
        <v>40</v>
      </c>
      <c r="H991" t="s">
        <v>112</v>
      </c>
      <c r="I991" t="s">
        <v>42</v>
      </c>
      <c r="J991" t="s">
        <v>43</v>
      </c>
      <c r="K991" s="3">
        <v>12415.68</v>
      </c>
      <c r="L991" s="3">
        <v>3506.97</v>
      </c>
      <c r="M991">
        <v>3</v>
      </c>
      <c r="N991" s="4">
        <v>0.1</v>
      </c>
      <c r="O991" t="s">
        <v>76</v>
      </c>
      <c r="P991" t="s">
        <v>77</v>
      </c>
    </row>
    <row r="992" spans="1:16">
      <c r="A992" t="s">
        <v>1144</v>
      </c>
      <c r="B992" s="2">
        <v>45917</v>
      </c>
      <c r="C992" t="s">
        <v>130</v>
      </c>
      <c r="D992" t="s">
        <v>131</v>
      </c>
      <c r="E992" t="s">
        <v>106</v>
      </c>
      <c r="F992" t="s">
        <v>107</v>
      </c>
      <c r="G992" t="s">
        <v>40</v>
      </c>
      <c r="H992" t="s">
        <v>108</v>
      </c>
      <c r="I992" t="s">
        <v>56</v>
      </c>
      <c r="J992" t="s">
        <v>91</v>
      </c>
      <c r="K992" s="3">
        <v>2720.77</v>
      </c>
      <c r="L992" s="3">
        <v>766.54</v>
      </c>
      <c r="M992">
        <v>1</v>
      </c>
      <c r="N992" s="4">
        <v>0</v>
      </c>
      <c r="O992" t="s">
        <v>25</v>
      </c>
      <c r="P992" t="s">
        <v>98</v>
      </c>
    </row>
    <row r="993" spans="1:16">
      <c r="A993" t="s">
        <v>1145</v>
      </c>
      <c r="B993" s="2">
        <v>45434</v>
      </c>
      <c r="C993" t="s">
        <v>60</v>
      </c>
      <c r="D993" t="s">
        <v>61</v>
      </c>
      <c r="E993" t="s">
        <v>106</v>
      </c>
      <c r="F993" t="s">
        <v>107</v>
      </c>
      <c r="G993" t="s">
        <v>40</v>
      </c>
      <c r="H993" t="s">
        <v>108</v>
      </c>
      <c r="I993" t="s">
        <v>42</v>
      </c>
      <c r="J993" t="s">
        <v>162</v>
      </c>
      <c r="K993" s="3">
        <v>2440.63</v>
      </c>
      <c r="L993" s="3">
        <v>714.27</v>
      </c>
      <c r="M993">
        <v>1</v>
      </c>
      <c r="N993" s="4">
        <v>0.1</v>
      </c>
      <c r="O993" t="s">
        <v>76</v>
      </c>
      <c r="P993" t="s">
        <v>77</v>
      </c>
    </row>
    <row r="994" spans="1:16">
      <c r="A994" t="s">
        <v>1146</v>
      </c>
      <c r="B994" s="2">
        <v>45966</v>
      </c>
      <c r="C994" t="s">
        <v>170</v>
      </c>
      <c r="D994" t="s">
        <v>171</v>
      </c>
      <c r="E994" t="s">
        <v>193</v>
      </c>
      <c r="F994" t="s">
        <v>194</v>
      </c>
      <c r="G994" t="s">
        <v>89</v>
      </c>
      <c r="H994" t="s">
        <v>90</v>
      </c>
      <c r="I994" t="s">
        <v>42</v>
      </c>
      <c r="J994" t="s">
        <v>68</v>
      </c>
      <c r="K994" s="3">
        <v>5569.08</v>
      </c>
      <c r="L994" s="3">
        <v>2005.96</v>
      </c>
      <c r="M994">
        <v>4</v>
      </c>
      <c r="N994" s="4">
        <v>0</v>
      </c>
      <c r="O994" t="s">
        <v>44</v>
      </c>
      <c r="P994" t="s">
        <v>58</v>
      </c>
    </row>
    <row r="995" spans="1:16">
      <c r="A995" t="s">
        <v>1147</v>
      </c>
      <c r="B995" s="2">
        <v>45338</v>
      </c>
      <c r="C995" t="s">
        <v>17</v>
      </c>
      <c r="D995" t="s">
        <v>18</v>
      </c>
      <c r="E995" t="s">
        <v>172</v>
      </c>
      <c r="F995" t="s">
        <v>173</v>
      </c>
      <c r="G995" t="s">
        <v>40</v>
      </c>
      <c r="H995" t="s">
        <v>41</v>
      </c>
      <c r="I995" t="s">
        <v>53</v>
      </c>
      <c r="J995" t="s">
        <v>102</v>
      </c>
      <c r="K995" s="3">
        <v>4352.37</v>
      </c>
      <c r="L995" s="3">
        <v>2796.09</v>
      </c>
      <c r="M995">
        <v>3</v>
      </c>
      <c r="N995" s="4">
        <v>0.15</v>
      </c>
      <c r="O995" t="s">
        <v>136</v>
      </c>
      <c r="P995" t="s">
        <v>58</v>
      </c>
    </row>
    <row r="996" spans="1:16">
      <c r="A996" t="s">
        <v>1148</v>
      </c>
      <c r="B996" s="2">
        <v>45966</v>
      </c>
      <c r="C996" t="s">
        <v>158</v>
      </c>
      <c r="D996" t="s">
        <v>159</v>
      </c>
      <c r="E996" t="s">
        <v>132</v>
      </c>
      <c r="F996" t="s">
        <v>133</v>
      </c>
      <c r="G996" t="s">
        <v>40</v>
      </c>
      <c r="H996" t="s">
        <v>41</v>
      </c>
      <c r="I996" t="s">
        <v>56</v>
      </c>
      <c r="J996" t="s">
        <v>191</v>
      </c>
      <c r="K996" s="3">
        <v>569.79</v>
      </c>
      <c r="L996" s="3">
        <v>261.70999999999998</v>
      </c>
      <c r="M996">
        <v>1</v>
      </c>
      <c r="N996" s="4">
        <v>0.05</v>
      </c>
      <c r="O996" t="s">
        <v>76</v>
      </c>
      <c r="P996" t="s">
        <v>58</v>
      </c>
    </row>
    <row r="997" spans="1:16">
      <c r="A997" t="s">
        <v>1149</v>
      </c>
      <c r="B997" s="2">
        <v>45381</v>
      </c>
      <c r="C997" t="s">
        <v>47</v>
      </c>
      <c r="D997" t="s">
        <v>48</v>
      </c>
      <c r="E997" t="s">
        <v>87</v>
      </c>
      <c r="F997" t="s">
        <v>88</v>
      </c>
      <c r="G997" t="s">
        <v>89</v>
      </c>
      <c r="H997" t="s">
        <v>90</v>
      </c>
      <c r="I997" t="s">
        <v>53</v>
      </c>
      <c r="J997" t="s">
        <v>54</v>
      </c>
      <c r="K997" s="3">
        <v>13992.18</v>
      </c>
      <c r="L997" s="3">
        <v>5758.95</v>
      </c>
      <c r="M997">
        <v>3</v>
      </c>
      <c r="N997" s="4">
        <v>0.15</v>
      </c>
      <c r="O997" t="s">
        <v>76</v>
      </c>
      <c r="P997" t="s">
        <v>98</v>
      </c>
    </row>
    <row r="998" spans="1:16">
      <c r="A998" t="s">
        <v>1150</v>
      </c>
      <c r="B998" s="2">
        <v>45845</v>
      </c>
      <c r="C998" t="s">
        <v>179</v>
      </c>
      <c r="D998" t="s">
        <v>180</v>
      </c>
      <c r="E998" t="s">
        <v>87</v>
      </c>
      <c r="F998" t="s">
        <v>88</v>
      </c>
      <c r="G998" t="s">
        <v>89</v>
      </c>
      <c r="H998" t="s">
        <v>90</v>
      </c>
      <c r="I998" t="s">
        <v>42</v>
      </c>
      <c r="J998" t="s">
        <v>68</v>
      </c>
      <c r="K998" s="3">
        <v>5219.58</v>
      </c>
      <c r="L998" s="3">
        <v>3415.22</v>
      </c>
      <c r="M998">
        <v>2</v>
      </c>
      <c r="N998" s="4">
        <v>0</v>
      </c>
      <c r="O998" t="s">
        <v>25</v>
      </c>
      <c r="P998" t="s">
        <v>26</v>
      </c>
    </row>
    <row r="999" spans="1:16">
      <c r="A999" t="s">
        <v>1151</v>
      </c>
      <c r="B999" s="2">
        <v>45626</v>
      </c>
      <c r="C999" t="s">
        <v>60</v>
      </c>
      <c r="D999" t="s">
        <v>61</v>
      </c>
      <c r="E999" t="s">
        <v>30</v>
      </c>
      <c r="F999" t="s">
        <v>31</v>
      </c>
      <c r="G999" t="s">
        <v>21</v>
      </c>
      <c r="H999" t="s">
        <v>32</v>
      </c>
      <c r="I999" t="s">
        <v>23</v>
      </c>
      <c r="J999" t="s">
        <v>75</v>
      </c>
      <c r="K999" s="3">
        <v>202453.31</v>
      </c>
      <c r="L999" s="3">
        <v>202226.24</v>
      </c>
      <c r="M999">
        <v>4</v>
      </c>
      <c r="N999" s="4">
        <v>0.1</v>
      </c>
      <c r="O999" t="s">
        <v>136</v>
      </c>
      <c r="P999" t="s">
        <v>58</v>
      </c>
    </row>
    <row r="1000" spans="1:16">
      <c r="A1000" t="s">
        <v>1152</v>
      </c>
      <c r="B1000" s="2">
        <v>45940</v>
      </c>
      <c r="C1000" t="s">
        <v>130</v>
      </c>
      <c r="D1000" t="s">
        <v>131</v>
      </c>
      <c r="E1000" t="s">
        <v>152</v>
      </c>
      <c r="F1000" t="s">
        <v>153</v>
      </c>
      <c r="G1000" t="s">
        <v>21</v>
      </c>
      <c r="H1000" t="s">
        <v>32</v>
      </c>
      <c r="I1000" t="s">
        <v>56</v>
      </c>
      <c r="J1000" t="s">
        <v>57</v>
      </c>
      <c r="K1000" s="3">
        <v>52554.61</v>
      </c>
      <c r="L1000" s="3">
        <v>29378.84</v>
      </c>
      <c r="M1000">
        <v>4</v>
      </c>
      <c r="N1000" s="4">
        <v>0.05</v>
      </c>
      <c r="O1000" t="s">
        <v>34</v>
      </c>
      <c r="P1000" t="s">
        <v>58</v>
      </c>
    </row>
    <row r="1001" spans="1:16">
      <c r="A1001" t="s">
        <v>1153</v>
      </c>
      <c r="B1001" s="2">
        <v>45682</v>
      </c>
      <c r="C1001" t="s">
        <v>17</v>
      </c>
      <c r="D1001" t="s">
        <v>18</v>
      </c>
      <c r="E1001" t="s">
        <v>110</v>
      </c>
      <c r="F1001" t="s">
        <v>111</v>
      </c>
      <c r="G1001" t="s">
        <v>40</v>
      </c>
      <c r="H1001" t="s">
        <v>112</v>
      </c>
      <c r="I1001" t="s">
        <v>56</v>
      </c>
      <c r="J1001" t="s">
        <v>91</v>
      </c>
      <c r="K1001" s="3">
        <v>13972.27</v>
      </c>
      <c r="L1001" s="3">
        <v>6559.5</v>
      </c>
      <c r="M1001">
        <v>5</v>
      </c>
      <c r="N1001" s="4">
        <v>0.05</v>
      </c>
      <c r="O1001" t="s">
        <v>76</v>
      </c>
      <c r="P1001" t="s">
        <v>45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17D2A-9B1B-4E55-9900-2553C8B8EC93}">
  <dimension ref="A1:AK1001"/>
  <sheetViews>
    <sheetView zoomScale="66" workbookViewId="0">
      <selection activeCell="C13" sqref="C13"/>
    </sheetView>
  </sheetViews>
  <sheetFormatPr defaultColWidth="22.09765625" defaultRowHeight="14.25" customHeight="1"/>
  <cols>
    <col min="1" max="1" width="22.09765625" style="12"/>
    <col min="2" max="2" width="22.09765625" style="14"/>
    <col min="3" max="16384" width="22.09765625" style="12"/>
  </cols>
  <sheetData>
    <row r="1" spans="1:37" ht="19.2" customHeight="1">
      <c r="A1" s="10" t="s">
        <v>0</v>
      </c>
      <c r="B1" s="11" t="s">
        <v>1</v>
      </c>
      <c r="C1" s="10" t="s">
        <v>2</v>
      </c>
      <c r="D1" s="10" t="s">
        <v>3</v>
      </c>
      <c r="E1" s="10" t="s">
        <v>4</v>
      </c>
      <c r="F1" s="10" t="s">
        <v>5</v>
      </c>
      <c r="G1" s="10" t="s">
        <v>6</v>
      </c>
      <c r="H1" s="10" t="s">
        <v>7</v>
      </c>
      <c r="I1" s="10" t="s">
        <v>8</v>
      </c>
      <c r="J1" s="10" t="s">
        <v>9</v>
      </c>
      <c r="K1" s="10" t="s">
        <v>10</v>
      </c>
      <c r="L1" s="10" t="s">
        <v>11</v>
      </c>
      <c r="M1" s="10" t="s">
        <v>12</v>
      </c>
      <c r="N1" s="10" t="s">
        <v>13</v>
      </c>
      <c r="O1" s="10" t="s">
        <v>14</v>
      </c>
      <c r="P1" s="10" t="s">
        <v>15</v>
      </c>
      <c r="Q1" s="12" t="s">
        <v>1154</v>
      </c>
      <c r="R1" s="12" t="s">
        <v>1155</v>
      </c>
      <c r="S1" s="12" t="s">
        <v>1156</v>
      </c>
      <c r="T1" s="12" t="s">
        <v>1157</v>
      </c>
      <c r="U1" s="12" t="s">
        <v>1158</v>
      </c>
      <c r="V1" s="12" t="s">
        <v>1159</v>
      </c>
      <c r="W1" s="12" t="s">
        <v>1160</v>
      </c>
      <c r="X1" s="13" t="s">
        <v>1161</v>
      </c>
      <c r="Y1" s="12" t="s">
        <v>1162</v>
      </c>
      <c r="Z1" s="12" t="s">
        <v>1163</v>
      </c>
      <c r="AA1" s="12" t="s">
        <v>1164</v>
      </c>
      <c r="AB1" s="12" t="s">
        <v>1165</v>
      </c>
      <c r="AC1" s="12" t="s">
        <v>1166</v>
      </c>
      <c r="AD1" s="12" t="s">
        <v>1167</v>
      </c>
      <c r="AE1" s="12" t="s">
        <v>1168</v>
      </c>
      <c r="AF1" s="12" t="s">
        <v>1169</v>
      </c>
      <c r="AG1" s="12" t="s">
        <v>1170</v>
      </c>
      <c r="AH1" s="12" t="s">
        <v>1171</v>
      </c>
      <c r="AI1" s="12" t="s">
        <v>1172</v>
      </c>
    </row>
    <row r="2" spans="1:37" ht="13.8">
      <c r="A2" s="16" t="s">
        <v>836</v>
      </c>
      <c r="B2" s="17">
        <v>45335</v>
      </c>
      <c r="C2" s="16" t="s">
        <v>231</v>
      </c>
      <c r="D2" s="16" t="s">
        <v>232</v>
      </c>
      <c r="E2" s="16" t="s">
        <v>81</v>
      </c>
      <c r="F2" s="16" t="s">
        <v>82</v>
      </c>
      <c r="G2" s="16" t="s">
        <v>21</v>
      </c>
      <c r="H2" s="16" t="s">
        <v>83</v>
      </c>
      <c r="I2" s="16" t="s">
        <v>84</v>
      </c>
      <c r="J2" s="16" t="s">
        <v>134</v>
      </c>
      <c r="K2" s="18">
        <v>102839.74</v>
      </c>
      <c r="L2" s="18">
        <v>66501.88</v>
      </c>
      <c r="M2" s="19">
        <v>4</v>
      </c>
      <c r="N2" s="20">
        <v>0.2</v>
      </c>
      <c r="O2" s="19" t="s">
        <v>136</v>
      </c>
      <c r="P2" s="19" t="s">
        <v>58</v>
      </c>
      <c r="Q2" s="19" t="str">
        <f>TRIM(SalesData[[#This Row],[Customer_Name]])</f>
        <v>Vikas Yadav</v>
      </c>
      <c r="R2" s="21">
        <f>SalesData[[#This Row],[Sales]]-SalesData[[#This Row],[Cost]]</f>
        <v>36337.86</v>
      </c>
      <c r="S2" s="22">
        <f>IFERROR(SalesData[[#This Row],[Profit]]/SalesData[[#This Row],[Sales]],0)</f>
        <v>0.35334453393211612</v>
      </c>
      <c r="T2" s="19">
        <f>YEAR(SalesData[[#This Row],[Order_Date]])</f>
        <v>2024</v>
      </c>
      <c r="U2" s="19" t="str">
        <f>TEXT(SalesData[[#This Row],[Order_Date]],"mmm")</f>
        <v>Feb</v>
      </c>
      <c r="V2" s="19" t="str">
        <f>"Q"&amp;ROUNDUP(MONTH(SalesData[[#This Row],[Order_Date]])/3,0)</f>
        <v>Q1</v>
      </c>
      <c r="W2" s="19" t="str">
        <f>IF(SalesData[[#This Row],[Sales]]&gt;=50000,"High",IF(AND(SalesData[[#This Row],[Sales]]&gt;= 20000, SalesData[[#This Row],[Sales]]&lt; 50000),"Medium","Low"))</f>
        <v>High</v>
      </c>
      <c r="X2" s="19" t="str">
        <f>IF(SalesData[[#This Row],[Profit]]&gt;0,"Profit","Loss")</f>
        <v>Profit</v>
      </c>
      <c r="Y2" s="19" t="str">
        <f>IF(AND(SalesData[[#This Row],[Sales]]&gt;= 50000, SalesData[[#This Row],[Quantity]]&gt;=2),"Yes","No")</f>
        <v>Yes</v>
      </c>
      <c r="Z2" s="19" t="str">
        <f>UPPER(SalesData[[#This Row],[Customer_Name]])</f>
        <v>VIKAS YADAV</v>
      </c>
      <c r="AA2" s="19" t="str">
        <f>LOWER(SalesData[[#This Row],[Customer_Name]])</f>
        <v>vikas yadav</v>
      </c>
      <c r="AB2" s="19">
        <f>LEN(SalesData[[#This Row],[Customer_Name]])</f>
        <v>11</v>
      </c>
      <c r="AC2" s="19" t="str">
        <f>LEFT(SalesData[[#This Row],[Order_ID]],3)</f>
        <v>ORD</v>
      </c>
      <c r="AD2" s="19" t="str">
        <f>RIGHT(SalesData[[#This Row],[Order_ID]],4)</f>
        <v>0683</v>
      </c>
      <c r="AE2" s="19" t="str">
        <f>_xlfn.CONCAT(SalesData[[#This Row],[Clean_Customer_Name]],"-",SalesData[[#This Row],[Region]])</f>
        <v>Vikas Yadav-South</v>
      </c>
      <c r="AF2" s="19" t="str">
        <f>MID(SalesData[[#This Row],[Order_ID]],4,4)</f>
        <v>0683</v>
      </c>
      <c r="AG2" s="19" t="str">
        <f>_xlfn.SINGLE(_xlfn.XLOOKUP(SalesData[[#This Row],[Product]],Product_Master!A:A,Product_Master!B:B,"Not Found"))</f>
        <v>Priya</v>
      </c>
      <c r="AH2" s="19" t="str">
        <f>VLOOKUP(SalesData[[#This Row],[Product]],Product_Master!$A$1:$B$21,2,FALSE)</f>
        <v>Priya</v>
      </c>
      <c r="AI2" s="16"/>
    </row>
    <row r="3" spans="1:37" ht="13.8">
      <c r="A3" s="16" t="s">
        <v>490</v>
      </c>
      <c r="B3" s="17">
        <v>45759</v>
      </c>
      <c r="C3" s="16" t="s">
        <v>231</v>
      </c>
      <c r="D3" s="16" t="s">
        <v>232</v>
      </c>
      <c r="E3" s="16" t="s">
        <v>62</v>
      </c>
      <c r="F3" s="16" t="s">
        <v>63</v>
      </c>
      <c r="G3" s="16" t="s">
        <v>21</v>
      </c>
      <c r="H3" s="16" t="s">
        <v>64</v>
      </c>
      <c r="I3" s="16" t="s">
        <v>56</v>
      </c>
      <c r="J3" s="16" t="s">
        <v>57</v>
      </c>
      <c r="K3" s="18">
        <v>2991.16</v>
      </c>
      <c r="L3" s="18">
        <v>1752.81</v>
      </c>
      <c r="M3" s="19">
        <v>1</v>
      </c>
      <c r="N3" s="20">
        <v>0.1</v>
      </c>
      <c r="O3" s="19" t="s">
        <v>34</v>
      </c>
      <c r="P3" s="19" t="s">
        <v>58</v>
      </c>
      <c r="Q3" s="19" t="str">
        <f>TRIM(SalesData[[#This Row],[Customer_Name]])</f>
        <v>Vikas Yadav</v>
      </c>
      <c r="R3" s="21">
        <f>SalesData[[#This Row],[Sales]]-SalesData[[#This Row],[Cost]]</f>
        <v>1238.3499999999999</v>
      </c>
      <c r="S3" s="22">
        <f>IFERROR(SalesData[[#This Row],[Profit]]/SalesData[[#This Row],[Sales]],0)</f>
        <v>0.41400326294815387</v>
      </c>
      <c r="T3" s="19">
        <f>YEAR(SalesData[[#This Row],[Order_Date]])</f>
        <v>2025</v>
      </c>
      <c r="U3" s="19" t="str">
        <f>TEXT(SalesData[[#This Row],[Order_Date]],"mmm")</f>
        <v>Apr</v>
      </c>
      <c r="V3" s="19" t="str">
        <f>"Q"&amp;ROUNDUP(MONTH(SalesData[[#This Row],[Order_Date]])/3,0)</f>
        <v>Q2</v>
      </c>
      <c r="W3" s="19" t="str">
        <f>IF(SalesData[[#This Row],[Sales]]&gt;=50000,"High",IF(AND(SalesData[[#This Row],[Sales]]&gt;= 20000, SalesData[[#This Row],[Sales]]&lt; 50000),"Medium","Low"))</f>
        <v>Low</v>
      </c>
      <c r="X3" s="19" t="str">
        <f>IF(SalesData[[#This Row],[Profit]]&gt;0,"Profit","Loss")</f>
        <v>Profit</v>
      </c>
      <c r="Y3" s="19" t="str">
        <f>IF(AND(SalesData[[#This Row],[Sales]]&gt;= 50000, SalesData[[#This Row],[Quantity]]&gt;=2),"Yes","No")</f>
        <v>No</v>
      </c>
      <c r="Z3" s="19" t="str">
        <f>UPPER(SalesData[[#This Row],[Customer_Name]])</f>
        <v>VIKAS YADAV</v>
      </c>
      <c r="AA3" s="19" t="str">
        <f>LOWER(SalesData[[#This Row],[Customer_Name]])</f>
        <v>vikas yadav</v>
      </c>
      <c r="AB3" s="19">
        <f>LEN(SalesData[[#This Row],[Customer_Name]])</f>
        <v>11</v>
      </c>
      <c r="AC3" s="19" t="str">
        <f>LEFT(SalesData[[#This Row],[Order_ID]],3)</f>
        <v>ORD</v>
      </c>
      <c r="AD3" s="19" t="str">
        <f>RIGHT(SalesData[[#This Row],[Order_ID]],4)</f>
        <v>0337</v>
      </c>
      <c r="AE3" s="19" t="str">
        <f>_xlfn.CONCAT(SalesData[[#This Row],[Clean_Customer_Name]],"-",SalesData[[#This Row],[Region]])</f>
        <v>Vikas Yadav-West</v>
      </c>
      <c r="AF3" s="19" t="str">
        <f>MID(SalesData[[#This Row],[Order_ID]],4,4)</f>
        <v>0337</v>
      </c>
      <c r="AG3" s="19" t="e">
        <f ca="1">_xlfn.SINGLE(_xlfn.XLOOKUP(SalesData[[#This Row],[Product]],Product_Master!A:A,Product_Master!B:B,"Not Found"))</f>
        <v>#NAME?</v>
      </c>
      <c r="AH3" s="19" t="str">
        <f>VLOOKUP(SalesData[[#This Row],[Product]],Product_Master!$A$1:$B$21,2,FALSE)</f>
        <v>Amit</v>
      </c>
      <c r="AI3" s="16"/>
    </row>
    <row r="4" spans="1:37" ht="13.8">
      <c r="A4" s="16" t="s">
        <v>744</v>
      </c>
      <c r="B4" s="17">
        <v>45837</v>
      </c>
      <c r="C4" s="16" t="s">
        <v>231</v>
      </c>
      <c r="D4" s="16" t="s">
        <v>232</v>
      </c>
      <c r="E4" s="16" t="s">
        <v>62</v>
      </c>
      <c r="F4" s="16" t="s">
        <v>63</v>
      </c>
      <c r="G4" s="16" t="s">
        <v>21</v>
      </c>
      <c r="H4" s="16" t="s">
        <v>64</v>
      </c>
      <c r="I4" s="16" t="s">
        <v>56</v>
      </c>
      <c r="J4" s="16" t="s">
        <v>57</v>
      </c>
      <c r="K4" s="18">
        <v>5491.4</v>
      </c>
      <c r="L4" s="18">
        <v>1686.29</v>
      </c>
      <c r="M4" s="19">
        <v>1</v>
      </c>
      <c r="N4" s="20">
        <v>0.05</v>
      </c>
      <c r="O4" s="19" t="s">
        <v>25</v>
      </c>
      <c r="P4" s="19" t="s">
        <v>77</v>
      </c>
      <c r="Q4" s="19" t="str">
        <f>TRIM(SalesData[[#This Row],[Customer_Name]])</f>
        <v>Vikas Yadav</v>
      </c>
      <c r="R4" s="21">
        <f>SalesData[[#This Row],[Sales]]-SalesData[[#This Row],[Cost]]</f>
        <v>3805.1099999999997</v>
      </c>
      <c r="S4" s="22">
        <f>IFERROR(SalesData[[#This Row],[Profit]]/SalesData[[#This Row],[Sales]],0)</f>
        <v>0.69292165932184868</v>
      </c>
      <c r="T4" s="19">
        <f>YEAR(SalesData[[#This Row],[Order_Date]])</f>
        <v>2025</v>
      </c>
      <c r="U4" s="19" t="str">
        <f>TEXT(SalesData[[#This Row],[Order_Date]],"mmm")</f>
        <v>Jun</v>
      </c>
      <c r="V4" s="19" t="str">
        <f>"Q"&amp;ROUNDUP(MONTH(SalesData[[#This Row],[Order_Date]])/3,0)</f>
        <v>Q2</v>
      </c>
      <c r="W4" s="19" t="str">
        <f>IF(SalesData[[#This Row],[Sales]]&gt;=50000,"High",IF(AND(SalesData[[#This Row],[Sales]]&gt;= 20000, SalesData[[#This Row],[Sales]]&lt; 50000),"Medium","Low"))</f>
        <v>Low</v>
      </c>
      <c r="X4" s="19" t="str">
        <f>IF(SalesData[[#This Row],[Profit]]&gt;0,"Profit","Loss")</f>
        <v>Profit</v>
      </c>
      <c r="Y4" s="19" t="str">
        <f>IF(AND(SalesData[[#This Row],[Sales]]&gt;= 50000, SalesData[[#This Row],[Quantity]]&gt;=2),"Yes","No")</f>
        <v>No</v>
      </c>
      <c r="Z4" s="19" t="str">
        <f>UPPER(SalesData[[#This Row],[Customer_Name]])</f>
        <v>VIKAS YADAV</v>
      </c>
      <c r="AA4" s="19" t="str">
        <f>LOWER(SalesData[[#This Row],[Customer_Name]])</f>
        <v>vikas yadav</v>
      </c>
      <c r="AB4" s="19">
        <f>LEN(SalesData[[#This Row],[Customer_Name]])</f>
        <v>11</v>
      </c>
      <c r="AC4" s="19" t="str">
        <f>LEFT(SalesData[[#This Row],[Order_ID]],3)</f>
        <v>ORD</v>
      </c>
      <c r="AD4" s="19" t="str">
        <f>RIGHT(SalesData[[#This Row],[Order_ID]],4)</f>
        <v>0591</v>
      </c>
      <c r="AE4" s="19" t="str">
        <f>_xlfn.CONCAT(SalesData[[#This Row],[Clean_Customer_Name]],"-",SalesData[[#This Row],[Region]])</f>
        <v>Vikas Yadav-West</v>
      </c>
      <c r="AF4" s="19" t="str">
        <f>MID(SalesData[[#This Row],[Order_ID]],4,4)</f>
        <v>0591</v>
      </c>
      <c r="AG4" s="19" t="e">
        <f ca="1">_xlfn.SINGLE(_xlfn.XLOOKUP(SalesData[[#This Row],[Product]],Product_Master!A:A,Product_Master!B:B,"Not Found"))</f>
        <v>#NAME?</v>
      </c>
      <c r="AH4" s="19" t="str">
        <f>VLOOKUP(SalesData[[#This Row],[Product]],Product_Master!$A$1:$B$21,2,FALSE)</f>
        <v>Amit</v>
      </c>
      <c r="AI4" s="16"/>
    </row>
    <row r="5" spans="1:37" ht="13.8">
      <c r="A5" s="16" t="s">
        <v>934</v>
      </c>
      <c r="B5" s="17">
        <v>45500</v>
      </c>
      <c r="C5" s="16" t="s">
        <v>231</v>
      </c>
      <c r="D5" s="16" t="s">
        <v>232</v>
      </c>
      <c r="E5" s="16" t="s">
        <v>62</v>
      </c>
      <c r="F5" s="16" t="s">
        <v>63</v>
      </c>
      <c r="G5" s="16" t="s">
        <v>21</v>
      </c>
      <c r="H5" s="16" t="s">
        <v>64</v>
      </c>
      <c r="I5" s="16" t="s">
        <v>42</v>
      </c>
      <c r="J5" s="16" t="s">
        <v>68</v>
      </c>
      <c r="K5" s="18">
        <v>12551.82</v>
      </c>
      <c r="L5" s="18">
        <v>6864.4</v>
      </c>
      <c r="M5" s="19">
        <v>4</v>
      </c>
      <c r="N5" s="20">
        <v>0.05</v>
      </c>
      <c r="O5" s="19" t="s">
        <v>44</v>
      </c>
      <c r="P5" s="19" t="s">
        <v>58</v>
      </c>
      <c r="Q5" s="19" t="str">
        <f>TRIM(SalesData[[#This Row],[Customer_Name]])</f>
        <v>Vikas Yadav</v>
      </c>
      <c r="R5" s="21">
        <f>SalesData[[#This Row],[Sales]]-SalesData[[#This Row],[Cost]]</f>
        <v>5687.42</v>
      </c>
      <c r="S5" s="22">
        <f>IFERROR(SalesData[[#This Row],[Profit]]/SalesData[[#This Row],[Sales]],0)</f>
        <v>0.45311516576878891</v>
      </c>
      <c r="T5" s="19">
        <f>YEAR(SalesData[[#This Row],[Order_Date]])</f>
        <v>2024</v>
      </c>
      <c r="U5" s="19" t="str">
        <f>TEXT(SalesData[[#This Row],[Order_Date]],"mmm")</f>
        <v>Jul</v>
      </c>
      <c r="V5" s="19" t="str">
        <f>"Q"&amp;ROUNDUP(MONTH(SalesData[[#This Row],[Order_Date]])/3,0)</f>
        <v>Q3</v>
      </c>
      <c r="W5" s="19" t="str">
        <f>IF(SalesData[[#This Row],[Sales]]&gt;=50000,"High",IF(AND(SalesData[[#This Row],[Sales]]&gt;= 20000, SalesData[[#This Row],[Sales]]&lt; 50000),"Medium","Low"))</f>
        <v>Low</v>
      </c>
      <c r="X5" s="19" t="str">
        <f>IF(SalesData[[#This Row],[Profit]]&gt;0,"Profit","Loss")</f>
        <v>Profit</v>
      </c>
      <c r="Y5" s="19" t="str">
        <f>IF(AND(SalesData[[#This Row],[Sales]]&gt;= 50000, SalesData[[#This Row],[Quantity]]&gt;=2),"Yes","No")</f>
        <v>No</v>
      </c>
      <c r="Z5" s="19" t="str">
        <f>UPPER(SalesData[[#This Row],[Customer_Name]])</f>
        <v>VIKAS YADAV</v>
      </c>
      <c r="AA5" s="19" t="str">
        <f>LOWER(SalesData[[#This Row],[Customer_Name]])</f>
        <v>vikas yadav</v>
      </c>
      <c r="AB5" s="19">
        <f>LEN(SalesData[[#This Row],[Customer_Name]])</f>
        <v>11</v>
      </c>
      <c r="AC5" s="19" t="str">
        <f>LEFT(SalesData[[#This Row],[Order_ID]],3)</f>
        <v>ORD</v>
      </c>
      <c r="AD5" s="19" t="str">
        <f>RIGHT(SalesData[[#This Row],[Order_ID]],4)</f>
        <v>0781</v>
      </c>
      <c r="AE5" s="19" t="str">
        <f>_xlfn.CONCAT(SalesData[[#This Row],[Clean_Customer_Name]],"-",SalesData[[#This Row],[Region]])</f>
        <v>Vikas Yadav-East</v>
      </c>
      <c r="AF5" s="19" t="str">
        <f>MID(SalesData[[#This Row],[Order_ID]],4,4)</f>
        <v>0781</v>
      </c>
      <c r="AG5" s="19" t="e">
        <f ca="1">_xlfn.SINGLE(_xlfn.XLOOKUP(SalesData[[#This Row],[Product]],Product_Master!A:A,Product_Master!B:B,"Not Found"))</f>
        <v>#NAME?</v>
      </c>
      <c r="AH5" s="19" t="str">
        <f>VLOOKUP(SalesData[[#This Row],[Product]],Product_Master!$A$1:$B$21,2,FALSE)</f>
        <v>Amit</v>
      </c>
      <c r="AI5" s="16"/>
    </row>
    <row r="6" spans="1:37" ht="13.8">
      <c r="A6" s="16" t="s">
        <v>1086</v>
      </c>
      <c r="B6" s="17">
        <v>45484</v>
      </c>
      <c r="C6" s="16" t="s">
        <v>231</v>
      </c>
      <c r="D6" s="16" t="s">
        <v>232</v>
      </c>
      <c r="E6" s="16" t="s">
        <v>62</v>
      </c>
      <c r="F6" s="16" t="s">
        <v>63</v>
      </c>
      <c r="G6" s="16" t="s">
        <v>21</v>
      </c>
      <c r="H6" s="16" t="s">
        <v>64</v>
      </c>
      <c r="I6" s="16" t="s">
        <v>84</v>
      </c>
      <c r="J6" s="16" t="s">
        <v>134</v>
      </c>
      <c r="K6" s="18">
        <v>19553.169999999998</v>
      </c>
      <c r="L6" s="18">
        <v>7589</v>
      </c>
      <c r="M6" s="19">
        <v>4</v>
      </c>
      <c r="N6" s="20">
        <v>0.05</v>
      </c>
      <c r="O6" s="19" t="s">
        <v>136</v>
      </c>
      <c r="P6" s="19" t="s">
        <v>98</v>
      </c>
      <c r="Q6" s="19" t="str">
        <f>TRIM(SalesData[[#This Row],[Customer_Name]])</f>
        <v>Vikas Yadav</v>
      </c>
      <c r="R6" s="21">
        <f>SalesData[[#This Row],[Sales]]-SalesData[[#This Row],[Cost]]</f>
        <v>11964.169999999998</v>
      </c>
      <c r="S6" s="22">
        <f>IFERROR(SalesData[[#This Row],[Profit]]/SalesData[[#This Row],[Sales]],0)</f>
        <v>0.61187878998648293</v>
      </c>
      <c r="T6" s="19">
        <f>YEAR(SalesData[[#This Row],[Order_Date]])</f>
        <v>2024</v>
      </c>
      <c r="U6" s="19" t="str">
        <f>TEXT(SalesData[[#This Row],[Order_Date]],"mmm")</f>
        <v>Jul</v>
      </c>
      <c r="V6" s="19" t="str">
        <f>"Q"&amp;ROUNDUP(MONTH(SalesData[[#This Row],[Order_Date]])/3,0)</f>
        <v>Q3</v>
      </c>
      <c r="W6" s="19" t="str">
        <f>IF(SalesData[[#This Row],[Sales]]&gt;=50000,"High",IF(AND(SalesData[[#This Row],[Sales]]&gt;= 20000, SalesData[[#This Row],[Sales]]&lt; 50000),"Medium","Low"))</f>
        <v>Low</v>
      </c>
      <c r="X6" s="19" t="str">
        <f>IF(SalesData[[#This Row],[Profit]]&gt;0,"Profit","Loss")</f>
        <v>Profit</v>
      </c>
      <c r="Y6" s="19" t="str">
        <f>IF(AND(SalesData[[#This Row],[Sales]]&gt;= 50000, SalesData[[#This Row],[Quantity]]&gt;=2),"Yes","No")</f>
        <v>No</v>
      </c>
      <c r="Z6" s="19" t="str">
        <f>UPPER(SalesData[[#This Row],[Customer_Name]])</f>
        <v>VIKAS YADAV</v>
      </c>
      <c r="AA6" s="19" t="str">
        <f>LOWER(SalesData[[#This Row],[Customer_Name]])</f>
        <v>vikas yadav</v>
      </c>
      <c r="AB6" s="19">
        <f>LEN(SalesData[[#This Row],[Customer_Name]])</f>
        <v>11</v>
      </c>
      <c r="AC6" s="19" t="str">
        <f>LEFT(SalesData[[#This Row],[Order_ID]],3)</f>
        <v>ORD</v>
      </c>
      <c r="AD6" s="19" t="str">
        <f>RIGHT(SalesData[[#This Row],[Order_ID]],4)</f>
        <v>0933</v>
      </c>
      <c r="AE6" s="19" t="str">
        <f>_xlfn.CONCAT(SalesData[[#This Row],[Clean_Customer_Name]],"-",SalesData[[#This Row],[Region]])</f>
        <v>Vikas Yadav-South</v>
      </c>
      <c r="AF6" s="19" t="str">
        <f>MID(SalesData[[#This Row],[Order_ID]],4,4)</f>
        <v>0933</v>
      </c>
      <c r="AG6" s="19" t="e">
        <f ca="1">_xlfn.SINGLE(_xlfn.XLOOKUP(SalesData[[#This Row],[Product]],Product_Master!A:A,Product_Master!B:B,"Not Found"))</f>
        <v>#NAME?</v>
      </c>
      <c r="AH6" s="19" t="str">
        <f>VLOOKUP(SalesData[[#This Row],[Product]],Product_Master!$A$1:$B$21,2,FALSE)</f>
        <v>Amit</v>
      </c>
      <c r="AI6" s="16"/>
      <c r="AJ6" s="15" t="s">
        <v>1173</v>
      </c>
      <c r="AK6" s="15" t="s">
        <v>1174</v>
      </c>
    </row>
    <row r="7" spans="1:37" ht="13.95" customHeight="1">
      <c r="A7" s="16" t="s">
        <v>230</v>
      </c>
      <c r="B7" s="17">
        <v>45550</v>
      </c>
      <c r="C7" s="16" t="s">
        <v>231</v>
      </c>
      <c r="D7" s="16" t="s">
        <v>232</v>
      </c>
      <c r="E7" s="16" t="s">
        <v>117</v>
      </c>
      <c r="F7" s="16" t="s">
        <v>118</v>
      </c>
      <c r="G7" s="16" t="s">
        <v>51</v>
      </c>
      <c r="H7" s="16" t="s">
        <v>119</v>
      </c>
      <c r="I7" s="16" t="s">
        <v>23</v>
      </c>
      <c r="J7" s="16" t="s">
        <v>24</v>
      </c>
      <c r="K7" s="18">
        <v>18460.13</v>
      </c>
      <c r="L7" s="18">
        <v>16610.72</v>
      </c>
      <c r="M7" s="19">
        <v>4</v>
      </c>
      <c r="N7" s="20">
        <v>0.15</v>
      </c>
      <c r="O7" s="19" t="s">
        <v>25</v>
      </c>
      <c r="P7" s="19" t="s">
        <v>58</v>
      </c>
      <c r="Q7" s="19" t="str">
        <f>TRIM(SalesData[[#This Row],[Customer_Name]])</f>
        <v>Vikas Yadav</v>
      </c>
      <c r="R7" s="21">
        <f>SalesData[[#This Row],[Sales]]-SalesData[[#This Row],[Cost]]</f>
        <v>1849.4099999999999</v>
      </c>
      <c r="S7" s="22">
        <f>IFERROR(SalesData[[#This Row],[Profit]]/SalesData[[#This Row],[Sales]],0)</f>
        <v>0.10018401820572226</v>
      </c>
      <c r="T7" s="19">
        <f>YEAR(SalesData[[#This Row],[Order_Date]])</f>
        <v>2024</v>
      </c>
      <c r="U7" s="19" t="str">
        <f>TEXT(SalesData[[#This Row],[Order_Date]],"mmm")</f>
        <v>Sept</v>
      </c>
      <c r="V7" s="19" t="str">
        <f>"Q"&amp;ROUNDUP(MONTH(SalesData[[#This Row],[Order_Date]])/3,0)</f>
        <v>Q3</v>
      </c>
      <c r="W7" s="19" t="str">
        <f>IF(SalesData[[#This Row],[Sales]]&gt;=50000,"High",IF(AND(SalesData[[#This Row],[Sales]]&gt;= 20000, SalesData[[#This Row],[Sales]]&lt; 50000),"Medium","Low"))</f>
        <v>Low</v>
      </c>
      <c r="X7" s="19" t="str">
        <f>IF(SalesData[[#This Row],[Profit]]&gt;0,"Profit","Loss")</f>
        <v>Profit</v>
      </c>
      <c r="Y7" s="19" t="str">
        <f>IF(AND(SalesData[[#This Row],[Sales]]&gt;= 50000, SalesData[[#This Row],[Quantity]]&gt;=2),"Yes","No")</f>
        <v>No</v>
      </c>
      <c r="Z7" s="19" t="str">
        <f>UPPER(SalesData[[#This Row],[Customer_Name]])</f>
        <v>VIKAS YADAV</v>
      </c>
      <c r="AA7" s="19" t="str">
        <f>LOWER(SalesData[[#This Row],[Customer_Name]])</f>
        <v>vikas yadav</v>
      </c>
      <c r="AB7" s="19">
        <f>LEN(SalesData[[#This Row],[Customer_Name]])</f>
        <v>11</v>
      </c>
      <c r="AC7" s="19" t="str">
        <f>LEFT(SalesData[[#This Row],[Order_ID]],3)</f>
        <v>ORD</v>
      </c>
      <c r="AD7" s="19" t="str">
        <f>RIGHT(SalesData[[#This Row],[Order_ID]],4)</f>
        <v>0081</v>
      </c>
      <c r="AE7" s="19" t="str">
        <f>_xlfn.CONCAT(SalesData[[#This Row],[Clean_Customer_Name]],"-",SalesData[[#This Row],[Region]])</f>
        <v>Vikas Yadav-North</v>
      </c>
      <c r="AF7" s="19" t="str">
        <f>MID(SalesData[[#This Row],[Order_ID]],4,4)</f>
        <v>0081</v>
      </c>
      <c r="AG7" s="19" t="e">
        <f ca="1">_xlfn.SINGLE(_xlfn.XLOOKUP(SalesData[[#This Row],[Product]],Product_Master!A:A,Product_Master!B:B,"Not Found"))</f>
        <v>#NAME?</v>
      </c>
      <c r="AH7" s="19" t="str">
        <f>VLOOKUP(SalesData[[#This Row],[Product]],Product_Master!$A$1:$B$21,2,FALSE)</f>
        <v>Karan</v>
      </c>
      <c r="AI7" s="16"/>
      <c r="AJ7" s="6" t="s">
        <v>1175</v>
      </c>
      <c r="AK7" s="6">
        <f>COUNTIF(SalesData[Sales_Category],"High")</f>
        <v>167</v>
      </c>
    </row>
    <row r="8" spans="1:37" ht="13.8">
      <c r="A8" s="16" t="s">
        <v>302</v>
      </c>
      <c r="B8" s="17">
        <v>45814</v>
      </c>
      <c r="C8" s="16" t="s">
        <v>231</v>
      </c>
      <c r="D8" s="16" t="s">
        <v>232</v>
      </c>
      <c r="E8" s="16" t="s">
        <v>117</v>
      </c>
      <c r="F8" s="16" t="s">
        <v>118</v>
      </c>
      <c r="G8" s="16" t="s">
        <v>51</v>
      </c>
      <c r="H8" s="16" t="s">
        <v>119</v>
      </c>
      <c r="I8" s="16" t="s">
        <v>23</v>
      </c>
      <c r="J8" s="16" t="s">
        <v>33</v>
      </c>
      <c r="K8" s="18">
        <v>5576.1</v>
      </c>
      <c r="L8" s="18">
        <v>4527.54</v>
      </c>
      <c r="M8" s="19">
        <v>1</v>
      </c>
      <c r="N8" s="20">
        <v>0.1</v>
      </c>
      <c r="O8" s="19" t="s">
        <v>44</v>
      </c>
      <c r="P8" s="19" t="s">
        <v>58</v>
      </c>
      <c r="Q8" s="19" t="str">
        <f>TRIM(SalesData[[#This Row],[Customer_Name]])</f>
        <v>Vikas Yadav</v>
      </c>
      <c r="R8" s="21">
        <f>SalesData[[#This Row],[Sales]]-SalesData[[#This Row],[Cost]]</f>
        <v>1048.5600000000004</v>
      </c>
      <c r="S8" s="22">
        <f>IFERROR(SalesData[[#This Row],[Profit]]/SalesData[[#This Row],[Sales]],0)</f>
        <v>0.18804540808091683</v>
      </c>
      <c r="T8" s="19">
        <f>YEAR(SalesData[[#This Row],[Order_Date]])</f>
        <v>2025</v>
      </c>
      <c r="U8" s="19" t="str">
        <f>TEXT(SalesData[[#This Row],[Order_Date]],"mmm")</f>
        <v>Jun</v>
      </c>
      <c r="V8" s="19" t="str">
        <f>"Q"&amp;ROUNDUP(MONTH(SalesData[[#This Row],[Order_Date]])/3,0)</f>
        <v>Q2</v>
      </c>
      <c r="W8" s="19" t="str">
        <f>IF(SalesData[[#This Row],[Sales]]&gt;=50000,"High",IF(AND(SalesData[[#This Row],[Sales]]&gt;= 20000, SalesData[[#This Row],[Sales]]&lt; 50000),"Medium","Low"))</f>
        <v>Low</v>
      </c>
      <c r="X8" s="19" t="str">
        <f>IF(SalesData[[#This Row],[Profit]]&gt;0,"Profit","Loss")</f>
        <v>Profit</v>
      </c>
      <c r="Y8" s="19" t="str">
        <f>IF(AND(SalesData[[#This Row],[Sales]]&gt;= 50000, SalesData[[#This Row],[Quantity]]&gt;=2),"Yes","No")</f>
        <v>No</v>
      </c>
      <c r="Z8" s="19" t="str">
        <f>UPPER(SalesData[[#This Row],[Customer_Name]])</f>
        <v>VIKAS YADAV</v>
      </c>
      <c r="AA8" s="19" t="str">
        <f>LOWER(SalesData[[#This Row],[Customer_Name]])</f>
        <v>vikas yadav</v>
      </c>
      <c r="AB8" s="19">
        <f>LEN(SalesData[[#This Row],[Customer_Name]])</f>
        <v>11</v>
      </c>
      <c r="AC8" s="19" t="str">
        <f>LEFT(SalesData[[#This Row],[Order_ID]],3)</f>
        <v>ORD</v>
      </c>
      <c r="AD8" s="19" t="str">
        <f>RIGHT(SalesData[[#This Row],[Order_ID]],4)</f>
        <v>0149</v>
      </c>
      <c r="AE8" s="19" t="str">
        <f>_xlfn.CONCAT(SalesData[[#This Row],[Clean_Customer_Name]],"-",SalesData[[#This Row],[Region]])</f>
        <v>Vikas Yadav-North</v>
      </c>
      <c r="AF8" s="19" t="str">
        <f>MID(SalesData[[#This Row],[Order_ID]],4,4)</f>
        <v>0149</v>
      </c>
      <c r="AG8" s="19" t="e">
        <f ca="1">_xlfn.SINGLE(_xlfn.XLOOKUP(SalesData[[#This Row],[Product]],Product_Master!A:A,Product_Master!B:B,"Not Found"))</f>
        <v>#NAME?</v>
      </c>
      <c r="AH8" s="19" t="str">
        <f>VLOOKUP(SalesData[[#This Row],[Product]],Product_Master!$A$1:$B$21,2,FALSE)</f>
        <v>Karan</v>
      </c>
      <c r="AI8" s="16"/>
    </row>
    <row r="9" spans="1:37" ht="13.8">
      <c r="A9" s="16" t="s">
        <v>841</v>
      </c>
      <c r="B9" s="17">
        <v>45338</v>
      </c>
      <c r="C9" s="16" t="s">
        <v>231</v>
      </c>
      <c r="D9" s="16" t="s">
        <v>232</v>
      </c>
      <c r="E9" s="16" t="s">
        <v>49</v>
      </c>
      <c r="F9" s="16" t="s">
        <v>50</v>
      </c>
      <c r="G9" s="16" t="s">
        <v>51</v>
      </c>
      <c r="H9" s="16" t="s">
        <v>52</v>
      </c>
      <c r="I9" s="16" t="s">
        <v>53</v>
      </c>
      <c r="J9" s="16" t="s">
        <v>54</v>
      </c>
      <c r="K9" s="18">
        <v>38170.49</v>
      </c>
      <c r="L9" s="18">
        <v>32714.15</v>
      </c>
      <c r="M9" s="19">
        <v>5</v>
      </c>
      <c r="N9" s="20">
        <v>0.1</v>
      </c>
      <c r="O9" s="19" t="s">
        <v>76</v>
      </c>
      <c r="P9" s="19" t="s">
        <v>26</v>
      </c>
      <c r="Q9" s="19" t="str">
        <f>TRIM(SalesData[[#This Row],[Customer_Name]])</f>
        <v>Vikas Yadav</v>
      </c>
      <c r="R9" s="21">
        <f>SalesData[[#This Row],[Sales]]-SalesData[[#This Row],[Cost]]</f>
        <v>5456.3399999999965</v>
      </c>
      <c r="S9" s="22">
        <f>IFERROR(SalesData[[#This Row],[Profit]]/SalesData[[#This Row],[Sales]],0)</f>
        <v>0.14294655373824117</v>
      </c>
      <c r="T9" s="19">
        <f>YEAR(SalesData[[#This Row],[Order_Date]])</f>
        <v>2024</v>
      </c>
      <c r="U9" s="19" t="str">
        <f>TEXT(SalesData[[#This Row],[Order_Date]],"mmm")</f>
        <v>Feb</v>
      </c>
      <c r="V9" s="19" t="str">
        <f>"Q"&amp;ROUNDUP(MONTH(SalesData[[#This Row],[Order_Date]])/3,0)</f>
        <v>Q1</v>
      </c>
      <c r="W9" s="19" t="str">
        <f>IF(SalesData[[#This Row],[Sales]]&gt;=50000,"High",IF(AND(SalesData[[#This Row],[Sales]]&gt;= 20000, SalesData[[#This Row],[Sales]]&lt; 50000),"Medium","Low"))</f>
        <v>Medium</v>
      </c>
      <c r="X9" s="19" t="str">
        <f>IF(SalesData[[#This Row],[Profit]]&gt;0,"Profit","Loss")</f>
        <v>Profit</v>
      </c>
      <c r="Y9" s="19" t="str">
        <f>IF(AND(SalesData[[#This Row],[Sales]]&gt;= 50000, SalesData[[#This Row],[Quantity]]&gt;=2),"Yes","No")</f>
        <v>No</v>
      </c>
      <c r="Z9" s="19" t="str">
        <f>UPPER(SalesData[[#This Row],[Customer_Name]])</f>
        <v>VIKAS YADAV</v>
      </c>
      <c r="AA9" s="19" t="str">
        <f>LOWER(SalesData[[#This Row],[Customer_Name]])</f>
        <v>vikas yadav</v>
      </c>
      <c r="AB9" s="19">
        <f>LEN(SalesData[[#This Row],[Customer_Name]])</f>
        <v>11</v>
      </c>
      <c r="AC9" s="19" t="str">
        <f>LEFT(SalesData[[#This Row],[Order_ID]],3)</f>
        <v>ORD</v>
      </c>
      <c r="AD9" s="19" t="str">
        <f>RIGHT(SalesData[[#This Row],[Order_ID]],4)</f>
        <v>0688</v>
      </c>
      <c r="AE9" s="19" t="str">
        <f>_xlfn.CONCAT(SalesData[[#This Row],[Clean_Customer_Name]],"-",SalesData[[#This Row],[Region]])</f>
        <v>Vikas Yadav-Central</v>
      </c>
      <c r="AF9" s="19" t="str">
        <f>MID(SalesData[[#This Row],[Order_ID]],4,4)</f>
        <v>0688</v>
      </c>
      <c r="AG9" s="19" t="e">
        <f ca="1">_xlfn.SINGLE(_xlfn.XLOOKUP(SalesData[[#This Row],[Product]],Product_Master!A:A,Product_Master!B:B,"Not Found"))</f>
        <v>#NAME?</v>
      </c>
      <c r="AH9" s="19" t="str">
        <f>VLOOKUP(SalesData[[#This Row],[Product]],Product_Master!$A$1:$B$21,2,FALSE)</f>
        <v>Rohan</v>
      </c>
      <c r="AI9" s="16"/>
      <c r="AJ9" s="12" t="s">
        <v>1176</v>
      </c>
      <c r="AK9" s="12">
        <f>COUNTIFS(SalesData[Sales_Category],"High",SalesData[Region],"North")</f>
        <v>33</v>
      </c>
    </row>
    <row r="10" spans="1:37" ht="13.8">
      <c r="A10" s="16" t="s">
        <v>1064</v>
      </c>
      <c r="B10" s="17">
        <v>45779</v>
      </c>
      <c r="C10" s="16" t="s">
        <v>231</v>
      </c>
      <c r="D10" s="16" t="s">
        <v>232</v>
      </c>
      <c r="E10" s="16" t="s">
        <v>49</v>
      </c>
      <c r="F10" s="16" t="s">
        <v>50</v>
      </c>
      <c r="G10" s="16" t="s">
        <v>51</v>
      </c>
      <c r="H10" s="16" t="s">
        <v>52</v>
      </c>
      <c r="I10" s="16" t="s">
        <v>42</v>
      </c>
      <c r="J10" s="16" t="s">
        <v>68</v>
      </c>
      <c r="K10" s="18">
        <v>35854.21</v>
      </c>
      <c r="L10" s="18">
        <v>28558.68</v>
      </c>
      <c r="M10" s="19">
        <v>4</v>
      </c>
      <c r="N10" s="20">
        <v>0.2</v>
      </c>
      <c r="O10" s="19" t="s">
        <v>34</v>
      </c>
      <c r="P10" s="19" t="s">
        <v>77</v>
      </c>
      <c r="Q10" s="19" t="str">
        <f>TRIM(SalesData[[#This Row],[Customer_Name]])</f>
        <v>Vikas Yadav</v>
      </c>
      <c r="R10" s="21">
        <f>SalesData[[#This Row],[Sales]]-SalesData[[#This Row],[Cost]]</f>
        <v>7295.5299999999988</v>
      </c>
      <c r="S10" s="22">
        <f>IFERROR(SalesData[[#This Row],[Profit]]/SalesData[[#This Row],[Sales]],0)</f>
        <v>0.20347763902760649</v>
      </c>
      <c r="T10" s="19">
        <f>YEAR(SalesData[[#This Row],[Order_Date]])</f>
        <v>2025</v>
      </c>
      <c r="U10" s="19" t="str">
        <f>TEXT(SalesData[[#This Row],[Order_Date]],"mmm")</f>
        <v>May</v>
      </c>
      <c r="V10" s="19" t="str">
        <f>"Q"&amp;ROUNDUP(MONTH(SalesData[[#This Row],[Order_Date]])/3,0)</f>
        <v>Q2</v>
      </c>
      <c r="W10" s="19" t="str">
        <f>IF(SalesData[[#This Row],[Sales]]&gt;=50000,"High",IF(AND(SalesData[[#This Row],[Sales]]&gt;= 20000, SalesData[[#This Row],[Sales]]&lt; 50000),"Medium","Low"))</f>
        <v>Medium</v>
      </c>
      <c r="X10" s="19" t="str">
        <f>IF(SalesData[[#This Row],[Profit]]&gt;0,"Profit","Loss")</f>
        <v>Profit</v>
      </c>
      <c r="Y10" s="19" t="str">
        <f>IF(AND(SalesData[[#This Row],[Sales]]&gt;= 50000, SalesData[[#This Row],[Quantity]]&gt;=2),"Yes","No")</f>
        <v>No</v>
      </c>
      <c r="Z10" s="19" t="str">
        <f>UPPER(SalesData[[#This Row],[Customer_Name]])</f>
        <v>VIKAS YADAV</v>
      </c>
      <c r="AA10" s="19" t="str">
        <f>LOWER(SalesData[[#This Row],[Customer_Name]])</f>
        <v>vikas yadav</v>
      </c>
      <c r="AB10" s="19">
        <f>LEN(SalesData[[#This Row],[Customer_Name]])</f>
        <v>11</v>
      </c>
      <c r="AC10" s="19" t="str">
        <f>LEFT(SalesData[[#This Row],[Order_ID]],3)</f>
        <v>ORD</v>
      </c>
      <c r="AD10" s="19" t="str">
        <f>RIGHT(SalesData[[#This Row],[Order_ID]],4)</f>
        <v>0911</v>
      </c>
      <c r="AE10" s="19" t="str">
        <f>_xlfn.CONCAT(SalesData[[#This Row],[Clean_Customer_Name]],"-",SalesData[[#This Row],[Region]])</f>
        <v>Vikas Yadav-East</v>
      </c>
      <c r="AF10" s="19" t="str">
        <f>MID(SalesData[[#This Row],[Order_ID]],4,4)</f>
        <v>0911</v>
      </c>
      <c r="AG10" s="19" t="e">
        <f ca="1">_xlfn.SINGLE(_xlfn.XLOOKUP(SalesData[[#This Row],[Product]],Product_Master!A:A,Product_Master!B:B,"Not Found"))</f>
        <v>#NAME?</v>
      </c>
      <c r="AH10" s="19" t="str">
        <f>VLOOKUP(SalesData[[#This Row],[Product]],Product_Master!$A$1:$B$21,2,FALSE)</f>
        <v>Rohan</v>
      </c>
      <c r="AI10" s="16"/>
    </row>
    <row r="11" spans="1:37" ht="13.8">
      <c r="A11" s="16" t="s">
        <v>277</v>
      </c>
      <c r="B11" s="17">
        <v>45870</v>
      </c>
      <c r="C11" s="16" t="s">
        <v>231</v>
      </c>
      <c r="D11" s="16" t="s">
        <v>232</v>
      </c>
      <c r="E11" s="16" t="s">
        <v>72</v>
      </c>
      <c r="F11" s="16" t="s">
        <v>73</v>
      </c>
      <c r="G11" s="16" t="s">
        <v>51</v>
      </c>
      <c r="H11" s="16" t="s">
        <v>74</v>
      </c>
      <c r="I11" s="16" t="s">
        <v>23</v>
      </c>
      <c r="J11" s="16" t="s">
        <v>75</v>
      </c>
      <c r="K11" s="18">
        <v>16536.97</v>
      </c>
      <c r="L11" s="18">
        <v>7309.78</v>
      </c>
      <c r="M11" s="19">
        <v>2</v>
      </c>
      <c r="N11" s="20">
        <v>0.05</v>
      </c>
      <c r="O11" s="19" t="s">
        <v>34</v>
      </c>
      <c r="P11" s="19" t="s">
        <v>58</v>
      </c>
      <c r="Q11" s="19" t="str">
        <f>TRIM(SalesData[[#This Row],[Customer_Name]])</f>
        <v>Vikas Yadav</v>
      </c>
      <c r="R11" s="21">
        <f>SalesData[[#This Row],[Sales]]-SalesData[[#This Row],[Cost]]</f>
        <v>9227.1900000000023</v>
      </c>
      <c r="S11" s="22">
        <f>IFERROR(SalesData[[#This Row],[Profit]]/SalesData[[#This Row],[Sales]],0)</f>
        <v>0.55797343769747432</v>
      </c>
      <c r="T11" s="19">
        <f>YEAR(SalesData[[#This Row],[Order_Date]])</f>
        <v>2025</v>
      </c>
      <c r="U11" s="19" t="str">
        <f>TEXT(SalesData[[#This Row],[Order_Date]],"mmm")</f>
        <v>Aug</v>
      </c>
      <c r="V11" s="19" t="str">
        <f>"Q"&amp;ROUNDUP(MONTH(SalesData[[#This Row],[Order_Date]])/3,0)</f>
        <v>Q3</v>
      </c>
      <c r="W11" s="19" t="str">
        <f>IF(SalesData[[#This Row],[Sales]]&gt;=50000,"High",IF(AND(SalesData[[#This Row],[Sales]]&gt;= 20000, SalesData[[#This Row],[Sales]]&lt; 50000),"Medium","Low"))</f>
        <v>Low</v>
      </c>
      <c r="X11" s="19" t="str">
        <f>IF(SalesData[[#This Row],[Profit]]&gt;0,"Profit","Loss")</f>
        <v>Profit</v>
      </c>
      <c r="Y11" s="19" t="str">
        <f>IF(AND(SalesData[[#This Row],[Sales]]&gt;= 50000, SalesData[[#This Row],[Quantity]]&gt;=2),"Yes","No")</f>
        <v>No</v>
      </c>
      <c r="Z11" s="19" t="str">
        <f>UPPER(SalesData[[#This Row],[Customer_Name]])</f>
        <v>VIKAS YADAV</v>
      </c>
      <c r="AA11" s="19" t="str">
        <f>LOWER(SalesData[[#This Row],[Customer_Name]])</f>
        <v>vikas yadav</v>
      </c>
      <c r="AB11" s="19">
        <f>LEN(SalesData[[#This Row],[Customer_Name]])</f>
        <v>11</v>
      </c>
      <c r="AC11" s="19" t="str">
        <f>LEFT(SalesData[[#This Row],[Order_ID]],3)</f>
        <v>ORD</v>
      </c>
      <c r="AD11" s="19" t="str">
        <f>RIGHT(SalesData[[#This Row],[Order_ID]],4)</f>
        <v>0124</v>
      </c>
      <c r="AE11" s="19" t="str">
        <f>_xlfn.CONCAT(SalesData[[#This Row],[Clean_Customer_Name]],"-",SalesData[[#This Row],[Region]])</f>
        <v>Vikas Yadav-North</v>
      </c>
      <c r="AF11" s="19" t="str">
        <f>MID(SalesData[[#This Row],[Order_ID]],4,4)</f>
        <v>0124</v>
      </c>
      <c r="AG11" s="19" t="e">
        <f ca="1">_xlfn.SINGLE(_xlfn.XLOOKUP(SalesData[[#This Row],[Product]],Product_Master!A:A,Product_Master!B:B,"Not Found"))</f>
        <v>#NAME?</v>
      </c>
      <c r="AH11" s="19" t="str">
        <f>VLOOKUP(SalesData[[#This Row],[Product]],Product_Master!$A$1:$B$21,2,FALSE)</f>
        <v>Anjali</v>
      </c>
      <c r="AI11" s="16"/>
      <c r="AJ11" s="12" t="s">
        <v>1177</v>
      </c>
      <c r="AK11" s="12">
        <f>SUMIF(SalesData[Region],"North",SalesData[Sales])</f>
        <v>5874946.9600000009</v>
      </c>
    </row>
    <row r="12" spans="1:37" ht="13.8">
      <c r="A12" s="16" t="s">
        <v>852</v>
      </c>
      <c r="B12" s="17">
        <v>45534</v>
      </c>
      <c r="C12" s="16" t="s">
        <v>231</v>
      </c>
      <c r="D12" s="16" t="s">
        <v>232</v>
      </c>
      <c r="E12" s="16" t="s">
        <v>72</v>
      </c>
      <c r="F12" s="16" t="s">
        <v>73</v>
      </c>
      <c r="G12" s="16" t="s">
        <v>51</v>
      </c>
      <c r="H12" s="16" t="s">
        <v>74</v>
      </c>
      <c r="I12" s="16" t="s">
        <v>23</v>
      </c>
      <c r="J12" s="16" t="s">
        <v>33</v>
      </c>
      <c r="K12" s="18">
        <v>24901.17</v>
      </c>
      <c r="L12" s="18">
        <v>17183.64</v>
      </c>
      <c r="M12" s="19">
        <v>4</v>
      </c>
      <c r="N12" s="20">
        <v>0.05</v>
      </c>
      <c r="O12" s="19" t="s">
        <v>25</v>
      </c>
      <c r="P12" s="19" t="s">
        <v>98</v>
      </c>
      <c r="Q12" s="19" t="str">
        <f>TRIM(SalesData[[#This Row],[Customer_Name]])</f>
        <v>Vikas Yadav</v>
      </c>
      <c r="R12" s="21">
        <f>SalesData[[#This Row],[Sales]]-SalesData[[#This Row],[Cost]]</f>
        <v>7717.5299999999988</v>
      </c>
      <c r="S12" s="22">
        <f>IFERROR(SalesData[[#This Row],[Profit]]/SalesData[[#This Row],[Sales]],0)</f>
        <v>0.3099264010486254</v>
      </c>
      <c r="T12" s="19">
        <f>YEAR(SalesData[[#This Row],[Order_Date]])</f>
        <v>2024</v>
      </c>
      <c r="U12" s="19" t="str">
        <f>TEXT(SalesData[[#This Row],[Order_Date]],"mmm")</f>
        <v>Aug</v>
      </c>
      <c r="V12" s="19" t="str">
        <f>"Q"&amp;ROUNDUP(MONTH(SalesData[[#This Row],[Order_Date]])/3,0)</f>
        <v>Q3</v>
      </c>
      <c r="W12" s="19" t="str">
        <f>IF(SalesData[[#This Row],[Sales]]&gt;=50000,"High",IF(AND(SalesData[[#This Row],[Sales]]&gt;= 20000, SalesData[[#This Row],[Sales]]&lt; 50000),"Medium","Low"))</f>
        <v>Medium</v>
      </c>
      <c r="X12" s="19" t="str">
        <f>IF(SalesData[[#This Row],[Profit]]&gt;0,"Profit","Loss")</f>
        <v>Profit</v>
      </c>
      <c r="Y12" s="19" t="str">
        <f>IF(AND(SalesData[[#This Row],[Sales]]&gt;= 50000, SalesData[[#This Row],[Quantity]]&gt;=2),"Yes","No")</f>
        <v>No</v>
      </c>
      <c r="Z12" s="19" t="str">
        <f>UPPER(SalesData[[#This Row],[Customer_Name]])</f>
        <v>VIKAS YADAV</v>
      </c>
      <c r="AA12" s="19" t="str">
        <f>LOWER(SalesData[[#This Row],[Customer_Name]])</f>
        <v>vikas yadav</v>
      </c>
      <c r="AB12" s="19">
        <f>LEN(SalesData[[#This Row],[Customer_Name]])</f>
        <v>11</v>
      </c>
      <c r="AC12" s="19" t="str">
        <f>LEFT(SalesData[[#This Row],[Order_ID]],3)</f>
        <v>ORD</v>
      </c>
      <c r="AD12" s="19" t="str">
        <f>RIGHT(SalesData[[#This Row],[Order_ID]],4)</f>
        <v>0699</v>
      </c>
      <c r="AE12" s="19" t="str">
        <f>_xlfn.CONCAT(SalesData[[#This Row],[Clean_Customer_Name]],"-",SalesData[[#This Row],[Region]])</f>
        <v>Vikas Yadav-North</v>
      </c>
      <c r="AF12" s="19" t="str">
        <f>MID(SalesData[[#This Row],[Order_ID]],4,4)</f>
        <v>0699</v>
      </c>
      <c r="AG12" s="19" t="e">
        <f ca="1">_xlfn.SINGLE(_xlfn.XLOOKUP(SalesData[[#This Row],[Product]],Product_Master!A:A,Product_Master!B:B,"Not Found"))</f>
        <v>#NAME?</v>
      </c>
      <c r="AH12" s="19" t="str">
        <f>VLOOKUP(SalesData[[#This Row],[Product]],Product_Master!$A$1:$B$21,2,FALSE)</f>
        <v>Anjali</v>
      </c>
      <c r="AI12" s="16"/>
    </row>
    <row r="13" spans="1:37" ht="13.8">
      <c r="A13" s="16" t="s">
        <v>1088</v>
      </c>
      <c r="B13" s="17">
        <v>45727</v>
      </c>
      <c r="C13" s="16" t="s">
        <v>231</v>
      </c>
      <c r="D13" s="16" t="s">
        <v>232</v>
      </c>
      <c r="E13" s="16" t="s">
        <v>72</v>
      </c>
      <c r="F13" s="16" t="s">
        <v>73</v>
      </c>
      <c r="G13" s="16" t="s">
        <v>51</v>
      </c>
      <c r="H13" s="16" t="s">
        <v>74</v>
      </c>
      <c r="I13" s="16" t="s">
        <v>56</v>
      </c>
      <c r="J13" s="16" t="s">
        <v>91</v>
      </c>
      <c r="K13" s="18">
        <v>29849.98</v>
      </c>
      <c r="L13" s="18">
        <v>16841.080000000002</v>
      </c>
      <c r="M13" s="19">
        <v>4</v>
      </c>
      <c r="N13" s="20">
        <v>0.1</v>
      </c>
      <c r="O13" s="19" t="s">
        <v>44</v>
      </c>
      <c r="P13" s="19" t="s">
        <v>58</v>
      </c>
      <c r="Q13" s="19" t="str">
        <f>TRIM(SalesData[[#This Row],[Customer_Name]])</f>
        <v>Vikas Yadav</v>
      </c>
      <c r="R13" s="21">
        <f>SalesData[[#This Row],[Sales]]-SalesData[[#This Row],[Cost]]</f>
        <v>13008.899999999998</v>
      </c>
      <c r="S13" s="22">
        <f>IFERROR(SalesData[[#This Row],[Profit]]/SalesData[[#This Row],[Sales]],0)</f>
        <v>0.43580933722568654</v>
      </c>
      <c r="T13" s="19">
        <f>YEAR(SalesData[[#This Row],[Order_Date]])</f>
        <v>2025</v>
      </c>
      <c r="U13" s="19" t="str">
        <f>TEXT(SalesData[[#This Row],[Order_Date]],"mmm")</f>
        <v>Mar</v>
      </c>
      <c r="V13" s="19" t="str">
        <f>"Q"&amp;ROUNDUP(MONTH(SalesData[[#This Row],[Order_Date]])/3,0)</f>
        <v>Q1</v>
      </c>
      <c r="W13" s="19" t="str">
        <f>IF(SalesData[[#This Row],[Sales]]&gt;=50000,"High",IF(AND(SalesData[[#This Row],[Sales]]&gt;= 20000, SalesData[[#This Row],[Sales]]&lt; 50000),"Medium","Low"))</f>
        <v>Medium</v>
      </c>
      <c r="X13" s="19" t="str">
        <f>IF(SalesData[[#This Row],[Profit]]&gt;0,"Profit","Loss")</f>
        <v>Profit</v>
      </c>
      <c r="Y13" s="19" t="str">
        <f>IF(AND(SalesData[[#This Row],[Sales]]&gt;= 50000, SalesData[[#This Row],[Quantity]]&gt;=2),"Yes","No")</f>
        <v>No</v>
      </c>
      <c r="Z13" s="19" t="str">
        <f>UPPER(SalesData[[#This Row],[Customer_Name]])</f>
        <v>VIKAS YADAV</v>
      </c>
      <c r="AA13" s="19" t="str">
        <f>LOWER(SalesData[[#This Row],[Customer_Name]])</f>
        <v>vikas yadav</v>
      </c>
      <c r="AB13" s="19">
        <f>LEN(SalesData[[#This Row],[Customer_Name]])</f>
        <v>11</v>
      </c>
      <c r="AC13" s="19" t="str">
        <f>LEFT(SalesData[[#This Row],[Order_ID]],3)</f>
        <v>ORD</v>
      </c>
      <c r="AD13" s="19" t="str">
        <f>RIGHT(SalesData[[#This Row],[Order_ID]],4)</f>
        <v>0935</v>
      </c>
      <c r="AE13" s="19" t="str">
        <f>_xlfn.CONCAT(SalesData[[#This Row],[Clean_Customer_Name]],"-",SalesData[[#This Row],[Region]])</f>
        <v>Vikas Yadav-West</v>
      </c>
      <c r="AF13" s="19" t="str">
        <f>MID(SalesData[[#This Row],[Order_ID]],4,4)</f>
        <v>0935</v>
      </c>
      <c r="AG13" s="19" t="e">
        <f ca="1">_xlfn.SINGLE(_xlfn.XLOOKUP(SalesData[[#This Row],[Product]],Product_Master!A:A,Product_Master!B:B,"Not Found"))</f>
        <v>#NAME?</v>
      </c>
      <c r="AH13" s="19" t="str">
        <f>VLOOKUP(SalesData[[#This Row],[Product]],Product_Master!$A$1:$B$21,2,FALSE)</f>
        <v>Anjali</v>
      </c>
      <c r="AI13" s="16"/>
      <c r="AJ13" s="12" t="s">
        <v>1178</v>
      </c>
      <c r="AK13" s="12">
        <f>SUMIFS(SalesData[Sales],SalesData[Region],"South",SalesData[Category],"Electronics")</f>
        <v>3176605.1999999993</v>
      </c>
    </row>
    <row r="14" spans="1:37" ht="13.8">
      <c r="A14" s="16" t="s">
        <v>286</v>
      </c>
      <c r="B14" s="17">
        <v>45448</v>
      </c>
      <c r="C14" s="16" t="s">
        <v>231</v>
      </c>
      <c r="D14" s="16" t="s">
        <v>232</v>
      </c>
      <c r="E14" s="16" t="s">
        <v>175</v>
      </c>
      <c r="F14" s="16" t="s">
        <v>176</v>
      </c>
      <c r="G14" s="16" t="s">
        <v>51</v>
      </c>
      <c r="H14" s="16" t="s">
        <v>177</v>
      </c>
      <c r="I14" s="16" t="s">
        <v>84</v>
      </c>
      <c r="J14" s="16" t="s">
        <v>134</v>
      </c>
      <c r="K14" s="18">
        <v>118525.4</v>
      </c>
      <c r="L14" s="18">
        <v>58459.32</v>
      </c>
      <c r="M14" s="19">
        <v>4</v>
      </c>
      <c r="N14" s="20">
        <v>0</v>
      </c>
      <c r="O14" s="19" t="s">
        <v>136</v>
      </c>
      <c r="P14" s="19" t="s">
        <v>58</v>
      </c>
      <c r="Q14" s="19" t="str">
        <f>TRIM(SalesData[[#This Row],[Customer_Name]])</f>
        <v>Vikas Yadav</v>
      </c>
      <c r="R14" s="21">
        <f>SalesData[[#This Row],[Sales]]-SalesData[[#This Row],[Cost]]</f>
        <v>60066.079999999994</v>
      </c>
      <c r="S14" s="22">
        <f>IFERROR(SalesData[[#This Row],[Profit]]/SalesData[[#This Row],[Sales]],0)</f>
        <v>0.50677812519510579</v>
      </c>
      <c r="T14" s="19">
        <f>YEAR(SalesData[[#This Row],[Order_Date]])</f>
        <v>2024</v>
      </c>
      <c r="U14" s="19" t="str">
        <f>TEXT(SalesData[[#This Row],[Order_Date]],"mmm")</f>
        <v>Jun</v>
      </c>
      <c r="V14" s="19" t="str">
        <f>"Q"&amp;ROUNDUP(MONTH(SalesData[[#This Row],[Order_Date]])/3,0)</f>
        <v>Q2</v>
      </c>
      <c r="W14" s="19" t="str">
        <f>IF(SalesData[[#This Row],[Sales]]&gt;=50000,"High",IF(AND(SalesData[[#This Row],[Sales]]&gt;= 20000, SalesData[[#This Row],[Sales]]&lt; 50000),"Medium","Low"))</f>
        <v>High</v>
      </c>
      <c r="X14" s="19" t="str">
        <f>IF(SalesData[[#This Row],[Profit]]&gt;0,"Profit","Loss")</f>
        <v>Profit</v>
      </c>
      <c r="Y14" s="19" t="str">
        <f>IF(AND(SalesData[[#This Row],[Sales]]&gt;= 50000, SalesData[[#This Row],[Quantity]]&gt;=2),"Yes","No")</f>
        <v>Yes</v>
      </c>
      <c r="Z14" s="19" t="str">
        <f>UPPER(SalesData[[#This Row],[Customer_Name]])</f>
        <v>VIKAS YADAV</v>
      </c>
      <c r="AA14" s="19" t="str">
        <f>LOWER(SalesData[[#This Row],[Customer_Name]])</f>
        <v>vikas yadav</v>
      </c>
      <c r="AB14" s="19">
        <f>LEN(SalesData[[#This Row],[Customer_Name]])</f>
        <v>11</v>
      </c>
      <c r="AC14" s="19" t="str">
        <f>LEFT(SalesData[[#This Row],[Order_ID]],3)</f>
        <v>ORD</v>
      </c>
      <c r="AD14" s="19" t="str">
        <f>RIGHT(SalesData[[#This Row],[Order_ID]],4)</f>
        <v>0133</v>
      </c>
      <c r="AE14" s="19" t="str">
        <f>_xlfn.CONCAT(SalesData[[#This Row],[Clean_Customer_Name]],"-",SalesData[[#This Row],[Region]])</f>
        <v>Vikas Yadav-South</v>
      </c>
      <c r="AF14" s="19" t="str">
        <f>MID(SalesData[[#This Row],[Order_ID]],4,4)</f>
        <v>0133</v>
      </c>
      <c r="AG14" s="19" t="e">
        <f ca="1">_xlfn.SINGLE(_xlfn.XLOOKUP(SalesData[[#This Row],[Product]],Product_Master!A:A,Product_Master!B:B,"Not Found"))</f>
        <v>#NAME?</v>
      </c>
      <c r="AH14" s="19" t="str">
        <f>VLOOKUP(SalesData[[#This Row],[Product]],Product_Master!$A$1:$B$21,2,FALSE)</f>
        <v>Arjun</v>
      </c>
      <c r="AI14" s="16"/>
    </row>
    <row r="15" spans="1:37" ht="13.8">
      <c r="A15" s="16" t="s">
        <v>820</v>
      </c>
      <c r="B15" s="17">
        <v>45392</v>
      </c>
      <c r="C15" s="16" t="s">
        <v>231</v>
      </c>
      <c r="D15" s="16" t="s">
        <v>232</v>
      </c>
      <c r="E15" s="16" t="s">
        <v>175</v>
      </c>
      <c r="F15" s="16" t="s">
        <v>176</v>
      </c>
      <c r="G15" s="16" t="s">
        <v>51</v>
      </c>
      <c r="H15" s="16" t="s">
        <v>177</v>
      </c>
      <c r="I15" s="16" t="s">
        <v>84</v>
      </c>
      <c r="J15" s="16" t="s">
        <v>142</v>
      </c>
      <c r="K15" s="18">
        <v>66768.2</v>
      </c>
      <c r="L15" s="18">
        <v>49481.7</v>
      </c>
      <c r="M15" s="19">
        <v>3</v>
      </c>
      <c r="N15" s="20">
        <v>0.05</v>
      </c>
      <c r="O15" s="19" t="s">
        <v>34</v>
      </c>
      <c r="P15" s="19" t="s">
        <v>58</v>
      </c>
      <c r="Q15" s="19" t="str">
        <f>TRIM(SalesData[[#This Row],[Customer_Name]])</f>
        <v>Vikas Yadav</v>
      </c>
      <c r="R15" s="21">
        <f>SalesData[[#This Row],[Sales]]-SalesData[[#This Row],[Cost]]</f>
        <v>17286.5</v>
      </c>
      <c r="S15" s="22">
        <f>IFERROR(SalesData[[#This Row],[Profit]]/SalesData[[#This Row],[Sales]],0)</f>
        <v>0.25890319044095844</v>
      </c>
      <c r="T15" s="19">
        <f>YEAR(SalesData[[#This Row],[Order_Date]])</f>
        <v>2024</v>
      </c>
      <c r="U15" s="19" t="str">
        <f>TEXT(SalesData[[#This Row],[Order_Date]],"mmm")</f>
        <v>Apr</v>
      </c>
      <c r="V15" s="19" t="str">
        <f>"Q"&amp;ROUNDUP(MONTH(SalesData[[#This Row],[Order_Date]])/3,0)</f>
        <v>Q2</v>
      </c>
      <c r="W15" s="19" t="str">
        <f>IF(SalesData[[#This Row],[Sales]]&gt;=50000,"High",IF(AND(SalesData[[#This Row],[Sales]]&gt;= 20000, SalesData[[#This Row],[Sales]]&lt; 50000),"Medium","Low"))</f>
        <v>High</v>
      </c>
      <c r="X15" s="19" t="str">
        <f>IF(SalesData[[#This Row],[Profit]]&gt;0,"Profit","Loss")</f>
        <v>Profit</v>
      </c>
      <c r="Y15" s="19" t="str">
        <f>IF(AND(SalesData[[#This Row],[Sales]]&gt;= 50000, SalesData[[#This Row],[Quantity]]&gt;=2),"Yes","No")</f>
        <v>Yes</v>
      </c>
      <c r="Z15" s="19" t="str">
        <f>UPPER(SalesData[[#This Row],[Customer_Name]])</f>
        <v>VIKAS YADAV</v>
      </c>
      <c r="AA15" s="19" t="str">
        <f>LOWER(SalesData[[#This Row],[Customer_Name]])</f>
        <v>vikas yadav</v>
      </c>
      <c r="AB15" s="19">
        <f>LEN(SalesData[[#This Row],[Customer_Name]])</f>
        <v>11</v>
      </c>
      <c r="AC15" s="19" t="str">
        <f>LEFT(SalesData[[#This Row],[Order_ID]],3)</f>
        <v>ORD</v>
      </c>
      <c r="AD15" s="19" t="str">
        <f>RIGHT(SalesData[[#This Row],[Order_ID]],4)</f>
        <v>0667</v>
      </c>
      <c r="AE15" s="19" t="str">
        <f>_xlfn.CONCAT(SalesData[[#This Row],[Clean_Customer_Name]],"-",SalesData[[#This Row],[Region]])</f>
        <v>Vikas Yadav-South</v>
      </c>
      <c r="AF15" s="19" t="str">
        <f>MID(SalesData[[#This Row],[Order_ID]],4,4)</f>
        <v>0667</v>
      </c>
      <c r="AG15" s="19" t="e">
        <f ca="1">_xlfn.SINGLE(_xlfn.XLOOKUP(SalesData[[#This Row],[Product]],Product_Master!A:A,Product_Master!B:B,"Not Found"))</f>
        <v>#NAME?</v>
      </c>
      <c r="AH15" s="19" t="str">
        <f>VLOOKUP(SalesData[[#This Row],[Product]],Product_Master!$A$1:$B$21,2,FALSE)</f>
        <v>Arjun</v>
      </c>
      <c r="AI15" s="16"/>
      <c r="AJ15" s="12" t="s">
        <v>1179</v>
      </c>
      <c r="AK15" s="12">
        <f>AVERAGEIF(SalesData[Category],"furniture",SalesData[Sales])</f>
        <v>44496.552951541853</v>
      </c>
    </row>
    <row r="16" spans="1:37" ht="13.8">
      <c r="A16" s="16" t="s">
        <v>459</v>
      </c>
      <c r="B16" s="17">
        <v>45878</v>
      </c>
      <c r="C16" s="16" t="s">
        <v>231</v>
      </c>
      <c r="D16" s="16" t="s">
        <v>232</v>
      </c>
      <c r="E16" s="16" t="s">
        <v>123</v>
      </c>
      <c r="F16" s="16" t="s">
        <v>124</v>
      </c>
      <c r="G16" s="16" t="s">
        <v>51</v>
      </c>
      <c r="H16" s="16" t="s">
        <v>125</v>
      </c>
      <c r="I16" s="16" t="s">
        <v>84</v>
      </c>
      <c r="J16" s="16" t="s">
        <v>142</v>
      </c>
      <c r="K16" s="18">
        <v>88011.48</v>
      </c>
      <c r="L16" s="18">
        <v>58885.89</v>
      </c>
      <c r="M16" s="19">
        <v>3</v>
      </c>
      <c r="N16" s="20">
        <v>0</v>
      </c>
      <c r="O16" s="19" t="s">
        <v>76</v>
      </c>
      <c r="P16" s="19" t="s">
        <v>26</v>
      </c>
      <c r="Q16" s="19" t="str">
        <f>TRIM(SalesData[[#This Row],[Customer_Name]])</f>
        <v>Vikas Yadav</v>
      </c>
      <c r="R16" s="21">
        <f>SalesData[[#This Row],[Sales]]-SalesData[[#This Row],[Cost]]</f>
        <v>29125.589999999997</v>
      </c>
      <c r="S16" s="22">
        <f>IFERROR(SalesData[[#This Row],[Profit]]/SalesData[[#This Row],[Sales]],0)</f>
        <v>0.33092944238637956</v>
      </c>
      <c r="T16" s="19">
        <f>YEAR(SalesData[[#This Row],[Order_Date]])</f>
        <v>2025</v>
      </c>
      <c r="U16" s="19" t="str">
        <f>TEXT(SalesData[[#This Row],[Order_Date]],"mmm")</f>
        <v>Aug</v>
      </c>
      <c r="V16" s="19" t="str">
        <f>"Q"&amp;ROUNDUP(MONTH(SalesData[[#This Row],[Order_Date]])/3,0)</f>
        <v>Q3</v>
      </c>
      <c r="W16" s="19" t="str">
        <f>IF(SalesData[[#This Row],[Sales]]&gt;=50000,"High",IF(AND(SalesData[[#This Row],[Sales]]&gt;= 20000, SalesData[[#This Row],[Sales]]&lt; 50000),"Medium","Low"))</f>
        <v>High</v>
      </c>
      <c r="X16" s="19" t="str">
        <f>IF(SalesData[[#This Row],[Profit]]&gt;0,"Profit","Loss")</f>
        <v>Profit</v>
      </c>
      <c r="Y16" s="19" t="str">
        <f>IF(AND(SalesData[[#This Row],[Sales]]&gt;= 50000, SalesData[[#This Row],[Quantity]]&gt;=2),"Yes","No")</f>
        <v>Yes</v>
      </c>
      <c r="Z16" s="19" t="str">
        <f>UPPER(SalesData[[#This Row],[Customer_Name]])</f>
        <v>VIKAS YADAV</v>
      </c>
      <c r="AA16" s="19" t="str">
        <f>LOWER(SalesData[[#This Row],[Customer_Name]])</f>
        <v>vikas yadav</v>
      </c>
      <c r="AB16" s="19">
        <f>LEN(SalesData[[#This Row],[Customer_Name]])</f>
        <v>11</v>
      </c>
      <c r="AC16" s="19" t="str">
        <f>LEFT(SalesData[[#This Row],[Order_ID]],3)</f>
        <v>ORD</v>
      </c>
      <c r="AD16" s="19" t="str">
        <f>RIGHT(SalesData[[#This Row],[Order_ID]],4)</f>
        <v>0306</v>
      </c>
      <c r="AE16" s="19" t="str">
        <f>_xlfn.CONCAT(SalesData[[#This Row],[Clean_Customer_Name]],"-",SalesData[[#This Row],[Region]])</f>
        <v>Vikas Yadav-South</v>
      </c>
      <c r="AF16" s="19" t="str">
        <f>MID(SalesData[[#This Row],[Order_ID]],4,4)</f>
        <v>0306</v>
      </c>
      <c r="AG16" s="19" t="e">
        <f ca="1">_xlfn.SINGLE(_xlfn.XLOOKUP(SalesData[[#This Row],[Product]],Product_Master!A:A,Product_Master!B:B,"Not Found"))</f>
        <v>#NAME?</v>
      </c>
      <c r="AH16" s="19" t="str">
        <f>VLOOKUP(SalesData[[#This Row],[Product]],Product_Master!$A$1:$B$21,2,FALSE)</f>
        <v>Sneha</v>
      </c>
      <c r="AI16" s="16"/>
    </row>
    <row r="17" spans="1:37" ht="13.8">
      <c r="A17" s="16" t="s">
        <v>832</v>
      </c>
      <c r="B17" s="17">
        <v>45348</v>
      </c>
      <c r="C17" s="16" t="s">
        <v>231</v>
      </c>
      <c r="D17" s="16" t="s">
        <v>232</v>
      </c>
      <c r="E17" s="16" t="s">
        <v>123</v>
      </c>
      <c r="F17" s="16" t="s">
        <v>124</v>
      </c>
      <c r="G17" s="16" t="s">
        <v>51</v>
      </c>
      <c r="H17" s="16" t="s">
        <v>125</v>
      </c>
      <c r="I17" s="16" t="s">
        <v>56</v>
      </c>
      <c r="J17" s="16" t="s">
        <v>91</v>
      </c>
      <c r="K17" s="18">
        <v>31845.26</v>
      </c>
      <c r="L17" s="18">
        <v>17515.28</v>
      </c>
      <c r="M17" s="19">
        <v>1</v>
      </c>
      <c r="N17" s="20">
        <v>0.1</v>
      </c>
      <c r="O17" s="19" t="s">
        <v>25</v>
      </c>
      <c r="P17" s="19" t="s">
        <v>98</v>
      </c>
      <c r="Q17" s="19" t="str">
        <f>TRIM(SalesData[[#This Row],[Customer_Name]])</f>
        <v>Vikas Yadav</v>
      </c>
      <c r="R17" s="21">
        <f>SalesData[[#This Row],[Sales]]-SalesData[[#This Row],[Cost]]</f>
        <v>14329.98</v>
      </c>
      <c r="S17" s="22">
        <f>IFERROR(SalesData[[#This Row],[Profit]]/SalesData[[#This Row],[Sales]],0)</f>
        <v>0.44998784748499465</v>
      </c>
      <c r="T17" s="19">
        <f>YEAR(SalesData[[#This Row],[Order_Date]])</f>
        <v>2024</v>
      </c>
      <c r="U17" s="19" t="str">
        <f>TEXT(SalesData[[#This Row],[Order_Date]],"mmm")</f>
        <v>Feb</v>
      </c>
      <c r="V17" s="23" t="str">
        <f>"Q"&amp;ROUNDUP(MONTH(SalesData[[#This Row],[Order_Date]])/3,0)</f>
        <v>Q1</v>
      </c>
      <c r="W17" s="19" t="str">
        <f>IF(SalesData[[#This Row],[Sales]]&gt;=50000,"High",IF(AND(SalesData[[#This Row],[Sales]]&gt;= 20000, SalesData[[#This Row],[Sales]]&lt; 50000),"Medium","Low"))</f>
        <v>Medium</v>
      </c>
      <c r="X17" s="19" t="str">
        <f>IF(SalesData[[#This Row],[Profit]]&gt;0,"Profit","Loss")</f>
        <v>Profit</v>
      </c>
      <c r="Y17" s="19" t="str">
        <f>IF(AND(SalesData[[#This Row],[Sales]]&gt;= 50000, SalesData[[#This Row],[Quantity]]&gt;=2),"Yes","No")</f>
        <v>No</v>
      </c>
      <c r="Z17" s="19" t="str">
        <f>UPPER(SalesData[[#This Row],[Customer_Name]])</f>
        <v>VIKAS YADAV</v>
      </c>
      <c r="AA17" s="19" t="str">
        <f>LOWER(SalesData[[#This Row],[Customer_Name]])</f>
        <v>vikas yadav</v>
      </c>
      <c r="AB17" s="19">
        <f>LEN(SalesData[[#This Row],[Customer_Name]])</f>
        <v>11</v>
      </c>
      <c r="AC17" s="19" t="str">
        <f>LEFT(SalesData[[#This Row],[Order_ID]],3)</f>
        <v>ORD</v>
      </c>
      <c r="AD17" s="19" t="str">
        <f>RIGHT(SalesData[[#This Row],[Order_ID]],4)</f>
        <v>0679</v>
      </c>
      <c r="AE17" s="19" t="str">
        <f>_xlfn.CONCAT(SalesData[[#This Row],[Clean_Customer_Name]],"-",SalesData[[#This Row],[Region]])</f>
        <v>Vikas Yadav-West</v>
      </c>
      <c r="AF17" s="19" t="str">
        <f>MID(SalesData[[#This Row],[Order_ID]],4,4)</f>
        <v>0679</v>
      </c>
      <c r="AG17" s="19" t="e">
        <f ca="1">_xlfn.SINGLE(_xlfn.XLOOKUP(SalesData[[#This Row],[Product]],Product_Master!A:A,Product_Master!B:B,"Not Found"))</f>
        <v>#NAME?</v>
      </c>
      <c r="AH17" s="19" t="str">
        <f>VLOOKUP(SalesData[[#This Row],[Product]],Product_Master!$A$1:$B$21,2,FALSE)</f>
        <v>Sneha</v>
      </c>
      <c r="AI17" s="16"/>
      <c r="AJ17" s="12" t="s">
        <v>1180</v>
      </c>
      <c r="AK17" s="12">
        <f>AVERAGEIFS(SalesData[Sales],SalesData[Region],"West",SalesData[Category],"Electronics")</f>
        <v>55883.70180000001</v>
      </c>
    </row>
    <row r="18" spans="1:37" ht="13.8">
      <c r="A18" s="16" t="s">
        <v>867</v>
      </c>
      <c r="B18" s="17">
        <v>45807</v>
      </c>
      <c r="C18" s="16" t="s">
        <v>231</v>
      </c>
      <c r="D18" s="16" t="s">
        <v>232</v>
      </c>
      <c r="E18" s="16" t="s">
        <v>172</v>
      </c>
      <c r="F18" s="16" t="s">
        <v>173</v>
      </c>
      <c r="G18" s="16" t="s">
        <v>40</v>
      </c>
      <c r="H18" s="16" t="s">
        <v>41</v>
      </c>
      <c r="I18" s="16" t="s">
        <v>84</v>
      </c>
      <c r="J18" s="16" t="s">
        <v>142</v>
      </c>
      <c r="K18" s="18">
        <v>4311.3599999999997</v>
      </c>
      <c r="L18" s="18">
        <v>3439.56</v>
      </c>
      <c r="M18" s="19">
        <v>4</v>
      </c>
      <c r="N18" s="20">
        <v>0.1</v>
      </c>
      <c r="O18" s="19" t="s">
        <v>136</v>
      </c>
      <c r="P18" s="19" t="s">
        <v>98</v>
      </c>
      <c r="Q18" s="19" t="str">
        <f>TRIM(SalesData[[#This Row],[Customer_Name]])</f>
        <v>Vikas Yadav</v>
      </c>
      <c r="R18" s="21">
        <f>SalesData[[#This Row],[Sales]]-SalesData[[#This Row],[Cost]]</f>
        <v>871.79999999999973</v>
      </c>
      <c r="S18" s="22">
        <f>IFERROR(SalesData[[#This Row],[Profit]]/SalesData[[#This Row],[Sales]],0)</f>
        <v>0.20220997550656863</v>
      </c>
      <c r="T18" s="19">
        <f>YEAR(SalesData[[#This Row],[Order_Date]])</f>
        <v>2025</v>
      </c>
      <c r="U18" s="19" t="str">
        <f>TEXT(SalesData[[#This Row],[Order_Date]],"mmm")</f>
        <v>May</v>
      </c>
      <c r="V18" s="19" t="str">
        <f>"Q"&amp;ROUNDUP(MONTH(SalesData[[#This Row],[Order_Date]])/3,0)</f>
        <v>Q2</v>
      </c>
      <c r="W18" s="19" t="str">
        <f>IF(SalesData[[#This Row],[Sales]]&gt;=50000,"High",IF(AND(SalesData[[#This Row],[Sales]]&gt;= 20000, SalesData[[#This Row],[Sales]]&lt; 50000),"Medium","Low"))</f>
        <v>Low</v>
      </c>
      <c r="X18" s="19" t="str">
        <f>IF(SalesData[[#This Row],[Profit]]&gt;0,"Profit","Loss")</f>
        <v>Profit</v>
      </c>
      <c r="Y18" s="19" t="str">
        <f>IF(AND(SalesData[[#This Row],[Sales]]&gt;= 50000, SalesData[[#This Row],[Quantity]]&gt;=2),"Yes","No")</f>
        <v>No</v>
      </c>
      <c r="Z18" s="19" t="str">
        <f>UPPER(SalesData[[#This Row],[Customer_Name]])</f>
        <v>VIKAS YADAV</v>
      </c>
      <c r="AA18" s="19" t="str">
        <f>LOWER(SalesData[[#This Row],[Customer_Name]])</f>
        <v>vikas yadav</v>
      </c>
      <c r="AB18" s="19">
        <f>LEN(SalesData[[#This Row],[Customer_Name]])</f>
        <v>11</v>
      </c>
      <c r="AC18" s="19" t="str">
        <f>LEFT(SalesData[[#This Row],[Order_ID]],3)</f>
        <v>ORD</v>
      </c>
      <c r="AD18" s="19" t="str">
        <f>RIGHT(SalesData[[#This Row],[Order_ID]],4)</f>
        <v>0714</v>
      </c>
      <c r="AE18" s="19" t="str">
        <f>_xlfn.CONCAT(SalesData[[#This Row],[Clean_Customer_Name]],"-",SalesData[[#This Row],[Region]])</f>
        <v>Vikas Yadav-South</v>
      </c>
      <c r="AF18" s="19" t="str">
        <f>MID(SalesData[[#This Row],[Order_ID]],4,4)</f>
        <v>0714</v>
      </c>
      <c r="AG18" s="19" t="e">
        <f ca="1">_xlfn.SINGLE(_xlfn.XLOOKUP(SalesData[[#This Row],[Product]],Product_Master!A:A,Product_Master!B:B,"Not Found"))</f>
        <v>#NAME?</v>
      </c>
      <c r="AH18" s="19" t="str">
        <f>VLOOKUP(SalesData[[#This Row],[Product]],Product_Master!$A$1:$B$21,2,FALSE)</f>
        <v>Pooja</v>
      </c>
      <c r="AI18" s="16"/>
    </row>
    <row r="19" spans="1:37" ht="13.8">
      <c r="A19" s="16" t="s">
        <v>739</v>
      </c>
      <c r="B19" s="17">
        <v>45452</v>
      </c>
      <c r="C19" s="16" t="s">
        <v>231</v>
      </c>
      <c r="D19" s="16" t="s">
        <v>232</v>
      </c>
      <c r="E19" s="16" t="s">
        <v>87</v>
      </c>
      <c r="F19" s="16" t="s">
        <v>88</v>
      </c>
      <c r="G19" s="16" t="s">
        <v>89</v>
      </c>
      <c r="H19" s="16" t="s">
        <v>90</v>
      </c>
      <c r="I19" s="16" t="s">
        <v>56</v>
      </c>
      <c r="J19" s="16" t="s">
        <v>91</v>
      </c>
      <c r="K19" s="18">
        <v>2917.86</v>
      </c>
      <c r="L19" s="18">
        <v>1744.84</v>
      </c>
      <c r="M19" s="19">
        <v>1</v>
      </c>
      <c r="N19" s="20">
        <v>0.1</v>
      </c>
      <c r="O19" s="19" t="s">
        <v>76</v>
      </c>
      <c r="P19" s="19" t="s">
        <v>45</v>
      </c>
      <c r="Q19" s="19" t="str">
        <f>TRIM(SalesData[[#This Row],[Customer_Name]])</f>
        <v>Vikas Yadav</v>
      </c>
      <c r="R19" s="21">
        <f>SalesData[[#This Row],[Sales]]-SalesData[[#This Row],[Cost]]</f>
        <v>1173.0200000000002</v>
      </c>
      <c r="S19" s="22">
        <f>IFERROR(SalesData[[#This Row],[Profit]]/SalesData[[#This Row],[Sales]],0)</f>
        <v>0.40201380463764547</v>
      </c>
      <c r="T19" s="19">
        <f>YEAR(SalesData[[#This Row],[Order_Date]])</f>
        <v>2024</v>
      </c>
      <c r="U19" s="19" t="str">
        <f>TEXT(SalesData[[#This Row],[Order_Date]],"mmm")</f>
        <v>Jun</v>
      </c>
      <c r="V19" s="19" t="str">
        <f>"Q"&amp;ROUNDUP(MONTH(SalesData[[#This Row],[Order_Date]])/3,0)</f>
        <v>Q2</v>
      </c>
      <c r="W19" s="19" t="str">
        <f>IF(SalesData[[#This Row],[Sales]]&gt;=50000,"High",IF(AND(SalesData[[#This Row],[Sales]]&gt;= 20000, SalesData[[#This Row],[Sales]]&lt; 50000),"Medium","Low"))</f>
        <v>Low</v>
      </c>
      <c r="X19" s="19" t="str">
        <f>IF(SalesData[[#This Row],[Profit]]&gt;0,"Profit","Loss")</f>
        <v>Profit</v>
      </c>
      <c r="Y19" s="19" t="str">
        <f>IF(AND(SalesData[[#This Row],[Sales]]&gt;= 50000, SalesData[[#This Row],[Quantity]]&gt;=2),"Yes","No")</f>
        <v>No</v>
      </c>
      <c r="Z19" s="19" t="str">
        <f>UPPER(SalesData[[#This Row],[Customer_Name]])</f>
        <v>VIKAS YADAV</v>
      </c>
      <c r="AA19" s="19" t="str">
        <f>LOWER(SalesData[[#This Row],[Customer_Name]])</f>
        <v>vikas yadav</v>
      </c>
      <c r="AB19" s="19">
        <f>LEN(SalesData[[#This Row],[Customer_Name]])</f>
        <v>11</v>
      </c>
      <c r="AC19" s="19" t="str">
        <f>LEFT(SalesData[[#This Row],[Order_ID]],3)</f>
        <v>ORD</v>
      </c>
      <c r="AD19" s="19" t="str">
        <f>RIGHT(SalesData[[#This Row],[Order_ID]],4)</f>
        <v>0586</v>
      </c>
      <c r="AE19" s="19" t="str">
        <f>_xlfn.CONCAT(SalesData[[#This Row],[Clean_Customer_Name]],"-",SalesData[[#This Row],[Region]])</f>
        <v>Vikas Yadav-West</v>
      </c>
      <c r="AF19" s="19" t="str">
        <f>MID(SalesData[[#This Row],[Order_ID]],4,4)</f>
        <v>0586</v>
      </c>
      <c r="AG19" s="19" t="e">
        <f ca="1">_xlfn.SINGLE(_xlfn.XLOOKUP(SalesData[[#This Row],[Product]],Product_Master!A:A,Product_Master!B:B,"Not Found"))</f>
        <v>#NAME?</v>
      </c>
      <c r="AH19" s="19" t="str">
        <f>VLOOKUP(SalesData[[#This Row],[Product]],Product_Master!$A$1:$B$21,2,FALSE)</f>
        <v>Rahul</v>
      </c>
      <c r="AI19" s="16"/>
    </row>
    <row r="20" spans="1:37" ht="13.8">
      <c r="A20" s="16" t="s">
        <v>797</v>
      </c>
      <c r="B20" s="17">
        <v>45968</v>
      </c>
      <c r="C20" s="16" t="s">
        <v>231</v>
      </c>
      <c r="D20" s="16" t="s">
        <v>232</v>
      </c>
      <c r="E20" s="16" t="s">
        <v>87</v>
      </c>
      <c r="F20" s="16" t="s">
        <v>88</v>
      </c>
      <c r="G20" s="16" t="s">
        <v>89</v>
      </c>
      <c r="H20" s="16" t="s">
        <v>90</v>
      </c>
      <c r="I20" s="16" t="s">
        <v>42</v>
      </c>
      <c r="J20" s="16" t="s">
        <v>68</v>
      </c>
      <c r="K20" s="18">
        <v>3890.04</v>
      </c>
      <c r="L20" s="18">
        <v>1652.59</v>
      </c>
      <c r="M20" s="19">
        <v>1</v>
      </c>
      <c r="N20" s="20">
        <v>0.2</v>
      </c>
      <c r="O20" s="19" t="s">
        <v>25</v>
      </c>
      <c r="P20" s="19" t="s">
        <v>58</v>
      </c>
      <c r="Q20" s="19" t="str">
        <f>TRIM(SalesData[[#This Row],[Customer_Name]])</f>
        <v>Vikas Yadav</v>
      </c>
      <c r="R20" s="21">
        <f>SalesData[[#This Row],[Sales]]-SalesData[[#This Row],[Cost]]</f>
        <v>2237.4499999999998</v>
      </c>
      <c r="S20" s="22">
        <f>IFERROR(SalesData[[#This Row],[Profit]]/SalesData[[#This Row],[Sales]],0)</f>
        <v>0.57517403420016244</v>
      </c>
      <c r="T20" s="19">
        <f>YEAR(SalesData[[#This Row],[Order_Date]])</f>
        <v>2025</v>
      </c>
      <c r="U20" s="19" t="str">
        <f>TEXT(SalesData[[#This Row],[Order_Date]],"mmm")</f>
        <v>Nov</v>
      </c>
      <c r="V20" s="19" t="str">
        <f>"Q"&amp;ROUNDUP(MONTH(SalesData[[#This Row],[Order_Date]])/3,0)</f>
        <v>Q4</v>
      </c>
      <c r="W20" s="19" t="str">
        <f>IF(SalesData[[#This Row],[Sales]]&gt;=50000,"High",IF(AND(SalesData[[#This Row],[Sales]]&gt;= 20000, SalesData[[#This Row],[Sales]]&lt; 50000),"Medium","Low"))</f>
        <v>Low</v>
      </c>
      <c r="X20" s="19" t="str">
        <f>IF(SalesData[[#This Row],[Profit]]&gt;0,"Profit","Loss")</f>
        <v>Profit</v>
      </c>
      <c r="Y20" s="19" t="str">
        <f>IF(AND(SalesData[[#This Row],[Sales]]&gt;= 50000, SalesData[[#This Row],[Quantity]]&gt;=2),"Yes","No")</f>
        <v>No</v>
      </c>
      <c r="Z20" s="19" t="str">
        <f>UPPER(SalesData[[#This Row],[Customer_Name]])</f>
        <v>VIKAS YADAV</v>
      </c>
      <c r="AA20" s="19" t="str">
        <f>LOWER(SalesData[[#This Row],[Customer_Name]])</f>
        <v>vikas yadav</v>
      </c>
      <c r="AB20" s="19">
        <f>LEN(SalesData[[#This Row],[Customer_Name]])</f>
        <v>11</v>
      </c>
      <c r="AC20" s="19" t="str">
        <f>LEFT(SalesData[[#This Row],[Order_ID]],3)</f>
        <v>ORD</v>
      </c>
      <c r="AD20" s="19" t="str">
        <f>RIGHT(SalesData[[#This Row],[Order_ID]],4)</f>
        <v>0644</v>
      </c>
      <c r="AE20" s="19" t="str">
        <f>_xlfn.CONCAT(SalesData[[#This Row],[Clean_Customer_Name]],"-",SalesData[[#This Row],[Region]])</f>
        <v>Vikas Yadav-East</v>
      </c>
      <c r="AF20" s="19" t="str">
        <f>MID(SalesData[[#This Row],[Order_ID]],4,4)</f>
        <v>0644</v>
      </c>
      <c r="AG20" s="19" t="e">
        <f ca="1">_xlfn.SINGLE(_xlfn.XLOOKUP(SalesData[[#This Row],[Product]],Product_Master!A:A,Product_Master!B:B,"Not Found"))</f>
        <v>#NAME?</v>
      </c>
      <c r="AH20" s="19" t="str">
        <f>VLOOKUP(SalesData[[#This Row],[Product]],Product_Master!$A$1:$B$21,2,FALSE)</f>
        <v>Rahul</v>
      </c>
      <c r="AI20" s="16"/>
    </row>
    <row r="21" spans="1:37" ht="13.8">
      <c r="A21" s="16" t="s">
        <v>1014</v>
      </c>
      <c r="B21" s="17">
        <v>45489</v>
      </c>
      <c r="C21" s="16" t="s">
        <v>231</v>
      </c>
      <c r="D21" s="16" t="s">
        <v>232</v>
      </c>
      <c r="E21" s="16" t="s">
        <v>182</v>
      </c>
      <c r="F21" s="16" t="s">
        <v>183</v>
      </c>
      <c r="G21" s="16" t="s">
        <v>89</v>
      </c>
      <c r="H21" s="16" t="s">
        <v>90</v>
      </c>
      <c r="I21" s="16" t="s">
        <v>42</v>
      </c>
      <c r="J21" s="16" t="s">
        <v>43</v>
      </c>
      <c r="K21" s="18">
        <v>19856.62</v>
      </c>
      <c r="L21" s="18">
        <v>17835.509999999998</v>
      </c>
      <c r="M21" s="19">
        <v>3</v>
      </c>
      <c r="N21" s="20">
        <v>0.15</v>
      </c>
      <c r="O21" s="19" t="s">
        <v>136</v>
      </c>
      <c r="P21" s="19" t="s">
        <v>58</v>
      </c>
      <c r="Q21" s="19" t="str">
        <f>TRIM(SalesData[[#This Row],[Customer_Name]])</f>
        <v>Vikas Yadav</v>
      </c>
      <c r="R21" s="21">
        <f>SalesData[[#This Row],[Sales]]-SalesData[[#This Row],[Cost]]</f>
        <v>2021.1100000000006</v>
      </c>
      <c r="S21" s="22">
        <f>IFERROR(SalesData[[#This Row],[Profit]]/SalesData[[#This Row],[Sales]],0)</f>
        <v>0.10178519808507192</v>
      </c>
      <c r="T21" s="19">
        <f>YEAR(SalesData[[#This Row],[Order_Date]])</f>
        <v>2024</v>
      </c>
      <c r="U21" s="19" t="str">
        <f>TEXT(SalesData[[#This Row],[Order_Date]],"mmm")</f>
        <v>Jul</v>
      </c>
      <c r="V21" s="19" t="str">
        <f>"Q"&amp;ROUNDUP(MONTH(SalesData[[#This Row],[Order_Date]])/3,0)</f>
        <v>Q3</v>
      </c>
      <c r="W21" s="19" t="str">
        <f>IF(SalesData[[#This Row],[Sales]]&gt;=50000,"High",IF(AND(SalesData[[#This Row],[Sales]]&gt;= 20000, SalesData[[#This Row],[Sales]]&lt; 50000),"Medium","Low"))</f>
        <v>Low</v>
      </c>
      <c r="X21" s="19" t="str">
        <f>IF(SalesData[[#This Row],[Profit]]&gt;0,"Profit","Loss")</f>
        <v>Profit</v>
      </c>
      <c r="Y21" s="19" t="str">
        <f>IF(AND(SalesData[[#This Row],[Sales]]&gt;= 50000, SalesData[[#This Row],[Quantity]]&gt;=2),"Yes","No")</f>
        <v>No</v>
      </c>
      <c r="Z21" s="19" t="str">
        <f>UPPER(SalesData[[#This Row],[Customer_Name]])</f>
        <v>VIKAS YADAV</v>
      </c>
      <c r="AA21" s="19" t="str">
        <f>LOWER(SalesData[[#This Row],[Customer_Name]])</f>
        <v>vikas yadav</v>
      </c>
      <c r="AB21" s="19">
        <f>LEN(SalesData[[#This Row],[Customer_Name]])</f>
        <v>11</v>
      </c>
      <c r="AC21" s="19" t="str">
        <f>LEFT(SalesData[[#This Row],[Order_ID]],3)</f>
        <v>ORD</v>
      </c>
      <c r="AD21" s="19" t="str">
        <f>RIGHT(SalesData[[#This Row],[Order_ID]],4)</f>
        <v>0861</v>
      </c>
      <c r="AE21" s="19" t="str">
        <f>_xlfn.CONCAT(SalesData[[#This Row],[Clean_Customer_Name]],"-",SalesData[[#This Row],[Region]])</f>
        <v>Vikas Yadav-East</v>
      </c>
      <c r="AF21" s="19" t="str">
        <f>MID(SalesData[[#This Row],[Order_ID]],4,4)</f>
        <v>0861</v>
      </c>
      <c r="AG21" s="19" t="e">
        <f ca="1">_xlfn.SINGLE(_xlfn.XLOOKUP(SalesData[[#This Row],[Product]],Product_Master!A:A,Product_Master!B:B,"Not Found"))</f>
        <v>#NAME?</v>
      </c>
      <c r="AH21" s="19" t="str">
        <f>VLOOKUP(SalesData[[#This Row],[Product]],Product_Master!$A$1:$B$21,2,FALSE)</f>
        <v>Priya</v>
      </c>
      <c r="AI21" s="16"/>
    </row>
    <row r="22" spans="1:37" ht="13.8">
      <c r="A22" s="16" t="s">
        <v>716</v>
      </c>
      <c r="B22" s="17">
        <v>45672</v>
      </c>
      <c r="C22" s="16" t="s">
        <v>231</v>
      </c>
      <c r="D22" s="16" t="s">
        <v>232</v>
      </c>
      <c r="E22" s="16" t="s">
        <v>187</v>
      </c>
      <c r="F22" s="16" t="s">
        <v>188</v>
      </c>
      <c r="G22" s="16" t="s">
        <v>89</v>
      </c>
      <c r="H22" s="16" t="s">
        <v>189</v>
      </c>
      <c r="I22" s="16" t="s">
        <v>84</v>
      </c>
      <c r="J22" s="16" t="s">
        <v>134</v>
      </c>
      <c r="K22" s="18">
        <v>32778.79</v>
      </c>
      <c r="L22" s="18">
        <v>23162.400000000001</v>
      </c>
      <c r="M22" s="19">
        <v>4</v>
      </c>
      <c r="N22" s="20">
        <v>0.1</v>
      </c>
      <c r="O22" s="19" t="s">
        <v>34</v>
      </c>
      <c r="P22" s="19" t="s">
        <v>58</v>
      </c>
      <c r="Q22" s="19" t="str">
        <f>TRIM(SalesData[[#This Row],[Customer_Name]])</f>
        <v>Vikas Yadav</v>
      </c>
      <c r="R22" s="21">
        <f>SalesData[[#This Row],[Sales]]-SalesData[[#This Row],[Cost]]</f>
        <v>9616.39</v>
      </c>
      <c r="S22" s="22">
        <f>IFERROR(SalesData[[#This Row],[Profit]]/SalesData[[#This Row],[Sales]],0)</f>
        <v>0.29337233009516211</v>
      </c>
      <c r="T22" s="19">
        <f>YEAR(SalesData[[#This Row],[Order_Date]])</f>
        <v>2025</v>
      </c>
      <c r="U22" s="19" t="str">
        <f>TEXT(SalesData[[#This Row],[Order_Date]],"mmm")</f>
        <v>Jan</v>
      </c>
      <c r="V22" s="19" t="str">
        <f>"Q"&amp;ROUNDUP(MONTH(SalesData[[#This Row],[Order_Date]])/3,0)</f>
        <v>Q1</v>
      </c>
      <c r="W22" s="19" t="str">
        <f>IF(SalesData[[#This Row],[Sales]]&gt;=50000,"High",IF(AND(SalesData[[#This Row],[Sales]]&gt;= 20000, SalesData[[#This Row],[Sales]]&lt; 50000),"Medium","Low"))</f>
        <v>Medium</v>
      </c>
      <c r="X22" s="19" t="str">
        <f>IF(SalesData[[#This Row],[Profit]]&gt;0,"Profit","Loss")</f>
        <v>Profit</v>
      </c>
      <c r="Y22" s="19" t="str">
        <f>IF(AND(SalesData[[#This Row],[Sales]]&gt;= 50000, SalesData[[#This Row],[Quantity]]&gt;=2),"Yes","No")</f>
        <v>No</v>
      </c>
      <c r="Z22" s="19" t="str">
        <f>UPPER(SalesData[[#This Row],[Customer_Name]])</f>
        <v>VIKAS YADAV</v>
      </c>
      <c r="AA22" s="19" t="str">
        <f>LOWER(SalesData[[#This Row],[Customer_Name]])</f>
        <v>vikas yadav</v>
      </c>
      <c r="AB22" s="19">
        <f>LEN(SalesData[[#This Row],[Customer_Name]])</f>
        <v>11</v>
      </c>
      <c r="AC22" s="19" t="str">
        <f>LEFT(SalesData[[#This Row],[Order_ID]],3)</f>
        <v>ORD</v>
      </c>
      <c r="AD22" s="19" t="str">
        <f>RIGHT(SalesData[[#This Row],[Order_ID]],4)</f>
        <v>0563</v>
      </c>
      <c r="AE22" s="19" t="str">
        <f>_xlfn.CONCAT(SalesData[[#This Row],[Clean_Customer_Name]],"-",SalesData[[#This Row],[Region]])</f>
        <v>Vikas Yadav-South</v>
      </c>
      <c r="AF22" s="19" t="str">
        <f>MID(SalesData[[#This Row],[Order_ID]],4,4)</f>
        <v>0563</v>
      </c>
      <c r="AG22" s="19" t="e">
        <f ca="1">_xlfn.SINGLE(_xlfn.XLOOKUP(SalesData[[#This Row],[Product]],Product_Master!A:A,Product_Master!B:B,"Not Found"))</f>
        <v>#NAME?</v>
      </c>
      <c r="AH22" s="19" t="str">
        <f>VLOOKUP(SalesData[[#This Row],[Product]],Product_Master!$A$1:$B$21,2,FALSE)</f>
        <v>Amit</v>
      </c>
      <c r="AI22" s="16"/>
    </row>
    <row r="23" spans="1:37" ht="13.8">
      <c r="A23" s="16" t="s">
        <v>255</v>
      </c>
      <c r="B23" s="17">
        <v>45699</v>
      </c>
      <c r="C23" s="16" t="s">
        <v>231</v>
      </c>
      <c r="D23" s="16" t="s">
        <v>232</v>
      </c>
      <c r="E23" s="16" t="s">
        <v>193</v>
      </c>
      <c r="F23" s="16" t="s">
        <v>194</v>
      </c>
      <c r="G23" s="16" t="s">
        <v>89</v>
      </c>
      <c r="H23" s="16" t="s">
        <v>90</v>
      </c>
      <c r="I23" s="16" t="s">
        <v>42</v>
      </c>
      <c r="J23" s="16" t="s">
        <v>162</v>
      </c>
      <c r="K23" s="18">
        <v>1298.25</v>
      </c>
      <c r="L23" s="18">
        <v>535.17999999999995</v>
      </c>
      <c r="M23" s="19">
        <v>1</v>
      </c>
      <c r="N23" s="20">
        <v>0.2</v>
      </c>
      <c r="O23" s="19" t="s">
        <v>136</v>
      </c>
      <c r="P23" s="19" t="s">
        <v>77</v>
      </c>
      <c r="Q23" s="19" t="str">
        <f>TRIM(SalesData[[#This Row],[Customer_Name]])</f>
        <v>Vikas Yadav</v>
      </c>
      <c r="R23" s="21">
        <f>SalesData[[#This Row],[Sales]]-SalesData[[#This Row],[Cost]]</f>
        <v>763.07</v>
      </c>
      <c r="S23" s="22">
        <f>IFERROR(SalesData[[#This Row],[Profit]]/SalesData[[#This Row],[Sales]],0)</f>
        <v>0.58776814943192768</v>
      </c>
      <c r="T23" s="19">
        <f>YEAR(SalesData[[#This Row],[Order_Date]])</f>
        <v>2025</v>
      </c>
      <c r="U23" s="19" t="str">
        <f>TEXT(SalesData[[#This Row],[Order_Date]],"mmm")</f>
        <v>Feb</v>
      </c>
      <c r="V23" s="19" t="str">
        <f>"Q"&amp;ROUNDUP(MONTH(SalesData[[#This Row],[Order_Date]])/3,0)</f>
        <v>Q1</v>
      </c>
      <c r="W23" s="19" t="str">
        <f>IF(SalesData[[#This Row],[Sales]]&gt;=50000,"High",IF(AND(SalesData[[#This Row],[Sales]]&gt;= 20000, SalesData[[#This Row],[Sales]]&lt; 50000),"Medium","Low"))</f>
        <v>Low</v>
      </c>
      <c r="X23" s="19" t="str">
        <f>IF(SalesData[[#This Row],[Profit]]&gt;0,"Profit","Loss")</f>
        <v>Profit</v>
      </c>
      <c r="Y23" s="19" t="str">
        <f>IF(AND(SalesData[[#This Row],[Sales]]&gt;= 50000, SalesData[[#This Row],[Quantity]]&gt;=2),"Yes","No")</f>
        <v>No</v>
      </c>
      <c r="Z23" s="19" t="str">
        <f>UPPER(SalesData[[#This Row],[Customer_Name]])</f>
        <v>VIKAS YADAV</v>
      </c>
      <c r="AA23" s="19" t="str">
        <f>LOWER(SalesData[[#This Row],[Customer_Name]])</f>
        <v>vikas yadav</v>
      </c>
      <c r="AB23" s="19">
        <f>LEN(SalesData[[#This Row],[Customer_Name]])</f>
        <v>11</v>
      </c>
      <c r="AC23" s="19" t="str">
        <f>LEFT(SalesData[[#This Row],[Order_ID]],3)</f>
        <v>ORD</v>
      </c>
      <c r="AD23" s="19" t="str">
        <f>RIGHT(SalesData[[#This Row],[Order_ID]],4)</f>
        <v>0104</v>
      </c>
      <c r="AE23" s="19" t="str">
        <f>_xlfn.CONCAT(SalesData[[#This Row],[Clean_Customer_Name]],"-",SalesData[[#This Row],[Region]])</f>
        <v>Vikas Yadav-East</v>
      </c>
      <c r="AF23" s="19" t="str">
        <f>MID(SalesData[[#This Row],[Order_ID]],4,4)</f>
        <v>0104</v>
      </c>
      <c r="AG23" s="19" t="e">
        <f ca="1">_xlfn.SINGLE(_xlfn.XLOOKUP(SalesData[[#This Row],[Product]],Product_Master!A:A,Product_Master!B:B,"Not Found"))</f>
        <v>#NAME?</v>
      </c>
      <c r="AH23" s="19" t="str">
        <f>VLOOKUP(SalesData[[#This Row],[Product]],Product_Master!$A$1:$B$21,2,FALSE)</f>
        <v>Simran</v>
      </c>
      <c r="AI23" s="16"/>
    </row>
    <row r="24" spans="1:37" ht="13.8">
      <c r="A24" s="16" t="s">
        <v>283</v>
      </c>
      <c r="B24" s="17">
        <v>45359</v>
      </c>
      <c r="C24" s="16" t="s">
        <v>231</v>
      </c>
      <c r="D24" s="16" t="s">
        <v>232</v>
      </c>
      <c r="E24" s="16" t="s">
        <v>193</v>
      </c>
      <c r="F24" s="16" t="s">
        <v>194</v>
      </c>
      <c r="G24" s="16" t="s">
        <v>89</v>
      </c>
      <c r="H24" s="16" t="s">
        <v>90</v>
      </c>
      <c r="I24" s="16" t="s">
        <v>23</v>
      </c>
      <c r="J24" s="16" t="s">
        <v>75</v>
      </c>
      <c r="K24" s="18">
        <v>2175.5</v>
      </c>
      <c r="L24" s="18">
        <v>955</v>
      </c>
      <c r="M24" s="19">
        <v>2</v>
      </c>
      <c r="N24" s="20">
        <v>0.2</v>
      </c>
      <c r="O24" s="19" t="s">
        <v>44</v>
      </c>
      <c r="P24" s="19" t="s">
        <v>26</v>
      </c>
      <c r="Q24" s="19" t="str">
        <f>TRIM(SalesData[[#This Row],[Customer_Name]])</f>
        <v>Vikas Yadav</v>
      </c>
      <c r="R24" s="21">
        <f>SalesData[[#This Row],[Sales]]-SalesData[[#This Row],[Cost]]</f>
        <v>1220.5</v>
      </c>
      <c r="S24" s="22">
        <f>IFERROR(SalesData[[#This Row],[Profit]]/SalesData[[#This Row],[Sales]],0)</f>
        <v>0.56102045506780052</v>
      </c>
      <c r="T24" s="19">
        <f>YEAR(SalesData[[#This Row],[Order_Date]])</f>
        <v>2024</v>
      </c>
      <c r="U24" s="19" t="str">
        <f>TEXT(SalesData[[#This Row],[Order_Date]],"mmm")</f>
        <v>Mar</v>
      </c>
      <c r="V24" s="19" t="str">
        <f>"Q"&amp;ROUNDUP(MONTH(SalesData[[#This Row],[Order_Date]])/3,0)</f>
        <v>Q1</v>
      </c>
      <c r="W24" s="19" t="str">
        <f>IF(SalesData[[#This Row],[Sales]]&gt;=50000,"High",IF(AND(SalesData[[#This Row],[Sales]]&gt;= 20000, SalesData[[#This Row],[Sales]]&lt; 50000),"Medium","Low"))</f>
        <v>Low</v>
      </c>
      <c r="X24" s="19" t="str">
        <f>IF(SalesData[[#This Row],[Profit]]&gt;0,"Profit","Loss")</f>
        <v>Profit</v>
      </c>
      <c r="Y24" s="19" t="str">
        <f>IF(AND(SalesData[[#This Row],[Sales]]&gt;= 50000, SalesData[[#This Row],[Quantity]]&gt;=2),"Yes","No")</f>
        <v>No</v>
      </c>
      <c r="Z24" s="19" t="str">
        <f>UPPER(SalesData[[#This Row],[Customer_Name]])</f>
        <v>VIKAS YADAV</v>
      </c>
      <c r="AA24" s="19" t="str">
        <f>LOWER(SalesData[[#This Row],[Customer_Name]])</f>
        <v>vikas yadav</v>
      </c>
      <c r="AB24" s="19">
        <f>LEN(SalesData[[#This Row],[Customer_Name]])</f>
        <v>11</v>
      </c>
      <c r="AC24" s="19" t="str">
        <f>LEFT(SalesData[[#This Row],[Order_ID]],3)</f>
        <v>ORD</v>
      </c>
      <c r="AD24" s="19" t="str">
        <f>RIGHT(SalesData[[#This Row],[Order_ID]],4)</f>
        <v>0130</v>
      </c>
      <c r="AE24" s="19" t="str">
        <f>_xlfn.CONCAT(SalesData[[#This Row],[Clean_Customer_Name]],"-",SalesData[[#This Row],[Region]])</f>
        <v>Vikas Yadav-North</v>
      </c>
      <c r="AF24" s="19" t="str">
        <f>MID(SalesData[[#This Row],[Order_ID]],4,4)</f>
        <v>0130</v>
      </c>
      <c r="AG24" s="19" t="e">
        <f ca="1">_xlfn.SINGLE(_xlfn.XLOOKUP(SalesData[[#This Row],[Product]],Product_Master!A:A,Product_Master!B:B,"Not Found"))</f>
        <v>#NAME?</v>
      </c>
      <c r="AH24" s="19" t="str">
        <f>VLOOKUP(SalesData[[#This Row],[Product]],Product_Master!$A$1:$B$21,2,FALSE)</f>
        <v>Simran</v>
      </c>
      <c r="AI24" s="16"/>
    </row>
    <row r="25" spans="1:37" ht="13.8">
      <c r="A25" s="16" t="s">
        <v>308</v>
      </c>
      <c r="B25" s="17">
        <v>45805</v>
      </c>
      <c r="C25" s="16" t="s">
        <v>231</v>
      </c>
      <c r="D25" s="16" t="s">
        <v>232</v>
      </c>
      <c r="E25" s="16" t="s">
        <v>193</v>
      </c>
      <c r="F25" s="16" t="s">
        <v>194</v>
      </c>
      <c r="G25" s="16" t="s">
        <v>89</v>
      </c>
      <c r="H25" s="16" t="s">
        <v>90</v>
      </c>
      <c r="I25" s="16" t="s">
        <v>56</v>
      </c>
      <c r="J25" s="16" t="s">
        <v>191</v>
      </c>
      <c r="K25" s="18">
        <v>2053.13</v>
      </c>
      <c r="L25" s="18">
        <v>1091.54</v>
      </c>
      <c r="M25" s="19">
        <v>2</v>
      </c>
      <c r="N25" s="20">
        <v>0.1</v>
      </c>
      <c r="O25" s="19" t="s">
        <v>25</v>
      </c>
      <c r="P25" s="19" t="s">
        <v>58</v>
      </c>
      <c r="Q25" s="19" t="str">
        <f>TRIM(SalesData[[#This Row],[Customer_Name]])</f>
        <v>Vikas Yadav</v>
      </c>
      <c r="R25" s="21">
        <f>SalesData[[#This Row],[Sales]]-SalesData[[#This Row],[Cost]]</f>
        <v>961.59000000000015</v>
      </c>
      <c r="S25" s="22">
        <f>IFERROR(SalesData[[#This Row],[Profit]]/SalesData[[#This Row],[Sales]],0)</f>
        <v>0.46835319731337038</v>
      </c>
      <c r="T25" s="19">
        <f>YEAR(SalesData[[#This Row],[Order_Date]])</f>
        <v>2025</v>
      </c>
      <c r="U25" s="19" t="str">
        <f>TEXT(SalesData[[#This Row],[Order_Date]],"mmm")</f>
        <v>May</v>
      </c>
      <c r="V25" s="19" t="str">
        <f>"Q"&amp;ROUNDUP(MONTH(SalesData[[#This Row],[Order_Date]])/3,0)</f>
        <v>Q2</v>
      </c>
      <c r="W25" s="19" t="str">
        <f>IF(SalesData[[#This Row],[Sales]]&gt;=50000,"High",IF(AND(SalesData[[#This Row],[Sales]]&gt;= 20000, SalesData[[#This Row],[Sales]]&lt; 50000),"Medium","Low"))</f>
        <v>Low</v>
      </c>
      <c r="X25" s="19" t="str">
        <f>IF(SalesData[[#This Row],[Profit]]&gt;0,"Profit","Loss")</f>
        <v>Profit</v>
      </c>
      <c r="Y25" s="19" t="str">
        <f>IF(AND(SalesData[[#This Row],[Sales]]&gt;= 50000, SalesData[[#This Row],[Quantity]]&gt;=2),"Yes","No")</f>
        <v>No</v>
      </c>
      <c r="Z25" s="19" t="str">
        <f>UPPER(SalesData[[#This Row],[Customer_Name]])</f>
        <v>VIKAS YADAV</v>
      </c>
      <c r="AA25" s="19" t="str">
        <f>LOWER(SalesData[[#This Row],[Customer_Name]])</f>
        <v>vikas yadav</v>
      </c>
      <c r="AB25" s="19">
        <f>LEN(SalesData[[#This Row],[Customer_Name]])</f>
        <v>11</v>
      </c>
      <c r="AC25" s="19" t="str">
        <f>LEFT(SalesData[[#This Row],[Order_ID]],3)</f>
        <v>ORD</v>
      </c>
      <c r="AD25" s="19" t="str">
        <f>RIGHT(SalesData[[#This Row],[Order_ID]],4)</f>
        <v>0155</v>
      </c>
      <c r="AE25" s="19" t="str">
        <f>_xlfn.CONCAT(SalesData[[#This Row],[Clean_Customer_Name]],"-",SalesData[[#This Row],[Region]])</f>
        <v>Vikas Yadav-West</v>
      </c>
      <c r="AF25" s="19" t="str">
        <f>MID(SalesData[[#This Row],[Order_ID]],4,4)</f>
        <v>0155</v>
      </c>
      <c r="AG25" s="19" t="e">
        <f ca="1">_xlfn.SINGLE(_xlfn.XLOOKUP(SalesData[[#This Row],[Product]],Product_Master!A:A,Product_Master!B:B,"Not Found"))</f>
        <v>#NAME?</v>
      </c>
      <c r="AH25" s="19" t="str">
        <f>VLOOKUP(SalesData[[#This Row],[Product]],Product_Master!$A$1:$B$21,2,FALSE)</f>
        <v>Simran</v>
      </c>
      <c r="AI25" s="16"/>
    </row>
    <row r="26" spans="1:37" ht="13.8">
      <c r="A26" s="16" t="s">
        <v>514</v>
      </c>
      <c r="B26" s="17">
        <v>45425</v>
      </c>
      <c r="C26" s="16" t="s">
        <v>231</v>
      </c>
      <c r="D26" s="16" t="s">
        <v>232</v>
      </c>
      <c r="E26" s="16" t="s">
        <v>193</v>
      </c>
      <c r="F26" s="16" t="s">
        <v>194</v>
      </c>
      <c r="G26" s="16" t="s">
        <v>89</v>
      </c>
      <c r="H26" s="16" t="s">
        <v>90</v>
      </c>
      <c r="I26" s="16" t="s">
        <v>84</v>
      </c>
      <c r="J26" s="16" t="s">
        <v>85</v>
      </c>
      <c r="K26" s="18">
        <v>4596.8599999999997</v>
      </c>
      <c r="L26" s="18">
        <v>1565.07</v>
      </c>
      <c r="M26" s="19">
        <v>3</v>
      </c>
      <c r="N26" s="20">
        <v>0.1</v>
      </c>
      <c r="O26" s="19" t="s">
        <v>25</v>
      </c>
      <c r="P26" s="19" t="s">
        <v>58</v>
      </c>
      <c r="Q26" s="19" t="str">
        <f>TRIM(SalesData[[#This Row],[Customer_Name]])</f>
        <v>Vikas Yadav</v>
      </c>
      <c r="R26" s="21">
        <f>SalesData[[#This Row],[Sales]]-SalesData[[#This Row],[Cost]]</f>
        <v>3031.79</v>
      </c>
      <c r="S26" s="22">
        <f>IFERROR(SalesData[[#This Row],[Profit]]/SalesData[[#This Row],[Sales]],0)</f>
        <v>0.6595349869258581</v>
      </c>
      <c r="T26" s="19">
        <f>YEAR(SalesData[[#This Row],[Order_Date]])</f>
        <v>2024</v>
      </c>
      <c r="U26" s="19" t="str">
        <f>TEXT(SalesData[[#This Row],[Order_Date]],"mmm")</f>
        <v>May</v>
      </c>
      <c r="V26" s="19" t="str">
        <f>"Q"&amp;ROUNDUP(MONTH(SalesData[[#This Row],[Order_Date]])/3,0)</f>
        <v>Q2</v>
      </c>
      <c r="W26" s="19" t="str">
        <f>IF(SalesData[[#This Row],[Sales]]&gt;=50000,"High",IF(AND(SalesData[[#This Row],[Sales]]&gt;= 20000, SalesData[[#This Row],[Sales]]&lt; 50000),"Medium","Low"))</f>
        <v>Low</v>
      </c>
      <c r="X26" s="19" t="str">
        <f>IF(SalesData[[#This Row],[Profit]]&gt;0,"Profit","Loss")</f>
        <v>Profit</v>
      </c>
      <c r="Y26" s="19" t="str">
        <f>IF(AND(SalesData[[#This Row],[Sales]]&gt;= 50000, SalesData[[#This Row],[Quantity]]&gt;=2),"Yes","No")</f>
        <v>No</v>
      </c>
      <c r="Z26" s="19" t="str">
        <f>UPPER(SalesData[[#This Row],[Customer_Name]])</f>
        <v>VIKAS YADAV</v>
      </c>
      <c r="AA26" s="19" t="str">
        <f>LOWER(SalesData[[#This Row],[Customer_Name]])</f>
        <v>vikas yadav</v>
      </c>
      <c r="AB26" s="19">
        <f>LEN(SalesData[[#This Row],[Customer_Name]])</f>
        <v>11</v>
      </c>
      <c r="AC26" s="19" t="str">
        <f>LEFT(SalesData[[#This Row],[Order_ID]],3)</f>
        <v>ORD</v>
      </c>
      <c r="AD26" s="19" t="str">
        <f>RIGHT(SalesData[[#This Row],[Order_ID]],4)</f>
        <v>0361</v>
      </c>
      <c r="AE26" s="19" t="str">
        <f>_xlfn.CONCAT(SalesData[[#This Row],[Clean_Customer_Name]],"-",SalesData[[#This Row],[Region]])</f>
        <v>Vikas Yadav-South</v>
      </c>
      <c r="AF26" s="19" t="str">
        <f>MID(SalesData[[#This Row],[Order_ID]],4,4)</f>
        <v>0361</v>
      </c>
      <c r="AG26" s="19" t="e">
        <f ca="1">_xlfn.SINGLE(_xlfn.XLOOKUP(SalesData[[#This Row],[Product]],Product_Master!A:A,Product_Master!B:B,"Not Found"))</f>
        <v>#NAME?</v>
      </c>
      <c r="AH26" s="19" t="str">
        <f>VLOOKUP(SalesData[[#This Row],[Product]],Product_Master!$A$1:$B$21,2,FALSE)</f>
        <v>Simran</v>
      </c>
      <c r="AI26" s="16"/>
    </row>
    <row r="27" spans="1:37" ht="13.8">
      <c r="A27" s="16" t="s">
        <v>938</v>
      </c>
      <c r="B27" s="17">
        <v>45357</v>
      </c>
      <c r="C27" s="16" t="s">
        <v>231</v>
      </c>
      <c r="D27" s="16" t="s">
        <v>232</v>
      </c>
      <c r="E27" s="16" t="s">
        <v>193</v>
      </c>
      <c r="F27" s="16" t="s">
        <v>194</v>
      </c>
      <c r="G27" s="16" t="s">
        <v>89</v>
      </c>
      <c r="H27" s="16" t="s">
        <v>90</v>
      </c>
      <c r="I27" s="16" t="s">
        <v>84</v>
      </c>
      <c r="J27" s="16" t="s">
        <v>142</v>
      </c>
      <c r="K27" s="18">
        <v>5624.04</v>
      </c>
      <c r="L27" s="18">
        <v>2158.7199999999998</v>
      </c>
      <c r="M27" s="19">
        <v>4</v>
      </c>
      <c r="N27" s="20">
        <v>0</v>
      </c>
      <c r="O27" s="19" t="s">
        <v>136</v>
      </c>
      <c r="P27" s="19" t="s">
        <v>58</v>
      </c>
      <c r="Q27" s="19" t="str">
        <f>TRIM(SalesData[[#This Row],[Customer_Name]])</f>
        <v>Vikas Yadav</v>
      </c>
      <c r="R27" s="21">
        <f>SalesData[[#This Row],[Sales]]-SalesData[[#This Row],[Cost]]</f>
        <v>3465.32</v>
      </c>
      <c r="S27" s="22">
        <f>IFERROR(SalesData[[#This Row],[Profit]]/SalesData[[#This Row],[Sales]],0)</f>
        <v>0.61616204721161305</v>
      </c>
      <c r="T27" s="19">
        <f>YEAR(SalesData[[#This Row],[Order_Date]])</f>
        <v>2024</v>
      </c>
      <c r="U27" s="19" t="str">
        <f>TEXT(SalesData[[#This Row],[Order_Date]],"mmm")</f>
        <v>Mar</v>
      </c>
      <c r="V27" s="19" t="str">
        <f>"Q"&amp;ROUNDUP(MONTH(SalesData[[#This Row],[Order_Date]])/3,0)</f>
        <v>Q1</v>
      </c>
      <c r="W27" s="19" t="str">
        <f>IF(SalesData[[#This Row],[Sales]]&gt;=50000,"High",IF(AND(SalesData[[#This Row],[Sales]]&gt;= 20000, SalesData[[#This Row],[Sales]]&lt; 50000),"Medium","Low"))</f>
        <v>Low</v>
      </c>
      <c r="X27" s="19" t="str">
        <f>IF(SalesData[[#This Row],[Profit]]&gt;0,"Profit","Loss")</f>
        <v>Profit</v>
      </c>
      <c r="Y27" s="19" t="str">
        <f>IF(AND(SalesData[[#This Row],[Sales]]&gt;= 50000, SalesData[[#This Row],[Quantity]]&gt;=2),"Yes","No")</f>
        <v>No</v>
      </c>
      <c r="Z27" s="19" t="str">
        <f>UPPER(SalesData[[#This Row],[Customer_Name]])</f>
        <v>VIKAS YADAV</v>
      </c>
      <c r="AA27" s="19" t="str">
        <f>LOWER(SalesData[[#This Row],[Customer_Name]])</f>
        <v>vikas yadav</v>
      </c>
      <c r="AB27" s="19">
        <f>LEN(SalesData[[#This Row],[Customer_Name]])</f>
        <v>11</v>
      </c>
      <c r="AC27" s="19" t="str">
        <f>LEFT(SalesData[[#This Row],[Order_ID]],3)</f>
        <v>ORD</v>
      </c>
      <c r="AD27" s="19" t="str">
        <f>RIGHT(SalesData[[#This Row],[Order_ID]],4)</f>
        <v>0785</v>
      </c>
      <c r="AE27" s="19" t="str">
        <f>_xlfn.CONCAT(SalesData[[#This Row],[Clean_Customer_Name]],"-",SalesData[[#This Row],[Region]])</f>
        <v>Vikas Yadav-South</v>
      </c>
      <c r="AF27" s="19" t="str">
        <f>MID(SalesData[[#This Row],[Order_ID]],4,4)</f>
        <v>0785</v>
      </c>
      <c r="AG27" s="19" t="e">
        <f ca="1">_xlfn.SINGLE(_xlfn.XLOOKUP(SalesData[[#This Row],[Product]],Product_Master!A:A,Product_Master!B:B,"Not Found"))</f>
        <v>#NAME?</v>
      </c>
      <c r="AH27" s="19" t="str">
        <f>VLOOKUP(SalesData[[#This Row],[Product]],Product_Master!$A$1:$B$21,2,FALSE)</f>
        <v>Simran</v>
      </c>
      <c r="AI27" s="16"/>
    </row>
    <row r="28" spans="1:37" ht="13.8">
      <c r="A28" s="16" t="s">
        <v>525</v>
      </c>
      <c r="B28" s="17">
        <v>45961</v>
      </c>
      <c r="C28" s="16" t="s">
        <v>60</v>
      </c>
      <c r="D28" s="16" t="s">
        <v>61</v>
      </c>
      <c r="E28" s="16" t="s">
        <v>30</v>
      </c>
      <c r="F28" s="16" t="s">
        <v>31</v>
      </c>
      <c r="G28" s="16" t="s">
        <v>21</v>
      </c>
      <c r="H28" s="16" t="s">
        <v>32</v>
      </c>
      <c r="I28" s="16" t="s">
        <v>56</v>
      </c>
      <c r="J28" s="16" t="s">
        <v>91</v>
      </c>
      <c r="K28" s="18">
        <v>117280.82</v>
      </c>
      <c r="L28" s="18">
        <v>98060.5</v>
      </c>
      <c r="M28" s="19">
        <v>2</v>
      </c>
      <c r="N28" s="20">
        <v>0</v>
      </c>
      <c r="O28" s="19" t="s">
        <v>25</v>
      </c>
      <c r="P28" s="19" t="s">
        <v>77</v>
      </c>
      <c r="Q28" s="19" t="str">
        <f>TRIM(SalesData[[#This Row],[Customer_Name]])</f>
        <v>Varun Kapoor</v>
      </c>
      <c r="R28" s="21">
        <f>SalesData[[#This Row],[Sales]]-SalesData[[#This Row],[Cost]]</f>
        <v>19220.320000000007</v>
      </c>
      <c r="S28" s="22">
        <f>IFERROR(SalesData[[#This Row],[Profit]]/SalesData[[#This Row],[Sales]],0)</f>
        <v>0.16388289236040476</v>
      </c>
      <c r="T28" s="19">
        <f>YEAR(SalesData[[#This Row],[Order_Date]])</f>
        <v>2025</v>
      </c>
      <c r="U28" s="19" t="str">
        <f>TEXT(SalesData[[#This Row],[Order_Date]],"mmm")</f>
        <v>Oct</v>
      </c>
      <c r="V28" s="19" t="str">
        <f>"Q"&amp;ROUNDUP(MONTH(SalesData[[#This Row],[Order_Date]])/3,0)</f>
        <v>Q4</v>
      </c>
      <c r="W28" s="19" t="str">
        <f>IF(SalesData[[#This Row],[Sales]]&gt;=50000,"High",IF(AND(SalesData[[#This Row],[Sales]]&gt;= 20000, SalesData[[#This Row],[Sales]]&lt; 50000),"Medium","Low"))</f>
        <v>High</v>
      </c>
      <c r="X28" s="19" t="str">
        <f>IF(SalesData[[#This Row],[Profit]]&gt;0,"Profit","Loss")</f>
        <v>Profit</v>
      </c>
      <c r="Y28" s="19" t="str">
        <f>IF(AND(SalesData[[#This Row],[Sales]]&gt;= 50000, SalesData[[#This Row],[Quantity]]&gt;=2),"Yes","No")</f>
        <v>Yes</v>
      </c>
      <c r="Z28" s="19" t="str">
        <f>UPPER(SalesData[[#This Row],[Customer_Name]])</f>
        <v>VARUN KAPOOR</v>
      </c>
      <c r="AA28" s="19" t="str">
        <f>LOWER(SalesData[[#This Row],[Customer_Name]])</f>
        <v>varun kapoor</v>
      </c>
      <c r="AB28" s="19">
        <f>LEN(SalesData[[#This Row],[Customer_Name]])</f>
        <v>12</v>
      </c>
      <c r="AC28" s="19" t="str">
        <f>LEFT(SalesData[[#This Row],[Order_ID]],3)</f>
        <v>ORD</v>
      </c>
      <c r="AD28" s="19" t="str">
        <f>RIGHT(SalesData[[#This Row],[Order_ID]],4)</f>
        <v>0372</v>
      </c>
      <c r="AE28" s="19" t="str">
        <f>_xlfn.CONCAT(SalesData[[#This Row],[Clean_Customer_Name]],"-",SalesData[[#This Row],[Region]])</f>
        <v>Varun Kapoor-West</v>
      </c>
      <c r="AF28" s="19" t="str">
        <f>MID(SalesData[[#This Row],[Order_ID]],4,4)</f>
        <v>0372</v>
      </c>
      <c r="AG28" s="19" t="e">
        <f ca="1">_xlfn.SINGLE(_xlfn.XLOOKUP(SalesData[[#This Row],[Product]],Product_Master!A:A,Product_Master!B:B,"Not Found"))</f>
        <v>#NAME?</v>
      </c>
      <c r="AH28" s="19" t="str">
        <f>VLOOKUP(SalesData[[#This Row],[Product]],Product_Master!$A$1:$B$21,2,FALSE)</f>
        <v>Rahul</v>
      </c>
      <c r="AI28" s="16"/>
    </row>
    <row r="29" spans="1:37" ht="13.8">
      <c r="A29" s="16" t="s">
        <v>1151</v>
      </c>
      <c r="B29" s="17">
        <v>45626</v>
      </c>
      <c r="C29" s="16" t="s">
        <v>60</v>
      </c>
      <c r="D29" s="16" t="s">
        <v>61</v>
      </c>
      <c r="E29" s="16" t="s">
        <v>30</v>
      </c>
      <c r="F29" s="16" t="s">
        <v>31</v>
      </c>
      <c r="G29" s="16" t="s">
        <v>21</v>
      </c>
      <c r="H29" s="16" t="s">
        <v>32</v>
      </c>
      <c r="I29" s="16" t="s">
        <v>23</v>
      </c>
      <c r="J29" s="16" t="s">
        <v>75</v>
      </c>
      <c r="K29" s="18">
        <v>202453.31</v>
      </c>
      <c r="L29" s="18">
        <v>202226.24</v>
      </c>
      <c r="M29" s="19">
        <v>4</v>
      </c>
      <c r="N29" s="20">
        <v>0.1</v>
      </c>
      <c r="O29" s="19" t="s">
        <v>136</v>
      </c>
      <c r="P29" s="19" t="s">
        <v>58</v>
      </c>
      <c r="Q29" s="19" t="str">
        <f>TRIM(SalesData[[#This Row],[Customer_Name]])</f>
        <v>Varun Kapoor</v>
      </c>
      <c r="R29" s="21">
        <f>SalesData[[#This Row],[Sales]]-SalesData[[#This Row],[Cost]]</f>
        <v>227.07000000000698</v>
      </c>
      <c r="S29" s="22">
        <f>IFERROR(SalesData[[#This Row],[Profit]]/SalesData[[#This Row],[Sales]],0)</f>
        <v>1.1215919364321925E-3</v>
      </c>
      <c r="T29" s="19">
        <f>YEAR(SalesData[[#This Row],[Order_Date]])</f>
        <v>2024</v>
      </c>
      <c r="U29" s="19" t="str">
        <f>TEXT(SalesData[[#This Row],[Order_Date]],"mmm")</f>
        <v>Nov</v>
      </c>
      <c r="V29" s="19" t="str">
        <f>"Q"&amp;ROUNDUP(MONTH(SalesData[[#This Row],[Order_Date]])/3,0)</f>
        <v>Q4</v>
      </c>
      <c r="W29" s="19" t="str">
        <f>IF(SalesData[[#This Row],[Sales]]&gt;=50000,"High",IF(AND(SalesData[[#This Row],[Sales]]&gt;= 20000, SalesData[[#This Row],[Sales]]&lt; 50000),"Medium","Low"))</f>
        <v>High</v>
      </c>
      <c r="X29" s="19" t="str">
        <f>IF(SalesData[[#This Row],[Profit]]&gt;0,"Profit","Loss")</f>
        <v>Profit</v>
      </c>
      <c r="Y29" s="19" t="str">
        <f>IF(AND(SalesData[[#This Row],[Sales]]&gt;= 50000, SalesData[[#This Row],[Quantity]]&gt;=2),"Yes","No")</f>
        <v>Yes</v>
      </c>
      <c r="Z29" s="19" t="str">
        <f>UPPER(SalesData[[#This Row],[Customer_Name]])</f>
        <v>VARUN KAPOOR</v>
      </c>
      <c r="AA29" s="19" t="str">
        <f>LOWER(SalesData[[#This Row],[Customer_Name]])</f>
        <v>varun kapoor</v>
      </c>
      <c r="AB29" s="19">
        <f>LEN(SalesData[[#This Row],[Customer_Name]])</f>
        <v>12</v>
      </c>
      <c r="AC29" s="19" t="str">
        <f>LEFT(SalesData[[#This Row],[Order_ID]],3)</f>
        <v>ORD</v>
      </c>
      <c r="AD29" s="19" t="str">
        <f>RIGHT(SalesData[[#This Row],[Order_ID]],4)</f>
        <v>0998</v>
      </c>
      <c r="AE29" s="19" t="str">
        <f>_xlfn.CONCAT(SalesData[[#This Row],[Clean_Customer_Name]],"-",SalesData[[#This Row],[Region]])</f>
        <v>Varun Kapoor-North</v>
      </c>
      <c r="AF29" s="19" t="str">
        <f>MID(SalesData[[#This Row],[Order_ID]],4,4)</f>
        <v>0998</v>
      </c>
      <c r="AG29" s="19" t="e">
        <f ca="1">_xlfn.SINGLE(_xlfn.XLOOKUP(SalesData[[#This Row],[Product]],Product_Master!A:A,Product_Master!B:B,"Not Found"))</f>
        <v>#NAME?</v>
      </c>
      <c r="AH29" s="19" t="str">
        <f>VLOOKUP(SalesData[[#This Row],[Product]],Product_Master!$A$1:$B$21,2,FALSE)</f>
        <v>Rahul</v>
      </c>
      <c r="AI29" s="16"/>
    </row>
    <row r="30" spans="1:37" ht="13.8">
      <c r="A30" s="16" t="s">
        <v>712</v>
      </c>
      <c r="B30" s="17">
        <v>45923</v>
      </c>
      <c r="C30" s="16" t="s">
        <v>60</v>
      </c>
      <c r="D30" s="16" t="s">
        <v>61</v>
      </c>
      <c r="E30" s="16" t="s">
        <v>81</v>
      </c>
      <c r="F30" s="16" t="s">
        <v>82</v>
      </c>
      <c r="G30" s="16" t="s">
        <v>21</v>
      </c>
      <c r="H30" s="16" t="s">
        <v>83</v>
      </c>
      <c r="I30" s="16" t="s">
        <v>53</v>
      </c>
      <c r="J30" s="16" t="s">
        <v>102</v>
      </c>
      <c r="K30" s="18">
        <v>83853.95</v>
      </c>
      <c r="L30" s="18">
        <v>54313.41</v>
      </c>
      <c r="M30" s="19">
        <v>3</v>
      </c>
      <c r="N30" s="20">
        <v>0.1</v>
      </c>
      <c r="O30" s="19" t="s">
        <v>25</v>
      </c>
      <c r="P30" s="19" t="s">
        <v>58</v>
      </c>
      <c r="Q30" s="19" t="str">
        <f>TRIM(SalesData[[#This Row],[Customer_Name]])</f>
        <v>Varun Kapoor</v>
      </c>
      <c r="R30" s="21">
        <f>SalesData[[#This Row],[Sales]]-SalesData[[#This Row],[Cost]]</f>
        <v>29540.539999999994</v>
      </c>
      <c r="S30" s="22">
        <f>IFERROR(SalesData[[#This Row],[Profit]]/SalesData[[#This Row],[Sales]],0)</f>
        <v>0.35228561087462185</v>
      </c>
      <c r="T30" s="19">
        <f>YEAR(SalesData[[#This Row],[Order_Date]])</f>
        <v>2025</v>
      </c>
      <c r="U30" s="19" t="str">
        <f>TEXT(SalesData[[#This Row],[Order_Date]],"mmm")</f>
        <v>Sept</v>
      </c>
      <c r="V30" s="19" t="str">
        <f>"Q"&amp;ROUNDUP(MONTH(SalesData[[#This Row],[Order_Date]])/3,0)</f>
        <v>Q3</v>
      </c>
      <c r="W30" s="19" t="str">
        <f>IF(SalesData[[#This Row],[Sales]]&gt;=50000,"High",IF(AND(SalesData[[#This Row],[Sales]]&gt;= 20000, SalesData[[#This Row],[Sales]]&lt; 50000),"Medium","Low"))</f>
        <v>High</v>
      </c>
      <c r="X30" s="19" t="str">
        <f>IF(SalesData[[#This Row],[Profit]]&gt;0,"Profit","Loss")</f>
        <v>Profit</v>
      </c>
      <c r="Y30" s="19" t="str">
        <f>IF(AND(SalesData[[#This Row],[Sales]]&gt;= 50000, SalesData[[#This Row],[Quantity]]&gt;=2),"Yes","No")</f>
        <v>Yes</v>
      </c>
      <c r="Z30" s="19" t="str">
        <f>UPPER(SalesData[[#This Row],[Customer_Name]])</f>
        <v>VARUN KAPOOR</v>
      </c>
      <c r="AA30" s="19" t="str">
        <f>LOWER(SalesData[[#This Row],[Customer_Name]])</f>
        <v>varun kapoor</v>
      </c>
      <c r="AB30" s="19">
        <f>LEN(SalesData[[#This Row],[Customer_Name]])</f>
        <v>12</v>
      </c>
      <c r="AC30" s="19" t="str">
        <f>LEFT(SalesData[[#This Row],[Order_ID]],3)</f>
        <v>ORD</v>
      </c>
      <c r="AD30" s="19" t="str">
        <f>RIGHT(SalesData[[#This Row],[Order_ID]],4)</f>
        <v>0559</v>
      </c>
      <c r="AE30" s="19" t="str">
        <f>_xlfn.CONCAT(SalesData[[#This Row],[Clean_Customer_Name]],"-",SalesData[[#This Row],[Region]])</f>
        <v>Varun Kapoor-Central</v>
      </c>
      <c r="AF30" s="19" t="str">
        <f>MID(SalesData[[#This Row],[Order_ID]],4,4)</f>
        <v>0559</v>
      </c>
      <c r="AG30" s="19" t="e">
        <f ca="1">_xlfn.SINGLE(_xlfn.XLOOKUP(SalesData[[#This Row],[Product]],Product_Master!A:A,Product_Master!B:B,"Not Found"))</f>
        <v>#NAME?</v>
      </c>
      <c r="AH30" s="19" t="str">
        <f>VLOOKUP(SalesData[[#This Row],[Product]],Product_Master!$A$1:$B$21,2,FALSE)</f>
        <v>Priya</v>
      </c>
      <c r="AI30" s="16"/>
    </row>
    <row r="31" spans="1:37" ht="13.8">
      <c r="A31" s="16" t="s">
        <v>778</v>
      </c>
      <c r="B31" s="17">
        <v>45715</v>
      </c>
      <c r="C31" s="16" t="s">
        <v>60</v>
      </c>
      <c r="D31" s="16" t="s">
        <v>61</v>
      </c>
      <c r="E31" s="16" t="s">
        <v>81</v>
      </c>
      <c r="F31" s="16" t="s">
        <v>82</v>
      </c>
      <c r="G31" s="16" t="s">
        <v>21</v>
      </c>
      <c r="H31" s="16" t="s">
        <v>83</v>
      </c>
      <c r="I31" s="16" t="s">
        <v>84</v>
      </c>
      <c r="J31" s="16" t="s">
        <v>142</v>
      </c>
      <c r="K31" s="18">
        <v>20133.62</v>
      </c>
      <c r="L31" s="18">
        <v>17989.400000000001</v>
      </c>
      <c r="M31" s="19">
        <v>1</v>
      </c>
      <c r="N31" s="20">
        <v>0.15</v>
      </c>
      <c r="O31" s="19" t="s">
        <v>44</v>
      </c>
      <c r="P31" s="19" t="s">
        <v>58</v>
      </c>
      <c r="Q31" s="19" t="str">
        <f>TRIM(SalesData[[#This Row],[Customer_Name]])</f>
        <v>Varun Kapoor</v>
      </c>
      <c r="R31" s="21">
        <f>SalesData[[#This Row],[Sales]]-SalesData[[#This Row],[Cost]]</f>
        <v>2144.2199999999975</v>
      </c>
      <c r="S31" s="22">
        <f>IFERROR(SalesData[[#This Row],[Profit]]/SalesData[[#This Row],[Sales]],0)</f>
        <v>0.10649947699420162</v>
      </c>
      <c r="T31" s="19">
        <f>YEAR(SalesData[[#This Row],[Order_Date]])</f>
        <v>2025</v>
      </c>
      <c r="U31" s="19" t="str">
        <f>TEXT(SalesData[[#This Row],[Order_Date]],"mmm")</f>
        <v>Feb</v>
      </c>
      <c r="V31" s="19" t="str">
        <f>"Q"&amp;ROUNDUP(MONTH(SalesData[[#This Row],[Order_Date]])/3,0)</f>
        <v>Q1</v>
      </c>
      <c r="W31" s="19" t="str">
        <f>IF(SalesData[[#This Row],[Sales]]&gt;=50000,"High",IF(AND(SalesData[[#This Row],[Sales]]&gt;= 20000, SalesData[[#This Row],[Sales]]&lt; 50000),"Medium","Low"))</f>
        <v>Medium</v>
      </c>
      <c r="X31" s="19" t="str">
        <f>IF(SalesData[[#This Row],[Profit]]&gt;0,"Profit","Loss")</f>
        <v>Profit</v>
      </c>
      <c r="Y31" s="19" t="str">
        <f>IF(AND(SalesData[[#This Row],[Sales]]&gt;= 50000, SalesData[[#This Row],[Quantity]]&gt;=2),"Yes","No")</f>
        <v>No</v>
      </c>
      <c r="Z31" s="19" t="str">
        <f>UPPER(SalesData[[#This Row],[Customer_Name]])</f>
        <v>VARUN KAPOOR</v>
      </c>
      <c r="AA31" s="19" t="str">
        <f>LOWER(SalesData[[#This Row],[Customer_Name]])</f>
        <v>varun kapoor</v>
      </c>
      <c r="AB31" s="19">
        <f>LEN(SalesData[[#This Row],[Customer_Name]])</f>
        <v>12</v>
      </c>
      <c r="AC31" s="19" t="str">
        <f>LEFT(SalesData[[#This Row],[Order_ID]],3)</f>
        <v>ORD</v>
      </c>
      <c r="AD31" s="19" t="str">
        <f>RIGHT(SalesData[[#This Row],[Order_ID]],4)</f>
        <v>0625</v>
      </c>
      <c r="AE31" s="19" t="str">
        <f>_xlfn.CONCAT(SalesData[[#This Row],[Clean_Customer_Name]],"-",SalesData[[#This Row],[Region]])</f>
        <v>Varun Kapoor-South</v>
      </c>
      <c r="AF31" s="19" t="str">
        <f>MID(SalesData[[#This Row],[Order_ID]],4,4)</f>
        <v>0625</v>
      </c>
      <c r="AG31" s="19" t="e">
        <f ca="1">_xlfn.SINGLE(_xlfn.XLOOKUP(SalesData[[#This Row],[Product]],Product_Master!A:A,Product_Master!B:B,"Not Found"))</f>
        <v>#NAME?</v>
      </c>
      <c r="AH31" s="19" t="str">
        <f>VLOOKUP(SalesData[[#This Row],[Product]],Product_Master!$A$1:$B$21,2,FALSE)</f>
        <v>Priya</v>
      </c>
      <c r="AI31" s="16"/>
    </row>
    <row r="32" spans="1:37" ht="13.8">
      <c r="A32" s="16" t="s">
        <v>998</v>
      </c>
      <c r="B32" s="17">
        <v>45760</v>
      </c>
      <c r="C32" s="16" t="s">
        <v>60</v>
      </c>
      <c r="D32" s="16" t="s">
        <v>61</v>
      </c>
      <c r="E32" s="16" t="s">
        <v>81</v>
      </c>
      <c r="F32" s="16" t="s">
        <v>82</v>
      </c>
      <c r="G32" s="16" t="s">
        <v>21</v>
      </c>
      <c r="H32" s="16" t="s">
        <v>83</v>
      </c>
      <c r="I32" s="16" t="s">
        <v>56</v>
      </c>
      <c r="J32" s="16" t="s">
        <v>191</v>
      </c>
      <c r="K32" s="18">
        <v>25407.78</v>
      </c>
      <c r="L32" s="18">
        <v>19708.78</v>
      </c>
      <c r="M32" s="19">
        <v>1</v>
      </c>
      <c r="N32" s="20">
        <v>0.2</v>
      </c>
      <c r="O32" s="19" t="s">
        <v>25</v>
      </c>
      <c r="P32" s="19" t="s">
        <v>58</v>
      </c>
      <c r="Q32" s="19" t="str">
        <f>TRIM(SalesData[[#This Row],[Customer_Name]])</f>
        <v>Varun Kapoor</v>
      </c>
      <c r="R32" s="21">
        <f>SalesData[[#This Row],[Sales]]-SalesData[[#This Row],[Cost]]</f>
        <v>5699</v>
      </c>
      <c r="S32" s="22">
        <f>IFERROR(SalesData[[#This Row],[Profit]]/SalesData[[#This Row],[Sales]],0)</f>
        <v>0.22430137540548606</v>
      </c>
      <c r="T32" s="19">
        <f>YEAR(SalesData[[#This Row],[Order_Date]])</f>
        <v>2025</v>
      </c>
      <c r="U32" s="19" t="str">
        <f>TEXT(SalesData[[#This Row],[Order_Date]],"mmm")</f>
        <v>Apr</v>
      </c>
      <c r="V32" s="19" t="str">
        <f>"Q"&amp;ROUNDUP(MONTH(SalesData[[#This Row],[Order_Date]])/3,0)</f>
        <v>Q2</v>
      </c>
      <c r="W32" s="19" t="str">
        <f>IF(SalesData[[#This Row],[Sales]]&gt;=50000,"High",IF(AND(SalesData[[#This Row],[Sales]]&gt;= 20000, SalesData[[#This Row],[Sales]]&lt; 50000),"Medium","Low"))</f>
        <v>Medium</v>
      </c>
      <c r="X32" s="19" t="str">
        <f>IF(SalesData[[#This Row],[Profit]]&gt;0,"Profit","Loss")</f>
        <v>Profit</v>
      </c>
      <c r="Y32" s="19" t="str">
        <f>IF(AND(SalesData[[#This Row],[Sales]]&gt;= 50000, SalesData[[#This Row],[Quantity]]&gt;=2),"Yes","No")</f>
        <v>No</v>
      </c>
      <c r="Z32" s="19" t="str">
        <f>UPPER(SalesData[[#This Row],[Customer_Name]])</f>
        <v>VARUN KAPOOR</v>
      </c>
      <c r="AA32" s="19" t="str">
        <f>LOWER(SalesData[[#This Row],[Customer_Name]])</f>
        <v>varun kapoor</v>
      </c>
      <c r="AB32" s="19">
        <f>LEN(SalesData[[#This Row],[Customer_Name]])</f>
        <v>12</v>
      </c>
      <c r="AC32" s="19" t="str">
        <f>LEFT(SalesData[[#This Row],[Order_ID]],3)</f>
        <v>ORD</v>
      </c>
      <c r="AD32" s="19" t="str">
        <f>RIGHT(SalesData[[#This Row],[Order_ID]],4)</f>
        <v>0845</v>
      </c>
      <c r="AE32" s="19" t="str">
        <f>_xlfn.CONCAT(SalesData[[#This Row],[Clean_Customer_Name]],"-",SalesData[[#This Row],[Region]])</f>
        <v>Varun Kapoor-West</v>
      </c>
      <c r="AF32" s="19" t="str">
        <f>MID(SalesData[[#This Row],[Order_ID]],4,4)</f>
        <v>0845</v>
      </c>
      <c r="AG32" s="19" t="e">
        <f ca="1">_xlfn.SINGLE(_xlfn.XLOOKUP(SalesData[[#This Row],[Product]],Product_Master!A:A,Product_Master!B:B,"Not Found"))</f>
        <v>#NAME?</v>
      </c>
      <c r="AH32" s="19" t="str">
        <f>VLOOKUP(SalesData[[#This Row],[Product]],Product_Master!$A$1:$B$21,2,FALSE)</f>
        <v>Priya</v>
      </c>
      <c r="AI32" s="16"/>
    </row>
    <row r="33" spans="1:35" ht="13.8">
      <c r="A33" s="16" t="s">
        <v>59</v>
      </c>
      <c r="B33" s="17">
        <v>45969</v>
      </c>
      <c r="C33" s="16" t="s">
        <v>60</v>
      </c>
      <c r="D33" s="16" t="s">
        <v>61</v>
      </c>
      <c r="E33" s="16" t="s">
        <v>62</v>
      </c>
      <c r="F33" s="16" t="s">
        <v>63</v>
      </c>
      <c r="G33" s="16" t="s">
        <v>21</v>
      </c>
      <c r="H33" s="16" t="s">
        <v>64</v>
      </c>
      <c r="I33" s="16" t="s">
        <v>23</v>
      </c>
      <c r="J33" s="16" t="s">
        <v>24</v>
      </c>
      <c r="K33" s="18">
        <v>12224.09</v>
      </c>
      <c r="L33" s="18">
        <v>3796.6</v>
      </c>
      <c r="M33" s="19">
        <v>2</v>
      </c>
      <c r="N33" s="20">
        <v>0.05</v>
      </c>
      <c r="O33" s="19" t="s">
        <v>25</v>
      </c>
      <c r="P33" s="19" t="s">
        <v>26</v>
      </c>
      <c r="Q33" s="19" t="str">
        <f>TRIM(SalesData[[#This Row],[Customer_Name]])</f>
        <v>Varun Kapoor</v>
      </c>
      <c r="R33" s="21">
        <f>SalesData[[#This Row],[Sales]]-SalesData[[#This Row],[Cost]]</f>
        <v>8427.49</v>
      </c>
      <c r="S33" s="22">
        <f>IFERROR(SalesData[[#This Row],[Profit]]/SalesData[[#This Row],[Sales]],0)</f>
        <v>0.68941655370665622</v>
      </c>
      <c r="T33" s="19">
        <f>YEAR(SalesData[[#This Row],[Order_Date]])</f>
        <v>2025</v>
      </c>
      <c r="U33" s="19" t="str">
        <f>TEXT(SalesData[[#This Row],[Order_Date]],"mmm")</f>
        <v>Nov</v>
      </c>
      <c r="V33" s="19" t="str">
        <f>"Q"&amp;ROUNDUP(MONTH(SalesData[[#This Row],[Order_Date]])/3,0)</f>
        <v>Q4</v>
      </c>
      <c r="W33" s="19" t="str">
        <f>IF(SalesData[[#This Row],[Sales]]&gt;=50000,"High",IF(AND(SalesData[[#This Row],[Sales]]&gt;= 20000, SalesData[[#This Row],[Sales]]&lt; 50000),"Medium","Low"))</f>
        <v>Low</v>
      </c>
      <c r="X33" s="19" t="str">
        <f>IF(SalesData[[#This Row],[Profit]]&gt;0,"Profit","Loss")</f>
        <v>Profit</v>
      </c>
      <c r="Y33" s="19" t="str">
        <f>IF(AND(SalesData[[#This Row],[Sales]]&gt;= 50000, SalesData[[#This Row],[Quantity]]&gt;=2),"Yes","No")</f>
        <v>No</v>
      </c>
      <c r="Z33" s="19" t="str">
        <f>UPPER(SalesData[[#This Row],[Customer_Name]])</f>
        <v>VARUN KAPOOR</v>
      </c>
      <c r="AA33" s="19" t="str">
        <f>LOWER(SalesData[[#This Row],[Customer_Name]])</f>
        <v>varun kapoor</v>
      </c>
      <c r="AB33" s="19">
        <f>LEN(SalesData[[#This Row],[Customer_Name]])</f>
        <v>12</v>
      </c>
      <c r="AC33" s="19" t="str">
        <f>LEFT(SalesData[[#This Row],[Order_ID]],3)</f>
        <v>ORD</v>
      </c>
      <c r="AD33" s="19" t="str">
        <f>RIGHT(SalesData[[#This Row],[Order_ID]],4)</f>
        <v>0006</v>
      </c>
      <c r="AE33" s="19" t="str">
        <f>_xlfn.CONCAT(SalesData[[#This Row],[Clean_Customer_Name]],"-",SalesData[[#This Row],[Region]])</f>
        <v>Varun Kapoor-North</v>
      </c>
      <c r="AF33" s="19" t="str">
        <f>MID(SalesData[[#This Row],[Order_ID]],4,4)</f>
        <v>0006</v>
      </c>
      <c r="AG33" s="19" t="e">
        <f ca="1">_xlfn.SINGLE(_xlfn.XLOOKUP(SalesData[[#This Row],[Product]],Product_Master!A:A,Product_Master!B:B,"Not Found"))</f>
        <v>#NAME?</v>
      </c>
      <c r="AH33" s="19" t="str">
        <f>VLOOKUP(SalesData[[#This Row],[Product]],Product_Master!$A$1:$B$21,2,FALSE)</f>
        <v>Amit</v>
      </c>
      <c r="AI33" s="16"/>
    </row>
    <row r="34" spans="1:35" ht="13.8">
      <c r="A34" s="16" t="s">
        <v>808</v>
      </c>
      <c r="B34" s="17">
        <v>45831</v>
      </c>
      <c r="C34" s="16" t="s">
        <v>60</v>
      </c>
      <c r="D34" s="16" t="s">
        <v>61</v>
      </c>
      <c r="E34" s="16" t="s">
        <v>62</v>
      </c>
      <c r="F34" s="16" t="s">
        <v>63</v>
      </c>
      <c r="G34" s="16" t="s">
        <v>21</v>
      </c>
      <c r="H34" s="16" t="s">
        <v>64</v>
      </c>
      <c r="I34" s="16" t="s">
        <v>23</v>
      </c>
      <c r="J34" s="16" t="s">
        <v>75</v>
      </c>
      <c r="K34" s="18">
        <v>5680.32</v>
      </c>
      <c r="L34" s="18">
        <v>5362.14</v>
      </c>
      <c r="M34" s="19">
        <v>3</v>
      </c>
      <c r="N34" s="20">
        <v>0.2</v>
      </c>
      <c r="O34" s="19" t="s">
        <v>25</v>
      </c>
      <c r="P34" s="19" t="s">
        <v>58</v>
      </c>
      <c r="Q34" s="19" t="str">
        <f>TRIM(SalesData[[#This Row],[Customer_Name]])</f>
        <v>Varun Kapoor</v>
      </c>
      <c r="R34" s="21">
        <f>SalesData[[#This Row],[Sales]]-SalesData[[#This Row],[Cost]]</f>
        <v>318.17999999999938</v>
      </c>
      <c r="S34" s="22">
        <f>IFERROR(SalesData[[#This Row],[Profit]]/SalesData[[#This Row],[Sales]],0)</f>
        <v>5.6014449890146929E-2</v>
      </c>
      <c r="T34" s="19">
        <f>YEAR(SalesData[[#This Row],[Order_Date]])</f>
        <v>2025</v>
      </c>
      <c r="U34" s="19" t="str">
        <f>TEXT(SalesData[[#This Row],[Order_Date]],"mmm")</f>
        <v>Jun</v>
      </c>
      <c r="V34" s="19" t="str">
        <f>"Q"&amp;ROUNDUP(MONTH(SalesData[[#This Row],[Order_Date]])/3,0)</f>
        <v>Q2</v>
      </c>
      <c r="W34" s="19" t="str">
        <f>IF(SalesData[[#This Row],[Sales]]&gt;=50000,"High",IF(AND(SalesData[[#This Row],[Sales]]&gt;= 20000, SalesData[[#This Row],[Sales]]&lt; 50000),"Medium","Low"))</f>
        <v>Low</v>
      </c>
      <c r="X34" s="19" t="str">
        <f>IF(SalesData[[#This Row],[Profit]]&gt;0,"Profit","Loss")</f>
        <v>Profit</v>
      </c>
      <c r="Y34" s="19" t="str">
        <f>IF(AND(SalesData[[#This Row],[Sales]]&gt;= 50000, SalesData[[#This Row],[Quantity]]&gt;=2),"Yes","No")</f>
        <v>No</v>
      </c>
      <c r="Z34" s="19" t="str">
        <f>UPPER(SalesData[[#This Row],[Customer_Name]])</f>
        <v>VARUN KAPOOR</v>
      </c>
      <c r="AA34" s="19" t="str">
        <f>LOWER(SalesData[[#This Row],[Customer_Name]])</f>
        <v>varun kapoor</v>
      </c>
      <c r="AB34" s="19">
        <f>LEN(SalesData[[#This Row],[Customer_Name]])</f>
        <v>12</v>
      </c>
      <c r="AC34" s="19" t="str">
        <f>LEFT(SalesData[[#This Row],[Order_ID]],3)</f>
        <v>ORD</v>
      </c>
      <c r="AD34" s="19" t="str">
        <f>RIGHT(SalesData[[#This Row],[Order_ID]],4)</f>
        <v>0655</v>
      </c>
      <c r="AE34" s="19" t="str">
        <f>_xlfn.CONCAT(SalesData[[#This Row],[Clean_Customer_Name]],"-",SalesData[[#This Row],[Region]])</f>
        <v>Varun Kapoor-North</v>
      </c>
      <c r="AF34" s="19" t="str">
        <f>MID(SalesData[[#This Row],[Order_ID]],4,4)</f>
        <v>0655</v>
      </c>
      <c r="AG34" s="19" t="e">
        <f ca="1">_xlfn.SINGLE(_xlfn.XLOOKUP(SalesData[[#This Row],[Product]],Product_Master!A:A,Product_Master!B:B,"Not Found"))</f>
        <v>#NAME?</v>
      </c>
      <c r="AH34" s="19" t="str">
        <f>VLOOKUP(SalesData[[#This Row],[Product]],Product_Master!$A$1:$B$21,2,FALSE)</f>
        <v>Amit</v>
      </c>
      <c r="AI34" s="16"/>
    </row>
    <row r="35" spans="1:35" ht="13.8">
      <c r="A35" s="16" t="s">
        <v>385</v>
      </c>
      <c r="B35" s="17">
        <v>45594</v>
      </c>
      <c r="C35" s="16" t="s">
        <v>60</v>
      </c>
      <c r="D35" s="16" t="s">
        <v>61</v>
      </c>
      <c r="E35" s="16" t="s">
        <v>19</v>
      </c>
      <c r="F35" s="16" t="s">
        <v>20</v>
      </c>
      <c r="G35" s="16" t="s">
        <v>21</v>
      </c>
      <c r="H35" s="16" t="s">
        <v>22</v>
      </c>
      <c r="I35" s="16" t="s">
        <v>42</v>
      </c>
      <c r="J35" s="16" t="s">
        <v>68</v>
      </c>
      <c r="K35" s="18">
        <v>13098.29</v>
      </c>
      <c r="L35" s="18">
        <v>9206.34</v>
      </c>
      <c r="M35" s="19">
        <v>3</v>
      </c>
      <c r="N35" s="20">
        <v>0.05</v>
      </c>
      <c r="O35" s="19" t="s">
        <v>136</v>
      </c>
      <c r="P35" s="19" t="s">
        <v>58</v>
      </c>
      <c r="Q35" s="19" t="str">
        <f>TRIM(SalesData[[#This Row],[Customer_Name]])</f>
        <v>Varun Kapoor</v>
      </c>
      <c r="R35" s="21">
        <f>SalesData[[#This Row],[Sales]]-SalesData[[#This Row],[Cost]]</f>
        <v>3891.9500000000007</v>
      </c>
      <c r="S35" s="22">
        <f>IFERROR(SalesData[[#This Row],[Profit]]/SalesData[[#This Row],[Sales]],0)</f>
        <v>0.29713420606812035</v>
      </c>
      <c r="T35" s="19">
        <f>YEAR(SalesData[[#This Row],[Order_Date]])</f>
        <v>2024</v>
      </c>
      <c r="U35" s="19" t="str">
        <f>TEXT(SalesData[[#This Row],[Order_Date]],"mmm")</f>
        <v>Oct</v>
      </c>
      <c r="V35" s="19" t="str">
        <f>"Q"&amp;ROUNDUP(MONTH(SalesData[[#This Row],[Order_Date]])/3,0)</f>
        <v>Q4</v>
      </c>
      <c r="W35" s="19" t="str">
        <f>IF(SalesData[[#This Row],[Sales]]&gt;=50000,"High",IF(AND(SalesData[[#This Row],[Sales]]&gt;= 20000, SalesData[[#This Row],[Sales]]&lt; 50000),"Medium","Low"))</f>
        <v>Low</v>
      </c>
      <c r="X35" s="19" t="str">
        <f>IF(SalesData[[#This Row],[Profit]]&gt;0,"Profit","Loss")</f>
        <v>Profit</v>
      </c>
      <c r="Y35" s="19" t="str">
        <f>IF(AND(SalesData[[#This Row],[Sales]]&gt;= 50000, SalesData[[#This Row],[Quantity]]&gt;=2),"Yes","No")</f>
        <v>No</v>
      </c>
      <c r="Z35" s="19" t="str">
        <f>UPPER(SalesData[[#This Row],[Customer_Name]])</f>
        <v>VARUN KAPOOR</v>
      </c>
      <c r="AA35" s="19" t="str">
        <f>LOWER(SalesData[[#This Row],[Customer_Name]])</f>
        <v>varun kapoor</v>
      </c>
      <c r="AB35" s="19">
        <f>LEN(SalesData[[#This Row],[Customer_Name]])</f>
        <v>12</v>
      </c>
      <c r="AC35" s="19" t="str">
        <f>LEFT(SalesData[[#This Row],[Order_ID]],3)</f>
        <v>ORD</v>
      </c>
      <c r="AD35" s="19" t="str">
        <f>RIGHT(SalesData[[#This Row],[Order_ID]],4)</f>
        <v>0232</v>
      </c>
      <c r="AE35" s="19" t="str">
        <f>_xlfn.CONCAT(SalesData[[#This Row],[Clean_Customer_Name]],"-",SalesData[[#This Row],[Region]])</f>
        <v>Varun Kapoor-East</v>
      </c>
      <c r="AF35" s="19" t="str">
        <f>MID(SalesData[[#This Row],[Order_ID]],4,4)</f>
        <v>0232</v>
      </c>
      <c r="AG35" s="19" t="e">
        <f ca="1">_xlfn.SINGLE(_xlfn.XLOOKUP(SalesData[[#This Row],[Product]],Product_Master!A:A,Product_Master!B:B,"Not Found"))</f>
        <v>#NAME?</v>
      </c>
      <c r="AH35" s="19" t="str">
        <f>VLOOKUP(SalesData[[#This Row],[Product]],Product_Master!$A$1:$B$21,2,FALSE)</f>
        <v>Neha</v>
      </c>
      <c r="AI35" s="16"/>
    </row>
    <row r="36" spans="1:35" ht="13.8">
      <c r="A36" s="16" t="s">
        <v>589</v>
      </c>
      <c r="B36" s="17">
        <v>45460</v>
      </c>
      <c r="C36" s="16" t="s">
        <v>60</v>
      </c>
      <c r="D36" s="16" t="s">
        <v>61</v>
      </c>
      <c r="E36" s="16" t="s">
        <v>19</v>
      </c>
      <c r="F36" s="16" t="s">
        <v>20</v>
      </c>
      <c r="G36" s="16" t="s">
        <v>21</v>
      </c>
      <c r="H36" s="16" t="s">
        <v>22</v>
      </c>
      <c r="I36" s="16" t="s">
        <v>23</v>
      </c>
      <c r="J36" s="16" t="s">
        <v>24</v>
      </c>
      <c r="K36" s="18">
        <v>25170.44</v>
      </c>
      <c r="L36" s="18">
        <v>11137.08</v>
      </c>
      <c r="M36" s="19">
        <v>4</v>
      </c>
      <c r="N36" s="20">
        <v>0.15</v>
      </c>
      <c r="O36" s="19" t="s">
        <v>25</v>
      </c>
      <c r="P36" s="19" t="s">
        <v>45</v>
      </c>
      <c r="Q36" s="19" t="str">
        <f>TRIM(SalesData[[#This Row],[Customer_Name]])</f>
        <v>Varun Kapoor</v>
      </c>
      <c r="R36" s="21">
        <f>SalesData[[#This Row],[Sales]]-SalesData[[#This Row],[Cost]]</f>
        <v>14033.359999999999</v>
      </c>
      <c r="S36" s="22">
        <f>IFERROR(SalesData[[#This Row],[Profit]]/SalesData[[#This Row],[Sales]],0)</f>
        <v>0.55753336056103908</v>
      </c>
      <c r="T36" s="19">
        <f>YEAR(SalesData[[#This Row],[Order_Date]])</f>
        <v>2024</v>
      </c>
      <c r="U36" s="19" t="str">
        <f>TEXT(SalesData[[#This Row],[Order_Date]],"mmm")</f>
        <v>Jun</v>
      </c>
      <c r="V36" s="19" t="str">
        <f>"Q"&amp;ROUNDUP(MONTH(SalesData[[#This Row],[Order_Date]])/3,0)</f>
        <v>Q2</v>
      </c>
      <c r="W36" s="19" t="str">
        <f>IF(SalesData[[#This Row],[Sales]]&gt;=50000,"High",IF(AND(SalesData[[#This Row],[Sales]]&gt;= 20000, SalesData[[#This Row],[Sales]]&lt; 50000),"Medium","Low"))</f>
        <v>Medium</v>
      </c>
      <c r="X36" s="19" t="str">
        <f>IF(SalesData[[#This Row],[Profit]]&gt;0,"Profit","Loss")</f>
        <v>Profit</v>
      </c>
      <c r="Y36" s="19" t="str">
        <f>IF(AND(SalesData[[#This Row],[Sales]]&gt;= 50000, SalesData[[#This Row],[Quantity]]&gt;=2),"Yes","No")</f>
        <v>No</v>
      </c>
      <c r="Z36" s="19" t="str">
        <f>UPPER(SalesData[[#This Row],[Customer_Name]])</f>
        <v>VARUN KAPOOR</v>
      </c>
      <c r="AA36" s="19" t="str">
        <f>LOWER(SalesData[[#This Row],[Customer_Name]])</f>
        <v>varun kapoor</v>
      </c>
      <c r="AB36" s="19">
        <f>LEN(SalesData[[#This Row],[Customer_Name]])</f>
        <v>12</v>
      </c>
      <c r="AC36" s="19" t="str">
        <f>LEFT(SalesData[[#This Row],[Order_ID]],3)</f>
        <v>ORD</v>
      </c>
      <c r="AD36" s="19" t="str">
        <f>RIGHT(SalesData[[#This Row],[Order_ID]],4)</f>
        <v>0436</v>
      </c>
      <c r="AE36" s="19" t="str">
        <f>_xlfn.CONCAT(SalesData[[#This Row],[Clean_Customer_Name]],"-",SalesData[[#This Row],[Region]])</f>
        <v>Varun Kapoor-North</v>
      </c>
      <c r="AF36" s="19" t="str">
        <f>MID(SalesData[[#This Row],[Order_ID]],4,4)</f>
        <v>0436</v>
      </c>
      <c r="AG36" s="19" t="e">
        <f ca="1">_xlfn.SINGLE(_xlfn.XLOOKUP(SalesData[[#This Row],[Product]],Product_Master!A:A,Product_Master!B:B,"Not Found"))</f>
        <v>#NAME?</v>
      </c>
      <c r="AH36" s="19" t="str">
        <f>VLOOKUP(SalesData[[#This Row],[Product]],Product_Master!$A$1:$B$21,2,FALSE)</f>
        <v>Neha</v>
      </c>
      <c r="AI36" s="16"/>
    </row>
    <row r="37" spans="1:35" ht="13.8">
      <c r="A37" s="16" t="s">
        <v>597</v>
      </c>
      <c r="B37" s="17">
        <v>45652</v>
      </c>
      <c r="C37" s="16" t="s">
        <v>60</v>
      </c>
      <c r="D37" s="16" t="s">
        <v>61</v>
      </c>
      <c r="E37" s="16" t="s">
        <v>19</v>
      </c>
      <c r="F37" s="16" t="s">
        <v>20</v>
      </c>
      <c r="G37" s="16" t="s">
        <v>21</v>
      </c>
      <c r="H37" s="16" t="s">
        <v>22</v>
      </c>
      <c r="I37" s="16" t="s">
        <v>53</v>
      </c>
      <c r="J37" s="16" t="s">
        <v>54</v>
      </c>
      <c r="K37" s="18">
        <v>27958.2</v>
      </c>
      <c r="L37" s="18">
        <v>14941.1</v>
      </c>
      <c r="M37" s="19">
        <v>5</v>
      </c>
      <c r="N37" s="20">
        <v>0.15</v>
      </c>
      <c r="O37" s="19" t="s">
        <v>34</v>
      </c>
      <c r="P37" s="19" t="s">
        <v>45</v>
      </c>
      <c r="Q37" s="19" t="str">
        <f>TRIM(SalesData[[#This Row],[Customer_Name]])</f>
        <v>Varun Kapoor</v>
      </c>
      <c r="R37" s="21">
        <f>SalesData[[#This Row],[Sales]]-SalesData[[#This Row],[Cost]]</f>
        <v>13017.1</v>
      </c>
      <c r="S37" s="22">
        <f>IFERROR(SalesData[[#This Row],[Profit]]/SalesData[[#This Row],[Sales]],0)</f>
        <v>0.46559149015315721</v>
      </c>
      <c r="T37" s="19">
        <f>YEAR(SalesData[[#This Row],[Order_Date]])</f>
        <v>2024</v>
      </c>
      <c r="U37" s="19" t="str">
        <f>TEXT(SalesData[[#This Row],[Order_Date]],"mmm")</f>
        <v>Dec</v>
      </c>
      <c r="V37" s="19" t="str">
        <f>"Q"&amp;ROUNDUP(MONTH(SalesData[[#This Row],[Order_Date]])/3,0)</f>
        <v>Q4</v>
      </c>
      <c r="W37" s="19" t="str">
        <f>IF(SalesData[[#This Row],[Sales]]&gt;=50000,"High",IF(AND(SalesData[[#This Row],[Sales]]&gt;= 20000, SalesData[[#This Row],[Sales]]&lt; 50000),"Medium","Low"))</f>
        <v>Medium</v>
      </c>
      <c r="X37" s="19" t="str">
        <f>IF(SalesData[[#This Row],[Profit]]&gt;0,"Profit","Loss")</f>
        <v>Profit</v>
      </c>
      <c r="Y37" s="19" t="str">
        <f>IF(AND(SalesData[[#This Row],[Sales]]&gt;= 50000, SalesData[[#This Row],[Quantity]]&gt;=2),"Yes","No")</f>
        <v>No</v>
      </c>
      <c r="Z37" s="19" t="str">
        <f>UPPER(SalesData[[#This Row],[Customer_Name]])</f>
        <v>VARUN KAPOOR</v>
      </c>
      <c r="AA37" s="19" t="str">
        <f>LOWER(SalesData[[#This Row],[Customer_Name]])</f>
        <v>varun kapoor</v>
      </c>
      <c r="AB37" s="19">
        <f>LEN(SalesData[[#This Row],[Customer_Name]])</f>
        <v>12</v>
      </c>
      <c r="AC37" s="19" t="str">
        <f>LEFT(SalesData[[#This Row],[Order_ID]],3)</f>
        <v>ORD</v>
      </c>
      <c r="AD37" s="19" t="str">
        <f>RIGHT(SalesData[[#This Row],[Order_ID]],4)</f>
        <v>0444</v>
      </c>
      <c r="AE37" s="19" t="str">
        <f>_xlfn.CONCAT(SalesData[[#This Row],[Clean_Customer_Name]],"-",SalesData[[#This Row],[Region]])</f>
        <v>Varun Kapoor-Central</v>
      </c>
      <c r="AF37" s="19" t="str">
        <f>MID(SalesData[[#This Row],[Order_ID]],4,4)</f>
        <v>0444</v>
      </c>
      <c r="AG37" s="19" t="e">
        <f ca="1">_xlfn.SINGLE(_xlfn.XLOOKUP(SalesData[[#This Row],[Product]],Product_Master!A:A,Product_Master!B:B,"Not Found"))</f>
        <v>#NAME?</v>
      </c>
      <c r="AH37" s="19" t="str">
        <f>VLOOKUP(SalesData[[#This Row],[Product]],Product_Master!$A$1:$B$21,2,FALSE)</f>
        <v>Neha</v>
      </c>
      <c r="AI37" s="16"/>
    </row>
    <row r="38" spans="1:35" ht="13.8">
      <c r="A38" s="16" t="s">
        <v>733</v>
      </c>
      <c r="B38" s="17">
        <v>45752</v>
      </c>
      <c r="C38" s="16" t="s">
        <v>60</v>
      </c>
      <c r="D38" s="16" t="s">
        <v>61</v>
      </c>
      <c r="E38" s="16" t="s">
        <v>19</v>
      </c>
      <c r="F38" s="16" t="s">
        <v>20</v>
      </c>
      <c r="G38" s="16" t="s">
        <v>21</v>
      </c>
      <c r="H38" s="16" t="s">
        <v>22</v>
      </c>
      <c r="I38" s="16" t="s">
        <v>84</v>
      </c>
      <c r="J38" s="16" t="s">
        <v>142</v>
      </c>
      <c r="K38" s="18">
        <v>14524.19</v>
      </c>
      <c r="L38" s="18">
        <v>10854.6</v>
      </c>
      <c r="M38" s="19">
        <v>4</v>
      </c>
      <c r="N38" s="20">
        <v>0.2</v>
      </c>
      <c r="O38" s="19" t="s">
        <v>76</v>
      </c>
      <c r="P38" s="19" t="s">
        <v>58</v>
      </c>
      <c r="Q38" s="19" t="str">
        <f>TRIM(SalesData[[#This Row],[Customer_Name]])</f>
        <v>Varun Kapoor</v>
      </c>
      <c r="R38" s="21">
        <f>SalesData[[#This Row],[Sales]]-SalesData[[#This Row],[Cost]]</f>
        <v>3669.59</v>
      </c>
      <c r="S38" s="22">
        <f>IFERROR(SalesData[[#This Row],[Profit]]/SalesData[[#This Row],[Sales]],0)</f>
        <v>0.25265367638401864</v>
      </c>
      <c r="T38" s="19">
        <f>YEAR(SalesData[[#This Row],[Order_Date]])</f>
        <v>2025</v>
      </c>
      <c r="U38" s="19" t="str">
        <f>TEXT(SalesData[[#This Row],[Order_Date]],"mmm")</f>
        <v>Apr</v>
      </c>
      <c r="V38" s="19" t="str">
        <f>"Q"&amp;ROUNDUP(MONTH(SalesData[[#This Row],[Order_Date]])/3,0)</f>
        <v>Q2</v>
      </c>
      <c r="W38" s="19" t="str">
        <f>IF(SalesData[[#This Row],[Sales]]&gt;=50000,"High",IF(AND(SalesData[[#This Row],[Sales]]&gt;= 20000, SalesData[[#This Row],[Sales]]&lt; 50000),"Medium","Low"))</f>
        <v>Low</v>
      </c>
      <c r="X38" s="19" t="str">
        <f>IF(SalesData[[#This Row],[Profit]]&gt;0,"Profit","Loss")</f>
        <v>Profit</v>
      </c>
      <c r="Y38" s="19" t="str">
        <f>IF(AND(SalesData[[#This Row],[Sales]]&gt;= 50000, SalesData[[#This Row],[Quantity]]&gt;=2),"Yes","No")</f>
        <v>No</v>
      </c>
      <c r="Z38" s="19" t="str">
        <f>UPPER(SalesData[[#This Row],[Customer_Name]])</f>
        <v>VARUN KAPOOR</v>
      </c>
      <c r="AA38" s="19" t="str">
        <f>LOWER(SalesData[[#This Row],[Customer_Name]])</f>
        <v>varun kapoor</v>
      </c>
      <c r="AB38" s="19">
        <f>LEN(SalesData[[#This Row],[Customer_Name]])</f>
        <v>12</v>
      </c>
      <c r="AC38" s="19" t="str">
        <f>LEFT(SalesData[[#This Row],[Order_ID]],3)</f>
        <v>ORD</v>
      </c>
      <c r="AD38" s="19" t="str">
        <f>RIGHT(SalesData[[#This Row],[Order_ID]],4)</f>
        <v>0580</v>
      </c>
      <c r="AE38" s="19" t="str">
        <f>_xlfn.CONCAT(SalesData[[#This Row],[Clean_Customer_Name]],"-",SalesData[[#This Row],[Region]])</f>
        <v>Varun Kapoor-South</v>
      </c>
      <c r="AF38" s="19" t="str">
        <f>MID(SalesData[[#This Row],[Order_ID]],4,4)</f>
        <v>0580</v>
      </c>
      <c r="AG38" s="19" t="e">
        <f ca="1">_xlfn.SINGLE(_xlfn.XLOOKUP(SalesData[[#This Row],[Product]],Product_Master!A:A,Product_Master!B:B,"Not Found"))</f>
        <v>#NAME?</v>
      </c>
      <c r="AH38" s="19" t="str">
        <f>VLOOKUP(SalesData[[#This Row],[Product]],Product_Master!$A$1:$B$21,2,FALSE)</f>
        <v>Neha</v>
      </c>
      <c r="AI38" s="16"/>
    </row>
    <row r="39" spans="1:35" ht="13.8">
      <c r="A39" s="16" t="s">
        <v>229</v>
      </c>
      <c r="B39" s="17">
        <v>45794</v>
      </c>
      <c r="C39" s="16" t="s">
        <v>60</v>
      </c>
      <c r="D39" s="16" t="s">
        <v>61</v>
      </c>
      <c r="E39" s="16" t="s">
        <v>152</v>
      </c>
      <c r="F39" s="16" t="s">
        <v>153</v>
      </c>
      <c r="G39" s="16" t="s">
        <v>21</v>
      </c>
      <c r="H39" s="16" t="s">
        <v>32</v>
      </c>
      <c r="I39" s="16" t="s">
        <v>42</v>
      </c>
      <c r="J39" s="16" t="s">
        <v>68</v>
      </c>
      <c r="K39" s="18">
        <v>11051.2</v>
      </c>
      <c r="L39" s="18">
        <v>8596.35</v>
      </c>
      <c r="M39" s="19">
        <v>1</v>
      </c>
      <c r="N39" s="20">
        <v>0.15</v>
      </c>
      <c r="O39" s="19" t="s">
        <v>136</v>
      </c>
      <c r="P39" s="19" t="s">
        <v>98</v>
      </c>
      <c r="Q39" s="19" t="str">
        <f>TRIM(SalesData[[#This Row],[Customer_Name]])</f>
        <v>Varun Kapoor</v>
      </c>
      <c r="R39" s="21">
        <f>SalesData[[#This Row],[Sales]]-SalesData[[#This Row],[Cost]]</f>
        <v>2454.8500000000004</v>
      </c>
      <c r="S39" s="22">
        <f>IFERROR(SalesData[[#This Row],[Profit]]/SalesData[[#This Row],[Sales]],0)</f>
        <v>0.22213424786448532</v>
      </c>
      <c r="T39" s="19">
        <f>YEAR(SalesData[[#This Row],[Order_Date]])</f>
        <v>2025</v>
      </c>
      <c r="U39" s="19" t="str">
        <f>TEXT(SalesData[[#This Row],[Order_Date]],"mmm")</f>
        <v>May</v>
      </c>
      <c r="V39" s="19" t="str">
        <f>"Q"&amp;ROUNDUP(MONTH(SalesData[[#This Row],[Order_Date]])/3,0)</f>
        <v>Q2</v>
      </c>
      <c r="W39" s="19" t="str">
        <f>IF(SalesData[[#This Row],[Sales]]&gt;=50000,"High",IF(AND(SalesData[[#This Row],[Sales]]&gt;= 20000, SalesData[[#This Row],[Sales]]&lt; 50000),"Medium","Low"))</f>
        <v>Low</v>
      </c>
      <c r="X39" s="19" t="str">
        <f>IF(SalesData[[#This Row],[Profit]]&gt;0,"Profit","Loss")</f>
        <v>Profit</v>
      </c>
      <c r="Y39" s="19" t="str">
        <f>IF(AND(SalesData[[#This Row],[Sales]]&gt;= 50000, SalesData[[#This Row],[Quantity]]&gt;=2),"Yes","No")</f>
        <v>No</v>
      </c>
      <c r="Z39" s="19" t="str">
        <f>UPPER(SalesData[[#This Row],[Customer_Name]])</f>
        <v>VARUN KAPOOR</v>
      </c>
      <c r="AA39" s="19" t="str">
        <f>LOWER(SalesData[[#This Row],[Customer_Name]])</f>
        <v>varun kapoor</v>
      </c>
      <c r="AB39" s="19">
        <f>LEN(SalesData[[#This Row],[Customer_Name]])</f>
        <v>12</v>
      </c>
      <c r="AC39" s="19" t="str">
        <f>LEFT(SalesData[[#This Row],[Order_ID]],3)</f>
        <v>ORD</v>
      </c>
      <c r="AD39" s="19" t="str">
        <f>RIGHT(SalesData[[#This Row],[Order_ID]],4)</f>
        <v>0080</v>
      </c>
      <c r="AE39" s="19" t="str">
        <f>_xlfn.CONCAT(SalesData[[#This Row],[Clean_Customer_Name]],"-",SalesData[[#This Row],[Region]])</f>
        <v>Varun Kapoor-East</v>
      </c>
      <c r="AF39" s="19" t="str">
        <f>MID(SalesData[[#This Row],[Order_ID]],4,4)</f>
        <v>0080</v>
      </c>
      <c r="AG39" s="19" t="e">
        <f ca="1">_xlfn.SINGLE(_xlfn.XLOOKUP(SalesData[[#This Row],[Product]],Product_Master!A:A,Product_Master!B:B,"Not Found"))</f>
        <v>#NAME?</v>
      </c>
      <c r="AH39" s="19" t="str">
        <f>VLOOKUP(SalesData[[#This Row],[Product]],Product_Master!$A$1:$B$21,2,FALSE)</f>
        <v>Simran</v>
      </c>
      <c r="AI39" s="16"/>
    </row>
    <row r="40" spans="1:35" ht="13.8">
      <c r="A40" s="16" t="s">
        <v>483</v>
      </c>
      <c r="B40" s="17">
        <v>45303</v>
      </c>
      <c r="C40" s="16" t="s">
        <v>60</v>
      </c>
      <c r="D40" s="16" t="s">
        <v>61</v>
      </c>
      <c r="E40" s="16" t="s">
        <v>152</v>
      </c>
      <c r="F40" s="16" t="s">
        <v>153</v>
      </c>
      <c r="G40" s="16" t="s">
        <v>21</v>
      </c>
      <c r="H40" s="16" t="s">
        <v>32</v>
      </c>
      <c r="I40" s="16" t="s">
        <v>42</v>
      </c>
      <c r="J40" s="16" t="s">
        <v>162</v>
      </c>
      <c r="K40" s="18">
        <v>18241.28</v>
      </c>
      <c r="L40" s="18">
        <v>15988.52</v>
      </c>
      <c r="M40" s="19">
        <v>2</v>
      </c>
      <c r="N40" s="20">
        <v>0.2</v>
      </c>
      <c r="O40" s="19" t="s">
        <v>44</v>
      </c>
      <c r="P40" s="19" t="s">
        <v>58</v>
      </c>
      <c r="Q40" s="19" t="str">
        <f>TRIM(SalesData[[#This Row],[Customer_Name]])</f>
        <v>Varun Kapoor</v>
      </c>
      <c r="R40" s="21">
        <f>SalesData[[#This Row],[Sales]]-SalesData[[#This Row],[Cost]]</f>
        <v>2252.7599999999984</v>
      </c>
      <c r="S40" s="22">
        <f>IFERROR(SalesData[[#This Row],[Profit]]/SalesData[[#This Row],[Sales]],0)</f>
        <v>0.12349791242719801</v>
      </c>
      <c r="T40" s="19">
        <f>YEAR(SalesData[[#This Row],[Order_Date]])</f>
        <v>2024</v>
      </c>
      <c r="U40" s="19" t="str">
        <f>TEXT(SalesData[[#This Row],[Order_Date]],"mmm")</f>
        <v>Jan</v>
      </c>
      <c r="V40" s="19" t="str">
        <f>"Q"&amp;ROUNDUP(MONTH(SalesData[[#This Row],[Order_Date]])/3,0)</f>
        <v>Q1</v>
      </c>
      <c r="W40" s="19" t="str">
        <f>IF(SalesData[[#This Row],[Sales]]&gt;=50000,"High",IF(AND(SalesData[[#This Row],[Sales]]&gt;= 20000, SalesData[[#This Row],[Sales]]&lt; 50000),"Medium","Low"))</f>
        <v>Low</v>
      </c>
      <c r="X40" s="19" t="str">
        <f>IF(SalesData[[#This Row],[Profit]]&gt;0,"Profit","Loss")</f>
        <v>Profit</v>
      </c>
      <c r="Y40" s="19" t="str">
        <f>IF(AND(SalesData[[#This Row],[Sales]]&gt;= 50000, SalesData[[#This Row],[Quantity]]&gt;=2),"Yes","No")</f>
        <v>No</v>
      </c>
      <c r="Z40" s="19" t="str">
        <f>UPPER(SalesData[[#This Row],[Customer_Name]])</f>
        <v>VARUN KAPOOR</v>
      </c>
      <c r="AA40" s="19" t="str">
        <f>LOWER(SalesData[[#This Row],[Customer_Name]])</f>
        <v>varun kapoor</v>
      </c>
      <c r="AB40" s="19">
        <f>LEN(SalesData[[#This Row],[Customer_Name]])</f>
        <v>12</v>
      </c>
      <c r="AC40" s="19" t="str">
        <f>LEFT(SalesData[[#This Row],[Order_ID]],3)</f>
        <v>ORD</v>
      </c>
      <c r="AD40" s="19" t="str">
        <f>RIGHT(SalesData[[#This Row],[Order_ID]],4)</f>
        <v>0330</v>
      </c>
      <c r="AE40" s="19" t="str">
        <f>_xlfn.CONCAT(SalesData[[#This Row],[Clean_Customer_Name]],"-",SalesData[[#This Row],[Region]])</f>
        <v>Varun Kapoor-East</v>
      </c>
      <c r="AF40" s="19" t="str">
        <f>MID(SalesData[[#This Row],[Order_ID]],4,4)</f>
        <v>0330</v>
      </c>
      <c r="AG40" s="19" t="e">
        <f ca="1">_xlfn.SINGLE(_xlfn.XLOOKUP(SalesData[[#This Row],[Product]],Product_Master!A:A,Product_Master!B:B,"Not Found"))</f>
        <v>#NAME?</v>
      </c>
      <c r="AH40" s="19" t="str">
        <f>VLOOKUP(SalesData[[#This Row],[Product]],Product_Master!$A$1:$B$21,2,FALSE)</f>
        <v>Simran</v>
      </c>
      <c r="AI40" s="16"/>
    </row>
    <row r="41" spans="1:35" ht="13.8">
      <c r="A41" s="16" t="s">
        <v>899</v>
      </c>
      <c r="B41" s="17">
        <v>45524</v>
      </c>
      <c r="C41" s="16" t="s">
        <v>60</v>
      </c>
      <c r="D41" s="16" t="s">
        <v>61</v>
      </c>
      <c r="E41" s="16" t="s">
        <v>152</v>
      </c>
      <c r="F41" s="16" t="s">
        <v>153</v>
      </c>
      <c r="G41" s="16" t="s">
        <v>21</v>
      </c>
      <c r="H41" s="16" t="s">
        <v>32</v>
      </c>
      <c r="I41" s="16" t="s">
        <v>42</v>
      </c>
      <c r="J41" s="16" t="s">
        <v>162</v>
      </c>
      <c r="K41" s="18">
        <v>29630.22</v>
      </c>
      <c r="L41" s="18">
        <v>22201.65</v>
      </c>
      <c r="M41" s="19">
        <v>3</v>
      </c>
      <c r="N41" s="20">
        <v>0</v>
      </c>
      <c r="O41" s="19" t="s">
        <v>136</v>
      </c>
      <c r="P41" s="19" t="s">
        <v>58</v>
      </c>
      <c r="Q41" s="19" t="str">
        <f>TRIM(SalesData[[#This Row],[Customer_Name]])</f>
        <v>Varun Kapoor</v>
      </c>
      <c r="R41" s="21">
        <f>SalesData[[#This Row],[Sales]]-SalesData[[#This Row],[Cost]]</f>
        <v>7428.57</v>
      </c>
      <c r="S41" s="22">
        <f>IFERROR(SalesData[[#This Row],[Profit]]/SalesData[[#This Row],[Sales]],0)</f>
        <v>0.25070924211835077</v>
      </c>
      <c r="T41" s="19">
        <f>YEAR(SalesData[[#This Row],[Order_Date]])</f>
        <v>2024</v>
      </c>
      <c r="U41" s="19" t="str">
        <f>TEXT(SalesData[[#This Row],[Order_Date]],"mmm")</f>
        <v>Aug</v>
      </c>
      <c r="V41" s="19" t="str">
        <f>"Q"&amp;ROUNDUP(MONTH(SalesData[[#This Row],[Order_Date]])/3,0)</f>
        <v>Q3</v>
      </c>
      <c r="W41" s="19" t="str">
        <f>IF(SalesData[[#This Row],[Sales]]&gt;=50000,"High",IF(AND(SalesData[[#This Row],[Sales]]&gt;= 20000, SalesData[[#This Row],[Sales]]&lt; 50000),"Medium","Low"))</f>
        <v>Medium</v>
      </c>
      <c r="X41" s="19" t="str">
        <f>IF(SalesData[[#This Row],[Profit]]&gt;0,"Profit","Loss")</f>
        <v>Profit</v>
      </c>
      <c r="Y41" s="19" t="str">
        <f>IF(AND(SalesData[[#This Row],[Sales]]&gt;= 50000, SalesData[[#This Row],[Quantity]]&gt;=2),"Yes","No")</f>
        <v>No</v>
      </c>
      <c r="Z41" s="19" t="str">
        <f>UPPER(SalesData[[#This Row],[Customer_Name]])</f>
        <v>VARUN KAPOOR</v>
      </c>
      <c r="AA41" s="19" t="str">
        <f>LOWER(SalesData[[#This Row],[Customer_Name]])</f>
        <v>varun kapoor</v>
      </c>
      <c r="AB41" s="19">
        <f>LEN(SalesData[[#This Row],[Customer_Name]])</f>
        <v>12</v>
      </c>
      <c r="AC41" s="19" t="str">
        <f>LEFT(SalesData[[#This Row],[Order_ID]],3)</f>
        <v>ORD</v>
      </c>
      <c r="AD41" s="19" t="str">
        <f>RIGHT(SalesData[[#This Row],[Order_ID]],4)</f>
        <v>0746</v>
      </c>
      <c r="AE41" s="19" t="str">
        <f>_xlfn.CONCAT(SalesData[[#This Row],[Clean_Customer_Name]],"-",SalesData[[#This Row],[Region]])</f>
        <v>Varun Kapoor-East</v>
      </c>
      <c r="AF41" s="19" t="str">
        <f>MID(SalesData[[#This Row],[Order_ID]],4,4)</f>
        <v>0746</v>
      </c>
      <c r="AG41" s="19" t="e">
        <f ca="1">_xlfn.SINGLE(_xlfn.XLOOKUP(SalesData[[#This Row],[Product]],Product_Master!A:A,Product_Master!B:B,"Not Found"))</f>
        <v>#NAME?</v>
      </c>
      <c r="AH41" s="19" t="str">
        <f>VLOOKUP(SalesData[[#This Row],[Product]],Product_Master!$A$1:$B$21,2,FALSE)</f>
        <v>Simran</v>
      </c>
      <c r="AI41" s="16"/>
    </row>
    <row r="42" spans="1:35" ht="13.8">
      <c r="A42" s="16" t="s">
        <v>247</v>
      </c>
      <c r="B42" s="17">
        <v>45856</v>
      </c>
      <c r="C42" s="16" t="s">
        <v>60</v>
      </c>
      <c r="D42" s="16" t="s">
        <v>61</v>
      </c>
      <c r="E42" s="16" t="s">
        <v>117</v>
      </c>
      <c r="F42" s="16" t="s">
        <v>118</v>
      </c>
      <c r="G42" s="16" t="s">
        <v>51</v>
      </c>
      <c r="H42" s="16" t="s">
        <v>119</v>
      </c>
      <c r="I42" s="16" t="s">
        <v>84</v>
      </c>
      <c r="J42" s="16" t="s">
        <v>142</v>
      </c>
      <c r="K42" s="18">
        <v>5595.53</v>
      </c>
      <c r="L42" s="18">
        <v>4547.03</v>
      </c>
      <c r="M42" s="19">
        <v>1</v>
      </c>
      <c r="N42" s="20">
        <v>0</v>
      </c>
      <c r="O42" s="19" t="s">
        <v>136</v>
      </c>
      <c r="P42" s="19" t="s">
        <v>58</v>
      </c>
      <c r="Q42" s="19" t="str">
        <f>TRIM(SalesData[[#This Row],[Customer_Name]])</f>
        <v>Varun Kapoor</v>
      </c>
      <c r="R42" s="21">
        <f>SalesData[[#This Row],[Sales]]-SalesData[[#This Row],[Cost]]</f>
        <v>1048.5</v>
      </c>
      <c r="S42" s="22">
        <f>IFERROR(SalesData[[#This Row],[Profit]]/SalesData[[#This Row],[Sales]],0)</f>
        <v>0.18738171361783423</v>
      </c>
      <c r="T42" s="19">
        <f>YEAR(SalesData[[#This Row],[Order_Date]])</f>
        <v>2025</v>
      </c>
      <c r="U42" s="19" t="str">
        <f>TEXT(SalesData[[#This Row],[Order_Date]],"mmm")</f>
        <v>Jul</v>
      </c>
      <c r="V42" s="19" t="str">
        <f>"Q"&amp;ROUNDUP(MONTH(SalesData[[#This Row],[Order_Date]])/3,0)</f>
        <v>Q3</v>
      </c>
      <c r="W42" s="19" t="str">
        <f>IF(SalesData[[#This Row],[Sales]]&gt;=50000,"High",IF(AND(SalesData[[#This Row],[Sales]]&gt;= 20000, SalesData[[#This Row],[Sales]]&lt; 50000),"Medium","Low"))</f>
        <v>Low</v>
      </c>
      <c r="X42" s="19" t="str">
        <f>IF(SalesData[[#This Row],[Profit]]&gt;0,"Profit","Loss")</f>
        <v>Profit</v>
      </c>
      <c r="Y42" s="19" t="str">
        <f>IF(AND(SalesData[[#This Row],[Sales]]&gt;= 50000, SalesData[[#This Row],[Quantity]]&gt;=2),"Yes","No")</f>
        <v>No</v>
      </c>
      <c r="Z42" s="19" t="str">
        <f>UPPER(SalesData[[#This Row],[Customer_Name]])</f>
        <v>VARUN KAPOOR</v>
      </c>
      <c r="AA42" s="19" t="str">
        <f>LOWER(SalesData[[#This Row],[Customer_Name]])</f>
        <v>varun kapoor</v>
      </c>
      <c r="AB42" s="19">
        <f>LEN(SalesData[[#This Row],[Customer_Name]])</f>
        <v>12</v>
      </c>
      <c r="AC42" s="19" t="str">
        <f>LEFT(SalesData[[#This Row],[Order_ID]],3)</f>
        <v>ORD</v>
      </c>
      <c r="AD42" s="19" t="str">
        <f>RIGHT(SalesData[[#This Row],[Order_ID]],4)</f>
        <v>0096</v>
      </c>
      <c r="AE42" s="19" t="str">
        <f>_xlfn.CONCAT(SalesData[[#This Row],[Clean_Customer_Name]],"-",SalesData[[#This Row],[Region]])</f>
        <v>Varun Kapoor-South</v>
      </c>
      <c r="AF42" s="19" t="str">
        <f>MID(SalesData[[#This Row],[Order_ID]],4,4)</f>
        <v>0096</v>
      </c>
      <c r="AG42" s="19" t="e">
        <f ca="1">_xlfn.SINGLE(_xlfn.XLOOKUP(SalesData[[#This Row],[Product]],Product_Master!A:A,Product_Master!B:B,"Not Found"))</f>
        <v>#NAME?</v>
      </c>
      <c r="AH42" s="19" t="str">
        <f>VLOOKUP(SalesData[[#This Row],[Product]],Product_Master!$A$1:$B$21,2,FALSE)</f>
        <v>Karan</v>
      </c>
      <c r="AI42" s="16"/>
    </row>
    <row r="43" spans="1:35" ht="13.8">
      <c r="A43" s="16" t="s">
        <v>651</v>
      </c>
      <c r="B43" s="17">
        <v>45511</v>
      </c>
      <c r="C43" s="16" t="s">
        <v>60</v>
      </c>
      <c r="D43" s="16" t="s">
        <v>61</v>
      </c>
      <c r="E43" s="16" t="s">
        <v>117</v>
      </c>
      <c r="F43" s="16" t="s">
        <v>118</v>
      </c>
      <c r="G43" s="16" t="s">
        <v>51</v>
      </c>
      <c r="H43" s="16" t="s">
        <v>119</v>
      </c>
      <c r="I43" s="16" t="s">
        <v>23</v>
      </c>
      <c r="J43" s="16" t="s">
        <v>33</v>
      </c>
      <c r="K43" s="18">
        <v>28228.36</v>
      </c>
      <c r="L43" s="18">
        <v>22052.5</v>
      </c>
      <c r="M43" s="19">
        <v>5</v>
      </c>
      <c r="N43" s="20">
        <v>0.2</v>
      </c>
      <c r="O43" s="19" t="s">
        <v>34</v>
      </c>
      <c r="P43" s="19" t="s">
        <v>58</v>
      </c>
      <c r="Q43" s="19" t="str">
        <f>TRIM(SalesData[[#This Row],[Customer_Name]])</f>
        <v>Varun Kapoor</v>
      </c>
      <c r="R43" s="21">
        <f>SalesData[[#This Row],[Sales]]-SalesData[[#This Row],[Cost]]</f>
        <v>6175.8600000000006</v>
      </c>
      <c r="S43" s="22">
        <f>IFERROR(SalesData[[#This Row],[Profit]]/SalesData[[#This Row],[Sales]],0)</f>
        <v>0.21878210423843258</v>
      </c>
      <c r="T43" s="19">
        <f>YEAR(SalesData[[#This Row],[Order_Date]])</f>
        <v>2024</v>
      </c>
      <c r="U43" s="19" t="str">
        <f>TEXT(SalesData[[#This Row],[Order_Date]],"mmm")</f>
        <v>Aug</v>
      </c>
      <c r="V43" s="19" t="str">
        <f>"Q"&amp;ROUNDUP(MONTH(SalesData[[#This Row],[Order_Date]])/3,0)</f>
        <v>Q3</v>
      </c>
      <c r="W43" s="19" t="str">
        <f>IF(SalesData[[#This Row],[Sales]]&gt;=50000,"High",IF(AND(SalesData[[#This Row],[Sales]]&gt;= 20000, SalesData[[#This Row],[Sales]]&lt; 50000),"Medium","Low"))</f>
        <v>Medium</v>
      </c>
      <c r="X43" s="19" t="str">
        <f>IF(SalesData[[#This Row],[Profit]]&gt;0,"Profit","Loss")</f>
        <v>Profit</v>
      </c>
      <c r="Y43" s="19" t="str">
        <f>IF(AND(SalesData[[#This Row],[Sales]]&gt;= 50000, SalesData[[#This Row],[Quantity]]&gt;=2),"Yes","No")</f>
        <v>No</v>
      </c>
      <c r="Z43" s="19" t="str">
        <f>UPPER(SalesData[[#This Row],[Customer_Name]])</f>
        <v>VARUN KAPOOR</v>
      </c>
      <c r="AA43" s="19" t="str">
        <f>LOWER(SalesData[[#This Row],[Customer_Name]])</f>
        <v>varun kapoor</v>
      </c>
      <c r="AB43" s="19">
        <f>LEN(SalesData[[#This Row],[Customer_Name]])</f>
        <v>12</v>
      </c>
      <c r="AC43" s="19" t="str">
        <f>LEFT(SalesData[[#This Row],[Order_ID]],3)</f>
        <v>ORD</v>
      </c>
      <c r="AD43" s="19" t="str">
        <f>RIGHT(SalesData[[#This Row],[Order_ID]],4)</f>
        <v>0498</v>
      </c>
      <c r="AE43" s="19" t="str">
        <f>_xlfn.CONCAT(SalesData[[#This Row],[Clean_Customer_Name]],"-",SalesData[[#This Row],[Region]])</f>
        <v>Varun Kapoor-North</v>
      </c>
      <c r="AF43" s="19" t="str">
        <f>MID(SalesData[[#This Row],[Order_ID]],4,4)</f>
        <v>0498</v>
      </c>
      <c r="AG43" s="19" t="e">
        <f ca="1">_xlfn.SINGLE(_xlfn.XLOOKUP(SalesData[[#This Row],[Product]],Product_Master!A:A,Product_Master!B:B,"Not Found"))</f>
        <v>#NAME?</v>
      </c>
      <c r="AH43" s="19" t="str">
        <f>VLOOKUP(SalesData[[#This Row],[Product]],Product_Master!$A$1:$B$21,2,FALSE)</f>
        <v>Karan</v>
      </c>
      <c r="AI43" s="16"/>
    </row>
    <row r="44" spans="1:35" ht="13.8">
      <c r="A44" s="16" t="s">
        <v>436</v>
      </c>
      <c r="B44" s="17">
        <v>45590</v>
      </c>
      <c r="C44" s="16" t="s">
        <v>60</v>
      </c>
      <c r="D44" s="16" t="s">
        <v>61</v>
      </c>
      <c r="E44" s="16" t="s">
        <v>49</v>
      </c>
      <c r="F44" s="16" t="s">
        <v>50</v>
      </c>
      <c r="G44" s="16" t="s">
        <v>51</v>
      </c>
      <c r="H44" s="16" t="s">
        <v>52</v>
      </c>
      <c r="I44" s="16" t="s">
        <v>56</v>
      </c>
      <c r="J44" s="16" t="s">
        <v>191</v>
      </c>
      <c r="K44" s="18">
        <v>13535.29</v>
      </c>
      <c r="L44" s="18">
        <v>7446.55</v>
      </c>
      <c r="M44" s="19">
        <v>1</v>
      </c>
      <c r="N44" s="20">
        <v>0.15</v>
      </c>
      <c r="O44" s="19" t="s">
        <v>136</v>
      </c>
      <c r="P44" s="19" t="s">
        <v>58</v>
      </c>
      <c r="Q44" s="19" t="str">
        <f>TRIM(SalesData[[#This Row],[Customer_Name]])</f>
        <v>Varun Kapoor</v>
      </c>
      <c r="R44" s="21">
        <f>SalesData[[#This Row],[Sales]]-SalesData[[#This Row],[Cost]]</f>
        <v>6088.7400000000007</v>
      </c>
      <c r="S44" s="22">
        <f>IFERROR(SalesData[[#This Row],[Profit]]/SalesData[[#This Row],[Sales]],0)</f>
        <v>0.44984185783976555</v>
      </c>
      <c r="T44" s="19">
        <f>YEAR(SalesData[[#This Row],[Order_Date]])</f>
        <v>2024</v>
      </c>
      <c r="U44" s="19" t="str">
        <f>TEXT(SalesData[[#This Row],[Order_Date]],"mmm")</f>
        <v>Oct</v>
      </c>
      <c r="V44" s="19" t="str">
        <f>"Q"&amp;ROUNDUP(MONTH(SalesData[[#This Row],[Order_Date]])/3,0)</f>
        <v>Q4</v>
      </c>
      <c r="W44" s="19" t="str">
        <f>IF(SalesData[[#This Row],[Sales]]&gt;=50000,"High",IF(AND(SalesData[[#This Row],[Sales]]&gt;= 20000, SalesData[[#This Row],[Sales]]&lt; 50000),"Medium","Low"))</f>
        <v>Low</v>
      </c>
      <c r="X44" s="19" t="str">
        <f>IF(SalesData[[#This Row],[Profit]]&gt;0,"Profit","Loss")</f>
        <v>Profit</v>
      </c>
      <c r="Y44" s="19" t="str">
        <f>IF(AND(SalesData[[#This Row],[Sales]]&gt;= 50000, SalesData[[#This Row],[Quantity]]&gt;=2),"Yes","No")</f>
        <v>No</v>
      </c>
      <c r="Z44" s="19" t="str">
        <f>UPPER(SalesData[[#This Row],[Customer_Name]])</f>
        <v>VARUN KAPOOR</v>
      </c>
      <c r="AA44" s="19" t="str">
        <f>LOWER(SalesData[[#This Row],[Customer_Name]])</f>
        <v>varun kapoor</v>
      </c>
      <c r="AB44" s="19">
        <f>LEN(SalesData[[#This Row],[Customer_Name]])</f>
        <v>12</v>
      </c>
      <c r="AC44" s="19" t="str">
        <f>LEFT(SalesData[[#This Row],[Order_ID]],3)</f>
        <v>ORD</v>
      </c>
      <c r="AD44" s="19" t="str">
        <f>RIGHT(SalesData[[#This Row],[Order_ID]],4)</f>
        <v>0283</v>
      </c>
      <c r="AE44" s="19" t="str">
        <f>_xlfn.CONCAT(SalesData[[#This Row],[Clean_Customer_Name]],"-",SalesData[[#This Row],[Region]])</f>
        <v>Varun Kapoor-West</v>
      </c>
      <c r="AF44" s="19" t="str">
        <f>MID(SalesData[[#This Row],[Order_ID]],4,4)</f>
        <v>0283</v>
      </c>
      <c r="AG44" s="19" t="e">
        <f ca="1">_xlfn.SINGLE(_xlfn.XLOOKUP(SalesData[[#This Row],[Product]],Product_Master!A:A,Product_Master!B:B,"Not Found"))</f>
        <v>#NAME?</v>
      </c>
      <c r="AH44" s="19" t="str">
        <f>VLOOKUP(SalesData[[#This Row],[Product]],Product_Master!$A$1:$B$21,2,FALSE)</f>
        <v>Rohan</v>
      </c>
      <c r="AI44" s="16"/>
    </row>
    <row r="45" spans="1:35" ht="13.8">
      <c r="A45" s="16" t="s">
        <v>500</v>
      </c>
      <c r="B45" s="17">
        <v>45697</v>
      </c>
      <c r="C45" s="16" t="s">
        <v>60</v>
      </c>
      <c r="D45" s="16" t="s">
        <v>61</v>
      </c>
      <c r="E45" s="16" t="s">
        <v>72</v>
      </c>
      <c r="F45" s="16" t="s">
        <v>73</v>
      </c>
      <c r="G45" s="16" t="s">
        <v>51</v>
      </c>
      <c r="H45" s="16" t="s">
        <v>74</v>
      </c>
      <c r="I45" s="16" t="s">
        <v>84</v>
      </c>
      <c r="J45" s="16" t="s">
        <v>134</v>
      </c>
      <c r="K45" s="18">
        <v>29115.599999999999</v>
      </c>
      <c r="L45" s="18">
        <v>18195.8</v>
      </c>
      <c r="M45" s="19">
        <v>5</v>
      </c>
      <c r="N45" s="20">
        <v>0.05</v>
      </c>
      <c r="O45" s="19" t="s">
        <v>25</v>
      </c>
      <c r="P45" s="19" t="s">
        <v>26</v>
      </c>
      <c r="Q45" s="19" t="str">
        <f>TRIM(SalesData[[#This Row],[Customer_Name]])</f>
        <v>Varun Kapoor</v>
      </c>
      <c r="R45" s="21">
        <f>SalesData[[#This Row],[Sales]]-SalesData[[#This Row],[Cost]]</f>
        <v>10919.8</v>
      </c>
      <c r="S45" s="22">
        <f>IFERROR(SalesData[[#This Row],[Profit]]/SalesData[[#This Row],[Sales]],0)</f>
        <v>0.37504980148099298</v>
      </c>
      <c r="T45" s="19">
        <f>YEAR(SalesData[[#This Row],[Order_Date]])</f>
        <v>2025</v>
      </c>
      <c r="U45" s="19" t="str">
        <f>TEXT(SalesData[[#This Row],[Order_Date]],"mmm")</f>
        <v>Feb</v>
      </c>
      <c r="V45" s="19" t="str">
        <f>"Q"&amp;ROUNDUP(MONTH(SalesData[[#This Row],[Order_Date]])/3,0)</f>
        <v>Q1</v>
      </c>
      <c r="W45" s="19" t="str">
        <f>IF(SalesData[[#This Row],[Sales]]&gt;=50000,"High",IF(AND(SalesData[[#This Row],[Sales]]&gt;= 20000, SalesData[[#This Row],[Sales]]&lt; 50000),"Medium","Low"))</f>
        <v>Medium</v>
      </c>
      <c r="X45" s="19" t="str">
        <f>IF(SalesData[[#This Row],[Profit]]&gt;0,"Profit","Loss")</f>
        <v>Profit</v>
      </c>
      <c r="Y45" s="19" t="str">
        <f>IF(AND(SalesData[[#This Row],[Sales]]&gt;= 50000, SalesData[[#This Row],[Quantity]]&gt;=2),"Yes","No")</f>
        <v>No</v>
      </c>
      <c r="Z45" s="19" t="str">
        <f>UPPER(SalesData[[#This Row],[Customer_Name]])</f>
        <v>VARUN KAPOOR</v>
      </c>
      <c r="AA45" s="19" t="str">
        <f>LOWER(SalesData[[#This Row],[Customer_Name]])</f>
        <v>varun kapoor</v>
      </c>
      <c r="AB45" s="19">
        <f>LEN(SalesData[[#This Row],[Customer_Name]])</f>
        <v>12</v>
      </c>
      <c r="AC45" s="19" t="str">
        <f>LEFT(SalesData[[#This Row],[Order_ID]],3)</f>
        <v>ORD</v>
      </c>
      <c r="AD45" s="19" t="str">
        <f>RIGHT(SalesData[[#This Row],[Order_ID]],4)</f>
        <v>0347</v>
      </c>
      <c r="AE45" s="19" t="str">
        <f>_xlfn.CONCAT(SalesData[[#This Row],[Clean_Customer_Name]],"-",SalesData[[#This Row],[Region]])</f>
        <v>Varun Kapoor-South</v>
      </c>
      <c r="AF45" s="19" t="str">
        <f>MID(SalesData[[#This Row],[Order_ID]],4,4)</f>
        <v>0347</v>
      </c>
      <c r="AG45" s="19" t="e">
        <f ca="1">_xlfn.SINGLE(_xlfn.XLOOKUP(SalesData[[#This Row],[Product]],Product_Master!A:A,Product_Master!B:B,"Not Found"))</f>
        <v>#NAME?</v>
      </c>
      <c r="AH45" s="19" t="str">
        <f>VLOOKUP(SalesData[[#This Row],[Product]],Product_Master!$A$1:$B$21,2,FALSE)</f>
        <v>Anjali</v>
      </c>
      <c r="AI45" s="16"/>
    </row>
    <row r="46" spans="1:35" ht="13.8">
      <c r="A46" s="16" t="s">
        <v>540</v>
      </c>
      <c r="B46" s="17">
        <v>45778</v>
      </c>
      <c r="C46" s="16" t="s">
        <v>60</v>
      </c>
      <c r="D46" s="16" t="s">
        <v>61</v>
      </c>
      <c r="E46" s="16" t="s">
        <v>72</v>
      </c>
      <c r="F46" s="16" t="s">
        <v>73</v>
      </c>
      <c r="G46" s="16" t="s">
        <v>51</v>
      </c>
      <c r="H46" s="16" t="s">
        <v>74</v>
      </c>
      <c r="I46" s="16" t="s">
        <v>23</v>
      </c>
      <c r="J46" s="16" t="s">
        <v>24</v>
      </c>
      <c r="K46" s="18">
        <v>12397.56</v>
      </c>
      <c r="L46" s="18">
        <v>12952.89</v>
      </c>
      <c r="M46" s="19">
        <v>3</v>
      </c>
      <c r="N46" s="20">
        <v>0.1</v>
      </c>
      <c r="O46" s="19" t="s">
        <v>44</v>
      </c>
      <c r="P46" s="19" t="s">
        <v>45</v>
      </c>
      <c r="Q46" s="19" t="str">
        <f>TRIM(SalesData[[#This Row],[Customer_Name]])</f>
        <v>Varun Kapoor</v>
      </c>
      <c r="R46" s="21">
        <f>SalesData[[#This Row],[Sales]]-SalesData[[#This Row],[Cost]]</f>
        <v>-555.32999999999993</v>
      </c>
      <c r="S46" s="22">
        <f>IFERROR(SalesData[[#This Row],[Profit]]/SalesData[[#This Row],[Sales]],0)</f>
        <v>-4.4793491622545076E-2</v>
      </c>
      <c r="T46" s="19">
        <f>YEAR(SalesData[[#This Row],[Order_Date]])</f>
        <v>2025</v>
      </c>
      <c r="U46" s="19" t="str">
        <f>TEXT(SalesData[[#This Row],[Order_Date]],"mmm")</f>
        <v>May</v>
      </c>
      <c r="V46" s="19" t="str">
        <f>"Q"&amp;ROUNDUP(MONTH(SalesData[[#This Row],[Order_Date]])/3,0)</f>
        <v>Q2</v>
      </c>
      <c r="W46" s="19" t="str">
        <f>IF(SalesData[[#This Row],[Sales]]&gt;=50000,"High",IF(AND(SalesData[[#This Row],[Sales]]&gt;= 20000, SalesData[[#This Row],[Sales]]&lt; 50000),"Medium","Low"))</f>
        <v>Low</v>
      </c>
      <c r="X46" s="19" t="str">
        <f>IF(SalesData[[#This Row],[Profit]]&gt;0,"Profit","Loss")</f>
        <v>Loss</v>
      </c>
      <c r="Y46" s="19" t="str">
        <f>IF(AND(SalesData[[#This Row],[Sales]]&gt;= 50000, SalesData[[#This Row],[Quantity]]&gt;=2),"Yes","No")</f>
        <v>No</v>
      </c>
      <c r="Z46" s="19" t="str">
        <f>UPPER(SalesData[[#This Row],[Customer_Name]])</f>
        <v>VARUN KAPOOR</v>
      </c>
      <c r="AA46" s="19" t="str">
        <f>LOWER(SalesData[[#This Row],[Customer_Name]])</f>
        <v>varun kapoor</v>
      </c>
      <c r="AB46" s="19">
        <f>LEN(SalesData[[#This Row],[Customer_Name]])</f>
        <v>12</v>
      </c>
      <c r="AC46" s="19" t="str">
        <f>LEFT(SalesData[[#This Row],[Order_ID]],3)</f>
        <v>ORD</v>
      </c>
      <c r="AD46" s="19" t="str">
        <f>RIGHT(SalesData[[#This Row],[Order_ID]],4)</f>
        <v>0387</v>
      </c>
      <c r="AE46" s="19" t="str">
        <f>_xlfn.CONCAT(SalesData[[#This Row],[Clean_Customer_Name]],"-",SalesData[[#This Row],[Region]])</f>
        <v>Varun Kapoor-North</v>
      </c>
      <c r="AF46" s="19" t="str">
        <f>MID(SalesData[[#This Row],[Order_ID]],4,4)</f>
        <v>0387</v>
      </c>
      <c r="AG46" s="19" t="e">
        <f ca="1">_xlfn.SINGLE(_xlfn.XLOOKUP(SalesData[[#This Row],[Product]],Product_Master!A:A,Product_Master!B:B,"Not Found"))</f>
        <v>#NAME?</v>
      </c>
      <c r="AH46" s="19" t="str">
        <f>VLOOKUP(SalesData[[#This Row],[Product]],Product_Master!$A$1:$B$21,2,FALSE)</f>
        <v>Anjali</v>
      </c>
      <c r="AI46" s="16"/>
    </row>
    <row r="47" spans="1:35" ht="13.8">
      <c r="A47" s="16" t="s">
        <v>944</v>
      </c>
      <c r="B47" s="17">
        <v>45857</v>
      </c>
      <c r="C47" s="16" t="s">
        <v>60</v>
      </c>
      <c r="D47" s="16" t="s">
        <v>61</v>
      </c>
      <c r="E47" s="16" t="s">
        <v>72</v>
      </c>
      <c r="F47" s="16" t="s">
        <v>73</v>
      </c>
      <c r="G47" s="16" t="s">
        <v>51</v>
      </c>
      <c r="H47" s="16" t="s">
        <v>74</v>
      </c>
      <c r="I47" s="16" t="s">
        <v>84</v>
      </c>
      <c r="J47" s="16" t="s">
        <v>142</v>
      </c>
      <c r="K47" s="18">
        <v>35174.99</v>
      </c>
      <c r="L47" s="18">
        <v>15389.64</v>
      </c>
      <c r="M47" s="19">
        <v>4</v>
      </c>
      <c r="N47" s="20">
        <v>0.1</v>
      </c>
      <c r="O47" s="19" t="s">
        <v>25</v>
      </c>
      <c r="P47" s="19" t="s">
        <v>58</v>
      </c>
      <c r="Q47" s="19" t="str">
        <f>TRIM(SalesData[[#This Row],[Customer_Name]])</f>
        <v>Varun Kapoor</v>
      </c>
      <c r="R47" s="21">
        <f>SalesData[[#This Row],[Sales]]-SalesData[[#This Row],[Cost]]</f>
        <v>19785.349999999999</v>
      </c>
      <c r="S47" s="22">
        <f>IFERROR(SalesData[[#This Row],[Profit]]/SalesData[[#This Row],[Sales]],0)</f>
        <v>0.56248345770673991</v>
      </c>
      <c r="T47" s="19">
        <f>YEAR(SalesData[[#This Row],[Order_Date]])</f>
        <v>2025</v>
      </c>
      <c r="U47" s="19" t="str">
        <f>TEXT(SalesData[[#This Row],[Order_Date]],"mmm")</f>
        <v>Jul</v>
      </c>
      <c r="V47" s="19" t="str">
        <f>"Q"&amp;ROUNDUP(MONTH(SalesData[[#This Row],[Order_Date]])/3,0)</f>
        <v>Q3</v>
      </c>
      <c r="W47" s="19" t="str">
        <f>IF(SalesData[[#This Row],[Sales]]&gt;=50000,"High",IF(AND(SalesData[[#This Row],[Sales]]&gt;= 20000, SalesData[[#This Row],[Sales]]&lt; 50000),"Medium","Low"))</f>
        <v>Medium</v>
      </c>
      <c r="X47" s="19" t="str">
        <f>IF(SalesData[[#This Row],[Profit]]&gt;0,"Profit","Loss")</f>
        <v>Profit</v>
      </c>
      <c r="Y47" s="19" t="str">
        <f>IF(AND(SalesData[[#This Row],[Sales]]&gt;= 50000, SalesData[[#This Row],[Quantity]]&gt;=2),"Yes","No")</f>
        <v>No</v>
      </c>
      <c r="Z47" s="19" t="str">
        <f>UPPER(SalesData[[#This Row],[Customer_Name]])</f>
        <v>VARUN KAPOOR</v>
      </c>
      <c r="AA47" s="19" t="str">
        <f>LOWER(SalesData[[#This Row],[Customer_Name]])</f>
        <v>varun kapoor</v>
      </c>
      <c r="AB47" s="19">
        <f>LEN(SalesData[[#This Row],[Customer_Name]])</f>
        <v>12</v>
      </c>
      <c r="AC47" s="19" t="str">
        <f>LEFT(SalesData[[#This Row],[Order_ID]],3)</f>
        <v>ORD</v>
      </c>
      <c r="AD47" s="19" t="str">
        <f>RIGHT(SalesData[[#This Row],[Order_ID]],4)</f>
        <v>0791</v>
      </c>
      <c r="AE47" s="19" t="str">
        <f>_xlfn.CONCAT(SalesData[[#This Row],[Clean_Customer_Name]],"-",SalesData[[#This Row],[Region]])</f>
        <v>Varun Kapoor-South</v>
      </c>
      <c r="AF47" s="19" t="str">
        <f>MID(SalesData[[#This Row],[Order_ID]],4,4)</f>
        <v>0791</v>
      </c>
      <c r="AG47" s="19" t="e">
        <f ca="1">_xlfn.SINGLE(_xlfn.XLOOKUP(SalesData[[#This Row],[Product]],Product_Master!A:A,Product_Master!B:B,"Not Found"))</f>
        <v>#NAME?</v>
      </c>
      <c r="AH47" s="19" t="str">
        <f>VLOOKUP(SalesData[[#This Row],[Product]],Product_Master!$A$1:$B$21,2,FALSE)</f>
        <v>Anjali</v>
      </c>
      <c r="AI47" s="16"/>
    </row>
    <row r="48" spans="1:35" ht="13.8">
      <c r="A48" s="16" t="s">
        <v>122</v>
      </c>
      <c r="B48" s="17">
        <v>45979</v>
      </c>
      <c r="C48" s="16" t="s">
        <v>60</v>
      </c>
      <c r="D48" s="16" t="s">
        <v>61</v>
      </c>
      <c r="E48" s="16" t="s">
        <v>123</v>
      </c>
      <c r="F48" s="16" t="s">
        <v>124</v>
      </c>
      <c r="G48" s="16" t="s">
        <v>51</v>
      </c>
      <c r="H48" s="16" t="s">
        <v>125</v>
      </c>
      <c r="I48" s="16" t="s">
        <v>56</v>
      </c>
      <c r="J48" s="16" t="s">
        <v>91</v>
      </c>
      <c r="K48" s="18">
        <v>88180.65</v>
      </c>
      <c r="L48" s="18">
        <v>53331.48</v>
      </c>
      <c r="M48" s="19">
        <v>3</v>
      </c>
      <c r="N48" s="20">
        <v>0</v>
      </c>
      <c r="O48" s="19" t="s">
        <v>76</v>
      </c>
      <c r="P48" s="19" t="s">
        <v>58</v>
      </c>
      <c r="Q48" s="19" t="str">
        <f>TRIM(SalesData[[#This Row],[Customer_Name]])</f>
        <v>Varun Kapoor</v>
      </c>
      <c r="R48" s="21">
        <f>SalesData[[#This Row],[Sales]]-SalesData[[#This Row],[Cost]]</f>
        <v>34849.169999999991</v>
      </c>
      <c r="S48" s="22">
        <f>IFERROR(SalesData[[#This Row],[Profit]]/SalesData[[#This Row],[Sales]],0)</f>
        <v>0.39520200860392835</v>
      </c>
      <c r="T48" s="19">
        <f>YEAR(SalesData[[#This Row],[Order_Date]])</f>
        <v>2025</v>
      </c>
      <c r="U48" s="19" t="str">
        <f>TEXT(SalesData[[#This Row],[Order_Date]],"mmm")</f>
        <v>Nov</v>
      </c>
      <c r="V48" s="19" t="str">
        <f>"Q"&amp;ROUNDUP(MONTH(SalesData[[#This Row],[Order_Date]])/3,0)</f>
        <v>Q4</v>
      </c>
      <c r="W48" s="19" t="str">
        <f>IF(SalesData[[#This Row],[Sales]]&gt;=50000,"High",IF(AND(SalesData[[#This Row],[Sales]]&gt;= 20000, SalesData[[#This Row],[Sales]]&lt; 50000),"Medium","Low"))</f>
        <v>High</v>
      </c>
      <c r="X48" s="19" t="str">
        <f>IF(SalesData[[#This Row],[Profit]]&gt;0,"Profit","Loss")</f>
        <v>Profit</v>
      </c>
      <c r="Y48" s="19" t="str">
        <f>IF(AND(SalesData[[#This Row],[Sales]]&gt;= 50000, SalesData[[#This Row],[Quantity]]&gt;=2),"Yes","No")</f>
        <v>Yes</v>
      </c>
      <c r="Z48" s="19" t="str">
        <f>UPPER(SalesData[[#This Row],[Customer_Name]])</f>
        <v>VARUN KAPOOR</v>
      </c>
      <c r="AA48" s="19" t="str">
        <f>LOWER(SalesData[[#This Row],[Customer_Name]])</f>
        <v>varun kapoor</v>
      </c>
      <c r="AB48" s="19">
        <f>LEN(SalesData[[#This Row],[Customer_Name]])</f>
        <v>12</v>
      </c>
      <c r="AC48" s="19" t="str">
        <f>LEFT(SalesData[[#This Row],[Order_ID]],3)</f>
        <v>ORD</v>
      </c>
      <c r="AD48" s="19" t="str">
        <f>RIGHT(SalesData[[#This Row],[Order_ID]],4)</f>
        <v>0019</v>
      </c>
      <c r="AE48" s="19" t="str">
        <f>_xlfn.CONCAT(SalesData[[#This Row],[Clean_Customer_Name]],"-",SalesData[[#This Row],[Region]])</f>
        <v>Varun Kapoor-West</v>
      </c>
      <c r="AF48" s="19" t="str">
        <f>MID(SalesData[[#This Row],[Order_ID]],4,4)</f>
        <v>0019</v>
      </c>
      <c r="AG48" s="19" t="e">
        <f ca="1">_xlfn.SINGLE(_xlfn.XLOOKUP(SalesData[[#This Row],[Product]],Product_Master!A:A,Product_Master!B:B,"Not Found"))</f>
        <v>#NAME?</v>
      </c>
      <c r="AH48" s="19" t="str">
        <f>VLOOKUP(SalesData[[#This Row],[Product]],Product_Master!$A$1:$B$21,2,FALSE)</f>
        <v>Sneha</v>
      </c>
      <c r="AI48" s="16"/>
    </row>
    <row r="49" spans="1:35" ht="13.8">
      <c r="A49" s="16" t="s">
        <v>770</v>
      </c>
      <c r="B49" s="17">
        <v>45293</v>
      </c>
      <c r="C49" s="16" t="s">
        <v>60</v>
      </c>
      <c r="D49" s="16" t="s">
        <v>61</v>
      </c>
      <c r="E49" s="16" t="s">
        <v>123</v>
      </c>
      <c r="F49" s="16" t="s">
        <v>124</v>
      </c>
      <c r="G49" s="16" t="s">
        <v>51</v>
      </c>
      <c r="H49" s="16" t="s">
        <v>125</v>
      </c>
      <c r="I49" s="16" t="s">
        <v>84</v>
      </c>
      <c r="J49" s="16" t="s">
        <v>85</v>
      </c>
      <c r="K49" s="18">
        <v>31318.22</v>
      </c>
      <c r="L49" s="18">
        <v>16286.35</v>
      </c>
      <c r="M49" s="19">
        <v>1</v>
      </c>
      <c r="N49" s="20">
        <v>0</v>
      </c>
      <c r="O49" s="19" t="s">
        <v>76</v>
      </c>
      <c r="P49" s="19" t="s">
        <v>26</v>
      </c>
      <c r="Q49" s="19" t="str">
        <f>TRIM(SalesData[[#This Row],[Customer_Name]])</f>
        <v>Varun Kapoor</v>
      </c>
      <c r="R49" s="21">
        <f>SalesData[[#This Row],[Sales]]-SalesData[[#This Row],[Cost]]</f>
        <v>15031.87</v>
      </c>
      <c r="S49" s="22">
        <f>IFERROR(SalesData[[#This Row],[Profit]]/SalesData[[#This Row],[Sales]],0)</f>
        <v>0.47997204183379516</v>
      </c>
      <c r="T49" s="19">
        <f>YEAR(SalesData[[#This Row],[Order_Date]])</f>
        <v>2024</v>
      </c>
      <c r="U49" s="19" t="str">
        <f>TEXT(SalesData[[#This Row],[Order_Date]],"mmm")</f>
        <v>Jan</v>
      </c>
      <c r="V49" s="19" t="str">
        <f>"Q"&amp;ROUNDUP(MONTH(SalesData[[#This Row],[Order_Date]])/3,0)</f>
        <v>Q1</v>
      </c>
      <c r="W49" s="19" t="str">
        <f>IF(SalesData[[#This Row],[Sales]]&gt;=50000,"High",IF(AND(SalesData[[#This Row],[Sales]]&gt;= 20000, SalesData[[#This Row],[Sales]]&lt; 50000),"Medium","Low"))</f>
        <v>Medium</v>
      </c>
      <c r="X49" s="19" t="str">
        <f>IF(SalesData[[#This Row],[Profit]]&gt;0,"Profit","Loss")</f>
        <v>Profit</v>
      </c>
      <c r="Y49" s="19" t="str">
        <f>IF(AND(SalesData[[#This Row],[Sales]]&gt;= 50000, SalesData[[#This Row],[Quantity]]&gt;=2),"Yes","No")</f>
        <v>No</v>
      </c>
      <c r="Z49" s="19" t="str">
        <f>UPPER(SalesData[[#This Row],[Customer_Name]])</f>
        <v>VARUN KAPOOR</v>
      </c>
      <c r="AA49" s="19" t="str">
        <f>LOWER(SalesData[[#This Row],[Customer_Name]])</f>
        <v>varun kapoor</v>
      </c>
      <c r="AB49" s="19">
        <f>LEN(SalesData[[#This Row],[Customer_Name]])</f>
        <v>12</v>
      </c>
      <c r="AC49" s="19" t="str">
        <f>LEFT(SalesData[[#This Row],[Order_ID]],3)</f>
        <v>ORD</v>
      </c>
      <c r="AD49" s="19" t="str">
        <f>RIGHT(SalesData[[#This Row],[Order_ID]],4)</f>
        <v>0617</v>
      </c>
      <c r="AE49" s="19" t="str">
        <f>_xlfn.CONCAT(SalesData[[#This Row],[Clean_Customer_Name]],"-",SalesData[[#This Row],[Region]])</f>
        <v>Varun Kapoor-South</v>
      </c>
      <c r="AF49" s="19" t="str">
        <f>MID(SalesData[[#This Row],[Order_ID]],4,4)</f>
        <v>0617</v>
      </c>
      <c r="AG49" s="19" t="e">
        <f ca="1">_xlfn.SINGLE(_xlfn.XLOOKUP(SalesData[[#This Row],[Product]],Product_Master!A:A,Product_Master!B:B,"Not Found"))</f>
        <v>#NAME?</v>
      </c>
      <c r="AH49" s="19" t="str">
        <f>VLOOKUP(SalesData[[#This Row],[Product]],Product_Master!$A$1:$B$21,2,FALSE)</f>
        <v>Sneha</v>
      </c>
      <c r="AI49" s="16"/>
    </row>
    <row r="50" spans="1:35" ht="13.8">
      <c r="A50" s="16" t="s">
        <v>354</v>
      </c>
      <c r="B50" s="17">
        <v>45645</v>
      </c>
      <c r="C50" s="16" t="s">
        <v>60</v>
      </c>
      <c r="D50" s="16" t="s">
        <v>61</v>
      </c>
      <c r="E50" s="16" t="s">
        <v>110</v>
      </c>
      <c r="F50" s="16" t="s">
        <v>111</v>
      </c>
      <c r="G50" s="16" t="s">
        <v>40</v>
      </c>
      <c r="H50" s="16" t="s">
        <v>112</v>
      </c>
      <c r="I50" s="16" t="s">
        <v>42</v>
      </c>
      <c r="J50" s="16" t="s">
        <v>162</v>
      </c>
      <c r="K50" s="18">
        <v>8635.81</v>
      </c>
      <c r="L50" s="18">
        <v>4445.5200000000004</v>
      </c>
      <c r="M50" s="19">
        <v>4</v>
      </c>
      <c r="N50" s="20">
        <v>0.2</v>
      </c>
      <c r="O50" s="19" t="s">
        <v>25</v>
      </c>
      <c r="P50" s="19" t="s">
        <v>77</v>
      </c>
      <c r="Q50" s="19" t="str">
        <f>TRIM(SalesData[[#This Row],[Customer_Name]])</f>
        <v>Varun Kapoor</v>
      </c>
      <c r="R50" s="21">
        <f>SalesData[[#This Row],[Sales]]-SalesData[[#This Row],[Cost]]</f>
        <v>4190.2899999999991</v>
      </c>
      <c r="S50" s="22">
        <f>IFERROR(SalesData[[#This Row],[Profit]]/SalesData[[#This Row],[Sales]],0)</f>
        <v>0.48522257900532773</v>
      </c>
      <c r="T50" s="19">
        <f>YEAR(SalesData[[#This Row],[Order_Date]])</f>
        <v>2024</v>
      </c>
      <c r="U50" s="19" t="str">
        <f>TEXT(SalesData[[#This Row],[Order_Date]],"mmm")</f>
        <v>Dec</v>
      </c>
      <c r="V50" s="19" t="str">
        <f>"Q"&amp;ROUNDUP(MONTH(SalesData[[#This Row],[Order_Date]])/3,0)</f>
        <v>Q4</v>
      </c>
      <c r="W50" s="19" t="str">
        <f>IF(SalesData[[#This Row],[Sales]]&gt;=50000,"High",IF(AND(SalesData[[#This Row],[Sales]]&gt;= 20000, SalesData[[#This Row],[Sales]]&lt; 50000),"Medium","Low"))</f>
        <v>Low</v>
      </c>
      <c r="X50" s="19" t="str">
        <f>IF(SalesData[[#This Row],[Profit]]&gt;0,"Profit","Loss")</f>
        <v>Profit</v>
      </c>
      <c r="Y50" s="19" t="str">
        <f>IF(AND(SalesData[[#This Row],[Sales]]&gt;= 50000, SalesData[[#This Row],[Quantity]]&gt;=2),"Yes","No")</f>
        <v>No</v>
      </c>
      <c r="Z50" s="19" t="str">
        <f>UPPER(SalesData[[#This Row],[Customer_Name]])</f>
        <v>VARUN KAPOOR</v>
      </c>
      <c r="AA50" s="19" t="str">
        <f>LOWER(SalesData[[#This Row],[Customer_Name]])</f>
        <v>varun kapoor</v>
      </c>
      <c r="AB50" s="19">
        <f>LEN(SalesData[[#This Row],[Customer_Name]])</f>
        <v>12</v>
      </c>
      <c r="AC50" s="19" t="str">
        <f>LEFT(SalesData[[#This Row],[Order_ID]],3)</f>
        <v>ORD</v>
      </c>
      <c r="AD50" s="19" t="str">
        <f>RIGHT(SalesData[[#This Row],[Order_ID]],4)</f>
        <v>0201</v>
      </c>
      <c r="AE50" s="19" t="str">
        <f>_xlfn.CONCAT(SalesData[[#This Row],[Clean_Customer_Name]],"-",SalesData[[#This Row],[Region]])</f>
        <v>Varun Kapoor-East</v>
      </c>
      <c r="AF50" s="19" t="str">
        <f>MID(SalesData[[#This Row],[Order_ID]],4,4)</f>
        <v>0201</v>
      </c>
      <c r="AG50" s="19" t="e">
        <f ca="1">_xlfn.SINGLE(_xlfn.XLOOKUP(SalesData[[#This Row],[Product]],Product_Master!A:A,Product_Master!B:B,"Not Found"))</f>
        <v>#NAME?</v>
      </c>
      <c r="AH50" s="19" t="str">
        <f>VLOOKUP(SalesData[[#This Row],[Product]],Product_Master!$A$1:$B$21,2,FALSE)</f>
        <v>Vikas</v>
      </c>
      <c r="AI50" s="16"/>
    </row>
    <row r="51" spans="1:35" ht="13.8">
      <c r="A51" s="16" t="s">
        <v>750</v>
      </c>
      <c r="B51" s="17">
        <v>45760</v>
      </c>
      <c r="C51" s="16" t="s">
        <v>60</v>
      </c>
      <c r="D51" s="16" t="s">
        <v>61</v>
      </c>
      <c r="E51" s="16" t="s">
        <v>110</v>
      </c>
      <c r="F51" s="16" t="s">
        <v>111</v>
      </c>
      <c r="G51" s="16" t="s">
        <v>40</v>
      </c>
      <c r="H51" s="16" t="s">
        <v>112</v>
      </c>
      <c r="I51" s="16" t="s">
        <v>53</v>
      </c>
      <c r="J51" s="16" t="s">
        <v>102</v>
      </c>
      <c r="K51" s="18">
        <v>6690.94</v>
      </c>
      <c r="L51" s="18">
        <v>2365.2199999999998</v>
      </c>
      <c r="M51" s="19">
        <v>2</v>
      </c>
      <c r="N51" s="20">
        <v>0.2</v>
      </c>
      <c r="O51" s="19" t="s">
        <v>136</v>
      </c>
      <c r="P51" s="19" t="s">
        <v>77</v>
      </c>
      <c r="Q51" s="19" t="str">
        <f>TRIM(SalesData[[#This Row],[Customer_Name]])</f>
        <v>Varun Kapoor</v>
      </c>
      <c r="R51" s="21">
        <f>SalesData[[#This Row],[Sales]]-SalesData[[#This Row],[Cost]]</f>
        <v>4325.7199999999993</v>
      </c>
      <c r="S51" s="22">
        <f>IFERROR(SalesData[[#This Row],[Profit]]/SalesData[[#This Row],[Sales]],0)</f>
        <v>0.64650407864963666</v>
      </c>
      <c r="T51" s="19">
        <f>YEAR(SalesData[[#This Row],[Order_Date]])</f>
        <v>2025</v>
      </c>
      <c r="U51" s="19" t="str">
        <f>TEXT(SalesData[[#This Row],[Order_Date]],"mmm")</f>
        <v>Apr</v>
      </c>
      <c r="V51" s="19" t="str">
        <f>"Q"&amp;ROUNDUP(MONTH(SalesData[[#This Row],[Order_Date]])/3,0)</f>
        <v>Q2</v>
      </c>
      <c r="W51" s="19" t="str">
        <f>IF(SalesData[[#This Row],[Sales]]&gt;=50000,"High",IF(AND(SalesData[[#This Row],[Sales]]&gt;= 20000, SalesData[[#This Row],[Sales]]&lt; 50000),"Medium","Low"))</f>
        <v>Low</v>
      </c>
      <c r="X51" s="19" t="str">
        <f>IF(SalesData[[#This Row],[Profit]]&gt;0,"Profit","Loss")</f>
        <v>Profit</v>
      </c>
      <c r="Y51" s="19" t="str">
        <f>IF(AND(SalesData[[#This Row],[Sales]]&gt;= 50000, SalesData[[#This Row],[Quantity]]&gt;=2),"Yes","No")</f>
        <v>No</v>
      </c>
      <c r="Z51" s="19" t="str">
        <f>UPPER(SalesData[[#This Row],[Customer_Name]])</f>
        <v>VARUN KAPOOR</v>
      </c>
      <c r="AA51" s="19" t="str">
        <f>LOWER(SalesData[[#This Row],[Customer_Name]])</f>
        <v>varun kapoor</v>
      </c>
      <c r="AB51" s="19">
        <f>LEN(SalesData[[#This Row],[Customer_Name]])</f>
        <v>12</v>
      </c>
      <c r="AC51" s="19" t="str">
        <f>LEFT(SalesData[[#This Row],[Order_ID]],3)</f>
        <v>ORD</v>
      </c>
      <c r="AD51" s="19" t="str">
        <f>RIGHT(SalesData[[#This Row],[Order_ID]],4)</f>
        <v>0597</v>
      </c>
      <c r="AE51" s="19" t="str">
        <f>_xlfn.CONCAT(SalesData[[#This Row],[Clean_Customer_Name]],"-",SalesData[[#This Row],[Region]])</f>
        <v>Varun Kapoor-Central</v>
      </c>
      <c r="AF51" s="19" t="str">
        <f>MID(SalesData[[#This Row],[Order_ID]],4,4)</f>
        <v>0597</v>
      </c>
      <c r="AG51" s="19" t="e">
        <f ca="1">_xlfn.SINGLE(_xlfn.XLOOKUP(SalesData[[#This Row],[Product]],Product_Master!A:A,Product_Master!B:B,"Not Found"))</f>
        <v>#NAME?</v>
      </c>
      <c r="AH51" s="19" t="str">
        <f>VLOOKUP(SalesData[[#This Row],[Product]],Product_Master!$A$1:$B$21,2,FALSE)</f>
        <v>Vikas</v>
      </c>
      <c r="AI51" s="16"/>
    </row>
    <row r="52" spans="1:35" ht="13.8">
      <c r="A52" s="16" t="s">
        <v>919</v>
      </c>
      <c r="B52" s="17">
        <v>45404</v>
      </c>
      <c r="C52" s="16" t="s">
        <v>60</v>
      </c>
      <c r="D52" s="16" t="s">
        <v>61</v>
      </c>
      <c r="E52" s="16" t="s">
        <v>106</v>
      </c>
      <c r="F52" s="16" t="s">
        <v>107</v>
      </c>
      <c r="G52" s="16" t="s">
        <v>40</v>
      </c>
      <c r="H52" s="16" t="s">
        <v>108</v>
      </c>
      <c r="I52" s="16" t="s">
        <v>56</v>
      </c>
      <c r="J52" s="16" t="s">
        <v>191</v>
      </c>
      <c r="K52" s="18">
        <v>9008.68</v>
      </c>
      <c r="L52" s="18">
        <v>3622.5</v>
      </c>
      <c r="M52" s="19">
        <v>5</v>
      </c>
      <c r="N52" s="20">
        <v>0.2</v>
      </c>
      <c r="O52" s="19" t="s">
        <v>34</v>
      </c>
      <c r="P52" s="19" t="s">
        <v>98</v>
      </c>
      <c r="Q52" s="19" t="str">
        <f>TRIM(SalesData[[#This Row],[Customer_Name]])</f>
        <v>Varun Kapoor</v>
      </c>
      <c r="R52" s="21">
        <f>SalesData[[#This Row],[Sales]]-SalesData[[#This Row],[Cost]]</f>
        <v>5386.18</v>
      </c>
      <c r="S52" s="22">
        <f>IFERROR(SalesData[[#This Row],[Profit]]/SalesData[[#This Row],[Sales]],0)</f>
        <v>0.5978878148629988</v>
      </c>
      <c r="T52" s="19">
        <f>YEAR(SalesData[[#This Row],[Order_Date]])</f>
        <v>2024</v>
      </c>
      <c r="U52" s="19" t="str">
        <f>TEXT(SalesData[[#This Row],[Order_Date]],"mmm")</f>
        <v>Apr</v>
      </c>
      <c r="V52" s="19" t="str">
        <f>"Q"&amp;ROUNDUP(MONTH(SalesData[[#This Row],[Order_Date]])/3,0)</f>
        <v>Q2</v>
      </c>
      <c r="W52" s="19" t="str">
        <f>IF(SalesData[[#This Row],[Sales]]&gt;=50000,"High",IF(AND(SalesData[[#This Row],[Sales]]&gt;= 20000, SalesData[[#This Row],[Sales]]&lt; 50000),"Medium","Low"))</f>
        <v>Low</v>
      </c>
      <c r="X52" s="19" t="str">
        <f>IF(SalesData[[#This Row],[Profit]]&gt;0,"Profit","Loss")</f>
        <v>Profit</v>
      </c>
      <c r="Y52" s="19" t="str">
        <f>IF(AND(SalesData[[#This Row],[Sales]]&gt;= 50000, SalesData[[#This Row],[Quantity]]&gt;=2),"Yes","No")</f>
        <v>No</v>
      </c>
      <c r="Z52" s="19" t="str">
        <f>UPPER(SalesData[[#This Row],[Customer_Name]])</f>
        <v>VARUN KAPOOR</v>
      </c>
      <c r="AA52" s="19" t="str">
        <f>LOWER(SalesData[[#This Row],[Customer_Name]])</f>
        <v>varun kapoor</v>
      </c>
      <c r="AB52" s="19">
        <f>LEN(SalesData[[#This Row],[Customer_Name]])</f>
        <v>12</v>
      </c>
      <c r="AC52" s="19" t="str">
        <f>LEFT(SalesData[[#This Row],[Order_ID]],3)</f>
        <v>ORD</v>
      </c>
      <c r="AD52" s="19" t="str">
        <f>RIGHT(SalesData[[#This Row],[Order_ID]],4)</f>
        <v>0766</v>
      </c>
      <c r="AE52" s="19" t="str">
        <f>_xlfn.CONCAT(SalesData[[#This Row],[Clean_Customer_Name]],"-",SalesData[[#This Row],[Region]])</f>
        <v>Varun Kapoor-West</v>
      </c>
      <c r="AF52" s="19" t="str">
        <f>MID(SalesData[[#This Row],[Order_ID]],4,4)</f>
        <v>0766</v>
      </c>
      <c r="AG52" s="19" t="e">
        <f ca="1">_xlfn.SINGLE(_xlfn.XLOOKUP(SalesData[[#This Row],[Product]],Product_Master!A:A,Product_Master!B:B,"Not Found"))</f>
        <v>#NAME?</v>
      </c>
      <c r="AH52" s="19" t="str">
        <f>VLOOKUP(SalesData[[#This Row],[Product]],Product_Master!$A$1:$B$21,2,FALSE)</f>
        <v>Aditya</v>
      </c>
      <c r="AI52" s="16"/>
    </row>
    <row r="53" spans="1:35" ht="13.8">
      <c r="A53" s="16" t="s">
        <v>958</v>
      </c>
      <c r="B53" s="17">
        <v>45725</v>
      </c>
      <c r="C53" s="16" t="s">
        <v>60</v>
      </c>
      <c r="D53" s="16" t="s">
        <v>61</v>
      </c>
      <c r="E53" s="16" t="s">
        <v>106</v>
      </c>
      <c r="F53" s="16" t="s">
        <v>107</v>
      </c>
      <c r="G53" s="16" t="s">
        <v>40</v>
      </c>
      <c r="H53" s="16" t="s">
        <v>108</v>
      </c>
      <c r="I53" s="16" t="s">
        <v>42</v>
      </c>
      <c r="J53" s="16" t="s">
        <v>162</v>
      </c>
      <c r="K53" s="18">
        <v>5048.05</v>
      </c>
      <c r="L53" s="18">
        <v>3329.35</v>
      </c>
      <c r="M53" s="19">
        <v>5</v>
      </c>
      <c r="N53" s="20">
        <v>0</v>
      </c>
      <c r="O53" s="19" t="s">
        <v>25</v>
      </c>
      <c r="P53" s="19" t="s">
        <v>77</v>
      </c>
      <c r="Q53" s="19" t="str">
        <f>TRIM(SalesData[[#This Row],[Customer_Name]])</f>
        <v>Varun Kapoor</v>
      </c>
      <c r="R53" s="21">
        <f>SalesData[[#This Row],[Sales]]-SalesData[[#This Row],[Cost]]</f>
        <v>1718.7000000000003</v>
      </c>
      <c r="S53" s="22">
        <f>IFERROR(SalesData[[#This Row],[Profit]]/SalesData[[#This Row],[Sales]],0)</f>
        <v>0.34046810154416068</v>
      </c>
      <c r="T53" s="19">
        <f>YEAR(SalesData[[#This Row],[Order_Date]])</f>
        <v>2025</v>
      </c>
      <c r="U53" s="19" t="str">
        <f>TEXT(SalesData[[#This Row],[Order_Date]],"mmm")</f>
        <v>Mar</v>
      </c>
      <c r="V53" s="19" t="str">
        <f>"Q"&amp;ROUNDUP(MONTH(SalesData[[#This Row],[Order_Date]])/3,0)</f>
        <v>Q1</v>
      </c>
      <c r="W53" s="19" t="str">
        <f>IF(SalesData[[#This Row],[Sales]]&gt;=50000,"High",IF(AND(SalesData[[#This Row],[Sales]]&gt;= 20000, SalesData[[#This Row],[Sales]]&lt; 50000),"Medium","Low"))</f>
        <v>Low</v>
      </c>
      <c r="X53" s="19" t="str">
        <f>IF(SalesData[[#This Row],[Profit]]&gt;0,"Profit","Loss")</f>
        <v>Profit</v>
      </c>
      <c r="Y53" s="19" t="str">
        <f>IF(AND(SalesData[[#This Row],[Sales]]&gt;= 50000, SalesData[[#This Row],[Quantity]]&gt;=2),"Yes","No")</f>
        <v>No</v>
      </c>
      <c r="Z53" s="19" t="str">
        <f>UPPER(SalesData[[#This Row],[Customer_Name]])</f>
        <v>VARUN KAPOOR</v>
      </c>
      <c r="AA53" s="19" t="str">
        <f>LOWER(SalesData[[#This Row],[Customer_Name]])</f>
        <v>varun kapoor</v>
      </c>
      <c r="AB53" s="19">
        <f>LEN(SalesData[[#This Row],[Customer_Name]])</f>
        <v>12</v>
      </c>
      <c r="AC53" s="19" t="str">
        <f>LEFT(SalesData[[#This Row],[Order_ID]],3)</f>
        <v>ORD</v>
      </c>
      <c r="AD53" s="19" t="str">
        <f>RIGHT(SalesData[[#This Row],[Order_ID]],4)</f>
        <v>0805</v>
      </c>
      <c r="AE53" s="19" t="str">
        <f>_xlfn.CONCAT(SalesData[[#This Row],[Clean_Customer_Name]],"-",SalesData[[#This Row],[Region]])</f>
        <v>Varun Kapoor-East</v>
      </c>
      <c r="AF53" s="19" t="str">
        <f>MID(SalesData[[#This Row],[Order_ID]],4,4)</f>
        <v>0805</v>
      </c>
      <c r="AG53" s="19" t="e">
        <f ca="1">_xlfn.SINGLE(_xlfn.XLOOKUP(SalesData[[#This Row],[Product]],Product_Master!A:A,Product_Master!B:B,"Not Found"))</f>
        <v>#NAME?</v>
      </c>
      <c r="AH53" s="19" t="str">
        <f>VLOOKUP(SalesData[[#This Row],[Product]],Product_Master!$A$1:$B$21,2,FALSE)</f>
        <v>Aditya</v>
      </c>
      <c r="AI53" s="16"/>
    </row>
    <row r="54" spans="1:35" ht="13.8">
      <c r="A54" s="16" t="s">
        <v>1007</v>
      </c>
      <c r="B54" s="17">
        <v>45951</v>
      </c>
      <c r="C54" s="16" t="s">
        <v>60</v>
      </c>
      <c r="D54" s="16" t="s">
        <v>61</v>
      </c>
      <c r="E54" s="16" t="s">
        <v>106</v>
      </c>
      <c r="F54" s="16" t="s">
        <v>107</v>
      </c>
      <c r="G54" s="16" t="s">
        <v>40</v>
      </c>
      <c r="H54" s="16" t="s">
        <v>108</v>
      </c>
      <c r="I54" s="16" t="s">
        <v>56</v>
      </c>
      <c r="J54" s="16" t="s">
        <v>191</v>
      </c>
      <c r="K54" s="18">
        <v>3477.74</v>
      </c>
      <c r="L54" s="18">
        <v>1508.52</v>
      </c>
      <c r="M54" s="19">
        <v>2</v>
      </c>
      <c r="N54" s="20">
        <v>0.2</v>
      </c>
      <c r="O54" s="19" t="s">
        <v>136</v>
      </c>
      <c r="P54" s="19" t="s">
        <v>77</v>
      </c>
      <c r="Q54" s="19" t="str">
        <f>TRIM(SalesData[[#This Row],[Customer_Name]])</f>
        <v>Varun Kapoor</v>
      </c>
      <c r="R54" s="21">
        <f>SalesData[[#This Row],[Sales]]-SalesData[[#This Row],[Cost]]</f>
        <v>1969.2199999999998</v>
      </c>
      <c r="S54" s="22">
        <f>IFERROR(SalesData[[#This Row],[Profit]]/SalesData[[#This Row],[Sales]],0)</f>
        <v>0.56623554377267993</v>
      </c>
      <c r="T54" s="19">
        <f>YEAR(SalesData[[#This Row],[Order_Date]])</f>
        <v>2025</v>
      </c>
      <c r="U54" s="19" t="str">
        <f>TEXT(SalesData[[#This Row],[Order_Date]],"mmm")</f>
        <v>Oct</v>
      </c>
      <c r="V54" s="19" t="str">
        <f>"Q"&amp;ROUNDUP(MONTH(SalesData[[#This Row],[Order_Date]])/3,0)</f>
        <v>Q4</v>
      </c>
      <c r="W54" s="19" t="str">
        <f>IF(SalesData[[#This Row],[Sales]]&gt;=50000,"High",IF(AND(SalesData[[#This Row],[Sales]]&gt;= 20000, SalesData[[#This Row],[Sales]]&lt; 50000),"Medium","Low"))</f>
        <v>Low</v>
      </c>
      <c r="X54" s="19" t="str">
        <f>IF(SalesData[[#This Row],[Profit]]&gt;0,"Profit","Loss")</f>
        <v>Profit</v>
      </c>
      <c r="Y54" s="19" t="str">
        <f>IF(AND(SalesData[[#This Row],[Sales]]&gt;= 50000, SalesData[[#This Row],[Quantity]]&gt;=2),"Yes","No")</f>
        <v>No</v>
      </c>
      <c r="Z54" s="19" t="str">
        <f>UPPER(SalesData[[#This Row],[Customer_Name]])</f>
        <v>VARUN KAPOOR</v>
      </c>
      <c r="AA54" s="19" t="str">
        <f>LOWER(SalesData[[#This Row],[Customer_Name]])</f>
        <v>varun kapoor</v>
      </c>
      <c r="AB54" s="19">
        <f>LEN(SalesData[[#This Row],[Customer_Name]])</f>
        <v>12</v>
      </c>
      <c r="AC54" s="19" t="str">
        <f>LEFT(SalesData[[#This Row],[Order_ID]],3)</f>
        <v>ORD</v>
      </c>
      <c r="AD54" s="19" t="str">
        <f>RIGHT(SalesData[[#This Row],[Order_ID]],4)</f>
        <v>0854</v>
      </c>
      <c r="AE54" s="19" t="str">
        <f>_xlfn.CONCAT(SalesData[[#This Row],[Clean_Customer_Name]],"-",SalesData[[#This Row],[Region]])</f>
        <v>Varun Kapoor-West</v>
      </c>
      <c r="AF54" s="19" t="str">
        <f>MID(SalesData[[#This Row],[Order_ID]],4,4)</f>
        <v>0854</v>
      </c>
      <c r="AG54" s="19" t="e">
        <f ca="1">_xlfn.SINGLE(_xlfn.XLOOKUP(SalesData[[#This Row],[Product]],Product_Master!A:A,Product_Master!B:B,"Not Found"))</f>
        <v>#NAME?</v>
      </c>
      <c r="AH54" s="19" t="str">
        <f>VLOOKUP(SalesData[[#This Row],[Product]],Product_Master!$A$1:$B$21,2,FALSE)</f>
        <v>Aditya</v>
      </c>
      <c r="AI54" s="16"/>
    </row>
    <row r="55" spans="1:35" ht="13.8">
      <c r="A55" s="16" t="s">
        <v>1145</v>
      </c>
      <c r="B55" s="17">
        <v>45434</v>
      </c>
      <c r="C55" s="16" t="s">
        <v>60</v>
      </c>
      <c r="D55" s="16" t="s">
        <v>61</v>
      </c>
      <c r="E55" s="16" t="s">
        <v>106</v>
      </c>
      <c r="F55" s="16" t="s">
        <v>107</v>
      </c>
      <c r="G55" s="16" t="s">
        <v>40</v>
      </c>
      <c r="H55" s="16" t="s">
        <v>108</v>
      </c>
      <c r="I55" s="16" t="s">
        <v>42</v>
      </c>
      <c r="J55" s="16" t="s">
        <v>162</v>
      </c>
      <c r="K55" s="18">
        <v>2440.63</v>
      </c>
      <c r="L55" s="18">
        <v>714.27</v>
      </c>
      <c r="M55" s="19">
        <v>1</v>
      </c>
      <c r="N55" s="20">
        <v>0.1</v>
      </c>
      <c r="O55" s="19" t="s">
        <v>76</v>
      </c>
      <c r="P55" s="19" t="s">
        <v>77</v>
      </c>
      <c r="Q55" s="19" t="str">
        <f>TRIM(SalesData[[#This Row],[Customer_Name]])</f>
        <v>Varun Kapoor</v>
      </c>
      <c r="R55" s="21">
        <f>SalesData[[#This Row],[Sales]]-SalesData[[#This Row],[Cost]]</f>
        <v>1726.3600000000001</v>
      </c>
      <c r="S55" s="22">
        <f>IFERROR(SalesData[[#This Row],[Profit]]/SalesData[[#This Row],[Sales]],0)</f>
        <v>0.70734195678984524</v>
      </c>
      <c r="T55" s="19">
        <f>YEAR(SalesData[[#This Row],[Order_Date]])</f>
        <v>2024</v>
      </c>
      <c r="U55" s="19" t="str">
        <f>TEXT(SalesData[[#This Row],[Order_Date]],"mmm")</f>
        <v>May</v>
      </c>
      <c r="V55" s="19" t="str">
        <f>"Q"&amp;ROUNDUP(MONTH(SalesData[[#This Row],[Order_Date]])/3,0)</f>
        <v>Q2</v>
      </c>
      <c r="W55" s="19" t="str">
        <f>IF(SalesData[[#This Row],[Sales]]&gt;=50000,"High",IF(AND(SalesData[[#This Row],[Sales]]&gt;= 20000, SalesData[[#This Row],[Sales]]&lt; 50000),"Medium","Low"))</f>
        <v>Low</v>
      </c>
      <c r="X55" s="19" t="str">
        <f>IF(SalesData[[#This Row],[Profit]]&gt;0,"Profit","Loss")</f>
        <v>Profit</v>
      </c>
      <c r="Y55" s="19" t="str">
        <f>IF(AND(SalesData[[#This Row],[Sales]]&gt;= 50000, SalesData[[#This Row],[Quantity]]&gt;=2),"Yes","No")</f>
        <v>No</v>
      </c>
      <c r="Z55" s="19" t="str">
        <f>UPPER(SalesData[[#This Row],[Customer_Name]])</f>
        <v>VARUN KAPOOR</v>
      </c>
      <c r="AA55" s="19" t="str">
        <f>LOWER(SalesData[[#This Row],[Customer_Name]])</f>
        <v>varun kapoor</v>
      </c>
      <c r="AB55" s="19">
        <f>LEN(SalesData[[#This Row],[Customer_Name]])</f>
        <v>12</v>
      </c>
      <c r="AC55" s="19" t="str">
        <f>LEFT(SalesData[[#This Row],[Order_ID]],3)</f>
        <v>ORD</v>
      </c>
      <c r="AD55" s="19" t="str">
        <f>RIGHT(SalesData[[#This Row],[Order_ID]],4)</f>
        <v>0992</v>
      </c>
      <c r="AE55" s="19" t="str">
        <f>_xlfn.CONCAT(SalesData[[#This Row],[Clean_Customer_Name]],"-",SalesData[[#This Row],[Region]])</f>
        <v>Varun Kapoor-East</v>
      </c>
      <c r="AF55" s="19" t="str">
        <f>MID(SalesData[[#This Row],[Order_ID]],4,4)</f>
        <v>0992</v>
      </c>
      <c r="AG55" s="19" t="e">
        <f ca="1">_xlfn.SINGLE(_xlfn.XLOOKUP(SalesData[[#This Row],[Product]],Product_Master!A:A,Product_Master!B:B,"Not Found"))</f>
        <v>#NAME?</v>
      </c>
      <c r="AH55" s="19" t="str">
        <f>VLOOKUP(SalesData[[#This Row],[Product]],Product_Master!$A$1:$B$21,2,FALSE)</f>
        <v>Aditya</v>
      </c>
      <c r="AI55" s="16"/>
    </row>
    <row r="56" spans="1:35" ht="13.8">
      <c r="A56" s="16" t="s">
        <v>660</v>
      </c>
      <c r="B56" s="17">
        <v>45868</v>
      </c>
      <c r="C56" s="16" t="s">
        <v>60</v>
      </c>
      <c r="D56" s="16" t="s">
        <v>61</v>
      </c>
      <c r="E56" s="16" t="s">
        <v>38</v>
      </c>
      <c r="F56" s="16" t="s">
        <v>39</v>
      </c>
      <c r="G56" s="16" t="s">
        <v>40</v>
      </c>
      <c r="H56" s="16" t="s">
        <v>41</v>
      </c>
      <c r="I56" s="16" t="s">
        <v>56</v>
      </c>
      <c r="J56" s="16" t="s">
        <v>91</v>
      </c>
      <c r="K56" s="18">
        <v>6160.66</v>
      </c>
      <c r="L56" s="18">
        <v>2108</v>
      </c>
      <c r="M56" s="19">
        <v>4</v>
      </c>
      <c r="N56" s="20">
        <v>0.15</v>
      </c>
      <c r="O56" s="19" t="s">
        <v>136</v>
      </c>
      <c r="P56" s="19" t="s">
        <v>58</v>
      </c>
      <c r="Q56" s="19" t="str">
        <f>TRIM(SalesData[[#This Row],[Customer_Name]])</f>
        <v>Varun Kapoor</v>
      </c>
      <c r="R56" s="21">
        <f>SalesData[[#This Row],[Sales]]-SalesData[[#This Row],[Cost]]</f>
        <v>4052.66</v>
      </c>
      <c r="S56" s="22">
        <f>IFERROR(SalesData[[#This Row],[Profit]]/SalesData[[#This Row],[Sales]],0)</f>
        <v>0.65782886898481652</v>
      </c>
      <c r="T56" s="19">
        <f>YEAR(SalesData[[#This Row],[Order_Date]])</f>
        <v>2025</v>
      </c>
      <c r="U56" s="19" t="str">
        <f>TEXT(SalesData[[#This Row],[Order_Date]],"mmm")</f>
        <v>Jul</v>
      </c>
      <c r="V56" s="19" t="str">
        <f>"Q"&amp;ROUNDUP(MONTH(SalesData[[#This Row],[Order_Date]])/3,0)</f>
        <v>Q3</v>
      </c>
      <c r="W56" s="19" t="str">
        <f>IF(SalesData[[#This Row],[Sales]]&gt;=50000,"High",IF(AND(SalesData[[#This Row],[Sales]]&gt;= 20000, SalesData[[#This Row],[Sales]]&lt; 50000),"Medium","Low"))</f>
        <v>Low</v>
      </c>
      <c r="X56" s="19" t="str">
        <f>IF(SalesData[[#This Row],[Profit]]&gt;0,"Profit","Loss")</f>
        <v>Profit</v>
      </c>
      <c r="Y56" s="19" t="str">
        <f>IF(AND(SalesData[[#This Row],[Sales]]&gt;= 50000, SalesData[[#This Row],[Quantity]]&gt;=2),"Yes","No")</f>
        <v>No</v>
      </c>
      <c r="Z56" s="19" t="str">
        <f>UPPER(SalesData[[#This Row],[Customer_Name]])</f>
        <v>VARUN KAPOOR</v>
      </c>
      <c r="AA56" s="19" t="str">
        <f>LOWER(SalesData[[#This Row],[Customer_Name]])</f>
        <v>varun kapoor</v>
      </c>
      <c r="AB56" s="19">
        <f>LEN(SalesData[[#This Row],[Customer_Name]])</f>
        <v>12</v>
      </c>
      <c r="AC56" s="19" t="str">
        <f>LEFT(SalesData[[#This Row],[Order_ID]],3)</f>
        <v>ORD</v>
      </c>
      <c r="AD56" s="19" t="str">
        <f>RIGHT(SalesData[[#This Row],[Order_ID]],4)</f>
        <v>0507</v>
      </c>
      <c r="AE56" s="19" t="str">
        <f>_xlfn.CONCAT(SalesData[[#This Row],[Clean_Customer_Name]],"-",SalesData[[#This Row],[Region]])</f>
        <v>Varun Kapoor-West</v>
      </c>
      <c r="AF56" s="19" t="str">
        <f>MID(SalesData[[#This Row],[Order_ID]],4,4)</f>
        <v>0507</v>
      </c>
      <c r="AG56" s="19" t="e">
        <f ca="1">_xlfn.SINGLE(_xlfn.XLOOKUP(SalesData[[#This Row],[Product]],Product_Master!A:A,Product_Master!B:B,"Not Found"))</f>
        <v>#NAME?</v>
      </c>
      <c r="AH56" s="19" t="str">
        <f>VLOOKUP(SalesData[[#This Row],[Product]],Product_Master!$A$1:$B$21,2,FALSE)</f>
        <v>Manish</v>
      </c>
      <c r="AI56" s="16"/>
    </row>
    <row r="57" spans="1:35" ht="13.8">
      <c r="A57" s="16" t="s">
        <v>965</v>
      </c>
      <c r="B57" s="17">
        <v>45410</v>
      </c>
      <c r="C57" s="16" t="s">
        <v>60</v>
      </c>
      <c r="D57" s="16" t="s">
        <v>61</v>
      </c>
      <c r="E57" s="16" t="s">
        <v>38</v>
      </c>
      <c r="F57" s="16" t="s">
        <v>39</v>
      </c>
      <c r="G57" s="16" t="s">
        <v>40</v>
      </c>
      <c r="H57" s="16" t="s">
        <v>41</v>
      </c>
      <c r="I57" s="16" t="s">
        <v>56</v>
      </c>
      <c r="J57" s="16" t="s">
        <v>91</v>
      </c>
      <c r="K57" s="18">
        <v>3745.38</v>
      </c>
      <c r="L57" s="18">
        <v>1816.32</v>
      </c>
      <c r="M57" s="19">
        <v>4</v>
      </c>
      <c r="N57" s="20">
        <v>0.2</v>
      </c>
      <c r="O57" s="19" t="s">
        <v>136</v>
      </c>
      <c r="P57" s="19" t="s">
        <v>98</v>
      </c>
      <c r="Q57" s="19" t="str">
        <f>TRIM(SalesData[[#This Row],[Customer_Name]])</f>
        <v>Varun Kapoor</v>
      </c>
      <c r="R57" s="21">
        <f>SalesData[[#This Row],[Sales]]-SalesData[[#This Row],[Cost]]</f>
        <v>1929.0600000000002</v>
      </c>
      <c r="S57" s="22">
        <f>IFERROR(SalesData[[#This Row],[Profit]]/SalesData[[#This Row],[Sales]],0)</f>
        <v>0.51505054226807434</v>
      </c>
      <c r="T57" s="19">
        <f>YEAR(SalesData[[#This Row],[Order_Date]])</f>
        <v>2024</v>
      </c>
      <c r="U57" s="19" t="str">
        <f>TEXT(SalesData[[#This Row],[Order_Date]],"mmm")</f>
        <v>Apr</v>
      </c>
      <c r="V57" s="19" t="str">
        <f>"Q"&amp;ROUNDUP(MONTH(SalesData[[#This Row],[Order_Date]])/3,0)</f>
        <v>Q2</v>
      </c>
      <c r="W57" s="19" t="str">
        <f>IF(SalesData[[#This Row],[Sales]]&gt;=50000,"High",IF(AND(SalesData[[#This Row],[Sales]]&gt;= 20000, SalesData[[#This Row],[Sales]]&lt; 50000),"Medium","Low"))</f>
        <v>Low</v>
      </c>
      <c r="X57" s="19" t="str">
        <f>IF(SalesData[[#This Row],[Profit]]&gt;0,"Profit","Loss")</f>
        <v>Profit</v>
      </c>
      <c r="Y57" s="19" t="str">
        <f>IF(AND(SalesData[[#This Row],[Sales]]&gt;= 50000, SalesData[[#This Row],[Quantity]]&gt;=2),"Yes","No")</f>
        <v>No</v>
      </c>
      <c r="Z57" s="19" t="str">
        <f>UPPER(SalesData[[#This Row],[Customer_Name]])</f>
        <v>VARUN KAPOOR</v>
      </c>
      <c r="AA57" s="19" t="str">
        <f>LOWER(SalesData[[#This Row],[Customer_Name]])</f>
        <v>varun kapoor</v>
      </c>
      <c r="AB57" s="19">
        <f>LEN(SalesData[[#This Row],[Customer_Name]])</f>
        <v>12</v>
      </c>
      <c r="AC57" s="19" t="str">
        <f>LEFT(SalesData[[#This Row],[Order_ID]],3)</f>
        <v>ORD</v>
      </c>
      <c r="AD57" s="19" t="str">
        <f>RIGHT(SalesData[[#This Row],[Order_ID]],4)</f>
        <v>0812</v>
      </c>
      <c r="AE57" s="19" t="str">
        <f>_xlfn.CONCAT(SalesData[[#This Row],[Clean_Customer_Name]],"-",SalesData[[#This Row],[Region]])</f>
        <v>Varun Kapoor-West</v>
      </c>
      <c r="AF57" s="19" t="str">
        <f>MID(SalesData[[#This Row],[Order_ID]],4,4)</f>
        <v>0812</v>
      </c>
      <c r="AG57" s="19" t="e">
        <f ca="1">_xlfn.SINGLE(_xlfn.XLOOKUP(SalesData[[#This Row],[Product]],Product_Master!A:A,Product_Master!B:B,"Not Found"))</f>
        <v>#NAME?</v>
      </c>
      <c r="AH57" s="19" t="str">
        <f>VLOOKUP(SalesData[[#This Row],[Product]],Product_Master!$A$1:$B$21,2,FALSE)</f>
        <v>Manish</v>
      </c>
      <c r="AI57" s="16"/>
    </row>
    <row r="58" spans="1:35" ht="13.8">
      <c r="A58" s="16" t="s">
        <v>593</v>
      </c>
      <c r="B58" s="17">
        <v>45423</v>
      </c>
      <c r="C58" s="16" t="s">
        <v>60</v>
      </c>
      <c r="D58" s="16" t="s">
        <v>61</v>
      </c>
      <c r="E58" s="16" t="s">
        <v>95</v>
      </c>
      <c r="F58" s="16" t="s">
        <v>96</v>
      </c>
      <c r="G58" s="16" t="s">
        <v>89</v>
      </c>
      <c r="H58" s="16" t="s">
        <v>97</v>
      </c>
      <c r="I58" s="16" t="s">
        <v>23</v>
      </c>
      <c r="J58" s="16" t="s">
        <v>75</v>
      </c>
      <c r="K58" s="18">
        <v>6273.69</v>
      </c>
      <c r="L58" s="18">
        <v>3421.18</v>
      </c>
      <c r="M58" s="19">
        <v>1</v>
      </c>
      <c r="N58" s="20">
        <v>0.1</v>
      </c>
      <c r="O58" s="19" t="s">
        <v>34</v>
      </c>
      <c r="P58" s="19" t="s">
        <v>26</v>
      </c>
      <c r="Q58" s="19" t="str">
        <f>TRIM(SalesData[[#This Row],[Customer_Name]])</f>
        <v>Varun Kapoor</v>
      </c>
      <c r="R58" s="21">
        <f>SalesData[[#This Row],[Sales]]-SalesData[[#This Row],[Cost]]</f>
        <v>2852.5099999999998</v>
      </c>
      <c r="S58" s="22">
        <f>IFERROR(SalesData[[#This Row],[Profit]]/SalesData[[#This Row],[Sales]],0)</f>
        <v>0.45467818779697433</v>
      </c>
      <c r="T58" s="19">
        <f>YEAR(SalesData[[#This Row],[Order_Date]])</f>
        <v>2024</v>
      </c>
      <c r="U58" s="19" t="str">
        <f>TEXT(SalesData[[#This Row],[Order_Date]],"mmm")</f>
        <v>May</v>
      </c>
      <c r="V58" s="19" t="str">
        <f>"Q"&amp;ROUNDUP(MONTH(SalesData[[#This Row],[Order_Date]])/3,0)</f>
        <v>Q2</v>
      </c>
      <c r="W58" s="19" t="str">
        <f>IF(SalesData[[#This Row],[Sales]]&gt;=50000,"High",IF(AND(SalesData[[#This Row],[Sales]]&gt;= 20000, SalesData[[#This Row],[Sales]]&lt; 50000),"Medium","Low"))</f>
        <v>Low</v>
      </c>
      <c r="X58" s="19" t="str">
        <f>IF(SalesData[[#This Row],[Profit]]&gt;0,"Profit","Loss")</f>
        <v>Profit</v>
      </c>
      <c r="Y58" s="19" t="str">
        <f>IF(AND(SalesData[[#This Row],[Sales]]&gt;= 50000, SalesData[[#This Row],[Quantity]]&gt;=2),"Yes","No")</f>
        <v>No</v>
      </c>
      <c r="Z58" s="19" t="str">
        <f>UPPER(SalesData[[#This Row],[Customer_Name]])</f>
        <v>VARUN KAPOOR</v>
      </c>
      <c r="AA58" s="19" t="str">
        <f>LOWER(SalesData[[#This Row],[Customer_Name]])</f>
        <v>varun kapoor</v>
      </c>
      <c r="AB58" s="19">
        <f>LEN(SalesData[[#This Row],[Customer_Name]])</f>
        <v>12</v>
      </c>
      <c r="AC58" s="19" t="str">
        <f>LEFT(SalesData[[#This Row],[Order_ID]],3)</f>
        <v>ORD</v>
      </c>
      <c r="AD58" s="19" t="str">
        <f>RIGHT(SalesData[[#This Row],[Order_ID]],4)</f>
        <v>0440</v>
      </c>
      <c r="AE58" s="19" t="str">
        <f>_xlfn.CONCAT(SalesData[[#This Row],[Clean_Customer_Name]],"-",SalesData[[#This Row],[Region]])</f>
        <v>Varun Kapoor-North</v>
      </c>
      <c r="AF58" s="19" t="str">
        <f>MID(SalesData[[#This Row],[Order_ID]],4,4)</f>
        <v>0440</v>
      </c>
      <c r="AG58" s="19" t="e">
        <f ca="1">_xlfn.SINGLE(_xlfn.XLOOKUP(SalesData[[#This Row],[Product]],Product_Master!A:A,Product_Master!B:B,"Not Found"))</f>
        <v>#NAME?</v>
      </c>
      <c r="AH58" s="19" t="str">
        <f>VLOOKUP(SalesData[[#This Row],[Product]],Product_Master!$A$1:$B$21,2,FALSE)</f>
        <v>Neha</v>
      </c>
      <c r="AI58" s="16"/>
    </row>
    <row r="59" spans="1:35" ht="13.8">
      <c r="A59" s="16" t="s">
        <v>654</v>
      </c>
      <c r="B59" s="17">
        <v>45471</v>
      </c>
      <c r="C59" s="16" t="s">
        <v>60</v>
      </c>
      <c r="D59" s="16" t="s">
        <v>61</v>
      </c>
      <c r="E59" s="16" t="s">
        <v>193</v>
      </c>
      <c r="F59" s="16" t="s">
        <v>194</v>
      </c>
      <c r="G59" s="16" t="s">
        <v>89</v>
      </c>
      <c r="H59" s="16" t="s">
        <v>90</v>
      </c>
      <c r="I59" s="16" t="s">
        <v>23</v>
      </c>
      <c r="J59" s="16" t="s">
        <v>24</v>
      </c>
      <c r="K59" s="18">
        <v>2694.56</v>
      </c>
      <c r="L59" s="18">
        <v>1975.6</v>
      </c>
      <c r="M59" s="19">
        <v>4</v>
      </c>
      <c r="N59" s="20">
        <v>0.2</v>
      </c>
      <c r="O59" s="19" t="s">
        <v>44</v>
      </c>
      <c r="P59" s="19" t="s">
        <v>58</v>
      </c>
      <c r="Q59" s="19" t="str">
        <f>TRIM(SalesData[[#This Row],[Customer_Name]])</f>
        <v>Varun Kapoor</v>
      </c>
      <c r="R59" s="21">
        <f>SalesData[[#This Row],[Sales]]-SalesData[[#This Row],[Cost]]</f>
        <v>718.96</v>
      </c>
      <c r="S59" s="22">
        <f>IFERROR(SalesData[[#This Row],[Profit]]/SalesData[[#This Row],[Sales]],0)</f>
        <v>0.26681907250163295</v>
      </c>
      <c r="T59" s="19">
        <f>YEAR(SalesData[[#This Row],[Order_Date]])</f>
        <v>2024</v>
      </c>
      <c r="U59" s="19" t="str">
        <f>TEXT(SalesData[[#This Row],[Order_Date]],"mmm")</f>
        <v>Jun</v>
      </c>
      <c r="V59" s="19" t="str">
        <f>"Q"&amp;ROUNDUP(MONTH(SalesData[[#This Row],[Order_Date]])/3,0)</f>
        <v>Q2</v>
      </c>
      <c r="W59" s="19" t="str">
        <f>IF(SalesData[[#This Row],[Sales]]&gt;=50000,"High",IF(AND(SalesData[[#This Row],[Sales]]&gt;= 20000, SalesData[[#This Row],[Sales]]&lt; 50000),"Medium","Low"))</f>
        <v>Low</v>
      </c>
      <c r="X59" s="19" t="str">
        <f>IF(SalesData[[#This Row],[Profit]]&gt;0,"Profit","Loss")</f>
        <v>Profit</v>
      </c>
      <c r="Y59" s="19" t="str">
        <f>IF(AND(SalesData[[#This Row],[Sales]]&gt;= 50000, SalesData[[#This Row],[Quantity]]&gt;=2),"Yes","No")</f>
        <v>No</v>
      </c>
      <c r="Z59" s="19" t="str">
        <f>UPPER(SalesData[[#This Row],[Customer_Name]])</f>
        <v>VARUN KAPOOR</v>
      </c>
      <c r="AA59" s="19" t="str">
        <f>LOWER(SalesData[[#This Row],[Customer_Name]])</f>
        <v>varun kapoor</v>
      </c>
      <c r="AB59" s="19">
        <f>LEN(SalesData[[#This Row],[Customer_Name]])</f>
        <v>12</v>
      </c>
      <c r="AC59" s="19" t="str">
        <f>LEFT(SalesData[[#This Row],[Order_ID]],3)</f>
        <v>ORD</v>
      </c>
      <c r="AD59" s="19" t="str">
        <f>RIGHT(SalesData[[#This Row],[Order_ID]],4)</f>
        <v>0501</v>
      </c>
      <c r="AE59" s="19" t="str">
        <f>_xlfn.CONCAT(SalesData[[#This Row],[Clean_Customer_Name]],"-",SalesData[[#This Row],[Region]])</f>
        <v>Varun Kapoor-North</v>
      </c>
      <c r="AF59" s="19" t="str">
        <f>MID(SalesData[[#This Row],[Order_ID]],4,4)</f>
        <v>0501</v>
      </c>
      <c r="AG59" s="19" t="e">
        <f ca="1">_xlfn.SINGLE(_xlfn.XLOOKUP(SalesData[[#This Row],[Product]],Product_Master!A:A,Product_Master!B:B,"Not Found"))</f>
        <v>#NAME?</v>
      </c>
      <c r="AH59" s="19" t="str">
        <f>VLOOKUP(SalesData[[#This Row],[Product]],Product_Master!$A$1:$B$21,2,FALSE)</f>
        <v>Simran</v>
      </c>
      <c r="AI59" s="16"/>
    </row>
    <row r="60" spans="1:35" ht="13.8">
      <c r="A60" s="16" t="s">
        <v>994</v>
      </c>
      <c r="B60" s="17">
        <v>45786</v>
      </c>
      <c r="C60" s="16" t="s">
        <v>265</v>
      </c>
      <c r="D60" s="16" t="s">
        <v>266</v>
      </c>
      <c r="E60" s="16" t="s">
        <v>62</v>
      </c>
      <c r="F60" s="16" t="s">
        <v>63</v>
      </c>
      <c r="G60" s="16" t="s">
        <v>21</v>
      </c>
      <c r="H60" s="16" t="s">
        <v>64</v>
      </c>
      <c r="I60" s="16" t="s">
        <v>42</v>
      </c>
      <c r="J60" s="16" t="s">
        <v>68</v>
      </c>
      <c r="K60" s="18">
        <v>4618.75</v>
      </c>
      <c r="L60" s="18">
        <v>3364.76</v>
      </c>
      <c r="M60" s="19">
        <v>2</v>
      </c>
      <c r="N60" s="20">
        <v>0.15</v>
      </c>
      <c r="O60" s="19" t="s">
        <v>25</v>
      </c>
      <c r="P60" s="19" t="s">
        <v>26</v>
      </c>
      <c r="Q60" s="19" t="str">
        <f>TRIM(SalesData[[#This Row],[Customer_Name]])</f>
        <v>Sneha Iyer</v>
      </c>
      <c r="R60" s="21">
        <f>SalesData[[#This Row],[Sales]]-SalesData[[#This Row],[Cost]]</f>
        <v>1253.9899999999998</v>
      </c>
      <c r="S60" s="22">
        <f>IFERROR(SalesData[[#This Row],[Profit]]/SalesData[[#This Row],[Sales]],0)</f>
        <v>0.27149986468200266</v>
      </c>
      <c r="T60" s="19">
        <f>YEAR(SalesData[[#This Row],[Order_Date]])</f>
        <v>2025</v>
      </c>
      <c r="U60" s="19" t="str">
        <f>TEXT(SalesData[[#This Row],[Order_Date]],"mmm")</f>
        <v>May</v>
      </c>
      <c r="V60" s="19" t="str">
        <f>"Q"&amp;ROUNDUP(MONTH(SalesData[[#This Row],[Order_Date]])/3,0)</f>
        <v>Q2</v>
      </c>
      <c r="W60" s="19" t="str">
        <f>IF(SalesData[[#This Row],[Sales]]&gt;=50000,"High",IF(AND(SalesData[[#This Row],[Sales]]&gt;= 20000, SalesData[[#This Row],[Sales]]&lt; 50000),"Medium","Low"))</f>
        <v>Low</v>
      </c>
      <c r="X60" s="19" t="str">
        <f>IF(SalesData[[#This Row],[Profit]]&gt;0,"Profit","Loss")</f>
        <v>Profit</v>
      </c>
      <c r="Y60" s="19" t="str">
        <f>IF(AND(SalesData[[#This Row],[Sales]]&gt;= 50000, SalesData[[#This Row],[Quantity]]&gt;=2),"Yes","No")</f>
        <v>No</v>
      </c>
      <c r="Z60" s="19" t="str">
        <f>UPPER(SalesData[[#This Row],[Customer_Name]])</f>
        <v>SNEHA IYER</v>
      </c>
      <c r="AA60" s="19" t="str">
        <f>LOWER(SalesData[[#This Row],[Customer_Name]])</f>
        <v>sneha iyer</v>
      </c>
      <c r="AB60" s="19">
        <f>LEN(SalesData[[#This Row],[Customer_Name]])</f>
        <v>10</v>
      </c>
      <c r="AC60" s="19" t="str">
        <f>LEFT(SalesData[[#This Row],[Order_ID]],3)</f>
        <v>ORD</v>
      </c>
      <c r="AD60" s="19" t="str">
        <f>RIGHT(SalesData[[#This Row],[Order_ID]],4)</f>
        <v>0841</v>
      </c>
      <c r="AE60" s="19" t="str">
        <f>_xlfn.CONCAT(SalesData[[#This Row],[Clean_Customer_Name]],"-",SalesData[[#This Row],[Region]])</f>
        <v>Sneha Iyer-East</v>
      </c>
      <c r="AF60" s="19" t="str">
        <f>MID(SalesData[[#This Row],[Order_ID]],4,4)</f>
        <v>0841</v>
      </c>
      <c r="AG60" s="19" t="e">
        <f ca="1">_xlfn.SINGLE(_xlfn.XLOOKUP(SalesData[[#This Row],[Product]],Product_Master!A:A,Product_Master!B:B,"Not Found"))</f>
        <v>#NAME?</v>
      </c>
      <c r="AH60" s="19" t="str">
        <f>VLOOKUP(SalesData[[#This Row],[Product]],Product_Master!$A$1:$B$21,2,FALSE)</f>
        <v>Amit</v>
      </c>
      <c r="AI60" s="16"/>
    </row>
    <row r="61" spans="1:35" ht="13.8">
      <c r="A61" s="16" t="s">
        <v>372</v>
      </c>
      <c r="B61" s="17">
        <v>45984</v>
      </c>
      <c r="C61" s="16" t="s">
        <v>265</v>
      </c>
      <c r="D61" s="16" t="s">
        <v>266</v>
      </c>
      <c r="E61" s="16" t="s">
        <v>19</v>
      </c>
      <c r="F61" s="16" t="s">
        <v>20</v>
      </c>
      <c r="G61" s="16" t="s">
        <v>21</v>
      </c>
      <c r="H61" s="16" t="s">
        <v>22</v>
      </c>
      <c r="I61" s="16" t="s">
        <v>42</v>
      </c>
      <c r="J61" s="16" t="s">
        <v>43</v>
      </c>
      <c r="K61" s="18">
        <v>39996.5</v>
      </c>
      <c r="L61" s="18">
        <v>14639.1</v>
      </c>
      <c r="M61" s="19">
        <v>5</v>
      </c>
      <c r="N61" s="20">
        <v>0.1</v>
      </c>
      <c r="O61" s="19" t="s">
        <v>76</v>
      </c>
      <c r="P61" s="19" t="s">
        <v>45</v>
      </c>
      <c r="Q61" s="19" t="str">
        <f>TRIM(SalesData[[#This Row],[Customer_Name]])</f>
        <v>Sneha Iyer</v>
      </c>
      <c r="R61" s="21">
        <f>SalesData[[#This Row],[Sales]]-SalesData[[#This Row],[Cost]]</f>
        <v>25357.4</v>
      </c>
      <c r="S61" s="22">
        <f>IFERROR(SalesData[[#This Row],[Profit]]/SalesData[[#This Row],[Sales]],0)</f>
        <v>0.63399047416648957</v>
      </c>
      <c r="T61" s="19">
        <f>YEAR(SalesData[[#This Row],[Order_Date]])</f>
        <v>2025</v>
      </c>
      <c r="U61" s="19" t="str">
        <f>TEXT(SalesData[[#This Row],[Order_Date]],"mmm")</f>
        <v>Nov</v>
      </c>
      <c r="V61" s="19" t="str">
        <f>"Q"&amp;ROUNDUP(MONTH(SalesData[[#This Row],[Order_Date]])/3,0)</f>
        <v>Q4</v>
      </c>
      <c r="W61" s="19" t="str">
        <f>IF(SalesData[[#This Row],[Sales]]&gt;=50000,"High",IF(AND(SalesData[[#This Row],[Sales]]&gt;= 20000, SalesData[[#This Row],[Sales]]&lt; 50000),"Medium","Low"))</f>
        <v>Medium</v>
      </c>
      <c r="X61" s="19" t="str">
        <f>IF(SalesData[[#This Row],[Profit]]&gt;0,"Profit","Loss")</f>
        <v>Profit</v>
      </c>
      <c r="Y61" s="19" t="str">
        <f>IF(AND(SalesData[[#This Row],[Sales]]&gt;= 50000, SalesData[[#This Row],[Quantity]]&gt;=2),"Yes","No")</f>
        <v>No</v>
      </c>
      <c r="Z61" s="19" t="str">
        <f>UPPER(SalesData[[#This Row],[Customer_Name]])</f>
        <v>SNEHA IYER</v>
      </c>
      <c r="AA61" s="19" t="str">
        <f>LOWER(SalesData[[#This Row],[Customer_Name]])</f>
        <v>sneha iyer</v>
      </c>
      <c r="AB61" s="19">
        <f>LEN(SalesData[[#This Row],[Customer_Name]])</f>
        <v>10</v>
      </c>
      <c r="AC61" s="19" t="str">
        <f>LEFT(SalesData[[#This Row],[Order_ID]],3)</f>
        <v>ORD</v>
      </c>
      <c r="AD61" s="19" t="str">
        <f>RIGHT(SalesData[[#This Row],[Order_ID]],4)</f>
        <v>0219</v>
      </c>
      <c r="AE61" s="19" t="str">
        <f>_xlfn.CONCAT(SalesData[[#This Row],[Clean_Customer_Name]],"-",SalesData[[#This Row],[Region]])</f>
        <v>Sneha Iyer-East</v>
      </c>
      <c r="AF61" s="19" t="str">
        <f>MID(SalesData[[#This Row],[Order_ID]],4,4)</f>
        <v>0219</v>
      </c>
      <c r="AG61" s="19" t="e">
        <f ca="1">_xlfn.SINGLE(_xlfn.XLOOKUP(SalesData[[#This Row],[Product]],Product_Master!A:A,Product_Master!B:B,"Not Found"))</f>
        <v>#NAME?</v>
      </c>
      <c r="AH61" s="19" t="str">
        <f>VLOOKUP(SalesData[[#This Row],[Product]],Product_Master!$A$1:$B$21,2,FALSE)</f>
        <v>Neha</v>
      </c>
      <c r="AI61" s="16"/>
    </row>
    <row r="62" spans="1:35" ht="13.8">
      <c r="A62" s="16" t="s">
        <v>571</v>
      </c>
      <c r="B62" s="17">
        <v>45400</v>
      </c>
      <c r="C62" s="16" t="s">
        <v>265</v>
      </c>
      <c r="D62" s="16" t="s">
        <v>266</v>
      </c>
      <c r="E62" s="16" t="s">
        <v>19</v>
      </c>
      <c r="F62" s="16" t="s">
        <v>20</v>
      </c>
      <c r="G62" s="16" t="s">
        <v>21</v>
      </c>
      <c r="H62" s="16" t="s">
        <v>22</v>
      </c>
      <c r="I62" s="16" t="s">
        <v>53</v>
      </c>
      <c r="J62" s="16" t="s">
        <v>54</v>
      </c>
      <c r="K62" s="18">
        <v>16151.72</v>
      </c>
      <c r="L62" s="18">
        <v>11276.76</v>
      </c>
      <c r="M62" s="19">
        <v>4</v>
      </c>
      <c r="N62" s="20">
        <v>0.1</v>
      </c>
      <c r="O62" s="19" t="s">
        <v>34</v>
      </c>
      <c r="P62" s="19" t="s">
        <v>58</v>
      </c>
      <c r="Q62" s="19" t="str">
        <f>TRIM(SalesData[[#This Row],[Customer_Name]])</f>
        <v>Sneha Iyer</v>
      </c>
      <c r="R62" s="21">
        <f>SalesData[[#This Row],[Sales]]-SalesData[[#This Row],[Cost]]</f>
        <v>4874.9599999999991</v>
      </c>
      <c r="S62" s="22">
        <f>IFERROR(SalesData[[#This Row],[Profit]]/SalesData[[#This Row],[Sales]],0)</f>
        <v>0.30182296374627587</v>
      </c>
      <c r="T62" s="19">
        <f>YEAR(SalesData[[#This Row],[Order_Date]])</f>
        <v>2024</v>
      </c>
      <c r="U62" s="19" t="str">
        <f>TEXT(SalesData[[#This Row],[Order_Date]],"mmm")</f>
        <v>Apr</v>
      </c>
      <c r="V62" s="19" t="str">
        <f>"Q"&amp;ROUNDUP(MONTH(SalesData[[#This Row],[Order_Date]])/3,0)</f>
        <v>Q2</v>
      </c>
      <c r="W62" s="19" t="str">
        <f>IF(SalesData[[#This Row],[Sales]]&gt;=50000,"High",IF(AND(SalesData[[#This Row],[Sales]]&gt;= 20000, SalesData[[#This Row],[Sales]]&lt; 50000),"Medium","Low"))</f>
        <v>Low</v>
      </c>
      <c r="X62" s="19" t="str">
        <f>IF(SalesData[[#This Row],[Profit]]&gt;0,"Profit","Loss")</f>
        <v>Profit</v>
      </c>
      <c r="Y62" s="19" t="str">
        <f>IF(AND(SalesData[[#This Row],[Sales]]&gt;= 50000, SalesData[[#This Row],[Quantity]]&gt;=2),"Yes","No")</f>
        <v>No</v>
      </c>
      <c r="Z62" s="19" t="str">
        <f>UPPER(SalesData[[#This Row],[Customer_Name]])</f>
        <v>SNEHA IYER</v>
      </c>
      <c r="AA62" s="19" t="str">
        <f>LOWER(SalesData[[#This Row],[Customer_Name]])</f>
        <v>sneha iyer</v>
      </c>
      <c r="AB62" s="19">
        <f>LEN(SalesData[[#This Row],[Customer_Name]])</f>
        <v>10</v>
      </c>
      <c r="AC62" s="19" t="str">
        <f>LEFT(SalesData[[#This Row],[Order_ID]],3)</f>
        <v>ORD</v>
      </c>
      <c r="AD62" s="19" t="str">
        <f>RIGHT(SalesData[[#This Row],[Order_ID]],4)</f>
        <v>0418</v>
      </c>
      <c r="AE62" s="19" t="str">
        <f>_xlfn.CONCAT(SalesData[[#This Row],[Clean_Customer_Name]],"-",SalesData[[#This Row],[Region]])</f>
        <v>Sneha Iyer-Central</v>
      </c>
      <c r="AF62" s="19" t="str">
        <f>MID(SalesData[[#This Row],[Order_ID]],4,4)</f>
        <v>0418</v>
      </c>
      <c r="AG62" s="19" t="e">
        <f ca="1">_xlfn.SINGLE(_xlfn.XLOOKUP(SalesData[[#This Row],[Product]],Product_Master!A:A,Product_Master!B:B,"Not Found"))</f>
        <v>#NAME?</v>
      </c>
      <c r="AH62" s="19" t="str">
        <f>VLOOKUP(SalesData[[#This Row],[Product]],Product_Master!$A$1:$B$21,2,FALSE)</f>
        <v>Neha</v>
      </c>
      <c r="AI62" s="16"/>
    </row>
    <row r="63" spans="1:35" ht="13.8">
      <c r="A63" s="16" t="s">
        <v>409</v>
      </c>
      <c r="B63" s="17">
        <v>45629</v>
      </c>
      <c r="C63" s="16" t="s">
        <v>265</v>
      </c>
      <c r="D63" s="16" t="s">
        <v>266</v>
      </c>
      <c r="E63" s="16" t="s">
        <v>152</v>
      </c>
      <c r="F63" s="16" t="s">
        <v>153</v>
      </c>
      <c r="G63" s="16" t="s">
        <v>21</v>
      </c>
      <c r="H63" s="16" t="s">
        <v>32</v>
      </c>
      <c r="I63" s="16" t="s">
        <v>84</v>
      </c>
      <c r="J63" s="16" t="s">
        <v>85</v>
      </c>
      <c r="K63" s="18">
        <v>25205.68</v>
      </c>
      <c r="L63" s="18">
        <v>15615.48</v>
      </c>
      <c r="M63" s="19">
        <v>2</v>
      </c>
      <c r="N63" s="20">
        <v>0.15</v>
      </c>
      <c r="O63" s="19" t="s">
        <v>34</v>
      </c>
      <c r="P63" s="19" t="s">
        <v>77</v>
      </c>
      <c r="Q63" s="19" t="str">
        <f>TRIM(SalesData[[#This Row],[Customer_Name]])</f>
        <v>Sneha Iyer</v>
      </c>
      <c r="R63" s="21">
        <f>SalesData[[#This Row],[Sales]]-SalesData[[#This Row],[Cost]]</f>
        <v>9590.2000000000007</v>
      </c>
      <c r="S63" s="22">
        <f>IFERROR(SalesData[[#This Row],[Profit]]/SalesData[[#This Row],[Sales]],0)</f>
        <v>0.3804777335902067</v>
      </c>
      <c r="T63" s="19">
        <f>YEAR(SalesData[[#This Row],[Order_Date]])</f>
        <v>2024</v>
      </c>
      <c r="U63" s="19" t="str">
        <f>TEXT(SalesData[[#This Row],[Order_Date]],"mmm")</f>
        <v>Dec</v>
      </c>
      <c r="V63" s="19" t="str">
        <f>"Q"&amp;ROUNDUP(MONTH(SalesData[[#This Row],[Order_Date]])/3,0)</f>
        <v>Q4</v>
      </c>
      <c r="W63" s="19" t="str">
        <f>IF(SalesData[[#This Row],[Sales]]&gt;=50000,"High",IF(AND(SalesData[[#This Row],[Sales]]&gt;= 20000, SalesData[[#This Row],[Sales]]&lt; 50000),"Medium","Low"))</f>
        <v>Medium</v>
      </c>
      <c r="X63" s="19" t="str">
        <f>IF(SalesData[[#This Row],[Profit]]&gt;0,"Profit","Loss")</f>
        <v>Profit</v>
      </c>
      <c r="Y63" s="19" t="str">
        <f>IF(AND(SalesData[[#This Row],[Sales]]&gt;= 50000, SalesData[[#This Row],[Quantity]]&gt;=2),"Yes","No")</f>
        <v>No</v>
      </c>
      <c r="Z63" s="19" t="str">
        <f>UPPER(SalesData[[#This Row],[Customer_Name]])</f>
        <v>SNEHA IYER</v>
      </c>
      <c r="AA63" s="19" t="str">
        <f>LOWER(SalesData[[#This Row],[Customer_Name]])</f>
        <v>sneha iyer</v>
      </c>
      <c r="AB63" s="19">
        <f>LEN(SalesData[[#This Row],[Customer_Name]])</f>
        <v>10</v>
      </c>
      <c r="AC63" s="19" t="str">
        <f>LEFT(SalesData[[#This Row],[Order_ID]],3)</f>
        <v>ORD</v>
      </c>
      <c r="AD63" s="19" t="str">
        <f>RIGHT(SalesData[[#This Row],[Order_ID]],4)</f>
        <v>0256</v>
      </c>
      <c r="AE63" s="19" t="str">
        <f>_xlfn.CONCAT(SalesData[[#This Row],[Clean_Customer_Name]],"-",SalesData[[#This Row],[Region]])</f>
        <v>Sneha Iyer-South</v>
      </c>
      <c r="AF63" s="19" t="str">
        <f>MID(SalesData[[#This Row],[Order_ID]],4,4)</f>
        <v>0256</v>
      </c>
      <c r="AG63" s="19" t="e">
        <f ca="1">_xlfn.SINGLE(_xlfn.XLOOKUP(SalesData[[#This Row],[Product]],Product_Master!A:A,Product_Master!B:B,"Not Found"))</f>
        <v>#NAME?</v>
      </c>
      <c r="AH63" s="19" t="str">
        <f>VLOOKUP(SalesData[[#This Row],[Product]],Product_Master!$A$1:$B$21,2,FALSE)</f>
        <v>Simran</v>
      </c>
      <c r="AI63" s="16"/>
    </row>
    <row r="64" spans="1:35" ht="13.8">
      <c r="A64" s="16" t="s">
        <v>1030</v>
      </c>
      <c r="B64" s="17">
        <v>45553</v>
      </c>
      <c r="C64" s="16" t="s">
        <v>265</v>
      </c>
      <c r="D64" s="16" t="s">
        <v>266</v>
      </c>
      <c r="E64" s="16" t="s">
        <v>152</v>
      </c>
      <c r="F64" s="16" t="s">
        <v>153</v>
      </c>
      <c r="G64" s="16" t="s">
        <v>21</v>
      </c>
      <c r="H64" s="16" t="s">
        <v>32</v>
      </c>
      <c r="I64" s="16" t="s">
        <v>23</v>
      </c>
      <c r="J64" s="16" t="s">
        <v>75</v>
      </c>
      <c r="K64" s="18">
        <v>14880.08</v>
      </c>
      <c r="L64" s="18">
        <v>7446.76</v>
      </c>
      <c r="M64" s="19">
        <v>1</v>
      </c>
      <c r="N64" s="20">
        <v>0.05</v>
      </c>
      <c r="O64" s="19" t="s">
        <v>25</v>
      </c>
      <c r="P64" s="19" t="s">
        <v>77</v>
      </c>
      <c r="Q64" s="19" t="str">
        <f>TRIM(SalesData[[#This Row],[Customer_Name]])</f>
        <v>Sneha Iyer</v>
      </c>
      <c r="R64" s="21">
        <f>SalesData[[#This Row],[Sales]]-SalesData[[#This Row],[Cost]]</f>
        <v>7433.32</v>
      </c>
      <c r="S64" s="22">
        <f>IFERROR(SalesData[[#This Row],[Profit]]/SalesData[[#This Row],[Sales]],0)</f>
        <v>0.49954838952478747</v>
      </c>
      <c r="T64" s="19">
        <f>YEAR(SalesData[[#This Row],[Order_Date]])</f>
        <v>2024</v>
      </c>
      <c r="U64" s="19" t="str">
        <f>TEXT(SalesData[[#This Row],[Order_Date]],"mmm")</f>
        <v>Sept</v>
      </c>
      <c r="V64" s="19" t="str">
        <f>"Q"&amp;ROUNDUP(MONTH(SalesData[[#This Row],[Order_Date]])/3,0)</f>
        <v>Q3</v>
      </c>
      <c r="W64" s="19" t="str">
        <f>IF(SalesData[[#This Row],[Sales]]&gt;=50000,"High",IF(AND(SalesData[[#This Row],[Sales]]&gt;= 20000, SalesData[[#This Row],[Sales]]&lt; 50000),"Medium","Low"))</f>
        <v>Low</v>
      </c>
      <c r="X64" s="19" t="str">
        <f>IF(SalesData[[#This Row],[Profit]]&gt;0,"Profit","Loss")</f>
        <v>Profit</v>
      </c>
      <c r="Y64" s="19" t="str">
        <f>IF(AND(SalesData[[#This Row],[Sales]]&gt;= 50000, SalesData[[#This Row],[Quantity]]&gt;=2),"Yes","No")</f>
        <v>No</v>
      </c>
      <c r="Z64" s="19" t="str">
        <f>UPPER(SalesData[[#This Row],[Customer_Name]])</f>
        <v>SNEHA IYER</v>
      </c>
      <c r="AA64" s="19" t="str">
        <f>LOWER(SalesData[[#This Row],[Customer_Name]])</f>
        <v>sneha iyer</v>
      </c>
      <c r="AB64" s="19">
        <f>LEN(SalesData[[#This Row],[Customer_Name]])</f>
        <v>10</v>
      </c>
      <c r="AC64" s="19" t="str">
        <f>LEFT(SalesData[[#This Row],[Order_ID]],3)</f>
        <v>ORD</v>
      </c>
      <c r="AD64" s="19" t="str">
        <f>RIGHT(SalesData[[#This Row],[Order_ID]],4)</f>
        <v>0877</v>
      </c>
      <c r="AE64" s="19" t="str">
        <f>_xlfn.CONCAT(SalesData[[#This Row],[Clean_Customer_Name]],"-",SalesData[[#This Row],[Region]])</f>
        <v>Sneha Iyer-North</v>
      </c>
      <c r="AF64" s="19" t="str">
        <f>MID(SalesData[[#This Row],[Order_ID]],4,4)</f>
        <v>0877</v>
      </c>
      <c r="AG64" s="19" t="e">
        <f ca="1">_xlfn.SINGLE(_xlfn.XLOOKUP(SalesData[[#This Row],[Product]],Product_Master!A:A,Product_Master!B:B,"Not Found"))</f>
        <v>#NAME?</v>
      </c>
      <c r="AH64" s="19" t="str">
        <f>VLOOKUP(SalesData[[#This Row],[Product]],Product_Master!$A$1:$B$21,2,FALSE)</f>
        <v>Simran</v>
      </c>
      <c r="AI64" s="16"/>
    </row>
    <row r="65" spans="1:35" ht="13.8">
      <c r="A65" s="16" t="s">
        <v>874</v>
      </c>
      <c r="B65" s="17">
        <v>45558</v>
      </c>
      <c r="C65" s="16" t="s">
        <v>265</v>
      </c>
      <c r="D65" s="16" t="s">
        <v>266</v>
      </c>
      <c r="E65" s="16" t="s">
        <v>117</v>
      </c>
      <c r="F65" s="16" t="s">
        <v>118</v>
      </c>
      <c r="G65" s="16" t="s">
        <v>51</v>
      </c>
      <c r="H65" s="16" t="s">
        <v>119</v>
      </c>
      <c r="I65" s="16" t="s">
        <v>53</v>
      </c>
      <c r="J65" s="16" t="s">
        <v>54</v>
      </c>
      <c r="K65" s="18">
        <v>21651.040000000001</v>
      </c>
      <c r="L65" s="18">
        <v>8971.64</v>
      </c>
      <c r="M65" s="19">
        <v>2</v>
      </c>
      <c r="N65" s="20">
        <v>0</v>
      </c>
      <c r="O65" s="19" t="s">
        <v>76</v>
      </c>
      <c r="P65" s="19" t="s">
        <v>77</v>
      </c>
      <c r="Q65" s="19" t="str">
        <f>TRIM(SalesData[[#This Row],[Customer_Name]])</f>
        <v>Sneha Iyer</v>
      </c>
      <c r="R65" s="21">
        <f>SalesData[[#This Row],[Sales]]-SalesData[[#This Row],[Cost]]</f>
        <v>12679.400000000001</v>
      </c>
      <c r="S65" s="22">
        <f>IFERROR(SalesData[[#This Row],[Profit]]/SalesData[[#This Row],[Sales]],0)</f>
        <v>0.58562544801543026</v>
      </c>
      <c r="T65" s="19">
        <f>YEAR(SalesData[[#This Row],[Order_Date]])</f>
        <v>2024</v>
      </c>
      <c r="U65" s="19" t="str">
        <f>TEXT(SalesData[[#This Row],[Order_Date]],"mmm")</f>
        <v>Sept</v>
      </c>
      <c r="V65" s="19" t="str">
        <f>"Q"&amp;ROUNDUP(MONTH(SalesData[[#This Row],[Order_Date]])/3,0)</f>
        <v>Q3</v>
      </c>
      <c r="W65" s="19" t="str">
        <f>IF(SalesData[[#This Row],[Sales]]&gt;=50000,"High",IF(AND(SalesData[[#This Row],[Sales]]&gt;= 20000, SalesData[[#This Row],[Sales]]&lt; 50000),"Medium","Low"))</f>
        <v>Medium</v>
      </c>
      <c r="X65" s="19" t="str">
        <f>IF(SalesData[[#This Row],[Profit]]&gt;0,"Profit","Loss")</f>
        <v>Profit</v>
      </c>
      <c r="Y65" s="19" t="str">
        <f>IF(AND(SalesData[[#This Row],[Sales]]&gt;= 50000, SalesData[[#This Row],[Quantity]]&gt;=2),"Yes","No")</f>
        <v>No</v>
      </c>
      <c r="Z65" s="19" t="str">
        <f>UPPER(SalesData[[#This Row],[Customer_Name]])</f>
        <v>SNEHA IYER</v>
      </c>
      <c r="AA65" s="19" t="str">
        <f>LOWER(SalesData[[#This Row],[Customer_Name]])</f>
        <v>sneha iyer</v>
      </c>
      <c r="AB65" s="19">
        <f>LEN(SalesData[[#This Row],[Customer_Name]])</f>
        <v>10</v>
      </c>
      <c r="AC65" s="19" t="str">
        <f>LEFT(SalesData[[#This Row],[Order_ID]],3)</f>
        <v>ORD</v>
      </c>
      <c r="AD65" s="19" t="str">
        <f>RIGHT(SalesData[[#This Row],[Order_ID]],4)</f>
        <v>0721</v>
      </c>
      <c r="AE65" s="19" t="str">
        <f>_xlfn.CONCAT(SalesData[[#This Row],[Clean_Customer_Name]],"-",SalesData[[#This Row],[Region]])</f>
        <v>Sneha Iyer-Central</v>
      </c>
      <c r="AF65" s="19" t="str">
        <f>MID(SalesData[[#This Row],[Order_ID]],4,4)</f>
        <v>0721</v>
      </c>
      <c r="AG65" s="19" t="e">
        <f ca="1">_xlfn.SINGLE(_xlfn.XLOOKUP(SalesData[[#This Row],[Product]],Product_Master!A:A,Product_Master!B:B,"Not Found"))</f>
        <v>#NAME?</v>
      </c>
      <c r="AH65" s="19" t="str">
        <f>VLOOKUP(SalesData[[#This Row],[Product]],Product_Master!$A$1:$B$21,2,FALSE)</f>
        <v>Karan</v>
      </c>
      <c r="AI65" s="16"/>
    </row>
    <row r="66" spans="1:35" ht="13.8">
      <c r="A66" s="16" t="s">
        <v>1069</v>
      </c>
      <c r="B66" s="17">
        <v>45560</v>
      </c>
      <c r="C66" s="16" t="s">
        <v>265</v>
      </c>
      <c r="D66" s="16" t="s">
        <v>266</v>
      </c>
      <c r="E66" s="16" t="s">
        <v>117</v>
      </c>
      <c r="F66" s="16" t="s">
        <v>118</v>
      </c>
      <c r="G66" s="16" t="s">
        <v>51</v>
      </c>
      <c r="H66" s="16" t="s">
        <v>119</v>
      </c>
      <c r="I66" s="16" t="s">
        <v>84</v>
      </c>
      <c r="J66" s="16" t="s">
        <v>85</v>
      </c>
      <c r="K66" s="18">
        <v>15855.22</v>
      </c>
      <c r="L66" s="18">
        <v>8711.68</v>
      </c>
      <c r="M66" s="19">
        <v>2</v>
      </c>
      <c r="N66" s="20">
        <v>0.05</v>
      </c>
      <c r="O66" s="19" t="s">
        <v>76</v>
      </c>
      <c r="P66" s="19" t="s">
        <v>58</v>
      </c>
      <c r="Q66" s="19" t="str">
        <f>TRIM(SalesData[[#This Row],[Customer_Name]])</f>
        <v>Sneha Iyer</v>
      </c>
      <c r="R66" s="21">
        <f>SalesData[[#This Row],[Sales]]-SalesData[[#This Row],[Cost]]</f>
        <v>7143.5399999999991</v>
      </c>
      <c r="S66" s="22">
        <f>IFERROR(SalesData[[#This Row],[Profit]]/SalesData[[#This Row],[Sales]],0)</f>
        <v>0.45054814755014433</v>
      </c>
      <c r="T66" s="19">
        <f>YEAR(SalesData[[#This Row],[Order_Date]])</f>
        <v>2024</v>
      </c>
      <c r="U66" s="19" t="str">
        <f>TEXT(SalesData[[#This Row],[Order_Date]],"mmm")</f>
        <v>Sept</v>
      </c>
      <c r="V66" s="19" t="str">
        <f>"Q"&amp;ROUNDUP(MONTH(SalesData[[#This Row],[Order_Date]])/3,0)</f>
        <v>Q3</v>
      </c>
      <c r="W66" s="19" t="str">
        <f>IF(SalesData[[#This Row],[Sales]]&gt;=50000,"High",IF(AND(SalesData[[#This Row],[Sales]]&gt;= 20000, SalesData[[#This Row],[Sales]]&lt; 50000),"Medium","Low"))</f>
        <v>Low</v>
      </c>
      <c r="X66" s="19" t="str">
        <f>IF(SalesData[[#This Row],[Profit]]&gt;0,"Profit","Loss")</f>
        <v>Profit</v>
      </c>
      <c r="Y66" s="19" t="str">
        <f>IF(AND(SalesData[[#This Row],[Sales]]&gt;= 50000, SalesData[[#This Row],[Quantity]]&gt;=2),"Yes","No")</f>
        <v>No</v>
      </c>
      <c r="Z66" s="19" t="str">
        <f>UPPER(SalesData[[#This Row],[Customer_Name]])</f>
        <v>SNEHA IYER</v>
      </c>
      <c r="AA66" s="19" t="str">
        <f>LOWER(SalesData[[#This Row],[Customer_Name]])</f>
        <v>sneha iyer</v>
      </c>
      <c r="AB66" s="19">
        <f>LEN(SalesData[[#This Row],[Customer_Name]])</f>
        <v>10</v>
      </c>
      <c r="AC66" s="19" t="str">
        <f>LEFT(SalesData[[#This Row],[Order_ID]],3)</f>
        <v>ORD</v>
      </c>
      <c r="AD66" s="19" t="str">
        <f>RIGHT(SalesData[[#This Row],[Order_ID]],4)</f>
        <v>0916</v>
      </c>
      <c r="AE66" s="19" t="str">
        <f>_xlfn.CONCAT(SalesData[[#This Row],[Clean_Customer_Name]],"-",SalesData[[#This Row],[Region]])</f>
        <v>Sneha Iyer-South</v>
      </c>
      <c r="AF66" s="19" t="str">
        <f>MID(SalesData[[#This Row],[Order_ID]],4,4)</f>
        <v>0916</v>
      </c>
      <c r="AG66" s="19" t="e">
        <f ca="1">_xlfn.SINGLE(_xlfn.XLOOKUP(SalesData[[#This Row],[Product]],Product_Master!A:A,Product_Master!B:B,"Not Found"))</f>
        <v>#NAME?</v>
      </c>
      <c r="AH66" s="19" t="str">
        <f>VLOOKUP(SalesData[[#This Row],[Product]],Product_Master!$A$1:$B$21,2,FALSE)</f>
        <v>Karan</v>
      </c>
      <c r="AI66" s="16"/>
    </row>
    <row r="67" spans="1:35" ht="13.8">
      <c r="A67" s="16" t="s">
        <v>608</v>
      </c>
      <c r="B67" s="17">
        <v>45925</v>
      </c>
      <c r="C67" s="16" t="s">
        <v>265</v>
      </c>
      <c r="D67" s="16" t="s">
        <v>266</v>
      </c>
      <c r="E67" s="16" t="s">
        <v>49</v>
      </c>
      <c r="F67" s="16" t="s">
        <v>50</v>
      </c>
      <c r="G67" s="16" t="s">
        <v>51</v>
      </c>
      <c r="H67" s="16" t="s">
        <v>52</v>
      </c>
      <c r="I67" s="16" t="s">
        <v>53</v>
      </c>
      <c r="J67" s="16" t="s">
        <v>54</v>
      </c>
      <c r="K67" s="18">
        <v>67715.8</v>
      </c>
      <c r="L67" s="18">
        <v>34824</v>
      </c>
      <c r="M67" s="19">
        <v>5</v>
      </c>
      <c r="N67" s="20">
        <v>0</v>
      </c>
      <c r="O67" s="19" t="s">
        <v>25</v>
      </c>
      <c r="P67" s="19" t="s">
        <v>77</v>
      </c>
      <c r="Q67" s="19" t="str">
        <f>TRIM(SalesData[[#This Row],[Customer_Name]])</f>
        <v>Sneha Iyer</v>
      </c>
      <c r="R67" s="21">
        <f>SalesData[[#This Row],[Sales]]-SalesData[[#This Row],[Cost]]</f>
        <v>32891.800000000003</v>
      </c>
      <c r="S67" s="22">
        <f>IFERROR(SalesData[[#This Row],[Profit]]/SalesData[[#This Row],[Sales]],0)</f>
        <v>0.48573301947256037</v>
      </c>
      <c r="T67" s="19">
        <f>YEAR(SalesData[[#This Row],[Order_Date]])</f>
        <v>2025</v>
      </c>
      <c r="U67" s="19" t="str">
        <f>TEXT(SalesData[[#This Row],[Order_Date]],"mmm")</f>
        <v>Sept</v>
      </c>
      <c r="V67" s="19" t="str">
        <f>"Q"&amp;ROUNDUP(MONTH(SalesData[[#This Row],[Order_Date]])/3,0)</f>
        <v>Q3</v>
      </c>
      <c r="W67" s="19" t="str">
        <f>IF(SalesData[[#This Row],[Sales]]&gt;=50000,"High",IF(AND(SalesData[[#This Row],[Sales]]&gt;= 20000, SalesData[[#This Row],[Sales]]&lt; 50000),"Medium","Low"))</f>
        <v>High</v>
      </c>
      <c r="X67" s="19" t="str">
        <f>IF(SalesData[[#This Row],[Profit]]&gt;0,"Profit","Loss")</f>
        <v>Profit</v>
      </c>
      <c r="Y67" s="19" t="str">
        <f>IF(AND(SalesData[[#This Row],[Sales]]&gt;= 50000, SalesData[[#This Row],[Quantity]]&gt;=2),"Yes","No")</f>
        <v>Yes</v>
      </c>
      <c r="Z67" s="19" t="str">
        <f>UPPER(SalesData[[#This Row],[Customer_Name]])</f>
        <v>SNEHA IYER</v>
      </c>
      <c r="AA67" s="19" t="str">
        <f>LOWER(SalesData[[#This Row],[Customer_Name]])</f>
        <v>sneha iyer</v>
      </c>
      <c r="AB67" s="19">
        <f>LEN(SalesData[[#This Row],[Customer_Name]])</f>
        <v>10</v>
      </c>
      <c r="AC67" s="19" t="str">
        <f>LEFT(SalesData[[#This Row],[Order_ID]],3)</f>
        <v>ORD</v>
      </c>
      <c r="AD67" s="19" t="str">
        <f>RIGHT(SalesData[[#This Row],[Order_ID]],4)</f>
        <v>0455</v>
      </c>
      <c r="AE67" s="19" t="str">
        <f>_xlfn.CONCAT(SalesData[[#This Row],[Clean_Customer_Name]],"-",SalesData[[#This Row],[Region]])</f>
        <v>Sneha Iyer-Central</v>
      </c>
      <c r="AF67" s="19" t="str">
        <f>MID(SalesData[[#This Row],[Order_ID]],4,4)</f>
        <v>0455</v>
      </c>
      <c r="AG67" s="19" t="e">
        <f ca="1">_xlfn.SINGLE(_xlfn.XLOOKUP(SalesData[[#This Row],[Product]],Product_Master!A:A,Product_Master!B:B,"Not Found"))</f>
        <v>#NAME?</v>
      </c>
      <c r="AH67" s="19" t="str">
        <f>VLOOKUP(SalesData[[#This Row],[Product]],Product_Master!$A$1:$B$21,2,FALSE)</f>
        <v>Rohan</v>
      </c>
      <c r="AI67" s="16"/>
    </row>
    <row r="68" spans="1:35" ht="13.8">
      <c r="A68" s="16" t="s">
        <v>849</v>
      </c>
      <c r="B68" s="17">
        <v>45549</v>
      </c>
      <c r="C68" s="16" t="s">
        <v>265</v>
      </c>
      <c r="D68" s="16" t="s">
        <v>266</v>
      </c>
      <c r="E68" s="16" t="s">
        <v>49</v>
      </c>
      <c r="F68" s="16" t="s">
        <v>50</v>
      </c>
      <c r="G68" s="16" t="s">
        <v>51</v>
      </c>
      <c r="H68" s="16" t="s">
        <v>52</v>
      </c>
      <c r="I68" s="16" t="s">
        <v>56</v>
      </c>
      <c r="J68" s="16" t="s">
        <v>91</v>
      </c>
      <c r="K68" s="18">
        <v>43052.19</v>
      </c>
      <c r="L68" s="18">
        <v>21490.65</v>
      </c>
      <c r="M68" s="19">
        <v>3</v>
      </c>
      <c r="N68" s="20">
        <v>0.15</v>
      </c>
      <c r="O68" s="19" t="s">
        <v>25</v>
      </c>
      <c r="P68" s="19" t="s">
        <v>58</v>
      </c>
      <c r="Q68" s="19" t="str">
        <f>TRIM(SalesData[[#This Row],[Customer_Name]])</f>
        <v>Sneha Iyer</v>
      </c>
      <c r="R68" s="21">
        <f>SalesData[[#This Row],[Sales]]-SalesData[[#This Row],[Cost]]</f>
        <v>21561.54</v>
      </c>
      <c r="S68" s="22">
        <f>IFERROR(SalesData[[#This Row],[Profit]]/SalesData[[#This Row],[Sales]],0)</f>
        <v>0.500823303065419</v>
      </c>
      <c r="T68" s="19">
        <f>YEAR(SalesData[[#This Row],[Order_Date]])</f>
        <v>2024</v>
      </c>
      <c r="U68" s="19" t="str">
        <f>TEXT(SalesData[[#This Row],[Order_Date]],"mmm")</f>
        <v>Sept</v>
      </c>
      <c r="V68" s="19" t="str">
        <f>"Q"&amp;ROUNDUP(MONTH(SalesData[[#This Row],[Order_Date]])/3,0)</f>
        <v>Q3</v>
      </c>
      <c r="W68" s="19" t="str">
        <f>IF(SalesData[[#This Row],[Sales]]&gt;=50000,"High",IF(AND(SalesData[[#This Row],[Sales]]&gt;= 20000, SalesData[[#This Row],[Sales]]&lt; 50000),"Medium","Low"))</f>
        <v>Medium</v>
      </c>
      <c r="X68" s="19" t="str">
        <f>IF(SalesData[[#This Row],[Profit]]&gt;0,"Profit","Loss")</f>
        <v>Profit</v>
      </c>
      <c r="Y68" s="19" t="str">
        <f>IF(AND(SalesData[[#This Row],[Sales]]&gt;= 50000, SalesData[[#This Row],[Quantity]]&gt;=2),"Yes","No")</f>
        <v>No</v>
      </c>
      <c r="Z68" s="19" t="str">
        <f>UPPER(SalesData[[#This Row],[Customer_Name]])</f>
        <v>SNEHA IYER</v>
      </c>
      <c r="AA68" s="19" t="str">
        <f>LOWER(SalesData[[#This Row],[Customer_Name]])</f>
        <v>sneha iyer</v>
      </c>
      <c r="AB68" s="19">
        <f>LEN(SalesData[[#This Row],[Customer_Name]])</f>
        <v>10</v>
      </c>
      <c r="AC68" s="19" t="str">
        <f>LEFT(SalesData[[#This Row],[Order_ID]],3)</f>
        <v>ORD</v>
      </c>
      <c r="AD68" s="19" t="str">
        <f>RIGHT(SalesData[[#This Row],[Order_ID]],4)</f>
        <v>0696</v>
      </c>
      <c r="AE68" s="19" t="str">
        <f>_xlfn.CONCAT(SalesData[[#This Row],[Clean_Customer_Name]],"-",SalesData[[#This Row],[Region]])</f>
        <v>Sneha Iyer-West</v>
      </c>
      <c r="AF68" s="19" t="str">
        <f>MID(SalesData[[#This Row],[Order_ID]],4,4)</f>
        <v>0696</v>
      </c>
      <c r="AG68" s="19" t="e">
        <f ca="1">_xlfn.SINGLE(_xlfn.XLOOKUP(SalesData[[#This Row],[Product]],Product_Master!A:A,Product_Master!B:B,"Not Found"))</f>
        <v>#NAME?</v>
      </c>
      <c r="AH68" s="19" t="str">
        <f>VLOOKUP(SalesData[[#This Row],[Product]],Product_Master!$A$1:$B$21,2,FALSE)</f>
        <v>Rohan</v>
      </c>
      <c r="AI68" s="16"/>
    </row>
    <row r="69" spans="1:35" ht="13.8">
      <c r="A69" s="16" t="s">
        <v>872</v>
      </c>
      <c r="B69" s="17">
        <v>45314</v>
      </c>
      <c r="C69" s="16" t="s">
        <v>265</v>
      </c>
      <c r="D69" s="16" t="s">
        <v>266</v>
      </c>
      <c r="E69" s="16" t="s">
        <v>49</v>
      </c>
      <c r="F69" s="16" t="s">
        <v>50</v>
      </c>
      <c r="G69" s="16" t="s">
        <v>51</v>
      </c>
      <c r="H69" s="16" t="s">
        <v>52</v>
      </c>
      <c r="I69" s="16" t="s">
        <v>23</v>
      </c>
      <c r="J69" s="16" t="s">
        <v>33</v>
      </c>
      <c r="K69" s="18">
        <v>23614.81</v>
      </c>
      <c r="L69" s="18">
        <v>14937.86</v>
      </c>
      <c r="M69" s="19">
        <v>2</v>
      </c>
      <c r="N69" s="20">
        <v>0.1</v>
      </c>
      <c r="O69" s="19" t="s">
        <v>136</v>
      </c>
      <c r="P69" s="19" t="s">
        <v>77</v>
      </c>
      <c r="Q69" s="19" t="str">
        <f>TRIM(SalesData[[#This Row],[Customer_Name]])</f>
        <v>Sneha Iyer</v>
      </c>
      <c r="R69" s="21">
        <f>SalesData[[#This Row],[Sales]]-SalesData[[#This Row],[Cost]]</f>
        <v>8676.9500000000007</v>
      </c>
      <c r="S69" s="22">
        <f>IFERROR(SalesData[[#This Row],[Profit]]/SalesData[[#This Row],[Sales]],0)</f>
        <v>0.36743679072581997</v>
      </c>
      <c r="T69" s="19">
        <f>YEAR(SalesData[[#This Row],[Order_Date]])</f>
        <v>2024</v>
      </c>
      <c r="U69" s="19" t="str">
        <f>TEXT(SalesData[[#This Row],[Order_Date]],"mmm")</f>
        <v>Jan</v>
      </c>
      <c r="V69" s="19" t="str">
        <f>"Q"&amp;ROUNDUP(MONTH(SalesData[[#This Row],[Order_Date]])/3,0)</f>
        <v>Q1</v>
      </c>
      <c r="W69" s="19" t="str">
        <f>IF(SalesData[[#This Row],[Sales]]&gt;=50000,"High",IF(AND(SalesData[[#This Row],[Sales]]&gt;= 20000, SalesData[[#This Row],[Sales]]&lt; 50000),"Medium","Low"))</f>
        <v>Medium</v>
      </c>
      <c r="X69" s="19" t="str">
        <f>IF(SalesData[[#This Row],[Profit]]&gt;0,"Profit","Loss")</f>
        <v>Profit</v>
      </c>
      <c r="Y69" s="19" t="str">
        <f>IF(AND(SalesData[[#This Row],[Sales]]&gt;= 50000, SalesData[[#This Row],[Quantity]]&gt;=2),"Yes","No")</f>
        <v>No</v>
      </c>
      <c r="Z69" s="19" t="str">
        <f>UPPER(SalesData[[#This Row],[Customer_Name]])</f>
        <v>SNEHA IYER</v>
      </c>
      <c r="AA69" s="19" t="str">
        <f>LOWER(SalesData[[#This Row],[Customer_Name]])</f>
        <v>sneha iyer</v>
      </c>
      <c r="AB69" s="19">
        <f>LEN(SalesData[[#This Row],[Customer_Name]])</f>
        <v>10</v>
      </c>
      <c r="AC69" s="19" t="str">
        <f>LEFT(SalesData[[#This Row],[Order_ID]],3)</f>
        <v>ORD</v>
      </c>
      <c r="AD69" s="19" t="str">
        <f>RIGHT(SalesData[[#This Row],[Order_ID]],4)</f>
        <v>0719</v>
      </c>
      <c r="AE69" s="19" t="str">
        <f>_xlfn.CONCAT(SalesData[[#This Row],[Clean_Customer_Name]],"-",SalesData[[#This Row],[Region]])</f>
        <v>Sneha Iyer-North</v>
      </c>
      <c r="AF69" s="19" t="str">
        <f>MID(SalesData[[#This Row],[Order_ID]],4,4)</f>
        <v>0719</v>
      </c>
      <c r="AG69" s="19" t="e">
        <f ca="1">_xlfn.SINGLE(_xlfn.XLOOKUP(SalesData[[#This Row],[Product]],Product_Master!A:A,Product_Master!B:B,"Not Found"))</f>
        <v>#NAME?</v>
      </c>
      <c r="AH69" s="19" t="str">
        <f>VLOOKUP(SalesData[[#This Row],[Product]],Product_Master!$A$1:$B$21,2,FALSE)</f>
        <v>Rohan</v>
      </c>
      <c r="AI69" s="16"/>
    </row>
    <row r="70" spans="1:35" ht="13.8">
      <c r="A70" s="16" t="s">
        <v>956</v>
      </c>
      <c r="B70" s="17">
        <v>45476</v>
      </c>
      <c r="C70" s="16" t="s">
        <v>265</v>
      </c>
      <c r="D70" s="16" t="s">
        <v>266</v>
      </c>
      <c r="E70" s="16" t="s">
        <v>49</v>
      </c>
      <c r="F70" s="16" t="s">
        <v>50</v>
      </c>
      <c r="G70" s="16" t="s">
        <v>51</v>
      </c>
      <c r="H70" s="16" t="s">
        <v>52</v>
      </c>
      <c r="I70" s="16" t="s">
        <v>56</v>
      </c>
      <c r="J70" s="16" t="s">
        <v>91</v>
      </c>
      <c r="K70" s="18">
        <v>29276.39</v>
      </c>
      <c r="L70" s="18">
        <v>29637.8</v>
      </c>
      <c r="M70" s="19">
        <v>4</v>
      </c>
      <c r="N70" s="20">
        <v>0.1</v>
      </c>
      <c r="O70" s="19" t="s">
        <v>76</v>
      </c>
      <c r="P70" s="19" t="s">
        <v>98</v>
      </c>
      <c r="Q70" s="19" t="str">
        <f>TRIM(SalesData[[#This Row],[Customer_Name]])</f>
        <v>Sneha Iyer</v>
      </c>
      <c r="R70" s="21">
        <f>SalesData[[#This Row],[Sales]]-SalesData[[#This Row],[Cost]]</f>
        <v>-361.40999999999985</v>
      </c>
      <c r="S70" s="22">
        <f>IFERROR(SalesData[[#This Row],[Profit]]/SalesData[[#This Row],[Sales]],0)</f>
        <v>-1.234475971935064E-2</v>
      </c>
      <c r="T70" s="19">
        <f>YEAR(SalesData[[#This Row],[Order_Date]])</f>
        <v>2024</v>
      </c>
      <c r="U70" s="19" t="str">
        <f>TEXT(SalesData[[#This Row],[Order_Date]],"mmm")</f>
        <v>Jul</v>
      </c>
      <c r="V70" s="19" t="str">
        <f>"Q"&amp;ROUNDUP(MONTH(SalesData[[#This Row],[Order_Date]])/3,0)</f>
        <v>Q3</v>
      </c>
      <c r="W70" s="19" t="str">
        <f>IF(SalesData[[#This Row],[Sales]]&gt;=50000,"High",IF(AND(SalesData[[#This Row],[Sales]]&gt;= 20000, SalesData[[#This Row],[Sales]]&lt; 50000),"Medium","Low"))</f>
        <v>Medium</v>
      </c>
      <c r="X70" s="19" t="str">
        <f>IF(SalesData[[#This Row],[Profit]]&gt;0,"Profit","Loss")</f>
        <v>Loss</v>
      </c>
      <c r="Y70" s="19" t="str">
        <f>IF(AND(SalesData[[#This Row],[Sales]]&gt;= 50000, SalesData[[#This Row],[Quantity]]&gt;=2),"Yes","No")</f>
        <v>No</v>
      </c>
      <c r="Z70" s="19" t="str">
        <f>UPPER(SalesData[[#This Row],[Customer_Name]])</f>
        <v>SNEHA IYER</v>
      </c>
      <c r="AA70" s="19" t="str">
        <f>LOWER(SalesData[[#This Row],[Customer_Name]])</f>
        <v>sneha iyer</v>
      </c>
      <c r="AB70" s="19">
        <f>LEN(SalesData[[#This Row],[Customer_Name]])</f>
        <v>10</v>
      </c>
      <c r="AC70" s="19" t="str">
        <f>LEFT(SalesData[[#This Row],[Order_ID]],3)</f>
        <v>ORD</v>
      </c>
      <c r="AD70" s="19" t="str">
        <f>RIGHT(SalesData[[#This Row],[Order_ID]],4)</f>
        <v>0803</v>
      </c>
      <c r="AE70" s="19" t="str">
        <f>_xlfn.CONCAT(SalesData[[#This Row],[Clean_Customer_Name]],"-",SalesData[[#This Row],[Region]])</f>
        <v>Sneha Iyer-West</v>
      </c>
      <c r="AF70" s="19" t="str">
        <f>MID(SalesData[[#This Row],[Order_ID]],4,4)</f>
        <v>0803</v>
      </c>
      <c r="AG70" s="19" t="e">
        <f ca="1">_xlfn.SINGLE(_xlfn.XLOOKUP(SalesData[[#This Row],[Product]],Product_Master!A:A,Product_Master!B:B,"Not Found"))</f>
        <v>#NAME?</v>
      </c>
      <c r="AH70" s="19" t="str">
        <f>VLOOKUP(SalesData[[#This Row],[Product]],Product_Master!$A$1:$B$21,2,FALSE)</f>
        <v>Rohan</v>
      </c>
      <c r="AI70" s="16"/>
    </row>
    <row r="71" spans="1:35" ht="13.8">
      <c r="A71" s="16" t="s">
        <v>264</v>
      </c>
      <c r="B71" s="17">
        <v>45652</v>
      </c>
      <c r="C71" s="16" t="s">
        <v>265</v>
      </c>
      <c r="D71" s="16" t="s">
        <v>266</v>
      </c>
      <c r="E71" s="16" t="s">
        <v>72</v>
      </c>
      <c r="F71" s="16" t="s">
        <v>73</v>
      </c>
      <c r="G71" s="16" t="s">
        <v>51</v>
      </c>
      <c r="H71" s="16" t="s">
        <v>74</v>
      </c>
      <c r="I71" s="16" t="s">
        <v>42</v>
      </c>
      <c r="J71" s="16" t="s">
        <v>43</v>
      </c>
      <c r="K71" s="18">
        <v>15023.91</v>
      </c>
      <c r="L71" s="18">
        <v>8218.58</v>
      </c>
      <c r="M71" s="19">
        <v>2</v>
      </c>
      <c r="N71" s="20">
        <v>0.05</v>
      </c>
      <c r="O71" s="19" t="s">
        <v>25</v>
      </c>
      <c r="P71" s="19" t="s">
        <v>58</v>
      </c>
      <c r="Q71" s="19" t="str">
        <f>TRIM(SalesData[[#This Row],[Customer_Name]])</f>
        <v>Sneha Iyer</v>
      </c>
      <c r="R71" s="21">
        <f>SalesData[[#This Row],[Sales]]-SalesData[[#This Row],[Cost]]</f>
        <v>6805.33</v>
      </c>
      <c r="S71" s="22">
        <f>IFERROR(SalesData[[#This Row],[Profit]]/SalesData[[#This Row],[Sales]],0)</f>
        <v>0.45296663784594021</v>
      </c>
      <c r="T71" s="19">
        <f>YEAR(SalesData[[#This Row],[Order_Date]])</f>
        <v>2024</v>
      </c>
      <c r="U71" s="19" t="str">
        <f>TEXT(SalesData[[#This Row],[Order_Date]],"mmm")</f>
        <v>Dec</v>
      </c>
      <c r="V71" s="19" t="str">
        <f>"Q"&amp;ROUNDUP(MONTH(SalesData[[#This Row],[Order_Date]])/3,0)</f>
        <v>Q4</v>
      </c>
      <c r="W71" s="19" t="str">
        <f>IF(SalesData[[#This Row],[Sales]]&gt;=50000,"High",IF(AND(SalesData[[#This Row],[Sales]]&gt;= 20000, SalesData[[#This Row],[Sales]]&lt; 50000),"Medium","Low"))</f>
        <v>Low</v>
      </c>
      <c r="X71" s="19" t="str">
        <f>IF(SalesData[[#This Row],[Profit]]&gt;0,"Profit","Loss")</f>
        <v>Profit</v>
      </c>
      <c r="Y71" s="19" t="str">
        <f>IF(AND(SalesData[[#This Row],[Sales]]&gt;= 50000, SalesData[[#This Row],[Quantity]]&gt;=2),"Yes","No")</f>
        <v>No</v>
      </c>
      <c r="Z71" s="19" t="str">
        <f>UPPER(SalesData[[#This Row],[Customer_Name]])</f>
        <v>SNEHA IYER</v>
      </c>
      <c r="AA71" s="19" t="str">
        <f>LOWER(SalesData[[#This Row],[Customer_Name]])</f>
        <v>sneha iyer</v>
      </c>
      <c r="AB71" s="19">
        <f>LEN(SalesData[[#This Row],[Customer_Name]])</f>
        <v>10</v>
      </c>
      <c r="AC71" s="19" t="str">
        <f>LEFT(SalesData[[#This Row],[Order_ID]],3)</f>
        <v>ORD</v>
      </c>
      <c r="AD71" s="19" t="str">
        <f>RIGHT(SalesData[[#This Row],[Order_ID]],4)</f>
        <v>0113</v>
      </c>
      <c r="AE71" s="19" t="str">
        <f>_xlfn.CONCAT(SalesData[[#This Row],[Clean_Customer_Name]],"-",SalesData[[#This Row],[Region]])</f>
        <v>Sneha Iyer-East</v>
      </c>
      <c r="AF71" s="19" t="str">
        <f>MID(SalesData[[#This Row],[Order_ID]],4,4)</f>
        <v>0113</v>
      </c>
      <c r="AG71" s="19" t="e">
        <f ca="1">_xlfn.SINGLE(_xlfn.XLOOKUP(SalesData[[#This Row],[Product]],Product_Master!A:A,Product_Master!B:B,"Not Found"))</f>
        <v>#NAME?</v>
      </c>
      <c r="AH71" s="19" t="str">
        <f>VLOOKUP(SalesData[[#This Row],[Product]],Product_Master!$A$1:$B$21,2,FALSE)</f>
        <v>Anjali</v>
      </c>
      <c r="AI71" s="16"/>
    </row>
    <row r="72" spans="1:35" ht="13.8">
      <c r="A72" s="16" t="s">
        <v>496</v>
      </c>
      <c r="B72" s="17">
        <v>45614</v>
      </c>
      <c r="C72" s="16" t="s">
        <v>265</v>
      </c>
      <c r="D72" s="16" t="s">
        <v>266</v>
      </c>
      <c r="E72" s="16" t="s">
        <v>175</v>
      </c>
      <c r="F72" s="16" t="s">
        <v>176</v>
      </c>
      <c r="G72" s="16" t="s">
        <v>51</v>
      </c>
      <c r="H72" s="16" t="s">
        <v>177</v>
      </c>
      <c r="I72" s="16" t="s">
        <v>53</v>
      </c>
      <c r="J72" s="16" t="s">
        <v>102</v>
      </c>
      <c r="K72" s="18">
        <v>101785.57</v>
      </c>
      <c r="L72" s="18">
        <v>66569.279999999999</v>
      </c>
      <c r="M72" s="19">
        <v>4</v>
      </c>
      <c r="N72" s="20">
        <v>0.1</v>
      </c>
      <c r="O72" s="19" t="s">
        <v>136</v>
      </c>
      <c r="P72" s="19" t="s">
        <v>45</v>
      </c>
      <c r="Q72" s="19" t="str">
        <f>TRIM(SalesData[[#This Row],[Customer_Name]])</f>
        <v>Sneha Iyer</v>
      </c>
      <c r="R72" s="21">
        <f>SalesData[[#This Row],[Sales]]-SalesData[[#This Row],[Cost]]</f>
        <v>35216.290000000008</v>
      </c>
      <c r="S72" s="22">
        <f>IFERROR(SalesData[[#This Row],[Profit]]/SalesData[[#This Row],[Sales]],0)</f>
        <v>0.34598509395781746</v>
      </c>
      <c r="T72" s="19">
        <f>YEAR(SalesData[[#This Row],[Order_Date]])</f>
        <v>2024</v>
      </c>
      <c r="U72" s="19" t="str">
        <f>TEXT(SalesData[[#This Row],[Order_Date]],"mmm")</f>
        <v>Nov</v>
      </c>
      <c r="V72" s="19" t="str">
        <f>"Q"&amp;ROUNDUP(MONTH(SalesData[[#This Row],[Order_Date]])/3,0)</f>
        <v>Q4</v>
      </c>
      <c r="W72" s="19" t="str">
        <f>IF(SalesData[[#This Row],[Sales]]&gt;=50000,"High",IF(AND(SalesData[[#This Row],[Sales]]&gt;= 20000, SalesData[[#This Row],[Sales]]&lt; 50000),"Medium","Low"))</f>
        <v>High</v>
      </c>
      <c r="X72" s="19" t="str">
        <f>IF(SalesData[[#This Row],[Profit]]&gt;0,"Profit","Loss")</f>
        <v>Profit</v>
      </c>
      <c r="Y72" s="19" t="str">
        <f>IF(AND(SalesData[[#This Row],[Sales]]&gt;= 50000, SalesData[[#This Row],[Quantity]]&gt;=2),"Yes","No")</f>
        <v>Yes</v>
      </c>
      <c r="Z72" s="19" t="str">
        <f>UPPER(SalesData[[#This Row],[Customer_Name]])</f>
        <v>SNEHA IYER</v>
      </c>
      <c r="AA72" s="19" t="str">
        <f>LOWER(SalesData[[#This Row],[Customer_Name]])</f>
        <v>sneha iyer</v>
      </c>
      <c r="AB72" s="19">
        <f>LEN(SalesData[[#This Row],[Customer_Name]])</f>
        <v>10</v>
      </c>
      <c r="AC72" s="19" t="str">
        <f>LEFT(SalesData[[#This Row],[Order_ID]],3)</f>
        <v>ORD</v>
      </c>
      <c r="AD72" s="19" t="str">
        <f>RIGHT(SalesData[[#This Row],[Order_ID]],4)</f>
        <v>0343</v>
      </c>
      <c r="AE72" s="19" t="str">
        <f>_xlfn.CONCAT(SalesData[[#This Row],[Clean_Customer_Name]],"-",SalesData[[#This Row],[Region]])</f>
        <v>Sneha Iyer-Central</v>
      </c>
      <c r="AF72" s="19" t="str">
        <f>MID(SalesData[[#This Row],[Order_ID]],4,4)</f>
        <v>0343</v>
      </c>
      <c r="AG72" s="19" t="e">
        <f ca="1">_xlfn.SINGLE(_xlfn.XLOOKUP(SalesData[[#This Row],[Product]],Product_Master!A:A,Product_Master!B:B,"Not Found"))</f>
        <v>#NAME?</v>
      </c>
      <c r="AH72" s="19" t="str">
        <f>VLOOKUP(SalesData[[#This Row],[Product]],Product_Master!$A$1:$B$21,2,FALSE)</f>
        <v>Arjun</v>
      </c>
      <c r="AI72" s="16"/>
    </row>
    <row r="73" spans="1:35" ht="13.8">
      <c r="A73" s="16" t="s">
        <v>928</v>
      </c>
      <c r="B73" s="17">
        <v>45596</v>
      </c>
      <c r="C73" s="16" t="s">
        <v>265</v>
      </c>
      <c r="D73" s="16" t="s">
        <v>266</v>
      </c>
      <c r="E73" s="16" t="s">
        <v>175</v>
      </c>
      <c r="F73" s="16" t="s">
        <v>176</v>
      </c>
      <c r="G73" s="16" t="s">
        <v>51</v>
      </c>
      <c r="H73" s="16" t="s">
        <v>177</v>
      </c>
      <c r="I73" s="16" t="s">
        <v>23</v>
      </c>
      <c r="J73" s="16" t="s">
        <v>24</v>
      </c>
      <c r="K73" s="18">
        <v>105502.35</v>
      </c>
      <c r="L73" s="18">
        <v>78432.45</v>
      </c>
      <c r="M73" s="19">
        <v>5</v>
      </c>
      <c r="N73" s="20">
        <v>0</v>
      </c>
      <c r="O73" s="19" t="s">
        <v>34</v>
      </c>
      <c r="P73" s="19" t="s">
        <v>58</v>
      </c>
      <c r="Q73" s="19" t="str">
        <f>TRIM(SalesData[[#This Row],[Customer_Name]])</f>
        <v>Sneha Iyer</v>
      </c>
      <c r="R73" s="21">
        <f>SalesData[[#This Row],[Sales]]-SalesData[[#This Row],[Cost]]</f>
        <v>27069.900000000009</v>
      </c>
      <c r="S73" s="22">
        <f>IFERROR(SalesData[[#This Row],[Profit]]/SalesData[[#This Row],[Sales]],0)</f>
        <v>0.25658101454612153</v>
      </c>
      <c r="T73" s="19">
        <f>YEAR(SalesData[[#This Row],[Order_Date]])</f>
        <v>2024</v>
      </c>
      <c r="U73" s="19" t="str">
        <f>TEXT(SalesData[[#This Row],[Order_Date]],"mmm")</f>
        <v>Oct</v>
      </c>
      <c r="V73" s="19" t="str">
        <f>"Q"&amp;ROUNDUP(MONTH(SalesData[[#This Row],[Order_Date]])/3,0)</f>
        <v>Q4</v>
      </c>
      <c r="W73" s="19" t="str">
        <f>IF(SalesData[[#This Row],[Sales]]&gt;=50000,"High",IF(AND(SalesData[[#This Row],[Sales]]&gt;= 20000, SalesData[[#This Row],[Sales]]&lt; 50000),"Medium","Low"))</f>
        <v>High</v>
      </c>
      <c r="X73" s="19" t="str">
        <f>IF(SalesData[[#This Row],[Profit]]&gt;0,"Profit","Loss")</f>
        <v>Profit</v>
      </c>
      <c r="Y73" s="19" t="str">
        <f>IF(AND(SalesData[[#This Row],[Sales]]&gt;= 50000, SalesData[[#This Row],[Quantity]]&gt;=2),"Yes","No")</f>
        <v>Yes</v>
      </c>
      <c r="Z73" s="19" t="str">
        <f>UPPER(SalesData[[#This Row],[Customer_Name]])</f>
        <v>SNEHA IYER</v>
      </c>
      <c r="AA73" s="19" t="str">
        <f>LOWER(SalesData[[#This Row],[Customer_Name]])</f>
        <v>sneha iyer</v>
      </c>
      <c r="AB73" s="19">
        <f>LEN(SalesData[[#This Row],[Customer_Name]])</f>
        <v>10</v>
      </c>
      <c r="AC73" s="19" t="str">
        <f>LEFT(SalesData[[#This Row],[Order_ID]],3)</f>
        <v>ORD</v>
      </c>
      <c r="AD73" s="19" t="str">
        <f>RIGHT(SalesData[[#This Row],[Order_ID]],4)</f>
        <v>0775</v>
      </c>
      <c r="AE73" s="19" t="str">
        <f>_xlfn.CONCAT(SalesData[[#This Row],[Clean_Customer_Name]],"-",SalesData[[#This Row],[Region]])</f>
        <v>Sneha Iyer-North</v>
      </c>
      <c r="AF73" s="19" t="str">
        <f>MID(SalesData[[#This Row],[Order_ID]],4,4)</f>
        <v>0775</v>
      </c>
      <c r="AG73" s="19" t="e">
        <f ca="1">_xlfn.SINGLE(_xlfn.XLOOKUP(SalesData[[#This Row],[Product]],Product_Master!A:A,Product_Master!B:B,"Not Found"))</f>
        <v>#NAME?</v>
      </c>
      <c r="AH73" s="19" t="str">
        <f>VLOOKUP(SalesData[[#This Row],[Product]],Product_Master!$A$1:$B$21,2,FALSE)</f>
        <v>Arjun</v>
      </c>
      <c r="AI73" s="16"/>
    </row>
    <row r="74" spans="1:35" ht="13.8">
      <c r="A74" s="16" t="s">
        <v>963</v>
      </c>
      <c r="B74" s="17">
        <v>45562</v>
      </c>
      <c r="C74" s="16" t="s">
        <v>265</v>
      </c>
      <c r="D74" s="16" t="s">
        <v>266</v>
      </c>
      <c r="E74" s="16" t="s">
        <v>175</v>
      </c>
      <c r="F74" s="16" t="s">
        <v>176</v>
      </c>
      <c r="G74" s="16" t="s">
        <v>51</v>
      </c>
      <c r="H74" s="16" t="s">
        <v>177</v>
      </c>
      <c r="I74" s="16" t="s">
        <v>42</v>
      </c>
      <c r="J74" s="16" t="s">
        <v>43</v>
      </c>
      <c r="K74" s="18">
        <v>137199.69</v>
      </c>
      <c r="L74" s="18">
        <v>77008.149999999994</v>
      </c>
      <c r="M74" s="19">
        <v>5</v>
      </c>
      <c r="N74" s="20">
        <v>0.1</v>
      </c>
      <c r="O74" s="19" t="s">
        <v>136</v>
      </c>
      <c r="P74" s="19" t="s">
        <v>58</v>
      </c>
      <c r="Q74" s="19" t="str">
        <f>TRIM(SalesData[[#This Row],[Customer_Name]])</f>
        <v>Sneha Iyer</v>
      </c>
      <c r="R74" s="21">
        <f>SalesData[[#This Row],[Sales]]-SalesData[[#This Row],[Cost]]</f>
        <v>60191.540000000008</v>
      </c>
      <c r="S74" s="22">
        <f>IFERROR(SalesData[[#This Row],[Profit]]/SalesData[[#This Row],[Sales]],0)</f>
        <v>0.4387148396618098</v>
      </c>
      <c r="T74" s="19">
        <f>YEAR(SalesData[[#This Row],[Order_Date]])</f>
        <v>2024</v>
      </c>
      <c r="U74" s="19" t="str">
        <f>TEXT(SalesData[[#This Row],[Order_Date]],"mmm")</f>
        <v>Sept</v>
      </c>
      <c r="V74" s="19" t="str">
        <f>"Q"&amp;ROUNDUP(MONTH(SalesData[[#This Row],[Order_Date]])/3,0)</f>
        <v>Q3</v>
      </c>
      <c r="W74" s="19" t="str">
        <f>IF(SalesData[[#This Row],[Sales]]&gt;=50000,"High",IF(AND(SalesData[[#This Row],[Sales]]&gt;= 20000, SalesData[[#This Row],[Sales]]&lt; 50000),"Medium","Low"))</f>
        <v>High</v>
      </c>
      <c r="X74" s="19" t="str">
        <f>IF(SalesData[[#This Row],[Profit]]&gt;0,"Profit","Loss")</f>
        <v>Profit</v>
      </c>
      <c r="Y74" s="19" t="str">
        <f>IF(AND(SalesData[[#This Row],[Sales]]&gt;= 50000, SalesData[[#This Row],[Quantity]]&gt;=2),"Yes","No")</f>
        <v>Yes</v>
      </c>
      <c r="Z74" s="19" t="str">
        <f>UPPER(SalesData[[#This Row],[Customer_Name]])</f>
        <v>SNEHA IYER</v>
      </c>
      <c r="AA74" s="19" t="str">
        <f>LOWER(SalesData[[#This Row],[Customer_Name]])</f>
        <v>sneha iyer</v>
      </c>
      <c r="AB74" s="19">
        <f>LEN(SalesData[[#This Row],[Customer_Name]])</f>
        <v>10</v>
      </c>
      <c r="AC74" s="19" t="str">
        <f>LEFT(SalesData[[#This Row],[Order_ID]],3)</f>
        <v>ORD</v>
      </c>
      <c r="AD74" s="19" t="str">
        <f>RIGHT(SalesData[[#This Row],[Order_ID]],4)</f>
        <v>0810</v>
      </c>
      <c r="AE74" s="19" t="str">
        <f>_xlfn.CONCAT(SalesData[[#This Row],[Clean_Customer_Name]],"-",SalesData[[#This Row],[Region]])</f>
        <v>Sneha Iyer-East</v>
      </c>
      <c r="AF74" s="19" t="str">
        <f>MID(SalesData[[#This Row],[Order_ID]],4,4)</f>
        <v>0810</v>
      </c>
      <c r="AG74" s="19" t="e">
        <f ca="1">_xlfn.SINGLE(_xlfn.XLOOKUP(SalesData[[#This Row],[Product]],Product_Master!A:A,Product_Master!B:B,"Not Found"))</f>
        <v>#NAME?</v>
      </c>
      <c r="AH74" s="19" t="str">
        <f>VLOOKUP(SalesData[[#This Row],[Product]],Product_Master!$A$1:$B$21,2,FALSE)</f>
        <v>Arjun</v>
      </c>
      <c r="AI74" s="16"/>
    </row>
    <row r="75" spans="1:35" ht="13.8">
      <c r="A75" s="16" t="s">
        <v>269</v>
      </c>
      <c r="B75" s="17">
        <v>45409</v>
      </c>
      <c r="C75" s="16" t="s">
        <v>265</v>
      </c>
      <c r="D75" s="16" t="s">
        <v>266</v>
      </c>
      <c r="E75" s="16" t="s">
        <v>110</v>
      </c>
      <c r="F75" s="16" t="s">
        <v>111</v>
      </c>
      <c r="G75" s="16" t="s">
        <v>40</v>
      </c>
      <c r="H75" s="16" t="s">
        <v>112</v>
      </c>
      <c r="I75" s="16" t="s">
        <v>53</v>
      </c>
      <c r="J75" s="16" t="s">
        <v>54</v>
      </c>
      <c r="K75" s="18">
        <v>7062.72</v>
      </c>
      <c r="L75" s="18">
        <v>5244.36</v>
      </c>
      <c r="M75" s="19">
        <v>4</v>
      </c>
      <c r="N75" s="20">
        <v>0.05</v>
      </c>
      <c r="O75" s="19" t="s">
        <v>136</v>
      </c>
      <c r="P75" s="19" t="s">
        <v>77</v>
      </c>
      <c r="Q75" s="19" t="str">
        <f>TRIM(SalesData[[#This Row],[Customer_Name]])</f>
        <v>Sneha Iyer</v>
      </c>
      <c r="R75" s="21">
        <f>SalesData[[#This Row],[Sales]]-SalesData[[#This Row],[Cost]]</f>
        <v>1818.3600000000006</v>
      </c>
      <c r="S75" s="22">
        <f>IFERROR(SalesData[[#This Row],[Profit]]/SalesData[[#This Row],[Sales]],0)</f>
        <v>0.25745888269675149</v>
      </c>
      <c r="T75" s="19">
        <f>YEAR(SalesData[[#This Row],[Order_Date]])</f>
        <v>2024</v>
      </c>
      <c r="U75" s="19" t="str">
        <f>TEXT(SalesData[[#This Row],[Order_Date]],"mmm")</f>
        <v>Apr</v>
      </c>
      <c r="V75" s="19" t="str">
        <f>"Q"&amp;ROUNDUP(MONTH(SalesData[[#This Row],[Order_Date]])/3,0)</f>
        <v>Q2</v>
      </c>
      <c r="W75" s="19" t="str">
        <f>IF(SalesData[[#This Row],[Sales]]&gt;=50000,"High",IF(AND(SalesData[[#This Row],[Sales]]&gt;= 20000, SalesData[[#This Row],[Sales]]&lt; 50000),"Medium","Low"))</f>
        <v>Low</v>
      </c>
      <c r="X75" s="19" t="str">
        <f>IF(SalesData[[#This Row],[Profit]]&gt;0,"Profit","Loss")</f>
        <v>Profit</v>
      </c>
      <c r="Y75" s="19" t="str">
        <f>IF(AND(SalesData[[#This Row],[Sales]]&gt;= 50000, SalesData[[#This Row],[Quantity]]&gt;=2),"Yes","No")</f>
        <v>No</v>
      </c>
      <c r="Z75" s="19" t="str">
        <f>UPPER(SalesData[[#This Row],[Customer_Name]])</f>
        <v>SNEHA IYER</v>
      </c>
      <c r="AA75" s="19" t="str">
        <f>LOWER(SalesData[[#This Row],[Customer_Name]])</f>
        <v>sneha iyer</v>
      </c>
      <c r="AB75" s="19">
        <f>LEN(SalesData[[#This Row],[Customer_Name]])</f>
        <v>10</v>
      </c>
      <c r="AC75" s="19" t="str">
        <f>LEFT(SalesData[[#This Row],[Order_ID]],3)</f>
        <v>ORD</v>
      </c>
      <c r="AD75" s="19" t="str">
        <f>RIGHT(SalesData[[#This Row],[Order_ID]],4)</f>
        <v>0116</v>
      </c>
      <c r="AE75" s="19" t="str">
        <f>_xlfn.CONCAT(SalesData[[#This Row],[Clean_Customer_Name]],"-",SalesData[[#This Row],[Region]])</f>
        <v>Sneha Iyer-Central</v>
      </c>
      <c r="AF75" s="19" t="str">
        <f>MID(SalesData[[#This Row],[Order_ID]],4,4)</f>
        <v>0116</v>
      </c>
      <c r="AG75" s="19" t="e">
        <f ca="1">_xlfn.SINGLE(_xlfn.XLOOKUP(SalesData[[#This Row],[Product]],Product_Master!A:A,Product_Master!B:B,"Not Found"))</f>
        <v>#NAME?</v>
      </c>
      <c r="AH75" s="19" t="str">
        <f>VLOOKUP(SalesData[[#This Row],[Product]],Product_Master!$A$1:$B$21,2,FALSE)</f>
        <v>Vikas</v>
      </c>
      <c r="AI75" s="16"/>
    </row>
    <row r="76" spans="1:35" ht="13.8">
      <c r="A76" s="16" t="s">
        <v>297</v>
      </c>
      <c r="B76" s="17">
        <v>45299</v>
      </c>
      <c r="C76" s="16" t="s">
        <v>265</v>
      </c>
      <c r="D76" s="16" t="s">
        <v>266</v>
      </c>
      <c r="E76" s="16" t="s">
        <v>110</v>
      </c>
      <c r="F76" s="16" t="s">
        <v>111</v>
      </c>
      <c r="G76" s="16" t="s">
        <v>40</v>
      </c>
      <c r="H76" s="16" t="s">
        <v>112</v>
      </c>
      <c r="I76" s="16" t="s">
        <v>23</v>
      </c>
      <c r="J76" s="16" t="s">
        <v>33</v>
      </c>
      <c r="K76" s="18">
        <v>6753.56</v>
      </c>
      <c r="L76" s="18">
        <v>5037.12</v>
      </c>
      <c r="M76" s="19">
        <v>4</v>
      </c>
      <c r="N76" s="20">
        <v>0.15</v>
      </c>
      <c r="O76" s="19" t="s">
        <v>34</v>
      </c>
      <c r="P76" s="19" t="s">
        <v>58</v>
      </c>
      <c r="Q76" s="19" t="str">
        <f>TRIM(SalesData[[#This Row],[Customer_Name]])</f>
        <v>Sneha Iyer</v>
      </c>
      <c r="R76" s="21">
        <f>SalesData[[#This Row],[Sales]]-SalesData[[#This Row],[Cost]]</f>
        <v>1716.4400000000005</v>
      </c>
      <c r="S76" s="22">
        <f>IFERROR(SalesData[[#This Row],[Profit]]/SalesData[[#This Row],[Sales]],0)</f>
        <v>0.2541533650400678</v>
      </c>
      <c r="T76" s="19">
        <f>YEAR(SalesData[[#This Row],[Order_Date]])</f>
        <v>2024</v>
      </c>
      <c r="U76" s="19" t="str">
        <f>TEXT(SalesData[[#This Row],[Order_Date]],"mmm")</f>
        <v>Jan</v>
      </c>
      <c r="V76" s="19" t="str">
        <f>"Q"&amp;ROUNDUP(MONTH(SalesData[[#This Row],[Order_Date]])/3,0)</f>
        <v>Q1</v>
      </c>
      <c r="W76" s="19" t="str">
        <f>IF(SalesData[[#This Row],[Sales]]&gt;=50000,"High",IF(AND(SalesData[[#This Row],[Sales]]&gt;= 20000, SalesData[[#This Row],[Sales]]&lt; 50000),"Medium","Low"))</f>
        <v>Low</v>
      </c>
      <c r="X76" s="19" t="str">
        <f>IF(SalesData[[#This Row],[Profit]]&gt;0,"Profit","Loss")</f>
        <v>Profit</v>
      </c>
      <c r="Y76" s="19" t="str">
        <f>IF(AND(SalesData[[#This Row],[Sales]]&gt;= 50000, SalesData[[#This Row],[Quantity]]&gt;=2),"Yes","No")</f>
        <v>No</v>
      </c>
      <c r="Z76" s="19" t="str">
        <f>UPPER(SalesData[[#This Row],[Customer_Name]])</f>
        <v>SNEHA IYER</v>
      </c>
      <c r="AA76" s="19" t="str">
        <f>LOWER(SalesData[[#This Row],[Customer_Name]])</f>
        <v>sneha iyer</v>
      </c>
      <c r="AB76" s="19">
        <f>LEN(SalesData[[#This Row],[Customer_Name]])</f>
        <v>10</v>
      </c>
      <c r="AC76" s="19" t="str">
        <f>LEFT(SalesData[[#This Row],[Order_ID]],3)</f>
        <v>ORD</v>
      </c>
      <c r="AD76" s="19" t="str">
        <f>RIGHT(SalesData[[#This Row],[Order_ID]],4)</f>
        <v>0144</v>
      </c>
      <c r="AE76" s="19" t="str">
        <f>_xlfn.CONCAT(SalesData[[#This Row],[Clean_Customer_Name]],"-",SalesData[[#This Row],[Region]])</f>
        <v>Sneha Iyer-North</v>
      </c>
      <c r="AF76" s="19" t="str">
        <f>MID(SalesData[[#This Row],[Order_ID]],4,4)</f>
        <v>0144</v>
      </c>
      <c r="AG76" s="19" t="e">
        <f ca="1">_xlfn.SINGLE(_xlfn.XLOOKUP(SalesData[[#This Row],[Product]],Product_Master!A:A,Product_Master!B:B,"Not Found"))</f>
        <v>#NAME?</v>
      </c>
      <c r="AH76" s="19" t="str">
        <f>VLOOKUP(SalesData[[#This Row],[Product]],Product_Master!$A$1:$B$21,2,FALSE)</f>
        <v>Vikas</v>
      </c>
      <c r="AI76" s="16"/>
    </row>
    <row r="77" spans="1:35" ht="13.8">
      <c r="A77" s="16" t="s">
        <v>788</v>
      </c>
      <c r="B77" s="17">
        <v>45494</v>
      </c>
      <c r="C77" s="16" t="s">
        <v>265</v>
      </c>
      <c r="D77" s="16" t="s">
        <v>266</v>
      </c>
      <c r="E77" s="16" t="s">
        <v>110</v>
      </c>
      <c r="F77" s="16" t="s">
        <v>111</v>
      </c>
      <c r="G77" s="16" t="s">
        <v>40</v>
      </c>
      <c r="H77" s="16" t="s">
        <v>112</v>
      </c>
      <c r="I77" s="16" t="s">
        <v>53</v>
      </c>
      <c r="J77" s="16" t="s">
        <v>102</v>
      </c>
      <c r="K77" s="18">
        <v>20050.22</v>
      </c>
      <c r="L77" s="18">
        <v>5494.25</v>
      </c>
      <c r="M77" s="19">
        <v>5</v>
      </c>
      <c r="N77" s="20">
        <v>0.15</v>
      </c>
      <c r="O77" s="19" t="s">
        <v>34</v>
      </c>
      <c r="P77" s="19" t="s">
        <v>58</v>
      </c>
      <c r="Q77" s="19" t="str">
        <f>TRIM(SalesData[[#This Row],[Customer_Name]])</f>
        <v>Sneha Iyer</v>
      </c>
      <c r="R77" s="21">
        <f>SalesData[[#This Row],[Sales]]-SalesData[[#This Row],[Cost]]</f>
        <v>14555.970000000001</v>
      </c>
      <c r="S77" s="22">
        <f>IFERROR(SalesData[[#This Row],[Profit]]/SalesData[[#This Row],[Sales]],0)</f>
        <v>0.72597557533034551</v>
      </c>
      <c r="T77" s="19">
        <f>YEAR(SalesData[[#This Row],[Order_Date]])</f>
        <v>2024</v>
      </c>
      <c r="U77" s="19" t="str">
        <f>TEXT(SalesData[[#This Row],[Order_Date]],"mmm")</f>
        <v>Jul</v>
      </c>
      <c r="V77" s="19" t="str">
        <f>"Q"&amp;ROUNDUP(MONTH(SalesData[[#This Row],[Order_Date]])/3,0)</f>
        <v>Q3</v>
      </c>
      <c r="W77" s="19" t="str">
        <f>IF(SalesData[[#This Row],[Sales]]&gt;=50000,"High",IF(AND(SalesData[[#This Row],[Sales]]&gt;= 20000, SalesData[[#This Row],[Sales]]&lt; 50000),"Medium","Low"))</f>
        <v>Medium</v>
      </c>
      <c r="X77" s="19" t="str">
        <f>IF(SalesData[[#This Row],[Profit]]&gt;0,"Profit","Loss")</f>
        <v>Profit</v>
      </c>
      <c r="Y77" s="19" t="str">
        <f>IF(AND(SalesData[[#This Row],[Sales]]&gt;= 50000, SalesData[[#This Row],[Quantity]]&gt;=2),"Yes","No")</f>
        <v>No</v>
      </c>
      <c r="Z77" s="19" t="str">
        <f>UPPER(SalesData[[#This Row],[Customer_Name]])</f>
        <v>SNEHA IYER</v>
      </c>
      <c r="AA77" s="19" t="str">
        <f>LOWER(SalesData[[#This Row],[Customer_Name]])</f>
        <v>sneha iyer</v>
      </c>
      <c r="AB77" s="19">
        <f>LEN(SalesData[[#This Row],[Customer_Name]])</f>
        <v>10</v>
      </c>
      <c r="AC77" s="19" t="str">
        <f>LEFT(SalesData[[#This Row],[Order_ID]],3)</f>
        <v>ORD</v>
      </c>
      <c r="AD77" s="19" t="str">
        <f>RIGHT(SalesData[[#This Row],[Order_ID]],4)</f>
        <v>0635</v>
      </c>
      <c r="AE77" s="19" t="str">
        <f>_xlfn.CONCAT(SalesData[[#This Row],[Clean_Customer_Name]],"-",SalesData[[#This Row],[Region]])</f>
        <v>Sneha Iyer-Central</v>
      </c>
      <c r="AF77" s="19" t="str">
        <f>MID(SalesData[[#This Row],[Order_ID]],4,4)</f>
        <v>0635</v>
      </c>
      <c r="AG77" s="19" t="e">
        <f ca="1">_xlfn.SINGLE(_xlfn.XLOOKUP(SalesData[[#This Row],[Product]],Product_Master!A:A,Product_Master!B:B,"Not Found"))</f>
        <v>#NAME?</v>
      </c>
      <c r="AH77" s="19" t="str">
        <f>VLOOKUP(SalesData[[#This Row],[Product]],Product_Master!$A$1:$B$21,2,FALSE)</f>
        <v>Vikas</v>
      </c>
      <c r="AI77" s="16"/>
    </row>
    <row r="78" spans="1:35" ht="13.8">
      <c r="A78" s="16" t="s">
        <v>401</v>
      </c>
      <c r="B78" s="17">
        <v>45842</v>
      </c>
      <c r="C78" s="16" t="s">
        <v>265</v>
      </c>
      <c r="D78" s="16" t="s">
        <v>266</v>
      </c>
      <c r="E78" s="16" t="s">
        <v>106</v>
      </c>
      <c r="F78" s="16" t="s">
        <v>107</v>
      </c>
      <c r="G78" s="16" t="s">
        <v>40</v>
      </c>
      <c r="H78" s="16" t="s">
        <v>108</v>
      </c>
      <c r="I78" s="16" t="s">
        <v>23</v>
      </c>
      <c r="J78" s="16" t="s">
        <v>75</v>
      </c>
      <c r="K78" s="18">
        <v>4923.8900000000003</v>
      </c>
      <c r="L78" s="18">
        <v>2654.96</v>
      </c>
      <c r="M78" s="19">
        <v>4</v>
      </c>
      <c r="N78" s="20">
        <v>0.05</v>
      </c>
      <c r="O78" s="19" t="s">
        <v>136</v>
      </c>
      <c r="P78" s="19" t="s">
        <v>58</v>
      </c>
      <c r="Q78" s="19" t="str">
        <f>TRIM(SalesData[[#This Row],[Customer_Name]])</f>
        <v>Sneha Iyer</v>
      </c>
      <c r="R78" s="21">
        <f>SalesData[[#This Row],[Sales]]-SalesData[[#This Row],[Cost]]</f>
        <v>2268.9300000000003</v>
      </c>
      <c r="S78" s="22">
        <f>IFERROR(SalesData[[#This Row],[Profit]]/SalesData[[#This Row],[Sales]],0)</f>
        <v>0.46080030220008977</v>
      </c>
      <c r="T78" s="19">
        <f>YEAR(SalesData[[#This Row],[Order_Date]])</f>
        <v>2025</v>
      </c>
      <c r="U78" s="19" t="str">
        <f>TEXT(SalesData[[#This Row],[Order_Date]],"mmm")</f>
        <v>Jul</v>
      </c>
      <c r="V78" s="19" t="str">
        <f>"Q"&amp;ROUNDUP(MONTH(SalesData[[#This Row],[Order_Date]])/3,0)</f>
        <v>Q3</v>
      </c>
      <c r="W78" s="19" t="str">
        <f>IF(SalesData[[#This Row],[Sales]]&gt;=50000,"High",IF(AND(SalesData[[#This Row],[Sales]]&gt;= 20000, SalesData[[#This Row],[Sales]]&lt; 50000),"Medium","Low"))</f>
        <v>Low</v>
      </c>
      <c r="X78" s="19" t="str">
        <f>IF(SalesData[[#This Row],[Profit]]&gt;0,"Profit","Loss")</f>
        <v>Profit</v>
      </c>
      <c r="Y78" s="19" t="str">
        <f>IF(AND(SalesData[[#This Row],[Sales]]&gt;= 50000, SalesData[[#This Row],[Quantity]]&gt;=2),"Yes","No")</f>
        <v>No</v>
      </c>
      <c r="Z78" s="19" t="str">
        <f>UPPER(SalesData[[#This Row],[Customer_Name]])</f>
        <v>SNEHA IYER</v>
      </c>
      <c r="AA78" s="19" t="str">
        <f>LOWER(SalesData[[#This Row],[Customer_Name]])</f>
        <v>sneha iyer</v>
      </c>
      <c r="AB78" s="19">
        <f>LEN(SalesData[[#This Row],[Customer_Name]])</f>
        <v>10</v>
      </c>
      <c r="AC78" s="19" t="str">
        <f>LEFT(SalesData[[#This Row],[Order_ID]],3)</f>
        <v>ORD</v>
      </c>
      <c r="AD78" s="19" t="str">
        <f>RIGHT(SalesData[[#This Row],[Order_ID]],4)</f>
        <v>0248</v>
      </c>
      <c r="AE78" s="19" t="str">
        <f>_xlfn.CONCAT(SalesData[[#This Row],[Clean_Customer_Name]],"-",SalesData[[#This Row],[Region]])</f>
        <v>Sneha Iyer-North</v>
      </c>
      <c r="AF78" s="19" t="str">
        <f>MID(SalesData[[#This Row],[Order_ID]],4,4)</f>
        <v>0248</v>
      </c>
      <c r="AG78" s="19" t="e">
        <f ca="1">_xlfn.SINGLE(_xlfn.XLOOKUP(SalesData[[#This Row],[Product]],Product_Master!A:A,Product_Master!B:B,"Not Found"))</f>
        <v>#NAME?</v>
      </c>
      <c r="AH78" s="19" t="str">
        <f>VLOOKUP(SalesData[[#This Row],[Product]],Product_Master!$A$1:$B$21,2,FALSE)</f>
        <v>Aditya</v>
      </c>
      <c r="AI78" s="16"/>
    </row>
    <row r="79" spans="1:35" ht="13.8">
      <c r="A79" s="16" t="s">
        <v>726</v>
      </c>
      <c r="B79" s="17">
        <v>45427</v>
      </c>
      <c r="C79" s="16" t="s">
        <v>265</v>
      </c>
      <c r="D79" s="16" t="s">
        <v>266</v>
      </c>
      <c r="E79" s="16" t="s">
        <v>106</v>
      </c>
      <c r="F79" s="16" t="s">
        <v>107</v>
      </c>
      <c r="G79" s="16" t="s">
        <v>40</v>
      </c>
      <c r="H79" s="16" t="s">
        <v>108</v>
      </c>
      <c r="I79" s="16" t="s">
        <v>23</v>
      </c>
      <c r="J79" s="16" t="s">
        <v>75</v>
      </c>
      <c r="K79" s="18">
        <v>6171.51</v>
      </c>
      <c r="L79" s="18">
        <v>1924.68</v>
      </c>
      <c r="M79" s="19">
        <v>3</v>
      </c>
      <c r="N79" s="20">
        <v>0</v>
      </c>
      <c r="O79" s="19" t="s">
        <v>34</v>
      </c>
      <c r="P79" s="19" t="s">
        <v>26</v>
      </c>
      <c r="Q79" s="19" t="str">
        <f>TRIM(SalesData[[#This Row],[Customer_Name]])</f>
        <v>Sneha Iyer</v>
      </c>
      <c r="R79" s="21">
        <f>SalesData[[#This Row],[Sales]]-SalesData[[#This Row],[Cost]]</f>
        <v>4246.83</v>
      </c>
      <c r="S79" s="22">
        <f>IFERROR(SalesData[[#This Row],[Profit]]/SalesData[[#This Row],[Sales]],0)</f>
        <v>0.68813467044532051</v>
      </c>
      <c r="T79" s="19">
        <f>YEAR(SalesData[[#This Row],[Order_Date]])</f>
        <v>2024</v>
      </c>
      <c r="U79" s="19" t="str">
        <f>TEXT(SalesData[[#This Row],[Order_Date]],"mmm")</f>
        <v>May</v>
      </c>
      <c r="V79" s="19" t="str">
        <f>"Q"&amp;ROUNDUP(MONTH(SalesData[[#This Row],[Order_Date]])/3,0)</f>
        <v>Q2</v>
      </c>
      <c r="W79" s="19" t="str">
        <f>IF(SalesData[[#This Row],[Sales]]&gt;=50000,"High",IF(AND(SalesData[[#This Row],[Sales]]&gt;= 20000, SalesData[[#This Row],[Sales]]&lt; 50000),"Medium","Low"))</f>
        <v>Low</v>
      </c>
      <c r="X79" s="19" t="str">
        <f>IF(SalesData[[#This Row],[Profit]]&gt;0,"Profit","Loss")</f>
        <v>Profit</v>
      </c>
      <c r="Y79" s="19" t="str">
        <f>IF(AND(SalesData[[#This Row],[Sales]]&gt;= 50000, SalesData[[#This Row],[Quantity]]&gt;=2),"Yes","No")</f>
        <v>No</v>
      </c>
      <c r="Z79" s="19" t="str">
        <f>UPPER(SalesData[[#This Row],[Customer_Name]])</f>
        <v>SNEHA IYER</v>
      </c>
      <c r="AA79" s="19" t="str">
        <f>LOWER(SalesData[[#This Row],[Customer_Name]])</f>
        <v>sneha iyer</v>
      </c>
      <c r="AB79" s="19">
        <f>LEN(SalesData[[#This Row],[Customer_Name]])</f>
        <v>10</v>
      </c>
      <c r="AC79" s="19" t="str">
        <f>LEFT(SalesData[[#This Row],[Order_ID]],3)</f>
        <v>ORD</v>
      </c>
      <c r="AD79" s="19" t="str">
        <f>RIGHT(SalesData[[#This Row],[Order_ID]],4)</f>
        <v>0573</v>
      </c>
      <c r="AE79" s="19" t="str">
        <f>_xlfn.CONCAT(SalesData[[#This Row],[Clean_Customer_Name]],"-",SalesData[[#This Row],[Region]])</f>
        <v>Sneha Iyer-North</v>
      </c>
      <c r="AF79" s="19" t="str">
        <f>MID(SalesData[[#This Row],[Order_ID]],4,4)</f>
        <v>0573</v>
      </c>
      <c r="AG79" s="19" t="e">
        <f ca="1">_xlfn.SINGLE(_xlfn.XLOOKUP(SalesData[[#This Row],[Product]],Product_Master!A:A,Product_Master!B:B,"Not Found"))</f>
        <v>#NAME?</v>
      </c>
      <c r="AH79" s="19" t="str">
        <f>VLOOKUP(SalesData[[#This Row],[Product]],Product_Master!$A$1:$B$21,2,FALSE)</f>
        <v>Aditya</v>
      </c>
      <c r="AI79" s="16"/>
    </row>
    <row r="80" spans="1:35" ht="13.8">
      <c r="A80" s="16" t="s">
        <v>737</v>
      </c>
      <c r="B80" s="17">
        <v>45681</v>
      </c>
      <c r="C80" s="16" t="s">
        <v>265</v>
      </c>
      <c r="D80" s="16" t="s">
        <v>266</v>
      </c>
      <c r="E80" s="16" t="s">
        <v>106</v>
      </c>
      <c r="F80" s="16" t="s">
        <v>107</v>
      </c>
      <c r="G80" s="16" t="s">
        <v>40</v>
      </c>
      <c r="H80" s="16" t="s">
        <v>108</v>
      </c>
      <c r="I80" s="16" t="s">
        <v>84</v>
      </c>
      <c r="J80" s="16" t="s">
        <v>85</v>
      </c>
      <c r="K80" s="18">
        <v>4586.09</v>
      </c>
      <c r="L80" s="18">
        <v>3833.65</v>
      </c>
      <c r="M80" s="19">
        <v>5</v>
      </c>
      <c r="N80" s="20">
        <v>0.1</v>
      </c>
      <c r="O80" s="19" t="s">
        <v>136</v>
      </c>
      <c r="P80" s="19" t="s">
        <v>58</v>
      </c>
      <c r="Q80" s="19" t="str">
        <f>TRIM(SalesData[[#This Row],[Customer_Name]])</f>
        <v>Sneha Iyer</v>
      </c>
      <c r="R80" s="21">
        <f>SalesData[[#This Row],[Sales]]-SalesData[[#This Row],[Cost]]</f>
        <v>752.44</v>
      </c>
      <c r="S80" s="22">
        <f>IFERROR(SalesData[[#This Row],[Profit]]/SalesData[[#This Row],[Sales]],0)</f>
        <v>0.16407004659742833</v>
      </c>
      <c r="T80" s="19">
        <f>YEAR(SalesData[[#This Row],[Order_Date]])</f>
        <v>2025</v>
      </c>
      <c r="U80" s="19" t="str">
        <f>TEXT(SalesData[[#This Row],[Order_Date]],"mmm")</f>
        <v>Jan</v>
      </c>
      <c r="V80" s="19" t="str">
        <f>"Q"&amp;ROUNDUP(MONTH(SalesData[[#This Row],[Order_Date]])/3,0)</f>
        <v>Q1</v>
      </c>
      <c r="W80" s="19" t="str">
        <f>IF(SalesData[[#This Row],[Sales]]&gt;=50000,"High",IF(AND(SalesData[[#This Row],[Sales]]&gt;= 20000, SalesData[[#This Row],[Sales]]&lt; 50000),"Medium","Low"))</f>
        <v>Low</v>
      </c>
      <c r="X80" s="19" t="str">
        <f>IF(SalesData[[#This Row],[Profit]]&gt;0,"Profit","Loss")</f>
        <v>Profit</v>
      </c>
      <c r="Y80" s="19" t="str">
        <f>IF(AND(SalesData[[#This Row],[Sales]]&gt;= 50000, SalesData[[#This Row],[Quantity]]&gt;=2),"Yes","No")</f>
        <v>No</v>
      </c>
      <c r="Z80" s="19" t="str">
        <f>UPPER(SalesData[[#This Row],[Customer_Name]])</f>
        <v>SNEHA IYER</v>
      </c>
      <c r="AA80" s="19" t="str">
        <f>LOWER(SalesData[[#This Row],[Customer_Name]])</f>
        <v>sneha iyer</v>
      </c>
      <c r="AB80" s="19">
        <f>LEN(SalesData[[#This Row],[Customer_Name]])</f>
        <v>10</v>
      </c>
      <c r="AC80" s="19" t="str">
        <f>LEFT(SalesData[[#This Row],[Order_ID]],3)</f>
        <v>ORD</v>
      </c>
      <c r="AD80" s="19" t="str">
        <f>RIGHT(SalesData[[#This Row],[Order_ID]],4)</f>
        <v>0584</v>
      </c>
      <c r="AE80" s="19" t="str">
        <f>_xlfn.CONCAT(SalesData[[#This Row],[Clean_Customer_Name]],"-",SalesData[[#This Row],[Region]])</f>
        <v>Sneha Iyer-South</v>
      </c>
      <c r="AF80" s="19" t="str">
        <f>MID(SalesData[[#This Row],[Order_ID]],4,4)</f>
        <v>0584</v>
      </c>
      <c r="AG80" s="19" t="e">
        <f ca="1">_xlfn.SINGLE(_xlfn.XLOOKUP(SalesData[[#This Row],[Product]],Product_Master!A:A,Product_Master!B:B,"Not Found"))</f>
        <v>#NAME?</v>
      </c>
      <c r="AH80" s="19" t="str">
        <f>VLOOKUP(SalesData[[#This Row],[Product]],Product_Master!$A$1:$B$21,2,FALSE)</f>
        <v>Aditya</v>
      </c>
      <c r="AI80" s="16"/>
    </row>
    <row r="81" spans="1:35" ht="13.8">
      <c r="A81" s="16" t="s">
        <v>960</v>
      </c>
      <c r="B81" s="17">
        <v>45671</v>
      </c>
      <c r="C81" s="16" t="s">
        <v>265</v>
      </c>
      <c r="D81" s="16" t="s">
        <v>266</v>
      </c>
      <c r="E81" s="16" t="s">
        <v>106</v>
      </c>
      <c r="F81" s="16" t="s">
        <v>107</v>
      </c>
      <c r="G81" s="16" t="s">
        <v>40</v>
      </c>
      <c r="H81" s="16" t="s">
        <v>108</v>
      </c>
      <c r="I81" s="16" t="s">
        <v>42</v>
      </c>
      <c r="J81" s="16" t="s">
        <v>68</v>
      </c>
      <c r="K81" s="18">
        <v>3249.65</v>
      </c>
      <c r="L81" s="18">
        <v>1531.06</v>
      </c>
      <c r="M81" s="19">
        <v>2</v>
      </c>
      <c r="N81" s="20">
        <v>0.2</v>
      </c>
      <c r="O81" s="19" t="s">
        <v>76</v>
      </c>
      <c r="P81" s="19" t="s">
        <v>45</v>
      </c>
      <c r="Q81" s="19" t="str">
        <f>TRIM(SalesData[[#This Row],[Customer_Name]])</f>
        <v>Sneha Iyer</v>
      </c>
      <c r="R81" s="21">
        <f>SalesData[[#This Row],[Sales]]-SalesData[[#This Row],[Cost]]</f>
        <v>1718.5900000000001</v>
      </c>
      <c r="S81" s="22">
        <f>IFERROR(SalesData[[#This Row],[Profit]]/SalesData[[#This Row],[Sales]],0)</f>
        <v>0.5288538765713231</v>
      </c>
      <c r="T81" s="19">
        <f>YEAR(SalesData[[#This Row],[Order_Date]])</f>
        <v>2025</v>
      </c>
      <c r="U81" s="19" t="str">
        <f>TEXT(SalesData[[#This Row],[Order_Date]],"mmm")</f>
        <v>Jan</v>
      </c>
      <c r="V81" s="19" t="str">
        <f>"Q"&amp;ROUNDUP(MONTH(SalesData[[#This Row],[Order_Date]])/3,0)</f>
        <v>Q1</v>
      </c>
      <c r="W81" s="19" t="str">
        <f>IF(SalesData[[#This Row],[Sales]]&gt;=50000,"High",IF(AND(SalesData[[#This Row],[Sales]]&gt;= 20000, SalesData[[#This Row],[Sales]]&lt; 50000),"Medium","Low"))</f>
        <v>Low</v>
      </c>
      <c r="X81" s="19" t="str">
        <f>IF(SalesData[[#This Row],[Profit]]&gt;0,"Profit","Loss")</f>
        <v>Profit</v>
      </c>
      <c r="Y81" s="19" t="str">
        <f>IF(AND(SalesData[[#This Row],[Sales]]&gt;= 50000, SalesData[[#This Row],[Quantity]]&gt;=2),"Yes","No")</f>
        <v>No</v>
      </c>
      <c r="Z81" s="19" t="str">
        <f>UPPER(SalesData[[#This Row],[Customer_Name]])</f>
        <v>SNEHA IYER</v>
      </c>
      <c r="AA81" s="19" t="str">
        <f>LOWER(SalesData[[#This Row],[Customer_Name]])</f>
        <v>sneha iyer</v>
      </c>
      <c r="AB81" s="19">
        <f>LEN(SalesData[[#This Row],[Customer_Name]])</f>
        <v>10</v>
      </c>
      <c r="AC81" s="19" t="str">
        <f>LEFT(SalesData[[#This Row],[Order_ID]],3)</f>
        <v>ORD</v>
      </c>
      <c r="AD81" s="19" t="str">
        <f>RIGHT(SalesData[[#This Row],[Order_ID]],4)</f>
        <v>0807</v>
      </c>
      <c r="AE81" s="19" t="str">
        <f>_xlfn.CONCAT(SalesData[[#This Row],[Clean_Customer_Name]],"-",SalesData[[#This Row],[Region]])</f>
        <v>Sneha Iyer-East</v>
      </c>
      <c r="AF81" s="19" t="str">
        <f>MID(SalesData[[#This Row],[Order_ID]],4,4)</f>
        <v>0807</v>
      </c>
      <c r="AG81" s="19" t="e">
        <f ca="1">_xlfn.SINGLE(_xlfn.XLOOKUP(SalesData[[#This Row],[Product]],Product_Master!A:A,Product_Master!B:B,"Not Found"))</f>
        <v>#NAME?</v>
      </c>
      <c r="AH81" s="19" t="str">
        <f>VLOOKUP(SalesData[[#This Row],[Product]],Product_Master!$A$1:$B$21,2,FALSE)</f>
        <v>Aditya</v>
      </c>
      <c r="AI81" s="16"/>
    </row>
    <row r="82" spans="1:35" ht="13.8">
      <c r="A82" s="16" t="s">
        <v>993</v>
      </c>
      <c r="B82" s="17">
        <v>45981</v>
      </c>
      <c r="C82" s="16" t="s">
        <v>265</v>
      </c>
      <c r="D82" s="16" t="s">
        <v>266</v>
      </c>
      <c r="E82" s="16" t="s">
        <v>106</v>
      </c>
      <c r="F82" s="16" t="s">
        <v>107</v>
      </c>
      <c r="G82" s="16" t="s">
        <v>40</v>
      </c>
      <c r="H82" s="16" t="s">
        <v>108</v>
      </c>
      <c r="I82" s="16" t="s">
        <v>56</v>
      </c>
      <c r="J82" s="16" t="s">
        <v>91</v>
      </c>
      <c r="K82" s="18">
        <v>7294.46</v>
      </c>
      <c r="L82" s="18">
        <v>2224.3200000000002</v>
      </c>
      <c r="M82" s="19">
        <v>3</v>
      </c>
      <c r="N82" s="20">
        <v>0.05</v>
      </c>
      <c r="O82" s="19" t="s">
        <v>34</v>
      </c>
      <c r="P82" s="19" t="s">
        <v>58</v>
      </c>
      <c r="Q82" s="19" t="str">
        <f>TRIM(SalesData[[#This Row],[Customer_Name]])</f>
        <v>Sneha Iyer</v>
      </c>
      <c r="R82" s="21">
        <f>SalesData[[#This Row],[Sales]]-SalesData[[#This Row],[Cost]]</f>
        <v>5070.1399999999994</v>
      </c>
      <c r="S82" s="22">
        <f>IFERROR(SalesData[[#This Row],[Profit]]/SalesData[[#This Row],[Sales]],0)</f>
        <v>0.69506721539359995</v>
      </c>
      <c r="T82" s="19">
        <f>YEAR(SalesData[[#This Row],[Order_Date]])</f>
        <v>2025</v>
      </c>
      <c r="U82" s="19" t="str">
        <f>TEXT(SalesData[[#This Row],[Order_Date]],"mmm")</f>
        <v>Nov</v>
      </c>
      <c r="V82" s="19" t="str">
        <f>"Q"&amp;ROUNDUP(MONTH(SalesData[[#This Row],[Order_Date]])/3,0)</f>
        <v>Q4</v>
      </c>
      <c r="W82" s="19" t="str">
        <f>IF(SalesData[[#This Row],[Sales]]&gt;=50000,"High",IF(AND(SalesData[[#This Row],[Sales]]&gt;= 20000, SalesData[[#This Row],[Sales]]&lt; 50000),"Medium","Low"))</f>
        <v>Low</v>
      </c>
      <c r="X82" s="19" t="str">
        <f>IF(SalesData[[#This Row],[Profit]]&gt;0,"Profit","Loss")</f>
        <v>Profit</v>
      </c>
      <c r="Y82" s="19" t="str">
        <f>IF(AND(SalesData[[#This Row],[Sales]]&gt;= 50000, SalesData[[#This Row],[Quantity]]&gt;=2),"Yes","No")</f>
        <v>No</v>
      </c>
      <c r="Z82" s="19" t="str">
        <f>UPPER(SalesData[[#This Row],[Customer_Name]])</f>
        <v>SNEHA IYER</v>
      </c>
      <c r="AA82" s="19" t="str">
        <f>LOWER(SalesData[[#This Row],[Customer_Name]])</f>
        <v>sneha iyer</v>
      </c>
      <c r="AB82" s="19">
        <f>LEN(SalesData[[#This Row],[Customer_Name]])</f>
        <v>10</v>
      </c>
      <c r="AC82" s="19" t="str">
        <f>LEFT(SalesData[[#This Row],[Order_ID]],3)</f>
        <v>ORD</v>
      </c>
      <c r="AD82" s="19" t="str">
        <f>RIGHT(SalesData[[#This Row],[Order_ID]],4)</f>
        <v>0840</v>
      </c>
      <c r="AE82" s="19" t="str">
        <f>_xlfn.CONCAT(SalesData[[#This Row],[Clean_Customer_Name]],"-",SalesData[[#This Row],[Region]])</f>
        <v>Sneha Iyer-West</v>
      </c>
      <c r="AF82" s="19" t="str">
        <f>MID(SalesData[[#This Row],[Order_ID]],4,4)</f>
        <v>0840</v>
      </c>
      <c r="AG82" s="19" t="e">
        <f ca="1">_xlfn.SINGLE(_xlfn.XLOOKUP(SalesData[[#This Row],[Product]],Product_Master!A:A,Product_Master!B:B,"Not Found"))</f>
        <v>#NAME?</v>
      </c>
      <c r="AH82" s="19" t="str">
        <f>VLOOKUP(SalesData[[#This Row],[Product]],Product_Master!$A$1:$B$21,2,FALSE)</f>
        <v>Aditya</v>
      </c>
      <c r="AI82" s="16"/>
    </row>
    <row r="83" spans="1:35" ht="13.8">
      <c r="A83" s="16" t="s">
        <v>392</v>
      </c>
      <c r="B83" s="17">
        <v>45430</v>
      </c>
      <c r="C83" s="16" t="s">
        <v>265</v>
      </c>
      <c r="D83" s="16" t="s">
        <v>266</v>
      </c>
      <c r="E83" s="16" t="s">
        <v>132</v>
      </c>
      <c r="F83" s="16" t="s">
        <v>133</v>
      </c>
      <c r="G83" s="16" t="s">
        <v>40</v>
      </c>
      <c r="H83" s="16" t="s">
        <v>41</v>
      </c>
      <c r="I83" s="16" t="s">
        <v>23</v>
      </c>
      <c r="J83" s="16" t="s">
        <v>75</v>
      </c>
      <c r="K83" s="18">
        <v>3765.94</v>
      </c>
      <c r="L83" s="18">
        <v>974.88</v>
      </c>
      <c r="M83" s="19">
        <v>4</v>
      </c>
      <c r="N83" s="20">
        <v>0.15</v>
      </c>
      <c r="O83" s="19" t="s">
        <v>136</v>
      </c>
      <c r="P83" s="19" t="s">
        <v>26</v>
      </c>
      <c r="Q83" s="19" t="str">
        <f>TRIM(SalesData[[#This Row],[Customer_Name]])</f>
        <v>Sneha Iyer</v>
      </c>
      <c r="R83" s="21">
        <f>SalesData[[#This Row],[Sales]]-SalesData[[#This Row],[Cost]]</f>
        <v>2791.06</v>
      </c>
      <c r="S83" s="22">
        <f>IFERROR(SalesData[[#This Row],[Profit]]/SalesData[[#This Row],[Sales]],0)</f>
        <v>0.74113236004822169</v>
      </c>
      <c r="T83" s="19">
        <f>YEAR(SalesData[[#This Row],[Order_Date]])</f>
        <v>2024</v>
      </c>
      <c r="U83" s="19" t="str">
        <f>TEXT(SalesData[[#This Row],[Order_Date]],"mmm")</f>
        <v>May</v>
      </c>
      <c r="V83" s="19" t="str">
        <f>"Q"&amp;ROUNDUP(MONTH(SalesData[[#This Row],[Order_Date]])/3,0)</f>
        <v>Q2</v>
      </c>
      <c r="W83" s="19" t="str">
        <f>IF(SalesData[[#This Row],[Sales]]&gt;=50000,"High",IF(AND(SalesData[[#This Row],[Sales]]&gt;= 20000, SalesData[[#This Row],[Sales]]&lt; 50000),"Medium","Low"))</f>
        <v>Low</v>
      </c>
      <c r="X83" s="19" t="str">
        <f>IF(SalesData[[#This Row],[Profit]]&gt;0,"Profit","Loss")</f>
        <v>Profit</v>
      </c>
      <c r="Y83" s="19" t="str">
        <f>IF(AND(SalesData[[#This Row],[Sales]]&gt;= 50000, SalesData[[#This Row],[Quantity]]&gt;=2),"Yes","No")</f>
        <v>No</v>
      </c>
      <c r="Z83" s="19" t="str">
        <f>UPPER(SalesData[[#This Row],[Customer_Name]])</f>
        <v>SNEHA IYER</v>
      </c>
      <c r="AA83" s="19" t="str">
        <f>LOWER(SalesData[[#This Row],[Customer_Name]])</f>
        <v>sneha iyer</v>
      </c>
      <c r="AB83" s="19">
        <f>LEN(SalesData[[#This Row],[Customer_Name]])</f>
        <v>10</v>
      </c>
      <c r="AC83" s="19" t="str">
        <f>LEFT(SalesData[[#This Row],[Order_ID]],3)</f>
        <v>ORD</v>
      </c>
      <c r="AD83" s="19" t="str">
        <f>RIGHT(SalesData[[#This Row],[Order_ID]],4)</f>
        <v>0239</v>
      </c>
      <c r="AE83" s="19" t="str">
        <f>_xlfn.CONCAT(SalesData[[#This Row],[Clean_Customer_Name]],"-",SalesData[[#This Row],[Region]])</f>
        <v>Sneha Iyer-North</v>
      </c>
      <c r="AF83" s="19" t="str">
        <f>MID(SalesData[[#This Row],[Order_ID]],4,4)</f>
        <v>0239</v>
      </c>
      <c r="AG83" s="19" t="e">
        <f ca="1">_xlfn.SINGLE(_xlfn.XLOOKUP(SalesData[[#This Row],[Product]],Product_Master!A:A,Product_Master!B:B,"Not Found"))</f>
        <v>#NAME?</v>
      </c>
      <c r="AH83" s="19" t="str">
        <f>VLOOKUP(SalesData[[#This Row],[Product]],Product_Master!$A$1:$B$21,2,FALSE)</f>
        <v>Kavya</v>
      </c>
      <c r="AI83" s="16"/>
    </row>
    <row r="84" spans="1:35" ht="13.8">
      <c r="A84" s="16" t="s">
        <v>429</v>
      </c>
      <c r="B84" s="17">
        <v>45378</v>
      </c>
      <c r="C84" s="16" t="s">
        <v>265</v>
      </c>
      <c r="D84" s="16" t="s">
        <v>266</v>
      </c>
      <c r="E84" s="16" t="s">
        <v>132</v>
      </c>
      <c r="F84" s="16" t="s">
        <v>133</v>
      </c>
      <c r="G84" s="16" t="s">
        <v>40</v>
      </c>
      <c r="H84" s="16" t="s">
        <v>41</v>
      </c>
      <c r="I84" s="16" t="s">
        <v>56</v>
      </c>
      <c r="J84" s="16" t="s">
        <v>91</v>
      </c>
      <c r="K84" s="18">
        <v>4725.8</v>
      </c>
      <c r="L84" s="18">
        <v>1351.3</v>
      </c>
      <c r="M84" s="19">
        <v>5</v>
      </c>
      <c r="N84" s="20">
        <v>0.2</v>
      </c>
      <c r="O84" s="19" t="s">
        <v>34</v>
      </c>
      <c r="P84" s="19" t="s">
        <v>58</v>
      </c>
      <c r="Q84" s="19" t="str">
        <f>TRIM(SalesData[[#This Row],[Customer_Name]])</f>
        <v>Sneha Iyer</v>
      </c>
      <c r="R84" s="21">
        <f>SalesData[[#This Row],[Sales]]-SalesData[[#This Row],[Cost]]</f>
        <v>3374.5</v>
      </c>
      <c r="S84" s="22">
        <f>IFERROR(SalesData[[#This Row],[Profit]]/SalesData[[#This Row],[Sales]],0)</f>
        <v>0.71405899530238259</v>
      </c>
      <c r="T84" s="19">
        <f>YEAR(SalesData[[#This Row],[Order_Date]])</f>
        <v>2024</v>
      </c>
      <c r="U84" s="19" t="str">
        <f>TEXT(SalesData[[#This Row],[Order_Date]],"mmm")</f>
        <v>Mar</v>
      </c>
      <c r="V84" s="19" t="str">
        <f>"Q"&amp;ROUNDUP(MONTH(SalesData[[#This Row],[Order_Date]])/3,0)</f>
        <v>Q1</v>
      </c>
      <c r="W84" s="19" t="str">
        <f>IF(SalesData[[#This Row],[Sales]]&gt;=50000,"High",IF(AND(SalesData[[#This Row],[Sales]]&gt;= 20000, SalesData[[#This Row],[Sales]]&lt; 50000),"Medium","Low"))</f>
        <v>Low</v>
      </c>
      <c r="X84" s="19" t="str">
        <f>IF(SalesData[[#This Row],[Profit]]&gt;0,"Profit","Loss")</f>
        <v>Profit</v>
      </c>
      <c r="Y84" s="19" t="str">
        <f>IF(AND(SalesData[[#This Row],[Sales]]&gt;= 50000, SalesData[[#This Row],[Quantity]]&gt;=2),"Yes","No")</f>
        <v>No</v>
      </c>
      <c r="Z84" s="19" t="str">
        <f>UPPER(SalesData[[#This Row],[Customer_Name]])</f>
        <v>SNEHA IYER</v>
      </c>
      <c r="AA84" s="19" t="str">
        <f>LOWER(SalesData[[#This Row],[Customer_Name]])</f>
        <v>sneha iyer</v>
      </c>
      <c r="AB84" s="19">
        <f>LEN(SalesData[[#This Row],[Customer_Name]])</f>
        <v>10</v>
      </c>
      <c r="AC84" s="19" t="str">
        <f>LEFT(SalesData[[#This Row],[Order_ID]],3)</f>
        <v>ORD</v>
      </c>
      <c r="AD84" s="19" t="str">
        <f>RIGHT(SalesData[[#This Row],[Order_ID]],4)</f>
        <v>0276</v>
      </c>
      <c r="AE84" s="19" t="str">
        <f>_xlfn.CONCAT(SalesData[[#This Row],[Clean_Customer_Name]],"-",SalesData[[#This Row],[Region]])</f>
        <v>Sneha Iyer-West</v>
      </c>
      <c r="AF84" s="19" t="str">
        <f>MID(SalesData[[#This Row],[Order_ID]],4,4)</f>
        <v>0276</v>
      </c>
      <c r="AG84" s="19" t="e">
        <f ca="1">_xlfn.SINGLE(_xlfn.XLOOKUP(SalesData[[#This Row],[Product]],Product_Master!A:A,Product_Master!B:B,"Not Found"))</f>
        <v>#NAME?</v>
      </c>
      <c r="AH84" s="19" t="str">
        <f>VLOOKUP(SalesData[[#This Row],[Product]],Product_Master!$A$1:$B$21,2,FALSE)</f>
        <v>Kavya</v>
      </c>
      <c r="AI84" s="16"/>
    </row>
    <row r="85" spans="1:35" ht="13.8">
      <c r="A85" s="16" t="s">
        <v>442</v>
      </c>
      <c r="B85" s="17">
        <v>45410</v>
      </c>
      <c r="C85" s="16" t="s">
        <v>265</v>
      </c>
      <c r="D85" s="16" t="s">
        <v>266</v>
      </c>
      <c r="E85" s="16" t="s">
        <v>132</v>
      </c>
      <c r="F85" s="16" t="s">
        <v>133</v>
      </c>
      <c r="G85" s="16" t="s">
        <v>40</v>
      </c>
      <c r="H85" s="16" t="s">
        <v>41</v>
      </c>
      <c r="I85" s="16" t="s">
        <v>23</v>
      </c>
      <c r="J85" s="16" t="s">
        <v>33</v>
      </c>
      <c r="K85" s="18">
        <v>1219.06</v>
      </c>
      <c r="L85" s="18">
        <v>484.84</v>
      </c>
      <c r="M85" s="19">
        <v>2</v>
      </c>
      <c r="N85" s="20">
        <v>0.05</v>
      </c>
      <c r="O85" s="19" t="s">
        <v>34</v>
      </c>
      <c r="P85" s="19" t="s">
        <v>98</v>
      </c>
      <c r="Q85" s="19" t="str">
        <f>TRIM(SalesData[[#This Row],[Customer_Name]])</f>
        <v>Sneha Iyer</v>
      </c>
      <c r="R85" s="21">
        <f>SalesData[[#This Row],[Sales]]-SalesData[[#This Row],[Cost]]</f>
        <v>734.22</v>
      </c>
      <c r="S85" s="22">
        <f>IFERROR(SalesData[[#This Row],[Profit]]/SalesData[[#This Row],[Sales]],0)</f>
        <v>0.6022837268058997</v>
      </c>
      <c r="T85" s="19">
        <f>YEAR(SalesData[[#This Row],[Order_Date]])</f>
        <v>2024</v>
      </c>
      <c r="U85" s="19" t="str">
        <f>TEXT(SalesData[[#This Row],[Order_Date]],"mmm")</f>
        <v>Apr</v>
      </c>
      <c r="V85" s="19" t="str">
        <f>"Q"&amp;ROUNDUP(MONTH(SalesData[[#This Row],[Order_Date]])/3,0)</f>
        <v>Q2</v>
      </c>
      <c r="W85" s="19" t="str">
        <f>IF(SalesData[[#This Row],[Sales]]&gt;=50000,"High",IF(AND(SalesData[[#This Row],[Sales]]&gt;= 20000, SalesData[[#This Row],[Sales]]&lt; 50000),"Medium","Low"))</f>
        <v>Low</v>
      </c>
      <c r="X85" s="19" t="str">
        <f>IF(SalesData[[#This Row],[Profit]]&gt;0,"Profit","Loss")</f>
        <v>Profit</v>
      </c>
      <c r="Y85" s="19" t="str">
        <f>IF(AND(SalesData[[#This Row],[Sales]]&gt;= 50000, SalesData[[#This Row],[Quantity]]&gt;=2),"Yes","No")</f>
        <v>No</v>
      </c>
      <c r="Z85" s="19" t="str">
        <f>UPPER(SalesData[[#This Row],[Customer_Name]])</f>
        <v>SNEHA IYER</v>
      </c>
      <c r="AA85" s="19" t="str">
        <f>LOWER(SalesData[[#This Row],[Customer_Name]])</f>
        <v>sneha iyer</v>
      </c>
      <c r="AB85" s="19">
        <f>LEN(SalesData[[#This Row],[Customer_Name]])</f>
        <v>10</v>
      </c>
      <c r="AC85" s="19" t="str">
        <f>LEFT(SalesData[[#This Row],[Order_ID]],3)</f>
        <v>ORD</v>
      </c>
      <c r="AD85" s="19" t="str">
        <f>RIGHT(SalesData[[#This Row],[Order_ID]],4)</f>
        <v>0289</v>
      </c>
      <c r="AE85" s="19" t="str">
        <f>_xlfn.CONCAT(SalesData[[#This Row],[Clean_Customer_Name]],"-",SalesData[[#This Row],[Region]])</f>
        <v>Sneha Iyer-North</v>
      </c>
      <c r="AF85" s="19" t="str">
        <f>MID(SalesData[[#This Row],[Order_ID]],4,4)</f>
        <v>0289</v>
      </c>
      <c r="AG85" s="19" t="e">
        <f ca="1">_xlfn.SINGLE(_xlfn.XLOOKUP(SalesData[[#This Row],[Product]],Product_Master!A:A,Product_Master!B:B,"Not Found"))</f>
        <v>#NAME?</v>
      </c>
      <c r="AH85" s="19" t="str">
        <f>VLOOKUP(SalesData[[#This Row],[Product]],Product_Master!$A$1:$B$21,2,FALSE)</f>
        <v>Kavya</v>
      </c>
      <c r="AI85" s="16"/>
    </row>
    <row r="86" spans="1:35" ht="13.8">
      <c r="A86" s="16" t="s">
        <v>909</v>
      </c>
      <c r="B86" s="17">
        <v>45363</v>
      </c>
      <c r="C86" s="16" t="s">
        <v>265</v>
      </c>
      <c r="D86" s="16" t="s">
        <v>266</v>
      </c>
      <c r="E86" s="16" t="s">
        <v>132</v>
      </c>
      <c r="F86" s="16" t="s">
        <v>133</v>
      </c>
      <c r="G86" s="16" t="s">
        <v>40</v>
      </c>
      <c r="H86" s="16" t="s">
        <v>41</v>
      </c>
      <c r="I86" s="16" t="s">
        <v>84</v>
      </c>
      <c r="J86" s="16" t="s">
        <v>85</v>
      </c>
      <c r="K86" s="18">
        <v>2649.32</v>
      </c>
      <c r="L86" s="18">
        <v>1087.8</v>
      </c>
      <c r="M86" s="19">
        <v>4</v>
      </c>
      <c r="N86" s="20">
        <v>0</v>
      </c>
      <c r="O86" s="19" t="s">
        <v>136</v>
      </c>
      <c r="P86" s="19" t="s">
        <v>58</v>
      </c>
      <c r="Q86" s="19" t="str">
        <f>TRIM(SalesData[[#This Row],[Customer_Name]])</f>
        <v>Sneha Iyer</v>
      </c>
      <c r="R86" s="21">
        <f>SalesData[[#This Row],[Sales]]-SalesData[[#This Row],[Cost]]</f>
        <v>1561.5200000000002</v>
      </c>
      <c r="S86" s="22">
        <f>IFERROR(SalesData[[#This Row],[Profit]]/SalesData[[#This Row],[Sales]],0)</f>
        <v>0.5894040734981052</v>
      </c>
      <c r="T86" s="19">
        <f>YEAR(SalesData[[#This Row],[Order_Date]])</f>
        <v>2024</v>
      </c>
      <c r="U86" s="19" t="str">
        <f>TEXT(SalesData[[#This Row],[Order_Date]],"mmm")</f>
        <v>Mar</v>
      </c>
      <c r="V86" s="19" t="str">
        <f>"Q"&amp;ROUNDUP(MONTH(SalesData[[#This Row],[Order_Date]])/3,0)</f>
        <v>Q1</v>
      </c>
      <c r="W86" s="19" t="str">
        <f>IF(SalesData[[#This Row],[Sales]]&gt;=50000,"High",IF(AND(SalesData[[#This Row],[Sales]]&gt;= 20000, SalesData[[#This Row],[Sales]]&lt; 50000),"Medium","Low"))</f>
        <v>Low</v>
      </c>
      <c r="X86" s="19" t="str">
        <f>IF(SalesData[[#This Row],[Profit]]&gt;0,"Profit","Loss")</f>
        <v>Profit</v>
      </c>
      <c r="Y86" s="19" t="str">
        <f>IF(AND(SalesData[[#This Row],[Sales]]&gt;= 50000, SalesData[[#This Row],[Quantity]]&gt;=2),"Yes","No")</f>
        <v>No</v>
      </c>
      <c r="Z86" s="19" t="str">
        <f>UPPER(SalesData[[#This Row],[Customer_Name]])</f>
        <v>SNEHA IYER</v>
      </c>
      <c r="AA86" s="19" t="str">
        <f>LOWER(SalesData[[#This Row],[Customer_Name]])</f>
        <v>sneha iyer</v>
      </c>
      <c r="AB86" s="19">
        <f>LEN(SalesData[[#This Row],[Customer_Name]])</f>
        <v>10</v>
      </c>
      <c r="AC86" s="19" t="str">
        <f>LEFT(SalesData[[#This Row],[Order_ID]],3)</f>
        <v>ORD</v>
      </c>
      <c r="AD86" s="19" t="str">
        <f>RIGHT(SalesData[[#This Row],[Order_ID]],4)</f>
        <v>0756</v>
      </c>
      <c r="AE86" s="19" t="str">
        <f>_xlfn.CONCAT(SalesData[[#This Row],[Clean_Customer_Name]],"-",SalesData[[#This Row],[Region]])</f>
        <v>Sneha Iyer-South</v>
      </c>
      <c r="AF86" s="19" t="str">
        <f>MID(SalesData[[#This Row],[Order_ID]],4,4)</f>
        <v>0756</v>
      </c>
      <c r="AG86" s="19" t="e">
        <f ca="1">_xlfn.SINGLE(_xlfn.XLOOKUP(SalesData[[#This Row],[Product]],Product_Master!A:A,Product_Master!B:B,"Not Found"))</f>
        <v>#NAME?</v>
      </c>
      <c r="AH86" s="19" t="str">
        <f>VLOOKUP(SalesData[[#This Row],[Product]],Product_Master!$A$1:$B$21,2,FALSE)</f>
        <v>Kavya</v>
      </c>
      <c r="AI86" s="16"/>
    </row>
    <row r="87" spans="1:35" ht="13.8">
      <c r="A87" s="16" t="s">
        <v>1095</v>
      </c>
      <c r="B87" s="17">
        <v>46018</v>
      </c>
      <c r="C87" s="16" t="s">
        <v>265</v>
      </c>
      <c r="D87" s="16" t="s">
        <v>266</v>
      </c>
      <c r="E87" s="16" t="s">
        <v>132</v>
      </c>
      <c r="F87" s="16" t="s">
        <v>133</v>
      </c>
      <c r="G87" s="16" t="s">
        <v>40</v>
      </c>
      <c r="H87" s="16" t="s">
        <v>41</v>
      </c>
      <c r="I87" s="16" t="s">
        <v>53</v>
      </c>
      <c r="J87" s="16" t="s">
        <v>102</v>
      </c>
      <c r="K87" s="18">
        <v>3019.79</v>
      </c>
      <c r="L87" s="18">
        <v>931.76</v>
      </c>
      <c r="M87" s="19">
        <v>4</v>
      </c>
      <c r="N87" s="20">
        <v>0.1</v>
      </c>
      <c r="O87" s="19" t="s">
        <v>34</v>
      </c>
      <c r="P87" s="19" t="s">
        <v>58</v>
      </c>
      <c r="Q87" s="19" t="str">
        <f>TRIM(SalesData[[#This Row],[Customer_Name]])</f>
        <v>Sneha Iyer</v>
      </c>
      <c r="R87" s="21">
        <f>SalesData[[#This Row],[Sales]]-SalesData[[#This Row],[Cost]]</f>
        <v>2088.0299999999997</v>
      </c>
      <c r="S87" s="22">
        <f>IFERROR(SalesData[[#This Row],[Profit]]/SalesData[[#This Row],[Sales]],0)</f>
        <v>0.69144874312452187</v>
      </c>
      <c r="T87" s="19">
        <f>YEAR(SalesData[[#This Row],[Order_Date]])</f>
        <v>2025</v>
      </c>
      <c r="U87" s="19" t="str">
        <f>TEXT(SalesData[[#This Row],[Order_Date]],"mmm")</f>
        <v>Dec</v>
      </c>
      <c r="V87" s="19" t="str">
        <f>"Q"&amp;ROUNDUP(MONTH(SalesData[[#This Row],[Order_Date]])/3,0)</f>
        <v>Q4</v>
      </c>
      <c r="W87" s="19" t="str">
        <f>IF(SalesData[[#This Row],[Sales]]&gt;=50000,"High",IF(AND(SalesData[[#This Row],[Sales]]&gt;= 20000, SalesData[[#This Row],[Sales]]&lt; 50000),"Medium","Low"))</f>
        <v>Low</v>
      </c>
      <c r="X87" s="19" t="str">
        <f>IF(SalesData[[#This Row],[Profit]]&gt;0,"Profit","Loss")</f>
        <v>Profit</v>
      </c>
      <c r="Y87" s="19" t="str">
        <f>IF(AND(SalesData[[#This Row],[Sales]]&gt;= 50000, SalesData[[#This Row],[Quantity]]&gt;=2),"Yes","No")</f>
        <v>No</v>
      </c>
      <c r="Z87" s="19" t="str">
        <f>UPPER(SalesData[[#This Row],[Customer_Name]])</f>
        <v>SNEHA IYER</v>
      </c>
      <c r="AA87" s="19" t="str">
        <f>LOWER(SalesData[[#This Row],[Customer_Name]])</f>
        <v>sneha iyer</v>
      </c>
      <c r="AB87" s="19">
        <f>LEN(SalesData[[#This Row],[Customer_Name]])</f>
        <v>10</v>
      </c>
      <c r="AC87" s="19" t="str">
        <f>LEFT(SalesData[[#This Row],[Order_ID]],3)</f>
        <v>ORD</v>
      </c>
      <c r="AD87" s="19" t="str">
        <f>RIGHT(SalesData[[#This Row],[Order_ID]],4)</f>
        <v>0942</v>
      </c>
      <c r="AE87" s="19" t="str">
        <f>_xlfn.CONCAT(SalesData[[#This Row],[Clean_Customer_Name]],"-",SalesData[[#This Row],[Region]])</f>
        <v>Sneha Iyer-Central</v>
      </c>
      <c r="AF87" s="19" t="str">
        <f>MID(SalesData[[#This Row],[Order_ID]],4,4)</f>
        <v>0942</v>
      </c>
      <c r="AG87" s="19" t="e">
        <f ca="1">_xlfn.SINGLE(_xlfn.XLOOKUP(SalesData[[#This Row],[Product]],Product_Master!A:A,Product_Master!B:B,"Not Found"))</f>
        <v>#NAME?</v>
      </c>
      <c r="AH87" s="19" t="str">
        <f>VLOOKUP(SalesData[[#This Row],[Product]],Product_Master!$A$1:$B$21,2,FALSE)</f>
        <v>Kavya</v>
      </c>
      <c r="AI87" s="16"/>
    </row>
    <row r="88" spans="1:35" ht="13.8">
      <c r="A88" s="16" t="s">
        <v>267</v>
      </c>
      <c r="B88" s="17">
        <v>45885</v>
      </c>
      <c r="C88" s="16" t="s">
        <v>265</v>
      </c>
      <c r="D88" s="16" t="s">
        <v>266</v>
      </c>
      <c r="E88" s="16" t="s">
        <v>38</v>
      </c>
      <c r="F88" s="16" t="s">
        <v>39</v>
      </c>
      <c r="G88" s="16" t="s">
        <v>40</v>
      </c>
      <c r="H88" s="16" t="s">
        <v>41</v>
      </c>
      <c r="I88" s="16" t="s">
        <v>23</v>
      </c>
      <c r="J88" s="16" t="s">
        <v>24</v>
      </c>
      <c r="K88" s="18">
        <v>2009.37</v>
      </c>
      <c r="L88" s="18">
        <v>1569.72</v>
      </c>
      <c r="M88" s="19">
        <v>3</v>
      </c>
      <c r="N88" s="20">
        <v>0.1</v>
      </c>
      <c r="O88" s="19" t="s">
        <v>44</v>
      </c>
      <c r="P88" s="19" t="s">
        <v>26</v>
      </c>
      <c r="Q88" s="19" t="str">
        <f>TRIM(SalesData[[#This Row],[Customer_Name]])</f>
        <v>Sneha Iyer</v>
      </c>
      <c r="R88" s="21">
        <f>SalesData[[#This Row],[Sales]]-SalesData[[#This Row],[Cost]]</f>
        <v>439.64999999999986</v>
      </c>
      <c r="S88" s="22">
        <f>IFERROR(SalesData[[#This Row],[Profit]]/SalesData[[#This Row],[Sales]],0)</f>
        <v>0.21879992236372589</v>
      </c>
      <c r="T88" s="19">
        <f>YEAR(SalesData[[#This Row],[Order_Date]])</f>
        <v>2025</v>
      </c>
      <c r="U88" s="19" t="str">
        <f>TEXT(SalesData[[#This Row],[Order_Date]],"mmm")</f>
        <v>Aug</v>
      </c>
      <c r="V88" s="19" t="str">
        <f>"Q"&amp;ROUNDUP(MONTH(SalesData[[#This Row],[Order_Date]])/3,0)</f>
        <v>Q3</v>
      </c>
      <c r="W88" s="19" t="str">
        <f>IF(SalesData[[#This Row],[Sales]]&gt;=50000,"High",IF(AND(SalesData[[#This Row],[Sales]]&gt;= 20000, SalesData[[#This Row],[Sales]]&lt; 50000),"Medium","Low"))</f>
        <v>Low</v>
      </c>
      <c r="X88" s="19" t="str">
        <f>IF(SalesData[[#This Row],[Profit]]&gt;0,"Profit","Loss")</f>
        <v>Profit</v>
      </c>
      <c r="Y88" s="19" t="str">
        <f>IF(AND(SalesData[[#This Row],[Sales]]&gt;= 50000, SalesData[[#This Row],[Quantity]]&gt;=2),"Yes","No")</f>
        <v>No</v>
      </c>
      <c r="Z88" s="19" t="str">
        <f>UPPER(SalesData[[#This Row],[Customer_Name]])</f>
        <v>SNEHA IYER</v>
      </c>
      <c r="AA88" s="19" t="str">
        <f>LOWER(SalesData[[#This Row],[Customer_Name]])</f>
        <v>sneha iyer</v>
      </c>
      <c r="AB88" s="19">
        <f>LEN(SalesData[[#This Row],[Customer_Name]])</f>
        <v>10</v>
      </c>
      <c r="AC88" s="19" t="str">
        <f>LEFT(SalesData[[#This Row],[Order_ID]],3)</f>
        <v>ORD</v>
      </c>
      <c r="AD88" s="19" t="str">
        <f>RIGHT(SalesData[[#This Row],[Order_ID]],4)</f>
        <v>0114</v>
      </c>
      <c r="AE88" s="19" t="str">
        <f>_xlfn.CONCAT(SalesData[[#This Row],[Clean_Customer_Name]],"-",SalesData[[#This Row],[Region]])</f>
        <v>Sneha Iyer-North</v>
      </c>
      <c r="AF88" s="19" t="str">
        <f>MID(SalesData[[#This Row],[Order_ID]],4,4)</f>
        <v>0114</v>
      </c>
      <c r="AG88" s="19" t="e">
        <f ca="1">_xlfn.SINGLE(_xlfn.XLOOKUP(SalesData[[#This Row],[Product]],Product_Master!A:A,Product_Master!B:B,"Not Found"))</f>
        <v>#NAME?</v>
      </c>
      <c r="AH88" s="19" t="str">
        <f>VLOOKUP(SalesData[[#This Row],[Product]],Product_Master!$A$1:$B$21,2,FALSE)</f>
        <v>Manish</v>
      </c>
      <c r="AI88" s="16"/>
    </row>
    <row r="89" spans="1:35" ht="13.8">
      <c r="A89" s="16" t="s">
        <v>427</v>
      </c>
      <c r="B89" s="17">
        <v>45568</v>
      </c>
      <c r="C89" s="16" t="s">
        <v>265</v>
      </c>
      <c r="D89" s="16" t="s">
        <v>266</v>
      </c>
      <c r="E89" s="16" t="s">
        <v>38</v>
      </c>
      <c r="F89" s="16" t="s">
        <v>39</v>
      </c>
      <c r="G89" s="16" t="s">
        <v>40</v>
      </c>
      <c r="H89" s="16" t="s">
        <v>41</v>
      </c>
      <c r="I89" s="16" t="s">
        <v>84</v>
      </c>
      <c r="J89" s="16" t="s">
        <v>134</v>
      </c>
      <c r="K89" s="18">
        <v>764.86</v>
      </c>
      <c r="L89" s="18">
        <v>463.25</v>
      </c>
      <c r="M89" s="19">
        <v>1</v>
      </c>
      <c r="N89" s="20">
        <v>0.15</v>
      </c>
      <c r="O89" s="19" t="s">
        <v>34</v>
      </c>
      <c r="P89" s="19" t="s">
        <v>26</v>
      </c>
      <c r="Q89" s="19" t="str">
        <f>TRIM(SalesData[[#This Row],[Customer_Name]])</f>
        <v>Sneha Iyer</v>
      </c>
      <c r="R89" s="21">
        <f>SalesData[[#This Row],[Sales]]-SalesData[[#This Row],[Cost]]</f>
        <v>301.61</v>
      </c>
      <c r="S89" s="22">
        <f>IFERROR(SalesData[[#This Row],[Profit]]/SalesData[[#This Row],[Sales]],0)</f>
        <v>0.39433360353528751</v>
      </c>
      <c r="T89" s="19">
        <f>YEAR(SalesData[[#This Row],[Order_Date]])</f>
        <v>2024</v>
      </c>
      <c r="U89" s="19" t="str">
        <f>TEXT(SalesData[[#This Row],[Order_Date]],"mmm")</f>
        <v>Oct</v>
      </c>
      <c r="V89" s="19" t="str">
        <f>"Q"&amp;ROUNDUP(MONTH(SalesData[[#This Row],[Order_Date]])/3,0)</f>
        <v>Q4</v>
      </c>
      <c r="W89" s="19" t="str">
        <f>IF(SalesData[[#This Row],[Sales]]&gt;=50000,"High",IF(AND(SalesData[[#This Row],[Sales]]&gt;= 20000, SalesData[[#This Row],[Sales]]&lt; 50000),"Medium","Low"))</f>
        <v>Low</v>
      </c>
      <c r="X89" s="19" t="str">
        <f>IF(SalesData[[#This Row],[Profit]]&gt;0,"Profit","Loss")</f>
        <v>Profit</v>
      </c>
      <c r="Y89" s="19" t="str">
        <f>IF(AND(SalesData[[#This Row],[Sales]]&gt;= 50000, SalesData[[#This Row],[Quantity]]&gt;=2),"Yes","No")</f>
        <v>No</v>
      </c>
      <c r="Z89" s="19" t="str">
        <f>UPPER(SalesData[[#This Row],[Customer_Name]])</f>
        <v>SNEHA IYER</v>
      </c>
      <c r="AA89" s="19" t="str">
        <f>LOWER(SalesData[[#This Row],[Customer_Name]])</f>
        <v>sneha iyer</v>
      </c>
      <c r="AB89" s="19">
        <f>LEN(SalesData[[#This Row],[Customer_Name]])</f>
        <v>10</v>
      </c>
      <c r="AC89" s="19" t="str">
        <f>LEFT(SalesData[[#This Row],[Order_ID]],3)</f>
        <v>ORD</v>
      </c>
      <c r="AD89" s="19" t="str">
        <f>RIGHT(SalesData[[#This Row],[Order_ID]],4)</f>
        <v>0274</v>
      </c>
      <c r="AE89" s="19" t="str">
        <f>_xlfn.CONCAT(SalesData[[#This Row],[Clean_Customer_Name]],"-",SalesData[[#This Row],[Region]])</f>
        <v>Sneha Iyer-South</v>
      </c>
      <c r="AF89" s="19" t="str">
        <f>MID(SalesData[[#This Row],[Order_ID]],4,4)</f>
        <v>0274</v>
      </c>
      <c r="AG89" s="19" t="e">
        <f ca="1">_xlfn.SINGLE(_xlfn.XLOOKUP(SalesData[[#This Row],[Product]],Product_Master!A:A,Product_Master!B:B,"Not Found"))</f>
        <v>#NAME?</v>
      </c>
      <c r="AH89" s="19" t="str">
        <f>VLOOKUP(SalesData[[#This Row],[Product]],Product_Master!$A$1:$B$21,2,FALSE)</f>
        <v>Manish</v>
      </c>
      <c r="AI89" s="16"/>
    </row>
    <row r="90" spans="1:35" ht="13.8">
      <c r="A90" s="16" t="s">
        <v>617</v>
      </c>
      <c r="B90" s="17">
        <v>45696</v>
      </c>
      <c r="C90" s="16" t="s">
        <v>265</v>
      </c>
      <c r="D90" s="16" t="s">
        <v>266</v>
      </c>
      <c r="E90" s="16" t="s">
        <v>38</v>
      </c>
      <c r="F90" s="16" t="s">
        <v>39</v>
      </c>
      <c r="G90" s="16" t="s">
        <v>40</v>
      </c>
      <c r="H90" s="16" t="s">
        <v>41</v>
      </c>
      <c r="I90" s="16" t="s">
        <v>56</v>
      </c>
      <c r="J90" s="16" t="s">
        <v>91</v>
      </c>
      <c r="K90" s="18">
        <v>1380.87</v>
      </c>
      <c r="L90" s="18">
        <v>497.4</v>
      </c>
      <c r="M90" s="19">
        <v>1</v>
      </c>
      <c r="N90" s="20">
        <v>0.05</v>
      </c>
      <c r="O90" s="19" t="s">
        <v>136</v>
      </c>
      <c r="P90" s="19" t="s">
        <v>45</v>
      </c>
      <c r="Q90" s="19" t="str">
        <f>TRIM(SalesData[[#This Row],[Customer_Name]])</f>
        <v>Sneha Iyer</v>
      </c>
      <c r="R90" s="21">
        <f>SalesData[[#This Row],[Sales]]-SalesData[[#This Row],[Cost]]</f>
        <v>883.46999999999991</v>
      </c>
      <c r="S90" s="22">
        <f>IFERROR(SalesData[[#This Row],[Profit]]/SalesData[[#This Row],[Sales]],0)</f>
        <v>0.63979230485128935</v>
      </c>
      <c r="T90" s="19">
        <f>YEAR(SalesData[[#This Row],[Order_Date]])</f>
        <v>2025</v>
      </c>
      <c r="U90" s="19" t="str">
        <f>TEXT(SalesData[[#This Row],[Order_Date]],"mmm")</f>
        <v>Feb</v>
      </c>
      <c r="V90" s="19" t="str">
        <f>"Q"&amp;ROUNDUP(MONTH(SalesData[[#This Row],[Order_Date]])/3,0)</f>
        <v>Q1</v>
      </c>
      <c r="W90" s="19" t="str">
        <f>IF(SalesData[[#This Row],[Sales]]&gt;=50000,"High",IF(AND(SalesData[[#This Row],[Sales]]&gt;= 20000, SalesData[[#This Row],[Sales]]&lt; 50000),"Medium","Low"))</f>
        <v>Low</v>
      </c>
      <c r="X90" s="19" t="str">
        <f>IF(SalesData[[#This Row],[Profit]]&gt;0,"Profit","Loss")</f>
        <v>Profit</v>
      </c>
      <c r="Y90" s="19" t="str">
        <f>IF(AND(SalesData[[#This Row],[Sales]]&gt;= 50000, SalesData[[#This Row],[Quantity]]&gt;=2),"Yes","No")</f>
        <v>No</v>
      </c>
      <c r="Z90" s="19" t="str">
        <f>UPPER(SalesData[[#This Row],[Customer_Name]])</f>
        <v>SNEHA IYER</v>
      </c>
      <c r="AA90" s="19" t="str">
        <f>LOWER(SalesData[[#This Row],[Customer_Name]])</f>
        <v>sneha iyer</v>
      </c>
      <c r="AB90" s="19">
        <f>LEN(SalesData[[#This Row],[Customer_Name]])</f>
        <v>10</v>
      </c>
      <c r="AC90" s="19" t="str">
        <f>LEFT(SalesData[[#This Row],[Order_ID]],3)</f>
        <v>ORD</v>
      </c>
      <c r="AD90" s="19" t="str">
        <f>RIGHT(SalesData[[#This Row],[Order_ID]],4)</f>
        <v>0464</v>
      </c>
      <c r="AE90" s="19" t="str">
        <f>_xlfn.CONCAT(SalesData[[#This Row],[Clean_Customer_Name]],"-",SalesData[[#This Row],[Region]])</f>
        <v>Sneha Iyer-West</v>
      </c>
      <c r="AF90" s="19" t="str">
        <f>MID(SalesData[[#This Row],[Order_ID]],4,4)</f>
        <v>0464</v>
      </c>
      <c r="AG90" s="19" t="e">
        <f ca="1">_xlfn.SINGLE(_xlfn.XLOOKUP(SalesData[[#This Row],[Product]],Product_Master!A:A,Product_Master!B:B,"Not Found"))</f>
        <v>#NAME?</v>
      </c>
      <c r="AH90" s="19" t="str">
        <f>VLOOKUP(SalesData[[#This Row],[Product]],Product_Master!$A$1:$B$21,2,FALSE)</f>
        <v>Manish</v>
      </c>
      <c r="AI90" s="16"/>
    </row>
    <row r="91" spans="1:35" ht="13.8">
      <c r="A91" s="16" t="s">
        <v>825</v>
      </c>
      <c r="B91" s="17">
        <v>45369</v>
      </c>
      <c r="C91" s="16" t="s">
        <v>265</v>
      </c>
      <c r="D91" s="16" t="s">
        <v>266</v>
      </c>
      <c r="E91" s="16" t="s">
        <v>38</v>
      </c>
      <c r="F91" s="16" t="s">
        <v>39</v>
      </c>
      <c r="G91" s="16" t="s">
        <v>40</v>
      </c>
      <c r="H91" s="16" t="s">
        <v>41</v>
      </c>
      <c r="I91" s="16" t="s">
        <v>42</v>
      </c>
      <c r="J91" s="16" t="s">
        <v>68</v>
      </c>
      <c r="K91" s="18">
        <v>3543.51</v>
      </c>
      <c r="L91" s="18">
        <v>2169.08</v>
      </c>
      <c r="M91" s="19">
        <v>4</v>
      </c>
      <c r="N91" s="20">
        <v>0.15</v>
      </c>
      <c r="O91" s="19" t="s">
        <v>44</v>
      </c>
      <c r="P91" s="19" t="s">
        <v>45</v>
      </c>
      <c r="Q91" s="19" t="str">
        <f>TRIM(SalesData[[#This Row],[Customer_Name]])</f>
        <v>Sneha Iyer</v>
      </c>
      <c r="R91" s="21">
        <f>SalesData[[#This Row],[Sales]]-SalesData[[#This Row],[Cost]]</f>
        <v>1374.4300000000003</v>
      </c>
      <c r="S91" s="22">
        <f>IFERROR(SalesData[[#This Row],[Profit]]/SalesData[[#This Row],[Sales]],0)</f>
        <v>0.38787247672505515</v>
      </c>
      <c r="T91" s="19">
        <f>YEAR(SalesData[[#This Row],[Order_Date]])</f>
        <v>2024</v>
      </c>
      <c r="U91" s="19" t="str">
        <f>TEXT(SalesData[[#This Row],[Order_Date]],"mmm")</f>
        <v>Mar</v>
      </c>
      <c r="V91" s="19" t="str">
        <f>"Q"&amp;ROUNDUP(MONTH(SalesData[[#This Row],[Order_Date]])/3,0)</f>
        <v>Q1</v>
      </c>
      <c r="W91" s="19" t="str">
        <f>IF(SalesData[[#This Row],[Sales]]&gt;=50000,"High",IF(AND(SalesData[[#This Row],[Sales]]&gt;= 20000, SalesData[[#This Row],[Sales]]&lt; 50000),"Medium","Low"))</f>
        <v>Low</v>
      </c>
      <c r="X91" s="19" t="str">
        <f>IF(SalesData[[#This Row],[Profit]]&gt;0,"Profit","Loss")</f>
        <v>Profit</v>
      </c>
      <c r="Y91" s="19" t="str">
        <f>IF(AND(SalesData[[#This Row],[Sales]]&gt;= 50000, SalesData[[#This Row],[Quantity]]&gt;=2),"Yes","No")</f>
        <v>No</v>
      </c>
      <c r="Z91" s="19" t="str">
        <f>UPPER(SalesData[[#This Row],[Customer_Name]])</f>
        <v>SNEHA IYER</v>
      </c>
      <c r="AA91" s="19" t="str">
        <f>LOWER(SalesData[[#This Row],[Customer_Name]])</f>
        <v>sneha iyer</v>
      </c>
      <c r="AB91" s="19">
        <f>LEN(SalesData[[#This Row],[Customer_Name]])</f>
        <v>10</v>
      </c>
      <c r="AC91" s="19" t="str">
        <f>LEFT(SalesData[[#This Row],[Order_ID]],3)</f>
        <v>ORD</v>
      </c>
      <c r="AD91" s="19" t="str">
        <f>RIGHT(SalesData[[#This Row],[Order_ID]],4)</f>
        <v>0672</v>
      </c>
      <c r="AE91" s="19" t="str">
        <f>_xlfn.CONCAT(SalesData[[#This Row],[Clean_Customer_Name]],"-",SalesData[[#This Row],[Region]])</f>
        <v>Sneha Iyer-East</v>
      </c>
      <c r="AF91" s="19" t="str">
        <f>MID(SalesData[[#This Row],[Order_ID]],4,4)</f>
        <v>0672</v>
      </c>
      <c r="AG91" s="19" t="e">
        <f ca="1">_xlfn.SINGLE(_xlfn.XLOOKUP(SalesData[[#This Row],[Product]],Product_Master!A:A,Product_Master!B:B,"Not Found"))</f>
        <v>#NAME?</v>
      </c>
      <c r="AH91" s="19" t="str">
        <f>VLOOKUP(SalesData[[#This Row],[Product]],Product_Master!$A$1:$B$21,2,FALSE)</f>
        <v>Manish</v>
      </c>
      <c r="AI91" s="16"/>
    </row>
    <row r="92" spans="1:35" ht="13.8">
      <c r="A92" s="16" t="s">
        <v>875</v>
      </c>
      <c r="B92" s="17">
        <v>45925</v>
      </c>
      <c r="C92" s="16" t="s">
        <v>265</v>
      </c>
      <c r="D92" s="16" t="s">
        <v>266</v>
      </c>
      <c r="E92" s="16" t="s">
        <v>38</v>
      </c>
      <c r="F92" s="16" t="s">
        <v>39</v>
      </c>
      <c r="G92" s="16" t="s">
        <v>40</v>
      </c>
      <c r="H92" s="16" t="s">
        <v>41</v>
      </c>
      <c r="I92" s="16" t="s">
        <v>23</v>
      </c>
      <c r="J92" s="16" t="s">
        <v>75</v>
      </c>
      <c r="K92" s="18">
        <v>2007.14</v>
      </c>
      <c r="L92" s="18">
        <v>1042.3599999999999</v>
      </c>
      <c r="M92" s="19">
        <v>2</v>
      </c>
      <c r="N92" s="20">
        <v>0.05</v>
      </c>
      <c r="O92" s="19" t="s">
        <v>76</v>
      </c>
      <c r="P92" s="19" t="s">
        <v>58</v>
      </c>
      <c r="Q92" s="19" t="str">
        <f>TRIM(SalesData[[#This Row],[Customer_Name]])</f>
        <v>Sneha Iyer</v>
      </c>
      <c r="R92" s="21">
        <f>SalesData[[#This Row],[Sales]]-SalesData[[#This Row],[Cost]]</f>
        <v>964.7800000000002</v>
      </c>
      <c r="S92" s="22">
        <f>IFERROR(SalesData[[#This Row],[Profit]]/SalesData[[#This Row],[Sales]],0)</f>
        <v>0.48067399384198417</v>
      </c>
      <c r="T92" s="19">
        <f>YEAR(SalesData[[#This Row],[Order_Date]])</f>
        <v>2025</v>
      </c>
      <c r="U92" s="19" t="str">
        <f>TEXT(SalesData[[#This Row],[Order_Date]],"mmm")</f>
        <v>Sept</v>
      </c>
      <c r="V92" s="19" t="str">
        <f>"Q"&amp;ROUNDUP(MONTH(SalesData[[#This Row],[Order_Date]])/3,0)</f>
        <v>Q3</v>
      </c>
      <c r="W92" s="19" t="str">
        <f>IF(SalesData[[#This Row],[Sales]]&gt;=50000,"High",IF(AND(SalesData[[#This Row],[Sales]]&gt;= 20000, SalesData[[#This Row],[Sales]]&lt; 50000),"Medium","Low"))</f>
        <v>Low</v>
      </c>
      <c r="X92" s="19" t="str">
        <f>IF(SalesData[[#This Row],[Profit]]&gt;0,"Profit","Loss")</f>
        <v>Profit</v>
      </c>
      <c r="Y92" s="19" t="str">
        <f>IF(AND(SalesData[[#This Row],[Sales]]&gt;= 50000, SalesData[[#This Row],[Quantity]]&gt;=2),"Yes","No")</f>
        <v>No</v>
      </c>
      <c r="Z92" s="19" t="str">
        <f>UPPER(SalesData[[#This Row],[Customer_Name]])</f>
        <v>SNEHA IYER</v>
      </c>
      <c r="AA92" s="19" t="str">
        <f>LOWER(SalesData[[#This Row],[Customer_Name]])</f>
        <v>sneha iyer</v>
      </c>
      <c r="AB92" s="19">
        <f>LEN(SalesData[[#This Row],[Customer_Name]])</f>
        <v>10</v>
      </c>
      <c r="AC92" s="19" t="str">
        <f>LEFT(SalesData[[#This Row],[Order_ID]],3)</f>
        <v>ORD</v>
      </c>
      <c r="AD92" s="19" t="str">
        <f>RIGHT(SalesData[[#This Row],[Order_ID]],4)</f>
        <v>0722</v>
      </c>
      <c r="AE92" s="19" t="str">
        <f>_xlfn.CONCAT(SalesData[[#This Row],[Clean_Customer_Name]],"-",SalesData[[#This Row],[Region]])</f>
        <v>Sneha Iyer-North</v>
      </c>
      <c r="AF92" s="19" t="str">
        <f>MID(SalesData[[#This Row],[Order_ID]],4,4)</f>
        <v>0722</v>
      </c>
      <c r="AG92" s="19" t="e">
        <f ca="1">_xlfn.SINGLE(_xlfn.XLOOKUP(SalesData[[#This Row],[Product]],Product_Master!A:A,Product_Master!B:B,"Not Found"))</f>
        <v>#NAME?</v>
      </c>
      <c r="AH92" s="19" t="str">
        <f>VLOOKUP(SalesData[[#This Row],[Product]],Product_Master!$A$1:$B$21,2,FALSE)</f>
        <v>Manish</v>
      </c>
      <c r="AI92" s="16"/>
    </row>
    <row r="93" spans="1:35" ht="13.8">
      <c r="A93" s="16" t="s">
        <v>884</v>
      </c>
      <c r="B93" s="17">
        <v>45866</v>
      </c>
      <c r="C93" s="16" t="s">
        <v>265</v>
      </c>
      <c r="D93" s="16" t="s">
        <v>266</v>
      </c>
      <c r="E93" s="16" t="s">
        <v>38</v>
      </c>
      <c r="F93" s="16" t="s">
        <v>39</v>
      </c>
      <c r="G93" s="16" t="s">
        <v>40</v>
      </c>
      <c r="H93" s="16" t="s">
        <v>41</v>
      </c>
      <c r="I93" s="16" t="s">
        <v>53</v>
      </c>
      <c r="J93" s="16" t="s">
        <v>102</v>
      </c>
      <c r="K93" s="18">
        <v>1717.42</v>
      </c>
      <c r="L93" s="18">
        <v>471.57</v>
      </c>
      <c r="M93" s="19">
        <v>1</v>
      </c>
      <c r="N93" s="20">
        <v>0.15</v>
      </c>
      <c r="O93" s="19" t="s">
        <v>136</v>
      </c>
      <c r="P93" s="19" t="s">
        <v>45</v>
      </c>
      <c r="Q93" s="19" t="str">
        <f>TRIM(SalesData[[#This Row],[Customer_Name]])</f>
        <v>Sneha Iyer</v>
      </c>
      <c r="R93" s="21">
        <f>SalesData[[#This Row],[Sales]]-SalesData[[#This Row],[Cost]]</f>
        <v>1245.8500000000001</v>
      </c>
      <c r="S93" s="22">
        <f>IFERROR(SalesData[[#This Row],[Profit]]/SalesData[[#This Row],[Sales]],0)</f>
        <v>0.72541952463579096</v>
      </c>
      <c r="T93" s="19">
        <f>YEAR(SalesData[[#This Row],[Order_Date]])</f>
        <v>2025</v>
      </c>
      <c r="U93" s="19" t="str">
        <f>TEXT(SalesData[[#This Row],[Order_Date]],"mmm")</f>
        <v>Jul</v>
      </c>
      <c r="V93" s="19" t="str">
        <f>"Q"&amp;ROUNDUP(MONTH(SalesData[[#This Row],[Order_Date]])/3,0)</f>
        <v>Q3</v>
      </c>
      <c r="W93" s="19" t="str">
        <f>IF(SalesData[[#This Row],[Sales]]&gt;=50000,"High",IF(AND(SalesData[[#This Row],[Sales]]&gt;= 20000, SalesData[[#This Row],[Sales]]&lt; 50000),"Medium","Low"))</f>
        <v>Low</v>
      </c>
      <c r="X93" s="19" t="str">
        <f>IF(SalesData[[#This Row],[Profit]]&gt;0,"Profit","Loss")</f>
        <v>Profit</v>
      </c>
      <c r="Y93" s="19" t="str">
        <f>IF(AND(SalesData[[#This Row],[Sales]]&gt;= 50000, SalesData[[#This Row],[Quantity]]&gt;=2),"Yes","No")</f>
        <v>No</v>
      </c>
      <c r="Z93" s="19" t="str">
        <f>UPPER(SalesData[[#This Row],[Customer_Name]])</f>
        <v>SNEHA IYER</v>
      </c>
      <c r="AA93" s="19" t="str">
        <f>LOWER(SalesData[[#This Row],[Customer_Name]])</f>
        <v>sneha iyer</v>
      </c>
      <c r="AB93" s="19">
        <f>LEN(SalesData[[#This Row],[Customer_Name]])</f>
        <v>10</v>
      </c>
      <c r="AC93" s="19" t="str">
        <f>LEFT(SalesData[[#This Row],[Order_ID]],3)</f>
        <v>ORD</v>
      </c>
      <c r="AD93" s="19" t="str">
        <f>RIGHT(SalesData[[#This Row],[Order_ID]],4)</f>
        <v>0731</v>
      </c>
      <c r="AE93" s="19" t="str">
        <f>_xlfn.CONCAT(SalesData[[#This Row],[Clean_Customer_Name]],"-",SalesData[[#This Row],[Region]])</f>
        <v>Sneha Iyer-Central</v>
      </c>
      <c r="AF93" s="19" t="str">
        <f>MID(SalesData[[#This Row],[Order_ID]],4,4)</f>
        <v>0731</v>
      </c>
      <c r="AG93" s="19" t="e">
        <f ca="1">_xlfn.SINGLE(_xlfn.XLOOKUP(SalesData[[#This Row],[Product]],Product_Master!A:A,Product_Master!B:B,"Not Found"))</f>
        <v>#NAME?</v>
      </c>
      <c r="AH93" s="19" t="str">
        <f>VLOOKUP(SalesData[[#This Row],[Product]],Product_Master!$A$1:$B$21,2,FALSE)</f>
        <v>Manish</v>
      </c>
      <c r="AI93" s="16"/>
    </row>
    <row r="94" spans="1:35" ht="13.8">
      <c r="A94" s="16" t="s">
        <v>977</v>
      </c>
      <c r="B94" s="17">
        <v>45373</v>
      </c>
      <c r="C94" s="16" t="s">
        <v>265</v>
      </c>
      <c r="D94" s="16" t="s">
        <v>266</v>
      </c>
      <c r="E94" s="16" t="s">
        <v>38</v>
      </c>
      <c r="F94" s="16" t="s">
        <v>39</v>
      </c>
      <c r="G94" s="16" t="s">
        <v>40</v>
      </c>
      <c r="H94" s="16" t="s">
        <v>41</v>
      </c>
      <c r="I94" s="16" t="s">
        <v>56</v>
      </c>
      <c r="J94" s="16" t="s">
        <v>91</v>
      </c>
      <c r="K94" s="18">
        <v>7828.92</v>
      </c>
      <c r="L94" s="18">
        <v>1920.16</v>
      </c>
      <c r="M94" s="19">
        <v>4</v>
      </c>
      <c r="N94" s="20">
        <v>0.1</v>
      </c>
      <c r="O94" s="19" t="s">
        <v>76</v>
      </c>
      <c r="P94" s="19" t="s">
        <v>26</v>
      </c>
      <c r="Q94" s="19" t="str">
        <f>TRIM(SalesData[[#This Row],[Customer_Name]])</f>
        <v>Sneha Iyer</v>
      </c>
      <c r="R94" s="21">
        <f>SalesData[[#This Row],[Sales]]-SalesData[[#This Row],[Cost]]</f>
        <v>5908.76</v>
      </c>
      <c r="S94" s="22">
        <f>IFERROR(SalesData[[#This Row],[Profit]]/SalesData[[#This Row],[Sales]],0)</f>
        <v>0.75473500814927219</v>
      </c>
      <c r="T94" s="19">
        <f>YEAR(SalesData[[#This Row],[Order_Date]])</f>
        <v>2024</v>
      </c>
      <c r="U94" s="19" t="str">
        <f>TEXT(SalesData[[#This Row],[Order_Date]],"mmm")</f>
        <v>Mar</v>
      </c>
      <c r="V94" s="19" t="str">
        <f>"Q"&amp;ROUNDUP(MONTH(SalesData[[#This Row],[Order_Date]])/3,0)</f>
        <v>Q1</v>
      </c>
      <c r="W94" s="19" t="str">
        <f>IF(SalesData[[#This Row],[Sales]]&gt;=50000,"High",IF(AND(SalesData[[#This Row],[Sales]]&gt;= 20000, SalesData[[#This Row],[Sales]]&lt; 50000),"Medium","Low"))</f>
        <v>Low</v>
      </c>
      <c r="X94" s="19" t="str">
        <f>IF(SalesData[[#This Row],[Profit]]&gt;0,"Profit","Loss")</f>
        <v>Profit</v>
      </c>
      <c r="Y94" s="19" t="str">
        <f>IF(AND(SalesData[[#This Row],[Sales]]&gt;= 50000, SalesData[[#This Row],[Quantity]]&gt;=2),"Yes","No")</f>
        <v>No</v>
      </c>
      <c r="Z94" s="19" t="str">
        <f>UPPER(SalesData[[#This Row],[Customer_Name]])</f>
        <v>SNEHA IYER</v>
      </c>
      <c r="AA94" s="19" t="str">
        <f>LOWER(SalesData[[#This Row],[Customer_Name]])</f>
        <v>sneha iyer</v>
      </c>
      <c r="AB94" s="19">
        <f>LEN(SalesData[[#This Row],[Customer_Name]])</f>
        <v>10</v>
      </c>
      <c r="AC94" s="19" t="str">
        <f>LEFT(SalesData[[#This Row],[Order_ID]],3)</f>
        <v>ORD</v>
      </c>
      <c r="AD94" s="19" t="str">
        <f>RIGHT(SalesData[[#This Row],[Order_ID]],4)</f>
        <v>0824</v>
      </c>
      <c r="AE94" s="19" t="str">
        <f>_xlfn.CONCAT(SalesData[[#This Row],[Clean_Customer_Name]],"-",SalesData[[#This Row],[Region]])</f>
        <v>Sneha Iyer-West</v>
      </c>
      <c r="AF94" s="19" t="str">
        <f>MID(SalesData[[#This Row],[Order_ID]],4,4)</f>
        <v>0824</v>
      </c>
      <c r="AG94" s="19" t="e">
        <f ca="1">_xlfn.SINGLE(_xlfn.XLOOKUP(SalesData[[#This Row],[Product]],Product_Master!A:A,Product_Master!B:B,"Not Found"))</f>
        <v>#NAME?</v>
      </c>
      <c r="AH94" s="19" t="str">
        <f>VLOOKUP(SalesData[[#This Row],[Product]],Product_Master!$A$1:$B$21,2,FALSE)</f>
        <v>Manish</v>
      </c>
      <c r="AI94" s="16"/>
    </row>
    <row r="95" spans="1:35" ht="13.8">
      <c r="A95" s="16" t="s">
        <v>1068</v>
      </c>
      <c r="B95" s="17">
        <v>45938</v>
      </c>
      <c r="C95" s="16" t="s">
        <v>265</v>
      </c>
      <c r="D95" s="16" t="s">
        <v>266</v>
      </c>
      <c r="E95" s="16" t="s">
        <v>38</v>
      </c>
      <c r="F95" s="16" t="s">
        <v>39</v>
      </c>
      <c r="G95" s="16" t="s">
        <v>40</v>
      </c>
      <c r="H95" s="16" t="s">
        <v>41</v>
      </c>
      <c r="I95" s="16" t="s">
        <v>84</v>
      </c>
      <c r="J95" s="16" t="s">
        <v>85</v>
      </c>
      <c r="K95" s="18">
        <v>5879.25</v>
      </c>
      <c r="L95" s="18">
        <v>2706.35</v>
      </c>
      <c r="M95" s="19">
        <v>5</v>
      </c>
      <c r="N95" s="20">
        <v>0</v>
      </c>
      <c r="O95" s="19" t="s">
        <v>76</v>
      </c>
      <c r="P95" s="19" t="s">
        <v>58</v>
      </c>
      <c r="Q95" s="19" t="str">
        <f>TRIM(SalesData[[#This Row],[Customer_Name]])</f>
        <v>Sneha Iyer</v>
      </c>
      <c r="R95" s="21">
        <f>SalesData[[#This Row],[Sales]]-SalesData[[#This Row],[Cost]]</f>
        <v>3172.9</v>
      </c>
      <c r="S95" s="22">
        <f>IFERROR(SalesData[[#This Row],[Profit]]/SalesData[[#This Row],[Sales]],0)</f>
        <v>0.53967767997618743</v>
      </c>
      <c r="T95" s="19">
        <f>YEAR(SalesData[[#This Row],[Order_Date]])</f>
        <v>2025</v>
      </c>
      <c r="U95" s="19" t="str">
        <f>TEXT(SalesData[[#This Row],[Order_Date]],"mmm")</f>
        <v>Oct</v>
      </c>
      <c r="V95" s="19" t="str">
        <f>"Q"&amp;ROUNDUP(MONTH(SalesData[[#This Row],[Order_Date]])/3,0)</f>
        <v>Q4</v>
      </c>
      <c r="W95" s="19" t="str">
        <f>IF(SalesData[[#This Row],[Sales]]&gt;=50000,"High",IF(AND(SalesData[[#This Row],[Sales]]&gt;= 20000, SalesData[[#This Row],[Sales]]&lt; 50000),"Medium","Low"))</f>
        <v>Low</v>
      </c>
      <c r="X95" s="19" t="str">
        <f>IF(SalesData[[#This Row],[Profit]]&gt;0,"Profit","Loss")</f>
        <v>Profit</v>
      </c>
      <c r="Y95" s="19" t="str">
        <f>IF(AND(SalesData[[#This Row],[Sales]]&gt;= 50000, SalesData[[#This Row],[Quantity]]&gt;=2),"Yes","No")</f>
        <v>No</v>
      </c>
      <c r="Z95" s="19" t="str">
        <f>UPPER(SalesData[[#This Row],[Customer_Name]])</f>
        <v>SNEHA IYER</v>
      </c>
      <c r="AA95" s="19" t="str">
        <f>LOWER(SalesData[[#This Row],[Customer_Name]])</f>
        <v>sneha iyer</v>
      </c>
      <c r="AB95" s="19">
        <f>LEN(SalesData[[#This Row],[Customer_Name]])</f>
        <v>10</v>
      </c>
      <c r="AC95" s="19" t="str">
        <f>LEFT(SalesData[[#This Row],[Order_ID]],3)</f>
        <v>ORD</v>
      </c>
      <c r="AD95" s="19" t="str">
        <f>RIGHT(SalesData[[#This Row],[Order_ID]],4)</f>
        <v>0915</v>
      </c>
      <c r="AE95" s="19" t="str">
        <f>_xlfn.CONCAT(SalesData[[#This Row],[Clean_Customer_Name]],"-",SalesData[[#This Row],[Region]])</f>
        <v>Sneha Iyer-South</v>
      </c>
      <c r="AF95" s="19" t="str">
        <f>MID(SalesData[[#This Row],[Order_ID]],4,4)</f>
        <v>0915</v>
      </c>
      <c r="AG95" s="19" t="e">
        <f ca="1">_xlfn.SINGLE(_xlfn.XLOOKUP(SalesData[[#This Row],[Product]],Product_Master!A:A,Product_Master!B:B,"Not Found"))</f>
        <v>#NAME?</v>
      </c>
      <c r="AH95" s="19" t="str">
        <f>VLOOKUP(SalesData[[#This Row],[Product]],Product_Master!$A$1:$B$21,2,FALSE)</f>
        <v>Manish</v>
      </c>
      <c r="AI95" s="16"/>
    </row>
    <row r="96" spans="1:35" ht="13.8">
      <c r="A96" s="16" t="s">
        <v>1071</v>
      </c>
      <c r="B96" s="17">
        <v>45670</v>
      </c>
      <c r="C96" s="16" t="s">
        <v>265</v>
      </c>
      <c r="D96" s="16" t="s">
        <v>266</v>
      </c>
      <c r="E96" s="16" t="s">
        <v>38</v>
      </c>
      <c r="F96" s="16" t="s">
        <v>39</v>
      </c>
      <c r="G96" s="16" t="s">
        <v>40</v>
      </c>
      <c r="H96" s="16" t="s">
        <v>41</v>
      </c>
      <c r="I96" s="16" t="s">
        <v>84</v>
      </c>
      <c r="J96" s="16" t="s">
        <v>85</v>
      </c>
      <c r="K96" s="18">
        <v>5054.0600000000004</v>
      </c>
      <c r="L96" s="18">
        <v>1548.27</v>
      </c>
      <c r="M96" s="19">
        <v>3</v>
      </c>
      <c r="N96" s="20">
        <v>0.2</v>
      </c>
      <c r="O96" s="19" t="s">
        <v>136</v>
      </c>
      <c r="P96" s="19" t="s">
        <v>58</v>
      </c>
      <c r="Q96" s="19" t="str">
        <f>TRIM(SalesData[[#This Row],[Customer_Name]])</f>
        <v>Sneha Iyer</v>
      </c>
      <c r="R96" s="21">
        <f>SalesData[[#This Row],[Sales]]-SalesData[[#This Row],[Cost]]</f>
        <v>3505.7900000000004</v>
      </c>
      <c r="S96" s="22">
        <f>IFERROR(SalesData[[#This Row],[Profit]]/SalesData[[#This Row],[Sales]],0)</f>
        <v>0.69365816788878643</v>
      </c>
      <c r="T96" s="19">
        <f>YEAR(SalesData[[#This Row],[Order_Date]])</f>
        <v>2025</v>
      </c>
      <c r="U96" s="19" t="str">
        <f>TEXT(SalesData[[#This Row],[Order_Date]],"mmm")</f>
        <v>Jan</v>
      </c>
      <c r="V96" s="19" t="str">
        <f>"Q"&amp;ROUNDUP(MONTH(SalesData[[#This Row],[Order_Date]])/3,0)</f>
        <v>Q1</v>
      </c>
      <c r="W96" s="19" t="str">
        <f>IF(SalesData[[#This Row],[Sales]]&gt;=50000,"High",IF(AND(SalesData[[#This Row],[Sales]]&gt;= 20000, SalesData[[#This Row],[Sales]]&lt; 50000),"Medium","Low"))</f>
        <v>Low</v>
      </c>
      <c r="X96" s="19" t="str">
        <f>IF(SalesData[[#This Row],[Profit]]&gt;0,"Profit","Loss")</f>
        <v>Profit</v>
      </c>
      <c r="Y96" s="19" t="str">
        <f>IF(AND(SalesData[[#This Row],[Sales]]&gt;= 50000, SalesData[[#This Row],[Quantity]]&gt;=2),"Yes","No")</f>
        <v>No</v>
      </c>
      <c r="Z96" s="19" t="str">
        <f>UPPER(SalesData[[#This Row],[Customer_Name]])</f>
        <v>SNEHA IYER</v>
      </c>
      <c r="AA96" s="19" t="str">
        <f>LOWER(SalesData[[#This Row],[Customer_Name]])</f>
        <v>sneha iyer</v>
      </c>
      <c r="AB96" s="19">
        <f>LEN(SalesData[[#This Row],[Customer_Name]])</f>
        <v>10</v>
      </c>
      <c r="AC96" s="19" t="str">
        <f>LEFT(SalesData[[#This Row],[Order_ID]],3)</f>
        <v>ORD</v>
      </c>
      <c r="AD96" s="19" t="str">
        <f>RIGHT(SalesData[[#This Row],[Order_ID]],4)</f>
        <v>0918</v>
      </c>
      <c r="AE96" s="19" t="str">
        <f>_xlfn.CONCAT(SalesData[[#This Row],[Clean_Customer_Name]],"-",SalesData[[#This Row],[Region]])</f>
        <v>Sneha Iyer-South</v>
      </c>
      <c r="AF96" s="19" t="str">
        <f>MID(SalesData[[#This Row],[Order_ID]],4,4)</f>
        <v>0918</v>
      </c>
      <c r="AG96" s="19" t="e">
        <f ca="1">_xlfn.SINGLE(_xlfn.XLOOKUP(SalesData[[#This Row],[Product]],Product_Master!A:A,Product_Master!B:B,"Not Found"))</f>
        <v>#NAME?</v>
      </c>
      <c r="AH96" s="19" t="str">
        <f>VLOOKUP(SalesData[[#This Row],[Product]],Product_Master!$A$1:$B$21,2,FALSE)</f>
        <v>Manish</v>
      </c>
      <c r="AI96" s="16"/>
    </row>
    <row r="97" spans="1:35" ht="13.8">
      <c r="A97" s="16" t="s">
        <v>318</v>
      </c>
      <c r="B97" s="17">
        <v>45490</v>
      </c>
      <c r="C97" s="16" t="s">
        <v>265</v>
      </c>
      <c r="D97" s="16" t="s">
        <v>266</v>
      </c>
      <c r="E97" s="16" t="s">
        <v>87</v>
      </c>
      <c r="F97" s="16" t="s">
        <v>88</v>
      </c>
      <c r="G97" s="16" t="s">
        <v>89</v>
      </c>
      <c r="H97" s="16" t="s">
        <v>90</v>
      </c>
      <c r="I97" s="16" t="s">
        <v>53</v>
      </c>
      <c r="J97" s="16" t="s">
        <v>102</v>
      </c>
      <c r="K97" s="18">
        <v>10208.52</v>
      </c>
      <c r="L97" s="18">
        <v>5592.57</v>
      </c>
      <c r="M97" s="19">
        <v>3</v>
      </c>
      <c r="N97" s="20">
        <v>0.15</v>
      </c>
      <c r="O97" s="19" t="s">
        <v>136</v>
      </c>
      <c r="P97" s="19" t="s">
        <v>45</v>
      </c>
      <c r="Q97" s="19" t="str">
        <f>TRIM(SalesData[[#This Row],[Customer_Name]])</f>
        <v>Sneha Iyer</v>
      </c>
      <c r="R97" s="21">
        <f>SalesData[[#This Row],[Sales]]-SalesData[[#This Row],[Cost]]</f>
        <v>4615.9500000000007</v>
      </c>
      <c r="S97" s="22">
        <f>IFERROR(SalesData[[#This Row],[Profit]]/SalesData[[#This Row],[Sales]],0)</f>
        <v>0.4521664256914813</v>
      </c>
      <c r="T97" s="19">
        <f>YEAR(SalesData[[#This Row],[Order_Date]])</f>
        <v>2024</v>
      </c>
      <c r="U97" s="19" t="str">
        <f>TEXT(SalesData[[#This Row],[Order_Date]],"mmm")</f>
        <v>Jul</v>
      </c>
      <c r="V97" s="19" t="str">
        <f>"Q"&amp;ROUNDUP(MONTH(SalesData[[#This Row],[Order_Date]])/3,0)</f>
        <v>Q3</v>
      </c>
      <c r="W97" s="19" t="str">
        <f>IF(SalesData[[#This Row],[Sales]]&gt;=50000,"High",IF(AND(SalesData[[#This Row],[Sales]]&gt;= 20000, SalesData[[#This Row],[Sales]]&lt; 50000),"Medium","Low"))</f>
        <v>Low</v>
      </c>
      <c r="X97" s="19" t="str">
        <f>IF(SalesData[[#This Row],[Profit]]&gt;0,"Profit","Loss")</f>
        <v>Profit</v>
      </c>
      <c r="Y97" s="19" t="str">
        <f>IF(AND(SalesData[[#This Row],[Sales]]&gt;= 50000, SalesData[[#This Row],[Quantity]]&gt;=2),"Yes","No")</f>
        <v>No</v>
      </c>
      <c r="Z97" s="19" t="str">
        <f>UPPER(SalesData[[#This Row],[Customer_Name]])</f>
        <v>SNEHA IYER</v>
      </c>
      <c r="AA97" s="19" t="str">
        <f>LOWER(SalesData[[#This Row],[Customer_Name]])</f>
        <v>sneha iyer</v>
      </c>
      <c r="AB97" s="19">
        <f>LEN(SalesData[[#This Row],[Customer_Name]])</f>
        <v>10</v>
      </c>
      <c r="AC97" s="19" t="str">
        <f>LEFT(SalesData[[#This Row],[Order_ID]],3)</f>
        <v>ORD</v>
      </c>
      <c r="AD97" s="19" t="str">
        <f>RIGHT(SalesData[[#This Row],[Order_ID]],4)</f>
        <v>0165</v>
      </c>
      <c r="AE97" s="19" t="str">
        <f>_xlfn.CONCAT(SalesData[[#This Row],[Clean_Customer_Name]],"-",SalesData[[#This Row],[Region]])</f>
        <v>Sneha Iyer-Central</v>
      </c>
      <c r="AF97" s="19" t="str">
        <f>MID(SalesData[[#This Row],[Order_ID]],4,4)</f>
        <v>0165</v>
      </c>
      <c r="AG97" s="19" t="e">
        <f ca="1">_xlfn.SINGLE(_xlfn.XLOOKUP(SalesData[[#This Row],[Product]],Product_Master!A:A,Product_Master!B:B,"Not Found"))</f>
        <v>#NAME?</v>
      </c>
      <c r="AH97" s="19" t="str">
        <f>VLOOKUP(SalesData[[#This Row],[Product]],Product_Master!$A$1:$B$21,2,FALSE)</f>
        <v>Rahul</v>
      </c>
      <c r="AI97" s="16"/>
    </row>
    <row r="98" spans="1:35" ht="13.8">
      <c r="A98" s="16" t="s">
        <v>1020</v>
      </c>
      <c r="B98" s="17">
        <v>45438</v>
      </c>
      <c r="C98" s="16" t="s">
        <v>265</v>
      </c>
      <c r="D98" s="16" t="s">
        <v>266</v>
      </c>
      <c r="E98" s="16" t="s">
        <v>87</v>
      </c>
      <c r="F98" s="16" t="s">
        <v>88</v>
      </c>
      <c r="G98" s="16" t="s">
        <v>89</v>
      </c>
      <c r="H98" s="16" t="s">
        <v>90</v>
      </c>
      <c r="I98" s="16" t="s">
        <v>23</v>
      </c>
      <c r="J98" s="16" t="s">
        <v>24</v>
      </c>
      <c r="K98" s="18">
        <v>6273.72</v>
      </c>
      <c r="L98" s="18">
        <v>3804.34</v>
      </c>
      <c r="M98" s="19">
        <v>2</v>
      </c>
      <c r="N98" s="20">
        <v>0.1</v>
      </c>
      <c r="O98" s="19" t="s">
        <v>44</v>
      </c>
      <c r="P98" s="19" t="s">
        <v>58</v>
      </c>
      <c r="Q98" s="19" t="str">
        <f>TRIM(SalesData[[#This Row],[Customer_Name]])</f>
        <v>Sneha Iyer</v>
      </c>
      <c r="R98" s="21">
        <f>SalesData[[#This Row],[Sales]]-SalesData[[#This Row],[Cost]]</f>
        <v>2469.38</v>
      </c>
      <c r="S98" s="22">
        <f>IFERROR(SalesData[[#This Row],[Profit]]/SalesData[[#This Row],[Sales]],0)</f>
        <v>0.39360698277895728</v>
      </c>
      <c r="T98" s="19">
        <f>YEAR(SalesData[[#This Row],[Order_Date]])</f>
        <v>2024</v>
      </c>
      <c r="U98" s="19" t="str">
        <f>TEXT(SalesData[[#This Row],[Order_Date]],"mmm")</f>
        <v>May</v>
      </c>
      <c r="V98" s="19" t="str">
        <f>"Q"&amp;ROUNDUP(MONTH(SalesData[[#This Row],[Order_Date]])/3,0)</f>
        <v>Q2</v>
      </c>
      <c r="W98" s="19" t="str">
        <f>IF(SalesData[[#This Row],[Sales]]&gt;=50000,"High",IF(AND(SalesData[[#This Row],[Sales]]&gt;= 20000, SalesData[[#This Row],[Sales]]&lt; 50000),"Medium","Low"))</f>
        <v>Low</v>
      </c>
      <c r="X98" s="19" t="str">
        <f>IF(SalesData[[#This Row],[Profit]]&gt;0,"Profit","Loss")</f>
        <v>Profit</v>
      </c>
      <c r="Y98" s="19" t="str">
        <f>IF(AND(SalesData[[#This Row],[Sales]]&gt;= 50000, SalesData[[#This Row],[Quantity]]&gt;=2),"Yes","No")</f>
        <v>No</v>
      </c>
      <c r="Z98" s="19" t="str">
        <f>UPPER(SalesData[[#This Row],[Customer_Name]])</f>
        <v>SNEHA IYER</v>
      </c>
      <c r="AA98" s="19" t="str">
        <f>LOWER(SalesData[[#This Row],[Customer_Name]])</f>
        <v>sneha iyer</v>
      </c>
      <c r="AB98" s="19">
        <f>LEN(SalesData[[#This Row],[Customer_Name]])</f>
        <v>10</v>
      </c>
      <c r="AC98" s="19" t="str">
        <f>LEFT(SalesData[[#This Row],[Order_ID]],3)</f>
        <v>ORD</v>
      </c>
      <c r="AD98" s="19" t="str">
        <f>RIGHT(SalesData[[#This Row],[Order_ID]],4)</f>
        <v>0867</v>
      </c>
      <c r="AE98" s="19" t="str">
        <f>_xlfn.CONCAT(SalesData[[#This Row],[Clean_Customer_Name]],"-",SalesData[[#This Row],[Region]])</f>
        <v>Sneha Iyer-North</v>
      </c>
      <c r="AF98" s="19" t="str">
        <f>MID(SalesData[[#This Row],[Order_ID]],4,4)</f>
        <v>0867</v>
      </c>
      <c r="AG98" s="19" t="e">
        <f ca="1">_xlfn.SINGLE(_xlfn.XLOOKUP(SalesData[[#This Row],[Product]],Product_Master!A:A,Product_Master!B:B,"Not Found"))</f>
        <v>#NAME?</v>
      </c>
      <c r="AH98" s="19" t="str">
        <f>VLOOKUP(SalesData[[#This Row],[Product]],Product_Master!$A$1:$B$21,2,FALSE)</f>
        <v>Rahul</v>
      </c>
      <c r="AI98" s="16"/>
    </row>
    <row r="99" spans="1:35" ht="13.8">
      <c r="A99" s="16" t="s">
        <v>332</v>
      </c>
      <c r="B99" s="17">
        <v>45848</v>
      </c>
      <c r="C99" s="16" t="s">
        <v>265</v>
      </c>
      <c r="D99" s="16" t="s">
        <v>266</v>
      </c>
      <c r="E99" s="16" t="s">
        <v>182</v>
      </c>
      <c r="F99" s="16" t="s">
        <v>183</v>
      </c>
      <c r="G99" s="16" t="s">
        <v>89</v>
      </c>
      <c r="H99" s="16" t="s">
        <v>90</v>
      </c>
      <c r="I99" s="16" t="s">
        <v>56</v>
      </c>
      <c r="J99" s="16" t="s">
        <v>91</v>
      </c>
      <c r="K99" s="18">
        <v>46375.05</v>
      </c>
      <c r="L99" s="18">
        <v>22815.919999999998</v>
      </c>
      <c r="M99" s="19">
        <v>4</v>
      </c>
      <c r="N99" s="20">
        <v>0.05</v>
      </c>
      <c r="O99" s="19" t="s">
        <v>44</v>
      </c>
      <c r="P99" s="19" t="s">
        <v>77</v>
      </c>
      <c r="Q99" s="19" t="str">
        <f>TRIM(SalesData[[#This Row],[Customer_Name]])</f>
        <v>Sneha Iyer</v>
      </c>
      <c r="R99" s="21">
        <f>SalesData[[#This Row],[Sales]]-SalesData[[#This Row],[Cost]]</f>
        <v>23559.130000000005</v>
      </c>
      <c r="S99" s="22">
        <f>IFERROR(SalesData[[#This Row],[Profit]]/SalesData[[#This Row],[Sales]],0)</f>
        <v>0.50801303718270929</v>
      </c>
      <c r="T99" s="19">
        <f>YEAR(SalesData[[#This Row],[Order_Date]])</f>
        <v>2025</v>
      </c>
      <c r="U99" s="19" t="str">
        <f>TEXT(SalesData[[#This Row],[Order_Date]],"mmm")</f>
        <v>Jul</v>
      </c>
      <c r="V99" s="19" t="str">
        <f>"Q"&amp;ROUNDUP(MONTH(SalesData[[#This Row],[Order_Date]])/3,0)</f>
        <v>Q3</v>
      </c>
      <c r="W99" s="19" t="str">
        <f>IF(SalesData[[#This Row],[Sales]]&gt;=50000,"High",IF(AND(SalesData[[#This Row],[Sales]]&gt;= 20000, SalesData[[#This Row],[Sales]]&lt; 50000),"Medium","Low"))</f>
        <v>Medium</v>
      </c>
      <c r="X99" s="19" t="str">
        <f>IF(SalesData[[#This Row],[Profit]]&gt;0,"Profit","Loss")</f>
        <v>Profit</v>
      </c>
      <c r="Y99" s="19" t="str">
        <f>IF(AND(SalesData[[#This Row],[Sales]]&gt;= 50000, SalesData[[#This Row],[Quantity]]&gt;=2),"Yes","No")</f>
        <v>No</v>
      </c>
      <c r="Z99" s="19" t="str">
        <f>UPPER(SalesData[[#This Row],[Customer_Name]])</f>
        <v>SNEHA IYER</v>
      </c>
      <c r="AA99" s="19" t="str">
        <f>LOWER(SalesData[[#This Row],[Customer_Name]])</f>
        <v>sneha iyer</v>
      </c>
      <c r="AB99" s="19">
        <f>LEN(SalesData[[#This Row],[Customer_Name]])</f>
        <v>10</v>
      </c>
      <c r="AC99" s="19" t="str">
        <f>LEFT(SalesData[[#This Row],[Order_ID]],3)</f>
        <v>ORD</v>
      </c>
      <c r="AD99" s="19" t="str">
        <f>RIGHT(SalesData[[#This Row],[Order_ID]],4)</f>
        <v>0179</v>
      </c>
      <c r="AE99" s="19" t="str">
        <f>_xlfn.CONCAT(SalesData[[#This Row],[Clean_Customer_Name]],"-",SalesData[[#This Row],[Region]])</f>
        <v>Sneha Iyer-West</v>
      </c>
      <c r="AF99" s="19" t="str">
        <f>MID(SalesData[[#This Row],[Order_ID]],4,4)</f>
        <v>0179</v>
      </c>
      <c r="AG99" s="19" t="e">
        <f ca="1">_xlfn.SINGLE(_xlfn.XLOOKUP(SalesData[[#This Row],[Product]],Product_Master!A:A,Product_Master!B:B,"Not Found"))</f>
        <v>#NAME?</v>
      </c>
      <c r="AH99" s="19" t="str">
        <f>VLOOKUP(SalesData[[#This Row],[Product]],Product_Master!$A$1:$B$21,2,FALSE)</f>
        <v>Priya</v>
      </c>
      <c r="AI99" s="16"/>
    </row>
    <row r="100" spans="1:35" ht="13.8">
      <c r="A100" s="16" t="s">
        <v>313</v>
      </c>
      <c r="B100" s="17">
        <v>45950</v>
      </c>
      <c r="C100" s="16" t="s">
        <v>265</v>
      </c>
      <c r="D100" s="16" t="s">
        <v>266</v>
      </c>
      <c r="E100" s="16" t="s">
        <v>187</v>
      </c>
      <c r="F100" s="16" t="s">
        <v>188</v>
      </c>
      <c r="G100" s="16" t="s">
        <v>89</v>
      </c>
      <c r="H100" s="16" t="s">
        <v>189</v>
      </c>
      <c r="I100" s="16" t="s">
        <v>56</v>
      </c>
      <c r="J100" s="16" t="s">
        <v>91</v>
      </c>
      <c r="K100" s="18">
        <v>25784.639999999999</v>
      </c>
      <c r="L100" s="18">
        <v>17533.5</v>
      </c>
      <c r="M100" s="19">
        <v>3</v>
      </c>
      <c r="N100" s="20">
        <v>0.2</v>
      </c>
      <c r="O100" s="19" t="s">
        <v>25</v>
      </c>
      <c r="P100" s="19" t="s">
        <v>26</v>
      </c>
      <c r="Q100" s="19" t="str">
        <f>TRIM(SalesData[[#This Row],[Customer_Name]])</f>
        <v>Sneha Iyer</v>
      </c>
      <c r="R100" s="21">
        <f>SalesData[[#This Row],[Sales]]-SalesData[[#This Row],[Cost]]</f>
        <v>8251.14</v>
      </c>
      <c r="S100" s="22">
        <f>IFERROR(SalesData[[#This Row],[Profit]]/SalesData[[#This Row],[Sales]],0)</f>
        <v>0.32000214080941208</v>
      </c>
      <c r="T100" s="19">
        <f>YEAR(SalesData[[#This Row],[Order_Date]])</f>
        <v>2025</v>
      </c>
      <c r="U100" s="19" t="str">
        <f>TEXT(SalesData[[#This Row],[Order_Date]],"mmm")</f>
        <v>Oct</v>
      </c>
      <c r="V100" s="19" t="str">
        <f>"Q"&amp;ROUNDUP(MONTH(SalesData[[#This Row],[Order_Date]])/3,0)</f>
        <v>Q4</v>
      </c>
      <c r="W100" s="19" t="str">
        <f>IF(SalesData[[#This Row],[Sales]]&gt;=50000,"High",IF(AND(SalesData[[#This Row],[Sales]]&gt;= 20000, SalesData[[#This Row],[Sales]]&lt; 50000),"Medium","Low"))</f>
        <v>Medium</v>
      </c>
      <c r="X100" s="19" t="str">
        <f>IF(SalesData[[#This Row],[Profit]]&gt;0,"Profit","Loss")</f>
        <v>Profit</v>
      </c>
      <c r="Y100" s="19" t="str">
        <f>IF(AND(SalesData[[#This Row],[Sales]]&gt;= 50000, SalesData[[#This Row],[Quantity]]&gt;=2),"Yes","No")</f>
        <v>No</v>
      </c>
      <c r="Z100" s="19" t="str">
        <f>UPPER(SalesData[[#This Row],[Customer_Name]])</f>
        <v>SNEHA IYER</v>
      </c>
      <c r="AA100" s="19" t="str">
        <f>LOWER(SalesData[[#This Row],[Customer_Name]])</f>
        <v>sneha iyer</v>
      </c>
      <c r="AB100" s="19">
        <f>LEN(SalesData[[#This Row],[Customer_Name]])</f>
        <v>10</v>
      </c>
      <c r="AC100" s="19" t="str">
        <f>LEFT(SalesData[[#This Row],[Order_ID]],3)</f>
        <v>ORD</v>
      </c>
      <c r="AD100" s="19" t="str">
        <f>RIGHT(SalesData[[#This Row],[Order_ID]],4)</f>
        <v>0160</v>
      </c>
      <c r="AE100" s="19" t="str">
        <f>_xlfn.CONCAT(SalesData[[#This Row],[Clean_Customer_Name]],"-",SalesData[[#This Row],[Region]])</f>
        <v>Sneha Iyer-West</v>
      </c>
      <c r="AF100" s="19" t="str">
        <f>MID(SalesData[[#This Row],[Order_ID]],4,4)</f>
        <v>0160</v>
      </c>
      <c r="AG100" s="19" t="e">
        <f ca="1">_xlfn.SINGLE(_xlfn.XLOOKUP(SalesData[[#This Row],[Product]],Product_Master!A:A,Product_Master!B:B,"Not Found"))</f>
        <v>#NAME?</v>
      </c>
      <c r="AH100" s="19" t="str">
        <f>VLOOKUP(SalesData[[#This Row],[Product]],Product_Master!$A$1:$B$21,2,FALSE)</f>
        <v>Amit</v>
      </c>
      <c r="AI100" s="16"/>
    </row>
    <row r="101" spans="1:35" ht="13.8">
      <c r="A101" s="16" t="s">
        <v>538</v>
      </c>
      <c r="B101" s="17">
        <v>45712</v>
      </c>
      <c r="C101" s="16" t="s">
        <v>265</v>
      </c>
      <c r="D101" s="16" t="s">
        <v>266</v>
      </c>
      <c r="E101" s="16" t="s">
        <v>187</v>
      </c>
      <c r="F101" s="16" t="s">
        <v>188</v>
      </c>
      <c r="G101" s="16" t="s">
        <v>89</v>
      </c>
      <c r="H101" s="16" t="s">
        <v>189</v>
      </c>
      <c r="I101" s="16" t="s">
        <v>84</v>
      </c>
      <c r="J101" s="16" t="s">
        <v>134</v>
      </c>
      <c r="K101" s="18">
        <v>22755.360000000001</v>
      </c>
      <c r="L101" s="18">
        <v>16114.05</v>
      </c>
      <c r="M101" s="19">
        <v>3</v>
      </c>
      <c r="N101" s="20">
        <v>0.2</v>
      </c>
      <c r="O101" s="19" t="s">
        <v>136</v>
      </c>
      <c r="P101" s="19" t="s">
        <v>58</v>
      </c>
      <c r="Q101" s="19" t="str">
        <f>TRIM(SalesData[[#This Row],[Customer_Name]])</f>
        <v>Sneha Iyer</v>
      </c>
      <c r="R101" s="21">
        <f>SalesData[[#This Row],[Sales]]-SalesData[[#This Row],[Cost]]</f>
        <v>6641.3100000000013</v>
      </c>
      <c r="S101" s="22">
        <f>IFERROR(SalesData[[#This Row],[Profit]]/SalesData[[#This Row],[Sales]],0)</f>
        <v>0.29185695150505203</v>
      </c>
      <c r="T101" s="19">
        <f>YEAR(SalesData[[#This Row],[Order_Date]])</f>
        <v>2025</v>
      </c>
      <c r="U101" s="19" t="str">
        <f>TEXT(SalesData[[#This Row],[Order_Date]],"mmm")</f>
        <v>Feb</v>
      </c>
      <c r="V101" s="19" t="str">
        <f>"Q"&amp;ROUNDUP(MONTH(SalesData[[#This Row],[Order_Date]])/3,0)</f>
        <v>Q1</v>
      </c>
      <c r="W101" s="19" t="str">
        <f>IF(SalesData[[#This Row],[Sales]]&gt;=50000,"High",IF(AND(SalesData[[#This Row],[Sales]]&gt;= 20000, SalesData[[#This Row],[Sales]]&lt; 50000),"Medium","Low"))</f>
        <v>Medium</v>
      </c>
      <c r="X101" s="19" t="str">
        <f>IF(SalesData[[#This Row],[Profit]]&gt;0,"Profit","Loss")</f>
        <v>Profit</v>
      </c>
      <c r="Y101" s="19" t="str">
        <f>IF(AND(SalesData[[#This Row],[Sales]]&gt;= 50000, SalesData[[#This Row],[Quantity]]&gt;=2),"Yes","No")</f>
        <v>No</v>
      </c>
      <c r="Z101" s="19" t="str">
        <f>UPPER(SalesData[[#This Row],[Customer_Name]])</f>
        <v>SNEHA IYER</v>
      </c>
      <c r="AA101" s="19" t="str">
        <f>LOWER(SalesData[[#This Row],[Customer_Name]])</f>
        <v>sneha iyer</v>
      </c>
      <c r="AB101" s="19">
        <f>LEN(SalesData[[#This Row],[Customer_Name]])</f>
        <v>10</v>
      </c>
      <c r="AC101" s="19" t="str">
        <f>LEFT(SalesData[[#This Row],[Order_ID]],3)</f>
        <v>ORD</v>
      </c>
      <c r="AD101" s="19" t="str">
        <f>RIGHT(SalesData[[#This Row],[Order_ID]],4)</f>
        <v>0385</v>
      </c>
      <c r="AE101" s="19" t="str">
        <f>_xlfn.CONCAT(SalesData[[#This Row],[Clean_Customer_Name]],"-",SalesData[[#This Row],[Region]])</f>
        <v>Sneha Iyer-South</v>
      </c>
      <c r="AF101" s="19" t="str">
        <f>MID(SalesData[[#This Row],[Order_ID]],4,4)</f>
        <v>0385</v>
      </c>
      <c r="AG101" s="19" t="e">
        <f ca="1">_xlfn.SINGLE(_xlfn.XLOOKUP(SalesData[[#This Row],[Product]],Product_Master!A:A,Product_Master!B:B,"Not Found"))</f>
        <v>#NAME?</v>
      </c>
      <c r="AH101" s="19" t="str">
        <f>VLOOKUP(SalesData[[#This Row],[Product]],Product_Master!$A$1:$B$21,2,FALSE)</f>
        <v>Amit</v>
      </c>
      <c r="AI101" s="16"/>
    </row>
    <row r="102" spans="1:35" ht="13.8">
      <c r="A102" s="16" t="s">
        <v>793</v>
      </c>
      <c r="B102" s="17">
        <v>45702</v>
      </c>
      <c r="C102" s="16" t="s">
        <v>265</v>
      </c>
      <c r="D102" s="16" t="s">
        <v>266</v>
      </c>
      <c r="E102" s="16" t="s">
        <v>187</v>
      </c>
      <c r="F102" s="16" t="s">
        <v>188</v>
      </c>
      <c r="G102" s="16" t="s">
        <v>89</v>
      </c>
      <c r="H102" s="16" t="s">
        <v>189</v>
      </c>
      <c r="I102" s="16" t="s">
        <v>56</v>
      </c>
      <c r="J102" s="16" t="s">
        <v>191</v>
      </c>
      <c r="K102" s="18">
        <v>41627.120000000003</v>
      </c>
      <c r="L102" s="18">
        <v>27023.95</v>
      </c>
      <c r="M102" s="19">
        <v>5</v>
      </c>
      <c r="N102" s="20">
        <v>0.2</v>
      </c>
      <c r="O102" s="19" t="s">
        <v>76</v>
      </c>
      <c r="P102" s="19" t="s">
        <v>98</v>
      </c>
      <c r="Q102" s="19" t="str">
        <f>TRIM(SalesData[[#This Row],[Customer_Name]])</f>
        <v>Sneha Iyer</v>
      </c>
      <c r="R102" s="21">
        <f>SalesData[[#This Row],[Sales]]-SalesData[[#This Row],[Cost]]</f>
        <v>14603.170000000002</v>
      </c>
      <c r="S102" s="22">
        <f>IFERROR(SalesData[[#This Row],[Profit]]/SalesData[[#This Row],[Sales]],0)</f>
        <v>0.35080903987592704</v>
      </c>
      <c r="T102" s="19">
        <f>YEAR(SalesData[[#This Row],[Order_Date]])</f>
        <v>2025</v>
      </c>
      <c r="U102" s="19" t="str">
        <f>TEXT(SalesData[[#This Row],[Order_Date]],"mmm")</f>
        <v>Feb</v>
      </c>
      <c r="V102" s="19" t="str">
        <f>"Q"&amp;ROUNDUP(MONTH(SalesData[[#This Row],[Order_Date]])/3,0)</f>
        <v>Q1</v>
      </c>
      <c r="W102" s="19" t="str">
        <f>IF(SalesData[[#This Row],[Sales]]&gt;=50000,"High",IF(AND(SalesData[[#This Row],[Sales]]&gt;= 20000, SalesData[[#This Row],[Sales]]&lt; 50000),"Medium","Low"))</f>
        <v>Medium</v>
      </c>
      <c r="X102" s="19" t="str">
        <f>IF(SalesData[[#This Row],[Profit]]&gt;0,"Profit","Loss")</f>
        <v>Profit</v>
      </c>
      <c r="Y102" s="19" t="str">
        <f>IF(AND(SalesData[[#This Row],[Sales]]&gt;= 50000, SalesData[[#This Row],[Quantity]]&gt;=2),"Yes","No")</f>
        <v>No</v>
      </c>
      <c r="Z102" s="19" t="str">
        <f>UPPER(SalesData[[#This Row],[Customer_Name]])</f>
        <v>SNEHA IYER</v>
      </c>
      <c r="AA102" s="19" t="str">
        <f>LOWER(SalesData[[#This Row],[Customer_Name]])</f>
        <v>sneha iyer</v>
      </c>
      <c r="AB102" s="19">
        <f>LEN(SalesData[[#This Row],[Customer_Name]])</f>
        <v>10</v>
      </c>
      <c r="AC102" s="19" t="str">
        <f>LEFT(SalesData[[#This Row],[Order_ID]],3)</f>
        <v>ORD</v>
      </c>
      <c r="AD102" s="19" t="str">
        <f>RIGHT(SalesData[[#This Row],[Order_ID]],4)</f>
        <v>0640</v>
      </c>
      <c r="AE102" s="19" t="str">
        <f>_xlfn.CONCAT(SalesData[[#This Row],[Clean_Customer_Name]],"-",SalesData[[#This Row],[Region]])</f>
        <v>Sneha Iyer-West</v>
      </c>
      <c r="AF102" s="19" t="str">
        <f>MID(SalesData[[#This Row],[Order_ID]],4,4)</f>
        <v>0640</v>
      </c>
      <c r="AG102" s="19" t="e">
        <f ca="1">_xlfn.SINGLE(_xlfn.XLOOKUP(SalesData[[#This Row],[Product]],Product_Master!A:A,Product_Master!B:B,"Not Found"))</f>
        <v>#NAME?</v>
      </c>
      <c r="AH102" s="19" t="str">
        <f>VLOOKUP(SalesData[[#This Row],[Product]],Product_Master!$A$1:$B$21,2,FALSE)</f>
        <v>Amit</v>
      </c>
      <c r="AI102" s="16"/>
    </row>
    <row r="103" spans="1:35" ht="13.8">
      <c r="A103" s="16" t="s">
        <v>379</v>
      </c>
      <c r="B103" s="17">
        <v>45401</v>
      </c>
      <c r="C103" s="16" t="s">
        <v>265</v>
      </c>
      <c r="D103" s="16" t="s">
        <v>266</v>
      </c>
      <c r="E103" s="16" t="s">
        <v>95</v>
      </c>
      <c r="F103" s="16" t="s">
        <v>96</v>
      </c>
      <c r="G103" s="16" t="s">
        <v>89</v>
      </c>
      <c r="H103" s="16" t="s">
        <v>97</v>
      </c>
      <c r="I103" s="16" t="s">
        <v>42</v>
      </c>
      <c r="J103" s="16" t="s">
        <v>43</v>
      </c>
      <c r="K103" s="18">
        <v>21467.11</v>
      </c>
      <c r="L103" s="18">
        <v>10047.57</v>
      </c>
      <c r="M103" s="19">
        <v>3</v>
      </c>
      <c r="N103" s="20">
        <v>0.2</v>
      </c>
      <c r="O103" s="19" t="s">
        <v>34</v>
      </c>
      <c r="P103" s="19" t="s">
        <v>98</v>
      </c>
      <c r="Q103" s="19" t="str">
        <f>TRIM(SalesData[[#This Row],[Customer_Name]])</f>
        <v>Sneha Iyer</v>
      </c>
      <c r="R103" s="21">
        <f>SalesData[[#This Row],[Sales]]-SalesData[[#This Row],[Cost]]</f>
        <v>11419.54</v>
      </c>
      <c r="S103" s="22">
        <f>IFERROR(SalesData[[#This Row],[Profit]]/SalesData[[#This Row],[Sales]],0)</f>
        <v>0.53195516303778201</v>
      </c>
      <c r="T103" s="19">
        <f>YEAR(SalesData[[#This Row],[Order_Date]])</f>
        <v>2024</v>
      </c>
      <c r="U103" s="19" t="str">
        <f>TEXT(SalesData[[#This Row],[Order_Date]],"mmm")</f>
        <v>Apr</v>
      </c>
      <c r="V103" s="19" t="str">
        <f>"Q"&amp;ROUNDUP(MONTH(SalesData[[#This Row],[Order_Date]])/3,0)</f>
        <v>Q2</v>
      </c>
      <c r="W103" s="19" t="str">
        <f>IF(SalesData[[#This Row],[Sales]]&gt;=50000,"High",IF(AND(SalesData[[#This Row],[Sales]]&gt;= 20000, SalesData[[#This Row],[Sales]]&lt; 50000),"Medium","Low"))</f>
        <v>Medium</v>
      </c>
      <c r="X103" s="19" t="str">
        <f>IF(SalesData[[#This Row],[Profit]]&gt;0,"Profit","Loss")</f>
        <v>Profit</v>
      </c>
      <c r="Y103" s="19" t="str">
        <f>IF(AND(SalesData[[#This Row],[Sales]]&gt;= 50000, SalesData[[#This Row],[Quantity]]&gt;=2),"Yes","No")</f>
        <v>No</v>
      </c>
      <c r="Z103" s="19" t="str">
        <f>UPPER(SalesData[[#This Row],[Customer_Name]])</f>
        <v>SNEHA IYER</v>
      </c>
      <c r="AA103" s="19" t="str">
        <f>LOWER(SalesData[[#This Row],[Customer_Name]])</f>
        <v>sneha iyer</v>
      </c>
      <c r="AB103" s="19">
        <f>LEN(SalesData[[#This Row],[Customer_Name]])</f>
        <v>10</v>
      </c>
      <c r="AC103" s="19" t="str">
        <f>LEFT(SalesData[[#This Row],[Order_ID]],3)</f>
        <v>ORD</v>
      </c>
      <c r="AD103" s="19" t="str">
        <f>RIGHT(SalesData[[#This Row],[Order_ID]],4)</f>
        <v>0226</v>
      </c>
      <c r="AE103" s="19" t="str">
        <f>_xlfn.CONCAT(SalesData[[#This Row],[Clean_Customer_Name]],"-",SalesData[[#This Row],[Region]])</f>
        <v>Sneha Iyer-East</v>
      </c>
      <c r="AF103" s="19" t="str">
        <f>MID(SalesData[[#This Row],[Order_ID]],4,4)</f>
        <v>0226</v>
      </c>
      <c r="AG103" s="19" t="e">
        <f ca="1">_xlfn.SINGLE(_xlfn.XLOOKUP(SalesData[[#This Row],[Product]],Product_Master!A:A,Product_Master!B:B,"Not Found"))</f>
        <v>#NAME?</v>
      </c>
      <c r="AH103" s="19" t="str">
        <f>VLOOKUP(SalesData[[#This Row],[Product]],Product_Master!$A$1:$B$21,2,FALSE)</f>
        <v>Neha</v>
      </c>
      <c r="AI103" s="16"/>
    </row>
    <row r="104" spans="1:35" ht="13.8">
      <c r="A104" s="16" t="s">
        <v>799</v>
      </c>
      <c r="B104" s="17">
        <v>45987</v>
      </c>
      <c r="C104" s="16" t="s">
        <v>265</v>
      </c>
      <c r="D104" s="16" t="s">
        <v>266</v>
      </c>
      <c r="E104" s="16" t="s">
        <v>95</v>
      </c>
      <c r="F104" s="16" t="s">
        <v>96</v>
      </c>
      <c r="G104" s="16" t="s">
        <v>89</v>
      </c>
      <c r="H104" s="16" t="s">
        <v>97</v>
      </c>
      <c r="I104" s="16" t="s">
        <v>53</v>
      </c>
      <c r="J104" s="16" t="s">
        <v>54</v>
      </c>
      <c r="K104" s="18">
        <v>23431.46</v>
      </c>
      <c r="L104" s="18">
        <v>11378.85</v>
      </c>
      <c r="M104" s="19">
        <v>3</v>
      </c>
      <c r="N104" s="20">
        <v>0.1</v>
      </c>
      <c r="O104" s="19" t="s">
        <v>25</v>
      </c>
      <c r="P104" s="19" t="s">
        <v>58</v>
      </c>
      <c r="Q104" s="19" t="str">
        <f>TRIM(SalesData[[#This Row],[Customer_Name]])</f>
        <v>Sneha Iyer</v>
      </c>
      <c r="R104" s="21">
        <f>SalesData[[#This Row],[Sales]]-SalesData[[#This Row],[Cost]]</f>
        <v>12052.609999999999</v>
      </c>
      <c r="S104" s="22">
        <f>IFERROR(SalesData[[#This Row],[Profit]]/SalesData[[#This Row],[Sales]],0)</f>
        <v>0.51437725178029881</v>
      </c>
      <c r="T104" s="19">
        <f>YEAR(SalesData[[#This Row],[Order_Date]])</f>
        <v>2025</v>
      </c>
      <c r="U104" s="19" t="str">
        <f>TEXT(SalesData[[#This Row],[Order_Date]],"mmm")</f>
        <v>Nov</v>
      </c>
      <c r="V104" s="19" t="str">
        <f>"Q"&amp;ROUNDUP(MONTH(SalesData[[#This Row],[Order_Date]])/3,0)</f>
        <v>Q4</v>
      </c>
      <c r="W104" s="19" t="str">
        <f>IF(SalesData[[#This Row],[Sales]]&gt;=50000,"High",IF(AND(SalesData[[#This Row],[Sales]]&gt;= 20000, SalesData[[#This Row],[Sales]]&lt; 50000),"Medium","Low"))</f>
        <v>Medium</v>
      </c>
      <c r="X104" s="19" t="str">
        <f>IF(SalesData[[#This Row],[Profit]]&gt;0,"Profit","Loss")</f>
        <v>Profit</v>
      </c>
      <c r="Y104" s="19" t="str">
        <f>IF(AND(SalesData[[#This Row],[Sales]]&gt;= 50000, SalesData[[#This Row],[Quantity]]&gt;=2),"Yes","No")</f>
        <v>No</v>
      </c>
      <c r="Z104" s="19" t="str">
        <f>UPPER(SalesData[[#This Row],[Customer_Name]])</f>
        <v>SNEHA IYER</v>
      </c>
      <c r="AA104" s="19" t="str">
        <f>LOWER(SalesData[[#This Row],[Customer_Name]])</f>
        <v>sneha iyer</v>
      </c>
      <c r="AB104" s="19">
        <f>LEN(SalesData[[#This Row],[Customer_Name]])</f>
        <v>10</v>
      </c>
      <c r="AC104" s="19" t="str">
        <f>LEFT(SalesData[[#This Row],[Order_ID]],3)</f>
        <v>ORD</v>
      </c>
      <c r="AD104" s="19" t="str">
        <f>RIGHT(SalesData[[#This Row],[Order_ID]],4)</f>
        <v>0646</v>
      </c>
      <c r="AE104" s="19" t="str">
        <f>_xlfn.CONCAT(SalesData[[#This Row],[Clean_Customer_Name]],"-",SalesData[[#This Row],[Region]])</f>
        <v>Sneha Iyer-Central</v>
      </c>
      <c r="AF104" s="19" t="str">
        <f>MID(SalesData[[#This Row],[Order_ID]],4,4)</f>
        <v>0646</v>
      </c>
      <c r="AG104" s="19" t="e">
        <f ca="1">_xlfn.SINGLE(_xlfn.XLOOKUP(SalesData[[#This Row],[Product]],Product_Master!A:A,Product_Master!B:B,"Not Found"))</f>
        <v>#NAME?</v>
      </c>
      <c r="AH104" s="19" t="str">
        <f>VLOOKUP(SalesData[[#This Row],[Product]],Product_Master!$A$1:$B$21,2,FALSE)</f>
        <v>Neha</v>
      </c>
      <c r="AI104" s="16"/>
    </row>
    <row r="105" spans="1:35" ht="13.8">
      <c r="A105" s="16" t="s">
        <v>978</v>
      </c>
      <c r="B105" s="17">
        <v>45856</v>
      </c>
      <c r="C105" s="16" t="s">
        <v>265</v>
      </c>
      <c r="D105" s="16" t="s">
        <v>266</v>
      </c>
      <c r="E105" s="16" t="s">
        <v>95</v>
      </c>
      <c r="F105" s="16" t="s">
        <v>96</v>
      </c>
      <c r="G105" s="16" t="s">
        <v>89</v>
      </c>
      <c r="H105" s="16" t="s">
        <v>97</v>
      </c>
      <c r="I105" s="16" t="s">
        <v>23</v>
      </c>
      <c r="J105" s="16" t="s">
        <v>24</v>
      </c>
      <c r="K105" s="18">
        <v>5222.5200000000004</v>
      </c>
      <c r="L105" s="18">
        <v>3792.11</v>
      </c>
      <c r="M105" s="19">
        <v>1</v>
      </c>
      <c r="N105" s="20">
        <v>0.2</v>
      </c>
      <c r="O105" s="19" t="s">
        <v>136</v>
      </c>
      <c r="P105" s="19" t="s">
        <v>26</v>
      </c>
      <c r="Q105" s="19" t="str">
        <f>TRIM(SalesData[[#This Row],[Customer_Name]])</f>
        <v>Sneha Iyer</v>
      </c>
      <c r="R105" s="21">
        <f>SalesData[[#This Row],[Sales]]-SalesData[[#This Row],[Cost]]</f>
        <v>1430.4100000000003</v>
      </c>
      <c r="S105" s="22">
        <f>IFERROR(SalesData[[#This Row],[Profit]]/SalesData[[#This Row],[Sales]],0)</f>
        <v>0.27389268016206741</v>
      </c>
      <c r="T105" s="19">
        <f>YEAR(SalesData[[#This Row],[Order_Date]])</f>
        <v>2025</v>
      </c>
      <c r="U105" s="19" t="str">
        <f>TEXT(SalesData[[#This Row],[Order_Date]],"mmm")</f>
        <v>Jul</v>
      </c>
      <c r="V105" s="19" t="str">
        <f>"Q"&amp;ROUNDUP(MONTH(SalesData[[#This Row],[Order_Date]])/3,0)</f>
        <v>Q3</v>
      </c>
      <c r="W105" s="19" t="str">
        <f>IF(SalesData[[#This Row],[Sales]]&gt;=50000,"High",IF(AND(SalesData[[#This Row],[Sales]]&gt;= 20000, SalesData[[#This Row],[Sales]]&lt; 50000),"Medium","Low"))</f>
        <v>Low</v>
      </c>
      <c r="X105" s="19" t="str">
        <f>IF(SalesData[[#This Row],[Profit]]&gt;0,"Profit","Loss")</f>
        <v>Profit</v>
      </c>
      <c r="Y105" s="19" t="str">
        <f>IF(AND(SalesData[[#This Row],[Sales]]&gt;= 50000, SalesData[[#This Row],[Quantity]]&gt;=2),"Yes","No")</f>
        <v>No</v>
      </c>
      <c r="Z105" s="19" t="str">
        <f>UPPER(SalesData[[#This Row],[Customer_Name]])</f>
        <v>SNEHA IYER</v>
      </c>
      <c r="AA105" s="19" t="str">
        <f>LOWER(SalesData[[#This Row],[Customer_Name]])</f>
        <v>sneha iyer</v>
      </c>
      <c r="AB105" s="19">
        <f>LEN(SalesData[[#This Row],[Customer_Name]])</f>
        <v>10</v>
      </c>
      <c r="AC105" s="19" t="str">
        <f>LEFT(SalesData[[#This Row],[Order_ID]],3)</f>
        <v>ORD</v>
      </c>
      <c r="AD105" s="19" t="str">
        <f>RIGHT(SalesData[[#This Row],[Order_ID]],4)</f>
        <v>0825</v>
      </c>
      <c r="AE105" s="19" t="str">
        <f>_xlfn.CONCAT(SalesData[[#This Row],[Clean_Customer_Name]],"-",SalesData[[#This Row],[Region]])</f>
        <v>Sneha Iyer-North</v>
      </c>
      <c r="AF105" s="19" t="str">
        <f>MID(SalesData[[#This Row],[Order_ID]],4,4)</f>
        <v>0825</v>
      </c>
      <c r="AG105" s="19" t="e">
        <f ca="1">_xlfn.SINGLE(_xlfn.XLOOKUP(SalesData[[#This Row],[Product]],Product_Master!A:A,Product_Master!B:B,"Not Found"))</f>
        <v>#NAME?</v>
      </c>
      <c r="AH105" s="19" t="str">
        <f>VLOOKUP(SalesData[[#This Row],[Product]],Product_Master!$A$1:$B$21,2,FALSE)</f>
        <v>Neha</v>
      </c>
      <c r="AI105" s="16"/>
    </row>
    <row r="106" spans="1:35" ht="13.8">
      <c r="A106" s="16" t="s">
        <v>646</v>
      </c>
      <c r="B106" s="17">
        <v>45710</v>
      </c>
      <c r="C106" s="16" t="s">
        <v>265</v>
      </c>
      <c r="D106" s="16" t="s">
        <v>266</v>
      </c>
      <c r="E106" s="16" t="s">
        <v>193</v>
      </c>
      <c r="F106" s="16" t="s">
        <v>194</v>
      </c>
      <c r="G106" s="16" t="s">
        <v>89</v>
      </c>
      <c r="H106" s="16" t="s">
        <v>90</v>
      </c>
      <c r="I106" s="16" t="s">
        <v>56</v>
      </c>
      <c r="J106" s="16" t="s">
        <v>57</v>
      </c>
      <c r="K106" s="18">
        <v>4352.9399999999996</v>
      </c>
      <c r="L106" s="18">
        <v>1406.7</v>
      </c>
      <c r="M106" s="19">
        <v>3</v>
      </c>
      <c r="N106" s="20">
        <v>0</v>
      </c>
      <c r="O106" s="19" t="s">
        <v>34</v>
      </c>
      <c r="P106" s="19" t="s">
        <v>58</v>
      </c>
      <c r="Q106" s="19" t="str">
        <f>TRIM(SalesData[[#This Row],[Customer_Name]])</f>
        <v>Sneha Iyer</v>
      </c>
      <c r="R106" s="21">
        <f>SalesData[[#This Row],[Sales]]-SalesData[[#This Row],[Cost]]</f>
        <v>2946.24</v>
      </c>
      <c r="S106" s="22">
        <f>IFERROR(SalesData[[#This Row],[Profit]]/SalesData[[#This Row],[Sales]],0)</f>
        <v>0.6768391018484059</v>
      </c>
      <c r="T106" s="19">
        <f>YEAR(SalesData[[#This Row],[Order_Date]])</f>
        <v>2025</v>
      </c>
      <c r="U106" s="19" t="str">
        <f>TEXT(SalesData[[#This Row],[Order_Date]],"mmm")</f>
        <v>Feb</v>
      </c>
      <c r="V106" s="19" t="str">
        <f>"Q"&amp;ROUNDUP(MONTH(SalesData[[#This Row],[Order_Date]])/3,0)</f>
        <v>Q1</v>
      </c>
      <c r="W106" s="19" t="str">
        <f>IF(SalesData[[#This Row],[Sales]]&gt;=50000,"High",IF(AND(SalesData[[#This Row],[Sales]]&gt;= 20000, SalesData[[#This Row],[Sales]]&lt; 50000),"Medium","Low"))</f>
        <v>Low</v>
      </c>
      <c r="X106" s="19" t="str">
        <f>IF(SalesData[[#This Row],[Profit]]&gt;0,"Profit","Loss")</f>
        <v>Profit</v>
      </c>
      <c r="Y106" s="19" t="str">
        <f>IF(AND(SalesData[[#This Row],[Sales]]&gt;= 50000, SalesData[[#This Row],[Quantity]]&gt;=2),"Yes","No")</f>
        <v>No</v>
      </c>
      <c r="Z106" s="19" t="str">
        <f>UPPER(SalesData[[#This Row],[Customer_Name]])</f>
        <v>SNEHA IYER</v>
      </c>
      <c r="AA106" s="19" t="str">
        <f>LOWER(SalesData[[#This Row],[Customer_Name]])</f>
        <v>sneha iyer</v>
      </c>
      <c r="AB106" s="19">
        <f>LEN(SalesData[[#This Row],[Customer_Name]])</f>
        <v>10</v>
      </c>
      <c r="AC106" s="19" t="str">
        <f>LEFT(SalesData[[#This Row],[Order_ID]],3)</f>
        <v>ORD</v>
      </c>
      <c r="AD106" s="19" t="str">
        <f>RIGHT(SalesData[[#This Row],[Order_ID]],4)</f>
        <v>0493</v>
      </c>
      <c r="AE106" s="19" t="str">
        <f>_xlfn.CONCAT(SalesData[[#This Row],[Clean_Customer_Name]],"-",SalesData[[#This Row],[Region]])</f>
        <v>Sneha Iyer-West</v>
      </c>
      <c r="AF106" s="19" t="str">
        <f>MID(SalesData[[#This Row],[Order_ID]],4,4)</f>
        <v>0493</v>
      </c>
      <c r="AG106" s="19" t="e">
        <f ca="1">_xlfn.SINGLE(_xlfn.XLOOKUP(SalesData[[#This Row],[Product]],Product_Master!A:A,Product_Master!B:B,"Not Found"))</f>
        <v>#NAME?</v>
      </c>
      <c r="AH106" s="19" t="str">
        <f>VLOOKUP(SalesData[[#This Row],[Product]],Product_Master!$A$1:$B$21,2,FALSE)</f>
        <v>Simran</v>
      </c>
      <c r="AI106" s="16"/>
    </row>
    <row r="107" spans="1:35" ht="13.8">
      <c r="A107" s="16" t="s">
        <v>1004</v>
      </c>
      <c r="B107" s="17">
        <v>45821</v>
      </c>
      <c r="C107" s="16" t="s">
        <v>47</v>
      </c>
      <c r="D107" s="16" t="s">
        <v>48</v>
      </c>
      <c r="E107" s="16" t="s">
        <v>30</v>
      </c>
      <c r="F107" s="16" t="s">
        <v>31</v>
      </c>
      <c r="G107" s="16" t="s">
        <v>21</v>
      </c>
      <c r="H107" s="16" t="s">
        <v>32</v>
      </c>
      <c r="I107" s="16" t="s">
        <v>42</v>
      </c>
      <c r="J107" s="16" t="s">
        <v>162</v>
      </c>
      <c r="K107" s="18">
        <v>54433.48</v>
      </c>
      <c r="L107" s="18">
        <v>44013.87</v>
      </c>
      <c r="M107" s="19">
        <v>1</v>
      </c>
      <c r="N107" s="20">
        <v>0.05</v>
      </c>
      <c r="O107" s="19" t="s">
        <v>136</v>
      </c>
      <c r="P107" s="19" t="s">
        <v>58</v>
      </c>
      <c r="Q107" s="19" t="str">
        <f>TRIM(SalesData[[#This Row],[Customer_Name]])</f>
        <v>Simran Kaur</v>
      </c>
      <c r="R107" s="21">
        <f>SalesData[[#This Row],[Sales]]-SalesData[[#This Row],[Cost]]</f>
        <v>10419.61</v>
      </c>
      <c r="S107" s="22">
        <f>IFERROR(SalesData[[#This Row],[Profit]]/SalesData[[#This Row],[Sales]],0)</f>
        <v>0.19141914130788626</v>
      </c>
      <c r="T107" s="19">
        <f>YEAR(SalesData[[#This Row],[Order_Date]])</f>
        <v>2025</v>
      </c>
      <c r="U107" s="19" t="str">
        <f>TEXT(SalesData[[#This Row],[Order_Date]],"mmm")</f>
        <v>Jun</v>
      </c>
      <c r="V107" s="19" t="str">
        <f>"Q"&amp;ROUNDUP(MONTH(SalesData[[#This Row],[Order_Date]])/3,0)</f>
        <v>Q2</v>
      </c>
      <c r="W107" s="19" t="str">
        <f>IF(SalesData[[#This Row],[Sales]]&gt;=50000,"High",IF(AND(SalesData[[#This Row],[Sales]]&gt;= 20000, SalesData[[#This Row],[Sales]]&lt; 50000),"Medium","Low"))</f>
        <v>High</v>
      </c>
      <c r="X107" s="19" t="str">
        <f>IF(SalesData[[#This Row],[Profit]]&gt;0,"Profit","Loss")</f>
        <v>Profit</v>
      </c>
      <c r="Y107" s="19" t="str">
        <f>IF(AND(SalesData[[#This Row],[Sales]]&gt;= 50000, SalesData[[#This Row],[Quantity]]&gt;=2),"Yes","No")</f>
        <v>No</v>
      </c>
      <c r="Z107" s="19" t="str">
        <f>UPPER(SalesData[[#This Row],[Customer_Name]])</f>
        <v>SIMRAN KAUR</v>
      </c>
      <c r="AA107" s="19" t="str">
        <f>LOWER(SalesData[[#This Row],[Customer_Name]])</f>
        <v>simran kaur</v>
      </c>
      <c r="AB107" s="19">
        <f>LEN(SalesData[[#This Row],[Customer_Name]])</f>
        <v>11</v>
      </c>
      <c r="AC107" s="19" t="str">
        <f>LEFT(SalesData[[#This Row],[Order_ID]],3)</f>
        <v>ORD</v>
      </c>
      <c r="AD107" s="19" t="str">
        <f>RIGHT(SalesData[[#This Row],[Order_ID]],4)</f>
        <v>0851</v>
      </c>
      <c r="AE107" s="19" t="str">
        <f>_xlfn.CONCAT(SalesData[[#This Row],[Clean_Customer_Name]],"-",SalesData[[#This Row],[Region]])</f>
        <v>Simran Kaur-East</v>
      </c>
      <c r="AF107" s="19" t="str">
        <f>MID(SalesData[[#This Row],[Order_ID]],4,4)</f>
        <v>0851</v>
      </c>
      <c r="AG107" s="19" t="e">
        <f ca="1">_xlfn.SINGLE(_xlfn.XLOOKUP(SalesData[[#This Row],[Product]],Product_Master!A:A,Product_Master!B:B,"Not Found"))</f>
        <v>#NAME?</v>
      </c>
      <c r="AH107" s="19" t="str">
        <f>VLOOKUP(SalesData[[#This Row],[Product]],Product_Master!$A$1:$B$21,2,FALSE)</f>
        <v>Rahul</v>
      </c>
      <c r="AI107" s="16"/>
    </row>
    <row r="108" spans="1:35" ht="13.8">
      <c r="A108" s="16" t="s">
        <v>330</v>
      </c>
      <c r="B108" s="17">
        <v>45851</v>
      </c>
      <c r="C108" s="16" t="s">
        <v>47</v>
      </c>
      <c r="D108" s="16" t="s">
        <v>48</v>
      </c>
      <c r="E108" s="16" t="s">
        <v>81</v>
      </c>
      <c r="F108" s="16" t="s">
        <v>82</v>
      </c>
      <c r="G108" s="16" t="s">
        <v>21</v>
      </c>
      <c r="H108" s="16" t="s">
        <v>83</v>
      </c>
      <c r="I108" s="16" t="s">
        <v>84</v>
      </c>
      <c r="J108" s="16" t="s">
        <v>134</v>
      </c>
      <c r="K108" s="18">
        <v>58033.72</v>
      </c>
      <c r="L108" s="18">
        <v>57385.89</v>
      </c>
      <c r="M108" s="19">
        <v>3</v>
      </c>
      <c r="N108" s="20">
        <v>0.15</v>
      </c>
      <c r="O108" s="19" t="s">
        <v>136</v>
      </c>
      <c r="P108" s="19" t="s">
        <v>58</v>
      </c>
      <c r="Q108" s="19" t="str">
        <f>TRIM(SalesData[[#This Row],[Customer_Name]])</f>
        <v>Simran Kaur</v>
      </c>
      <c r="R108" s="21">
        <f>SalesData[[#This Row],[Sales]]-SalesData[[#This Row],[Cost]]</f>
        <v>647.83000000000175</v>
      </c>
      <c r="S108" s="22">
        <f>IFERROR(SalesData[[#This Row],[Profit]]/SalesData[[#This Row],[Sales]],0)</f>
        <v>1.1162992825550416E-2</v>
      </c>
      <c r="T108" s="19">
        <f>YEAR(SalesData[[#This Row],[Order_Date]])</f>
        <v>2025</v>
      </c>
      <c r="U108" s="19" t="str">
        <f>TEXT(SalesData[[#This Row],[Order_Date]],"mmm")</f>
        <v>Jul</v>
      </c>
      <c r="V108" s="19" t="str">
        <f>"Q"&amp;ROUNDUP(MONTH(SalesData[[#This Row],[Order_Date]])/3,0)</f>
        <v>Q3</v>
      </c>
      <c r="W108" s="19" t="str">
        <f>IF(SalesData[[#This Row],[Sales]]&gt;=50000,"High",IF(AND(SalesData[[#This Row],[Sales]]&gt;= 20000, SalesData[[#This Row],[Sales]]&lt; 50000),"Medium","Low"))</f>
        <v>High</v>
      </c>
      <c r="X108" s="19" t="str">
        <f>IF(SalesData[[#This Row],[Profit]]&gt;0,"Profit","Loss")</f>
        <v>Profit</v>
      </c>
      <c r="Y108" s="19" t="str">
        <f>IF(AND(SalesData[[#This Row],[Sales]]&gt;= 50000, SalesData[[#This Row],[Quantity]]&gt;=2),"Yes","No")</f>
        <v>Yes</v>
      </c>
      <c r="Z108" s="19" t="str">
        <f>UPPER(SalesData[[#This Row],[Customer_Name]])</f>
        <v>SIMRAN KAUR</v>
      </c>
      <c r="AA108" s="19" t="str">
        <f>LOWER(SalesData[[#This Row],[Customer_Name]])</f>
        <v>simran kaur</v>
      </c>
      <c r="AB108" s="19">
        <f>LEN(SalesData[[#This Row],[Customer_Name]])</f>
        <v>11</v>
      </c>
      <c r="AC108" s="19" t="str">
        <f>LEFT(SalesData[[#This Row],[Order_ID]],3)</f>
        <v>ORD</v>
      </c>
      <c r="AD108" s="19" t="str">
        <f>RIGHT(SalesData[[#This Row],[Order_ID]],4)</f>
        <v>0177</v>
      </c>
      <c r="AE108" s="19" t="str">
        <f>_xlfn.CONCAT(SalesData[[#This Row],[Clean_Customer_Name]],"-",SalesData[[#This Row],[Region]])</f>
        <v>Simran Kaur-South</v>
      </c>
      <c r="AF108" s="19" t="str">
        <f>MID(SalesData[[#This Row],[Order_ID]],4,4)</f>
        <v>0177</v>
      </c>
      <c r="AG108" s="19" t="e">
        <f ca="1">_xlfn.SINGLE(_xlfn.XLOOKUP(SalesData[[#This Row],[Product]],Product_Master!A:A,Product_Master!B:B,"Not Found"))</f>
        <v>#NAME?</v>
      </c>
      <c r="AH108" s="19" t="str">
        <f>VLOOKUP(SalesData[[#This Row],[Product]],Product_Master!$A$1:$B$21,2,FALSE)</f>
        <v>Priya</v>
      </c>
      <c r="AI108" s="16"/>
    </row>
    <row r="109" spans="1:35" ht="13.8">
      <c r="A109" s="16" t="s">
        <v>725</v>
      </c>
      <c r="B109" s="17">
        <v>45694</v>
      </c>
      <c r="C109" s="16" t="s">
        <v>47</v>
      </c>
      <c r="D109" s="16" t="s">
        <v>48</v>
      </c>
      <c r="E109" s="16" t="s">
        <v>81</v>
      </c>
      <c r="F109" s="16" t="s">
        <v>82</v>
      </c>
      <c r="G109" s="16" t="s">
        <v>21</v>
      </c>
      <c r="H109" s="16" t="s">
        <v>83</v>
      </c>
      <c r="I109" s="16" t="s">
        <v>42</v>
      </c>
      <c r="J109" s="16" t="s">
        <v>68</v>
      </c>
      <c r="K109" s="18">
        <v>114787.12</v>
      </c>
      <c r="L109" s="18">
        <v>75640.88</v>
      </c>
      <c r="M109" s="19">
        <v>4</v>
      </c>
      <c r="N109" s="20">
        <v>0</v>
      </c>
      <c r="O109" s="19" t="s">
        <v>76</v>
      </c>
      <c r="P109" s="19" t="s">
        <v>26</v>
      </c>
      <c r="Q109" s="19" t="str">
        <f>TRIM(SalesData[[#This Row],[Customer_Name]])</f>
        <v>Simran Kaur</v>
      </c>
      <c r="R109" s="21">
        <f>SalesData[[#This Row],[Sales]]-SalesData[[#This Row],[Cost]]</f>
        <v>39146.239999999991</v>
      </c>
      <c r="S109" s="22">
        <f>IFERROR(SalesData[[#This Row],[Profit]]/SalesData[[#This Row],[Sales]],0)</f>
        <v>0.34103338423335294</v>
      </c>
      <c r="T109" s="19">
        <f>YEAR(SalesData[[#This Row],[Order_Date]])</f>
        <v>2025</v>
      </c>
      <c r="U109" s="19" t="str">
        <f>TEXT(SalesData[[#This Row],[Order_Date]],"mmm")</f>
        <v>Feb</v>
      </c>
      <c r="V109" s="19" t="str">
        <f>"Q"&amp;ROUNDUP(MONTH(SalesData[[#This Row],[Order_Date]])/3,0)</f>
        <v>Q1</v>
      </c>
      <c r="W109" s="19" t="str">
        <f>IF(SalesData[[#This Row],[Sales]]&gt;=50000,"High",IF(AND(SalesData[[#This Row],[Sales]]&gt;= 20000, SalesData[[#This Row],[Sales]]&lt; 50000),"Medium","Low"))</f>
        <v>High</v>
      </c>
      <c r="X109" s="19" t="str">
        <f>IF(SalesData[[#This Row],[Profit]]&gt;0,"Profit","Loss")</f>
        <v>Profit</v>
      </c>
      <c r="Y109" s="19" t="str">
        <f>IF(AND(SalesData[[#This Row],[Sales]]&gt;= 50000, SalesData[[#This Row],[Quantity]]&gt;=2),"Yes","No")</f>
        <v>Yes</v>
      </c>
      <c r="Z109" s="19" t="str">
        <f>UPPER(SalesData[[#This Row],[Customer_Name]])</f>
        <v>SIMRAN KAUR</v>
      </c>
      <c r="AA109" s="19" t="str">
        <f>LOWER(SalesData[[#This Row],[Customer_Name]])</f>
        <v>simran kaur</v>
      </c>
      <c r="AB109" s="19">
        <f>LEN(SalesData[[#This Row],[Customer_Name]])</f>
        <v>11</v>
      </c>
      <c r="AC109" s="19" t="str">
        <f>LEFT(SalesData[[#This Row],[Order_ID]],3)</f>
        <v>ORD</v>
      </c>
      <c r="AD109" s="19" t="str">
        <f>RIGHT(SalesData[[#This Row],[Order_ID]],4)</f>
        <v>0572</v>
      </c>
      <c r="AE109" s="19" t="str">
        <f>_xlfn.CONCAT(SalesData[[#This Row],[Clean_Customer_Name]],"-",SalesData[[#This Row],[Region]])</f>
        <v>Simran Kaur-East</v>
      </c>
      <c r="AF109" s="19" t="str">
        <f>MID(SalesData[[#This Row],[Order_ID]],4,4)</f>
        <v>0572</v>
      </c>
      <c r="AG109" s="19" t="e">
        <f ca="1">_xlfn.SINGLE(_xlfn.XLOOKUP(SalesData[[#This Row],[Product]],Product_Master!A:A,Product_Master!B:B,"Not Found"))</f>
        <v>#NAME?</v>
      </c>
      <c r="AH109" s="19" t="str">
        <f>VLOOKUP(SalesData[[#This Row],[Product]],Product_Master!$A$1:$B$21,2,FALSE)</f>
        <v>Priya</v>
      </c>
      <c r="AI109" s="16"/>
    </row>
    <row r="110" spans="1:35" ht="13.8">
      <c r="A110" s="16" t="s">
        <v>331</v>
      </c>
      <c r="B110" s="17">
        <v>45760</v>
      </c>
      <c r="C110" s="16" t="s">
        <v>47</v>
      </c>
      <c r="D110" s="16" t="s">
        <v>48</v>
      </c>
      <c r="E110" s="16" t="s">
        <v>62</v>
      </c>
      <c r="F110" s="16" t="s">
        <v>63</v>
      </c>
      <c r="G110" s="16" t="s">
        <v>21</v>
      </c>
      <c r="H110" s="16" t="s">
        <v>64</v>
      </c>
      <c r="I110" s="16" t="s">
        <v>42</v>
      </c>
      <c r="J110" s="16" t="s">
        <v>162</v>
      </c>
      <c r="K110" s="18">
        <v>2101.81</v>
      </c>
      <c r="L110" s="18">
        <v>1725.64</v>
      </c>
      <c r="M110" s="19">
        <v>1</v>
      </c>
      <c r="N110" s="20">
        <v>0.05</v>
      </c>
      <c r="O110" s="19" t="s">
        <v>25</v>
      </c>
      <c r="P110" s="19" t="s">
        <v>77</v>
      </c>
      <c r="Q110" s="19" t="str">
        <f>TRIM(SalesData[[#This Row],[Customer_Name]])</f>
        <v>Simran Kaur</v>
      </c>
      <c r="R110" s="21">
        <f>SalesData[[#This Row],[Sales]]-SalesData[[#This Row],[Cost]]</f>
        <v>376.16999999999985</v>
      </c>
      <c r="S110" s="22">
        <f>IFERROR(SalesData[[#This Row],[Profit]]/SalesData[[#This Row],[Sales]],0)</f>
        <v>0.17897431261626875</v>
      </c>
      <c r="T110" s="19">
        <f>YEAR(SalesData[[#This Row],[Order_Date]])</f>
        <v>2025</v>
      </c>
      <c r="U110" s="19" t="str">
        <f>TEXT(SalesData[[#This Row],[Order_Date]],"mmm")</f>
        <v>Apr</v>
      </c>
      <c r="V110" s="19" t="str">
        <f>"Q"&amp;ROUNDUP(MONTH(SalesData[[#This Row],[Order_Date]])/3,0)</f>
        <v>Q2</v>
      </c>
      <c r="W110" s="19" t="str">
        <f>IF(SalesData[[#This Row],[Sales]]&gt;=50000,"High",IF(AND(SalesData[[#This Row],[Sales]]&gt;= 20000, SalesData[[#This Row],[Sales]]&lt; 50000),"Medium","Low"))</f>
        <v>Low</v>
      </c>
      <c r="X110" s="19" t="str">
        <f>IF(SalesData[[#This Row],[Profit]]&gt;0,"Profit","Loss")</f>
        <v>Profit</v>
      </c>
      <c r="Y110" s="19" t="str">
        <f>IF(AND(SalesData[[#This Row],[Sales]]&gt;= 50000, SalesData[[#This Row],[Quantity]]&gt;=2),"Yes","No")</f>
        <v>No</v>
      </c>
      <c r="Z110" s="19" t="str">
        <f>UPPER(SalesData[[#This Row],[Customer_Name]])</f>
        <v>SIMRAN KAUR</v>
      </c>
      <c r="AA110" s="19" t="str">
        <f>LOWER(SalesData[[#This Row],[Customer_Name]])</f>
        <v>simran kaur</v>
      </c>
      <c r="AB110" s="19">
        <f>LEN(SalesData[[#This Row],[Customer_Name]])</f>
        <v>11</v>
      </c>
      <c r="AC110" s="19" t="str">
        <f>LEFT(SalesData[[#This Row],[Order_ID]],3)</f>
        <v>ORD</v>
      </c>
      <c r="AD110" s="19" t="str">
        <f>RIGHT(SalesData[[#This Row],[Order_ID]],4)</f>
        <v>0178</v>
      </c>
      <c r="AE110" s="19" t="str">
        <f>_xlfn.CONCAT(SalesData[[#This Row],[Clean_Customer_Name]],"-",SalesData[[#This Row],[Region]])</f>
        <v>Simran Kaur-East</v>
      </c>
      <c r="AF110" s="19" t="str">
        <f>MID(SalesData[[#This Row],[Order_ID]],4,4)</f>
        <v>0178</v>
      </c>
      <c r="AG110" s="19" t="e">
        <f ca="1">_xlfn.SINGLE(_xlfn.XLOOKUP(SalesData[[#This Row],[Product]],Product_Master!A:A,Product_Master!B:B,"Not Found"))</f>
        <v>#NAME?</v>
      </c>
      <c r="AH110" s="19" t="str">
        <f>VLOOKUP(SalesData[[#This Row],[Product]],Product_Master!$A$1:$B$21,2,FALSE)</f>
        <v>Amit</v>
      </c>
      <c r="AI110" s="16"/>
    </row>
    <row r="111" spans="1:35" ht="13.8">
      <c r="A111" s="16" t="s">
        <v>342</v>
      </c>
      <c r="B111" s="17">
        <v>45468</v>
      </c>
      <c r="C111" s="16" t="s">
        <v>47</v>
      </c>
      <c r="D111" s="16" t="s">
        <v>48</v>
      </c>
      <c r="E111" s="16" t="s">
        <v>62</v>
      </c>
      <c r="F111" s="16" t="s">
        <v>63</v>
      </c>
      <c r="G111" s="16" t="s">
        <v>21</v>
      </c>
      <c r="H111" s="16" t="s">
        <v>64</v>
      </c>
      <c r="I111" s="16" t="s">
        <v>56</v>
      </c>
      <c r="J111" s="16" t="s">
        <v>191</v>
      </c>
      <c r="K111" s="18">
        <v>20341.22</v>
      </c>
      <c r="L111" s="18">
        <v>7916.04</v>
      </c>
      <c r="M111" s="19">
        <v>4</v>
      </c>
      <c r="N111" s="20">
        <v>0.1</v>
      </c>
      <c r="O111" s="19" t="s">
        <v>44</v>
      </c>
      <c r="P111" s="19" t="s">
        <v>58</v>
      </c>
      <c r="Q111" s="19" t="str">
        <f>TRIM(SalesData[[#This Row],[Customer_Name]])</f>
        <v>Simran Kaur</v>
      </c>
      <c r="R111" s="21">
        <f>SalesData[[#This Row],[Sales]]-SalesData[[#This Row],[Cost]]</f>
        <v>12425.18</v>
      </c>
      <c r="S111" s="22">
        <f>IFERROR(SalesData[[#This Row],[Profit]]/SalesData[[#This Row],[Sales]],0)</f>
        <v>0.61083750138880555</v>
      </c>
      <c r="T111" s="19">
        <f>YEAR(SalesData[[#This Row],[Order_Date]])</f>
        <v>2024</v>
      </c>
      <c r="U111" s="19" t="str">
        <f>TEXT(SalesData[[#This Row],[Order_Date]],"mmm")</f>
        <v>Jun</v>
      </c>
      <c r="V111" s="19" t="str">
        <f>"Q"&amp;ROUNDUP(MONTH(SalesData[[#This Row],[Order_Date]])/3,0)</f>
        <v>Q2</v>
      </c>
      <c r="W111" s="19" t="str">
        <f>IF(SalesData[[#This Row],[Sales]]&gt;=50000,"High",IF(AND(SalesData[[#This Row],[Sales]]&gt;= 20000, SalesData[[#This Row],[Sales]]&lt; 50000),"Medium","Low"))</f>
        <v>Medium</v>
      </c>
      <c r="X111" s="19" t="str">
        <f>IF(SalesData[[#This Row],[Profit]]&gt;0,"Profit","Loss")</f>
        <v>Profit</v>
      </c>
      <c r="Y111" s="19" t="str">
        <f>IF(AND(SalesData[[#This Row],[Sales]]&gt;= 50000, SalesData[[#This Row],[Quantity]]&gt;=2),"Yes","No")</f>
        <v>No</v>
      </c>
      <c r="Z111" s="19" t="str">
        <f>UPPER(SalesData[[#This Row],[Customer_Name]])</f>
        <v>SIMRAN KAUR</v>
      </c>
      <c r="AA111" s="19" t="str">
        <f>LOWER(SalesData[[#This Row],[Customer_Name]])</f>
        <v>simran kaur</v>
      </c>
      <c r="AB111" s="19">
        <f>LEN(SalesData[[#This Row],[Customer_Name]])</f>
        <v>11</v>
      </c>
      <c r="AC111" s="19" t="str">
        <f>LEFT(SalesData[[#This Row],[Order_ID]],3)</f>
        <v>ORD</v>
      </c>
      <c r="AD111" s="19" t="str">
        <f>RIGHT(SalesData[[#This Row],[Order_ID]],4)</f>
        <v>0189</v>
      </c>
      <c r="AE111" s="19" t="str">
        <f>_xlfn.CONCAT(SalesData[[#This Row],[Clean_Customer_Name]],"-",SalesData[[#This Row],[Region]])</f>
        <v>Simran Kaur-West</v>
      </c>
      <c r="AF111" s="19" t="str">
        <f>MID(SalesData[[#This Row],[Order_ID]],4,4)</f>
        <v>0189</v>
      </c>
      <c r="AG111" s="19" t="e">
        <f ca="1">_xlfn.SINGLE(_xlfn.XLOOKUP(SalesData[[#This Row],[Product]],Product_Master!A:A,Product_Master!B:B,"Not Found"))</f>
        <v>#NAME?</v>
      </c>
      <c r="AH111" s="19" t="str">
        <f>VLOOKUP(SalesData[[#This Row],[Product]],Product_Master!$A$1:$B$21,2,FALSE)</f>
        <v>Amit</v>
      </c>
      <c r="AI111" s="16"/>
    </row>
    <row r="112" spans="1:35" ht="13.8">
      <c r="A112" s="16" t="s">
        <v>1079</v>
      </c>
      <c r="B112" s="17">
        <v>45747</v>
      </c>
      <c r="C112" s="16" t="s">
        <v>47</v>
      </c>
      <c r="D112" s="16" t="s">
        <v>48</v>
      </c>
      <c r="E112" s="16" t="s">
        <v>62</v>
      </c>
      <c r="F112" s="16" t="s">
        <v>63</v>
      </c>
      <c r="G112" s="16" t="s">
        <v>21</v>
      </c>
      <c r="H112" s="16" t="s">
        <v>64</v>
      </c>
      <c r="I112" s="16" t="s">
        <v>84</v>
      </c>
      <c r="J112" s="16" t="s">
        <v>142</v>
      </c>
      <c r="K112" s="18">
        <v>19696.580000000002</v>
      </c>
      <c r="L112" s="18">
        <v>8732.85</v>
      </c>
      <c r="M112" s="19">
        <v>5</v>
      </c>
      <c r="N112" s="20">
        <v>0.15</v>
      </c>
      <c r="O112" s="19" t="s">
        <v>34</v>
      </c>
      <c r="P112" s="19" t="s">
        <v>77</v>
      </c>
      <c r="Q112" s="19" t="str">
        <f>TRIM(SalesData[[#This Row],[Customer_Name]])</f>
        <v>Simran Kaur</v>
      </c>
      <c r="R112" s="21">
        <f>SalesData[[#This Row],[Sales]]-SalesData[[#This Row],[Cost]]</f>
        <v>10963.730000000001</v>
      </c>
      <c r="S112" s="22">
        <f>IFERROR(SalesData[[#This Row],[Profit]]/SalesData[[#This Row],[Sales]],0)</f>
        <v>0.55663115119477602</v>
      </c>
      <c r="T112" s="19">
        <f>YEAR(SalesData[[#This Row],[Order_Date]])</f>
        <v>2025</v>
      </c>
      <c r="U112" s="19" t="str">
        <f>TEXT(SalesData[[#This Row],[Order_Date]],"mmm")</f>
        <v>Mar</v>
      </c>
      <c r="V112" s="19" t="str">
        <f>"Q"&amp;ROUNDUP(MONTH(SalesData[[#This Row],[Order_Date]])/3,0)</f>
        <v>Q1</v>
      </c>
      <c r="W112" s="19" t="str">
        <f>IF(SalesData[[#This Row],[Sales]]&gt;=50000,"High",IF(AND(SalesData[[#This Row],[Sales]]&gt;= 20000, SalesData[[#This Row],[Sales]]&lt; 50000),"Medium","Low"))</f>
        <v>Low</v>
      </c>
      <c r="X112" s="19" t="str">
        <f>IF(SalesData[[#This Row],[Profit]]&gt;0,"Profit","Loss")</f>
        <v>Profit</v>
      </c>
      <c r="Y112" s="19" t="str">
        <f>IF(AND(SalesData[[#This Row],[Sales]]&gt;= 50000, SalesData[[#This Row],[Quantity]]&gt;=2),"Yes","No")</f>
        <v>No</v>
      </c>
      <c r="Z112" s="19" t="str">
        <f>UPPER(SalesData[[#This Row],[Customer_Name]])</f>
        <v>SIMRAN KAUR</v>
      </c>
      <c r="AA112" s="19" t="str">
        <f>LOWER(SalesData[[#This Row],[Customer_Name]])</f>
        <v>simran kaur</v>
      </c>
      <c r="AB112" s="19">
        <f>LEN(SalesData[[#This Row],[Customer_Name]])</f>
        <v>11</v>
      </c>
      <c r="AC112" s="19" t="str">
        <f>LEFT(SalesData[[#This Row],[Order_ID]],3)</f>
        <v>ORD</v>
      </c>
      <c r="AD112" s="19" t="str">
        <f>RIGHT(SalesData[[#This Row],[Order_ID]],4)</f>
        <v>0926</v>
      </c>
      <c r="AE112" s="19" t="str">
        <f>_xlfn.CONCAT(SalesData[[#This Row],[Clean_Customer_Name]],"-",SalesData[[#This Row],[Region]])</f>
        <v>Simran Kaur-South</v>
      </c>
      <c r="AF112" s="19" t="str">
        <f>MID(SalesData[[#This Row],[Order_ID]],4,4)</f>
        <v>0926</v>
      </c>
      <c r="AG112" s="19" t="e">
        <f ca="1">_xlfn.SINGLE(_xlfn.XLOOKUP(SalesData[[#This Row],[Product]],Product_Master!A:A,Product_Master!B:B,"Not Found"))</f>
        <v>#NAME?</v>
      </c>
      <c r="AH112" s="19" t="str">
        <f>VLOOKUP(SalesData[[#This Row],[Product]],Product_Master!$A$1:$B$21,2,FALSE)</f>
        <v>Amit</v>
      </c>
      <c r="AI112" s="16"/>
    </row>
    <row r="113" spans="1:35" ht="13.8">
      <c r="A113" s="16" t="s">
        <v>361</v>
      </c>
      <c r="B113" s="17">
        <v>45674</v>
      </c>
      <c r="C113" s="16" t="s">
        <v>47</v>
      </c>
      <c r="D113" s="16" t="s">
        <v>48</v>
      </c>
      <c r="E113" s="16" t="s">
        <v>19</v>
      </c>
      <c r="F113" s="16" t="s">
        <v>20</v>
      </c>
      <c r="G113" s="16" t="s">
        <v>21</v>
      </c>
      <c r="H113" s="16" t="s">
        <v>22</v>
      </c>
      <c r="I113" s="16" t="s">
        <v>56</v>
      </c>
      <c r="J113" s="16" t="s">
        <v>91</v>
      </c>
      <c r="K113" s="18">
        <v>15452.76</v>
      </c>
      <c r="L113" s="18">
        <v>9104.1</v>
      </c>
      <c r="M113" s="19">
        <v>3</v>
      </c>
      <c r="N113" s="20">
        <v>0.05</v>
      </c>
      <c r="O113" s="19" t="s">
        <v>76</v>
      </c>
      <c r="P113" s="19" t="s">
        <v>26</v>
      </c>
      <c r="Q113" s="19" t="str">
        <f>TRIM(SalesData[[#This Row],[Customer_Name]])</f>
        <v>Simran Kaur</v>
      </c>
      <c r="R113" s="21">
        <f>SalesData[[#This Row],[Sales]]-SalesData[[#This Row],[Cost]]</f>
        <v>6348.66</v>
      </c>
      <c r="S113" s="22">
        <f>IFERROR(SalesData[[#This Row],[Profit]]/SalesData[[#This Row],[Sales]],0)</f>
        <v>0.41084311152182523</v>
      </c>
      <c r="T113" s="19">
        <f>YEAR(SalesData[[#This Row],[Order_Date]])</f>
        <v>2025</v>
      </c>
      <c r="U113" s="19" t="str">
        <f>TEXT(SalesData[[#This Row],[Order_Date]],"mmm")</f>
        <v>Jan</v>
      </c>
      <c r="V113" s="19" t="str">
        <f>"Q"&amp;ROUNDUP(MONTH(SalesData[[#This Row],[Order_Date]])/3,0)</f>
        <v>Q1</v>
      </c>
      <c r="W113" s="19" t="str">
        <f>IF(SalesData[[#This Row],[Sales]]&gt;=50000,"High",IF(AND(SalesData[[#This Row],[Sales]]&gt;= 20000, SalesData[[#This Row],[Sales]]&lt; 50000),"Medium","Low"))</f>
        <v>Low</v>
      </c>
      <c r="X113" s="19" t="str">
        <f>IF(SalesData[[#This Row],[Profit]]&gt;0,"Profit","Loss")</f>
        <v>Profit</v>
      </c>
      <c r="Y113" s="19" t="str">
        <f>IF(AND(SalesData[[#This Row],[Sales]]&gt;= 50000, SalesData[[#This Row],[Quantity]]&gt;=2),"Yes","No")</f>
        <v>No</v>
      </c>
      <c r="Z113" s="19" t="str">
        <f>UPPER(SalesData[[#This Row],[Customer_Name]])</f>
        <v>SIMRAN KAUR</v>
      </c>
      <c r="AA113" s="19" t="str">
        <f>LOWER(SalesData[[#This Row],[Customer_Name]])</f>
        <v>simran kaur</v>
      </c>
      <c r="AB113" s="19">
        <f>LEN(SalesData[[#This Row],[Customer_Name]])</f>
        <v>11</v>
      </c>
      <c r="AC113" s="19" t="str">
        <f>LEFT(SalesData[[#This Row],[Order_ID]],3)</f>
        <v>ORD</v>
      </c>
      <c r="AD113" s="19" t="str">
        <f>RIGHT(SalesData[[#This Row],[Order_ID]],4)</f>
        <v>0208</v>
      </c>
      <c r="AE113" s="19" t="str">
        <f>_xlfn.CONCAT(SalesData[[#This Row],[Clean_Customer_Name]],"-",SalesData[[#This Row],[Region]])</f>
        <v>Simran Kaur-West</v>
      </c>
      <c r="AF113" s="19" t="str">
        <f>MID(SalesData[[#This Row],[Order_ID]],4,4)</f>
        <v>0208</v>
      </c>
      <c r="AG113" s="19" t="e">
        <f ca="1">_xlfn.SINGLE(_xlfn.XLOOKUP(SalesData[[#This Row],[Product]],Product_Master!A:A,Product_Master!B:B,"Not Found"))</f>
        <v>#NAME?</v>
      </c>
      <c r="AH113" s="19" t="str">
        <f>VLOOKUP(SalesData[[#This Row],[Product]],Product_Master!$A$1:$B$21,2,FALSE)</f>
        <v>Neha</v>
      </c>
      <c r="AI113" s="16"/>
    </row>
    <row r="114" spans="1:35" ht="13.8">
      <c r="A114" s="16" t="s">
        <v>781</v>
      </c>
      <c r="B114" s="17">
        <v>45820</v>
      </c>
      <c r="C114" s="16" t="s">
        <v>47</v>
      </c>
      <c r="D114" s="16" t="s">
        <v>48</v>
      </c>
      <c r="E114" s="16" t="s">
        <v>19</v>
      </c>
      <c r="F114" s="16" t="s">
        <v>20</v>
      </c>
      <c r="G114" s="16" t="s">
        <v>21</v>
      </c>
      <c r="H114" s="16" t="s">
        <v>22</v>
      </c>
      <c r="I114" s="16" t="s">
        <v>53</v>
      </c>
      <c r="J114" s="16" t="s">
        <v>102</v>
      </c>
      <c r="K114" s="18">
        <v>6062.47</v>
      </c>
      <c r="L114" s="18">
        <v>5646.22</v>
      </c>
      <c r="M114" s="19">
        <v>2</v>
      </c>
      <c r="N114" s="20">
        <v>0.15</v>
      </c>
      <c r="O114" s="19" t="s">
        <v>34</v>
      </c>
      <c r="P114" s="19" t="s">
        <v>58</v>
      </c>
      <c r="Q114" s="19" t="str">
        <f>TRIM(SalesData[[#This Row],[Customer_Name]])</f>
        <v>Simran Kaur</v>
      </c>
      <c r="R114" s="21">
        <f>SalesData[[#This Row],[Sales]]-SalesData[[#This Row],[Cost]]</f>
        <v>416.25</v>
      </c>
      <c r="S114" s="22">
        <f>IFERROR(SalesData[[#This Row],[Profit]]/SalesData[[#This Row],[Sales]],0)</f>
        <v>6.8660133575918728E-2</v>
      </c>
      <c r="T114" s="19">
        <f>YEAR(SalesData[[#This Row],[Order_Date]])</f>
        <v>2025</v>
      </c>
      <c r="U114" s="19" t="str">
        <f>TEXT(SalesData[[#This Row],[Order_Date]],"mmm")</f>
        <v>Jun</v>
      </c>
      <c r="V114" s="19" t="str">
        <f>"Q"&amp;ROUNDUP(MONTH(SalesData[[#This Row],[Order_Date]])/3,0)</f>
        <v>Q2</v>
      </c>
      <c r="W114" s="19" t="str">
        <f>IF(SalesData[[#This Row],[Sales]]&gt;=50000,"High",IF(AND(SalesData[[#This Row],[Sales]]&gt;= 20000, SalesData[[#This Row],[Sales]]&lt; 50000),"Medium","Low"))</f>
        <v>Low</v>
      </c>
      <c r="X114" s="19" t="str">
        <f>IF(SalesData[[#This Row],[Profit]]&gt;0,"Profit","Loss")</f>
        <v>Profit</v>
      </c>
      <c r="Y114" s="19" t="str">
        <f>IF(AND(SalesData[[#This Row],[Sales]]&gt;= 50000, SalesData[[#This Row],[Quantity]]&gt;=2),"Yes","No")</f>
        <v>No</v>
      </c>
      <c r="Z114" s="19" t="str">
        <f>UPPER(SalesData[[#This Row],[Customer_Name]])</f>
        <v>SIMRAN KAUR</v>
      </c>
      <c r="AA114" s="19" t="str">
        <f>LOWER(SalesData[[#This Row],[Customer_Name]])</f>
        <v>simran kaur</v>
      </c>
      <c r="AB114" s="19">
        <f>LEN(SalesData[[#This Row],[Customer_Name]])</f>
        <v>11</v>
      </c>
      <c r="AC114" s="19" t="str">
        <f>LEFT(SalesData[[#This Row],[Order_ID]],3)</f>
        <v>ORD</v>
      </c>
      <c r="AD114" s="19" t="str">
        <f>RIGHT(SalesData[[#This Row],[Order_ID]],4)</f>
        <v>0628</v>
      </c>
      <c r="AE114" s="19" t="str">
        <f>_xlfn.CONCAT(SalesData[[#This Row],[Clean_Customer_Name]],"-",SalesData[[#This Row],[Region]])</f>
        <v>Simran Kaur-Central</v>
      </c>
      <c r="AF114" s="19" t="str">
        <f>MID(SalesData[[#This Row],[Order_ID]],4,4)</f>
        <v>0628</v>
      </c>
      <c r="AG114" s="19" t="e">
        <f ca="1">_xlfn.SINGLE(_xlfn.XLOOKUP(SalesData[[#This Row],[Product]],Product_Master!A:A,Product_Master!B:B,"Not Found"))</f>
        <v>#NAME?</v>
      </c>
      <c r="AH114" s="19" t="str">
        <f>VLOOKUP(SalesData[[#This Row],[Product]],Product_Master!$A$1:$B$21,2,FALSE)</f>
        <v>Neha</v>
      </c>
      <c r="AI114" s="16"/>
    </row>
    <row r="115" spans="1:35" ht="13.8">
      <c r="A115" s="16" t="s">
        <v>205</v>
      </c>
      <c r="B115" s="17">
        <v>45684</v>
      </c>
      <c r="C115" s="16" t="s">
        <v>47</v>
      </c>
      <c r="D115" s="16" t="s">
        <v>48</v>
      </c>
      <c r="E115" s="16" t="s">
        <v>152</v>
      </c>
      <c r="F115" s="16" t="s">
        <v>153</v>
      </c>
      <c r="G115" s="16" t="s">
        <v>21</v>
      </c>
      <c r="H115" s="16" t="s">
        <v>32</v>
      </c>
      <c r="I115" s="16" t="s">
        <v>84</v>
      </c>
      <c r="J115" s="16" t="s">
        <v>85</v>
      </c>
      <c r="K115" s="18">
        <v>16000.69</v>
      </c>
      <c r="L115" s="18">
        <v>16660.54</v>
      </c>
      <c r="M115" s="19">
        <v>2</v>
      </c>
      <c r="N115" s="20">
        <v>0.15</v>
      </c>
      <c r="O115" s="19" t="s">
        <v>44</v>
      </c>
      <c r="P115" s="19" t="s">
        <v>98</v>
      </c>
      <c r="Q115" s="19" t="str">
        <f>TRIM(SalesData[[#This Row],[Customer_Name]])</f>
        <v>Simran Kaur</v>
      </c>
      <c r="R115" s="21">
        <f>SalesData[[#This Row],[Sales]]-SalesData[[#This Row],[Cost]]</f>
        <v>-659.85000000000036</v>
      </c>
      <c r="S115" s="22">
        <f>IFERROR(SalesData[[#This Row],[Profit]]/SalesData[[#This Row],[Sales]],0)</f>
        <v>-4.1238846574741486E-2</v>
      </c>
      <c r="T115" s="19">
        <f>YEAR(SalesData[[#This Row],[Order_Date]])</f>
        <v>2025</v>
      </c>
      <c r="U115" s="19" t="str">
        <f>TEXT(SalesData[[#This Row],[Order_Date]],"mmm")</f>
        <v>Jan</v>
      </c>
      <c r="V115" s="19" t="str">
        <f>"Q"&amp;ROUNDUP(MONTH(SalesData[[#This Row],[Order_Date]])/3,0)</f>
        <v>Q1</v>
      </c>
      <c r="W115" s="19" t="str">
        <f>IF(SalesData[[#This Row],[Sales]]&gt;=50000,"High",IF(AND(SalesData[[#This Row],[Sales]]&gt;= 20000, SalesData[[#This Row],[Sales]]&lt; 50000),"Medium","Low"))</f>
        <v>Low</v>
      </c>
      <c r="X115" s="19" t="str">
        <f>IF(SalesData[[#This Row],[Profit]]&gt;0,"Profit","Loss")</f>
        <v>Loss</v>
      </c>
      <c r="Y115" s="19" t="str">
        <f>IF(AND(SalesData[[#This Row],[Sales]]&gt;= 50000, SalesData[[#This Row],[Quantity]]&gt;=2),"Yes","No")</f>
        <v>No</v>
      </c>
      <c r="Z115" s="19" t="str">
        <f>UPPER(SalesData[[#This Row],[Customer_Name]])</f>
        <v>SIMRAN KAUR</v>
      </c>
      <c r="AA115" s="19" t="str">
        <f>LOWER(SalesData[[#This Row],[Customer_Name]])</f>
        <v>simran kaur</v>
      </c>
      <c r="AB115" s="19">
        <f>LEN(SalesData[[#This Row],[Customer_Name]])</f>
        <v>11</v>
      </c>
      <c r="AC115" s="19" t="str">
        <f>LEFT(SalesData[[#This Row],[Order_ID]],3)</f>
        <v>ORD</v>
      </c>
      <c r="AD115" s="19" t="str">
        <f>RIGHT(SalesData[[#This Row],[Order_ID]],4)</f>
        <v>0058</v>
      </c>
      <c r="AE115" s="19" t="str">
        <f>_xlfn.CONCAT(SalesData[[#This Row],[Clean_Customer_Name]],"-",SalesData[[#This Row],[Region]])</f>
        <v>Simran Kaur-South</v>
      </c>
      <c r="AF115" s="19" t="str">
        <f>MID(SalesData[[#This Row],[Order_ID]],4,4)</f>
        <v>0058</v>
      </c>
      <c r="AG115" s="19" t="e">
        <f ca="1">_xlfn.SINGLE(_xlfn.XLOOKUP(SalesData[[#This Row],[Product]],Product_Master!A:A,Product_Master!B:B,"Not Found"))</f>
        <v>#NAME?</v>
      </c>
      <c r="AH115" s="19" t="str">
        <f>VLOOKUP(SalesData[[#This Row],[Product]],Product_Master!$A$1:$B$21,2,FALSE)</f>
        <v>Simran</v>
      </c>
      <c r="AI115" s="16"/>
    </row>
    <row r="116" spans="1:35" ht="13.8">
      <c r="A116" s="16" t="s">
        <v>233</v>
      </c>
      <c r="B116" s="17">
        <v>45868</v>
      </c>
      <c r="C116" s="16" t="s">
        <v>47</v>
      </c>
      <c r="D116" s="16" t="s">
        <v>48</v>
      </c>
      <c r="E116" s="16" t="s">
        <v>152</v>
      </c>
      <c r="F116" s="16" t="s">
        <v>153</v>
      </c>
      <c r="G116" s="16" t="s">
        <v>21</v>
      </c>
      <c r="H116" s="16" t="s">
        <v>32</v>
      </c>
      <c r="I116" s="16" t="s">
        <v>53</v>
      </c>
      <c r="J116" s="16" t="s">
        <v>54</v>
      </c>
      <c r="K116" s="18">
        <v>25697.42</v>
      </c>
      <c r="L116" s="18">
        <v>22008.87</v>
      </c>
      <c r="M116" s="19">
        <v>3</v>
      </c>
      <c r="N116" s="20">
        <v>0.2</v>
      </c>
      <c r="O116" s="19" t="s">
        <v>136</v>
      </c>
      <c r="P116" s="19" t="s">
        <v>58</v>
      </c>
      <c r="Q116" s="19" t="str">
        <f>TRIM(SalesData[[#This Row],[Customer_Name]])</f>
        <v>Simran Kaur</v>
      </c>
      <c r="R116" s="21">
        <f>SalesData[[#This Row],[Sales]]-SalesData[[#This Row],[Cost]]</f>
        <v>3688.5499999999993</v>
      </c>
      <c r="S116" s="22">
        <f>IFERROR(SalesData[[#This Row],[Profit]]/SalesData[[#This Row],[Sales]],0)</f>
        <v>0.14353775593036186</v>
      </c>
      <c r="T116" s="19">
        <f>YEAR(SalesData[[#This Row],[Order_Date]])</f>
        <v>2025</v>
      </c>
      <c r="U116" s="19" t="str">
        <f>TEXT(SalesData[[#This Row],[Order_Date]],"mmm")</f>
        <v>Jul</v>
      </c>
      <c r="V116" s="19" t="str">
        <f>"Q"&amp;ROUNDUP(MONTH(SalesData[[#This Row],[Order_Date]])/3,0)</f>
        <v>Q3</v>
      </c>
      <c r="W116" s="19" t="str">
        <f>IF(SalesData[[#This Row],[Sales]]&gt;=50000,"High",IF(AND(SalesData[[#This Row],[Sales]]&gt;= 20000, SalesData[[#This Row],[Sales]]&lt; 50000),"Medium","Low"))</f>
        <v>Medium</v>
      </c>
      <c r="X116" s="19" t="str">
        <f>IF(SalesData[[#This Row],[Profit]]&gt;0,"Profit","Loss")</f>
        <v>Profit</v>
      </c>
      <c r="Y116" s="19" t="str">
        <f>IF(AND(SalesData[[#This Row],[Sales]]&gt;= 50000, SalesData[[#This Row],[Quantity]]&gt;=2),"Yes","No")</f>
        <v>No</v>
      </c>
      <c r="Z116" s="19" t="str">
        <f>UPPER(SalesData[[#This Row],[Customer_Name]])</f>
        <v>SIMRAN KAUR</v>
      </c>
      <c r="AA116" s="19" t="str">
        <f>LOWER(SalesData[[#This Row],[Customer_Name]])</f>
        <v>simran kaur</v>
      </c>
      <c r="AB116" s="19">
        <f>LEN(SalesData[[#This Row],[Customer_Name]])</f>
        <v>11</v>
      </c>
      <c r="AC116" s="19" t="str">
        <f>LEFT(SalesData[[#This Row],[Order_ID]],3)</f>
        <v>ORD</v>
      </c>
      <c r="AD116" s="19" t="str">
        <f>RIGHT(SalesData[[#This Row],[Order_ID]],4)</f>
        <v>0082</v>
      </c>
      <c r="AE116" s="19" t="str">
        <f>_xlfn.CONCAT(SalesData[[#This Row],[Clean_Customer_Name]],"-",SalesData[[#This Row],[Region]])</f>
        <v>Simran Kaur-Central</v>
      </c>
      <c r="AF116" s="19" t="str">
        <f>MID(SalesData[[#This Row],[Order_ID]],4,4)</f>
        <v>0082</v>
      </c>
      <c r="AG116" s="19" t="e">
        <f ca="1">_xlfn.SINGLE(_xlfn.XLOOKUP(SalesData[[#This Row],[Product]],Product_Master!A:A,Product_Master!B:B,"Not Found"))</f>
        <v>#NAME?</v>
      </c>
      <c r="AH116" s="19" t="str">
        <f>VLOOKUP(SalesData[[#This Row],[Product]],Product_Master!$A$1:$B$21,2,FALSE)</f>
        <v>Simran</v>
      </c>
      <c r="AI116" s="16"/>
    </row>
    <row r="117" spans="1:35" ht="13.8">
      <c r="A117" s="16" t="s">
        <v>315</v>
      </c>
      <c r="B117" s="17">
        <v>45594</v>
      </c>
      <c r="C117" s="16" t="s">
        <v>47</v>
      </c>
      <c r="D117" s="16" t="s">
        <v>48</v>
      </c>
      <c r="E117" s="16" t="s">
        <v>152</v>
      </c>
      <c r="F117" s="16" t="s">
        <v>153</v>
      </c>
      <c r="G117" s="16" t="s">
        <v>21</v>
      </c>
      <c r="H117" s="16" t="s">
        <v>32</v>
      </c>
      <c r="I117" s="16" t="s">
        <v>23</v>
      </c>
      <c r="J117" s="16" t="s">
        <v>33</v>
      </c>
      <c r="K117" s="18">
        <v>10207.99</v>
      </c>
      <c r="L117" s="18">
        <v>8012.3</v>
      </c>
      <c r="M117" s="19">
        <v>1</v>
      </c>
      <c r="N117" s="20">
        <v>0.2</v>
      </c>
      <c r="O117" s="19" t="s">
        <v>25</v>
      </c>
      <c r="P117" s="19" t="s">
        <v>77</v>
      </c>
      <c r="Q117" s="19" t="str">
        <f>TRIM(SalesData[[#This Row],[Customer_Name]])</f>
        <v>Simran Kaur</v>
      </c>
      <c r="R117" s="21">
        <f>SalesData[[#This Row],[Sales]]-SalesData[[#This Row],[Cost]]</f>
        <v>2195.6899999999996</v>
      </c>
      <c r="S117" s="22">
        <f>IFERROR(SalesData[[#This Row],[Profit]]/SalesData[[#This Row],[Sales]],0)</f>
        <v>0.21509523422338772</v>
      </c>
      <c r="T117" s="19">
        <f>YEAR(SalesData[[#This Row],[Order_Date]])</f>
        <v>2024</v>
      </c>
      <c r="U117" s="19" t="str">
        <f>TEXT(SalesData[[#This Row],[Order_Date]],"mmm")</f>
        <v>Oct</v>
      </c>
      <c r="V117" s="19" t="str">
        <f>"Q"&amp;ROUNDUP(MONTH(SalesData[[#This Row],[Order_Date]])/3,0)</f>
        <v>Q4</v>
      </c>
      <c r="W117" s="19" t="str">
        <f>IF(SalesData[[#This Row],[Sales]]&gt;=50000,"High",IF(AND(SalesData[[#This Row],[Sales]]&gt;= 20000, SalesData[[#This Row],[Sales]]&lt; 50000),"Medium","Low"))</f>
        <v>Low</v>
      </c>
      <c r="X117" s="19" t="str">
        <f>IF(SalesData[[#This Row],[Profit]]&gt;0,"Profit","Loss")</f>
        <v>Profit</v>
      </c>
      <c r="Y117" s="19" t="str">
        <f>IF(AND(SalesData[[#This Row],[Sales]]&gt;= 50000, SalesData[[#This Row],[Quantity]]&gt;=2),"Yes","No")</f>
        <v>No</v>
      </c>
      <c r="Z117" s="19" t="str">
        <f>UPPER(SalesData[[#This Row],[Customer_Name]])</f>
        <v>SIMRAN KAUR</v>
      </c>
      <c r="AA117" s="19" t="str">
        <f>LOWER(SalesData[[#This Row],[Customer_Name]])</f>
        <v>simran kaur</v>
      </c>
      <c r="AB117" s="19">
        <f>LEN(SalesData[[#This Row],[Customer_Name]])</f>
        <v>11</v>
      </c>
      <c r="AC117" s="19" t="str">
        <f>LEFT(SalesData[[#This Row],[Order_ID]],3)</f>
        <v>ORD</v>
      </c>
      <c r="AD117" s="19" t="str">
        <f>RIGHT(SalesData[[#This Row],[Order_ID]],4)</f>
        <v>0162</v>
      </c>
      <c r="AE117" s="19" t="str">
        <f>_xlfn.CONCAT(SalesData[[#This Row],[Clean_Customer_Name]],"-",SalesData[[#This Row],[Region]])</f>
        <v>Simran Kaur-North</v>
      </c>
      <c r="AF117" s="19" t="str">
        <f>MID(SalesData[[#This Row],[Order_ID]],4,4)</f>
        <v>0162</v>
      </c>
      <c r="AG117" s="19" t="e">
        <f ca="1">_xlfn.SINGLE(_xlfn.XLOOKUP(SalesData[[#This Row],[Product]],Product_Master!A:A,Product_Master!B:B,"Not Found"))</f>
        <v>#NAME?</v>
      </c>
      <c r="AH117" s="19" t="str">
        <f>VLOOKUP(SalesData[[#This Row],[Product]],Product_Master!$A$1:$B$21,2,FALSE)</f>
        <v>Simran</v>
      </c>
      <c r="AI117" s="16"/>
    </row>
    <row r="118" spans="1:35" ht="13.8">
      <c r="A118" s="16" t="s">
        <v>46</v>
      </c>
      <c r="B118" s="17">
        <v>45636</v>
      </c>
      <c r="C118" s="16" t="s">
        <v>47</v>
      </c>
      <c r="D118" s="16" t="s">
        <v>48</v>
      </c>
      <c r="E118" s="16" t="s">
        <v>49</v>
      </c>
      <c r="F118" s="16" t="s">
        <v>50</v>
      </c>
      <c r="G118" s="16" t="s">
        <v>51</v>
      </c>
      <c r="H118" s="16" t="s">
        <v>52</v>
      </c>
      <c r="I118" s="16" t="s">
        <v>53</v>
      </c>
      <c r="J118" s="16" t="s">
        <v>54</v>
      </c>
      <c r="K118" s="18">
        <v>7940.38</v>
      </c>
      <c r="L118" s="18">
        <v>6429.84</v>
      </c>
      <c r="M118" s="19">
        <v>1</v>
      </c>
      <c r="N118" s="20">
        <v>0.1</v>
      </c>
      <c r="O118" s="19" t="s">
        <v>34</v>
      </c>
      <c r="P118" s="19" t="s">
        <v>45</v>
      </c>
      <c r="Q118" s="19" t="str">
        <f>TRIM(SalesData[[#This Row],[Customer_Name]])</f>
        <v>Simran Kaur</v>
      </c>
      <c r="R118" s="21">
        <f>SalesData[[#This Row],[Sales]]-SalesData[[#This Row],[Cost]]</f>
        <v>1510.54</v>
      </c>
      <c r="S118" s="22">
        <f>IFERROR(SalesData[[#This Row],[Profit]]/SalesData[[#This Row],[Sales]],0)</f>
        <v>0.19023522803694531</v>
      </c>
      <c r="T118" s="19">
        <f>YEAR(SalesData[[#This Row],[Order_Date]])</f>
        <v>2024</v>
      </c>
      <c r="U118" s="19" t="str">
        <f>TEXT(SalesData[[#This Row],[Order_Date]],"mmm")</f>
        <v>Dec</v>
      </c>
      <c r="V118" s="19" t="str">
        <f>"Q"&amp;ROUNDUP(MONTH(SalesData[[#This Row],[Order_Date]])/3,0)</f>
        <v>Q4</v>
      </c>
      <c r="W118" s="19" t="str">
        <f>IF(SalesData[[#This Row],[Sales]]&gt;=50000,"High",IF(AND(SalesData[[#This Row],[Sales]]&gt;= 20000, SalesData[[#This Row],[Sales]]&lt; 50000),"Medium","Low"))</f>
        <v>Low</v>
      </c>
      <c r="X118" s="19" t="str">
        <f>IF(SalesData[[#This Row],[Profit]]&gt;0,"Profit","Loss")</f>
        <v>Profit</v>
      </c>
      <c r="Y118" s="19" t="str">
        <f>IF(AND(SalesData[[#This Row],[Sales]]&gt;= 50000, SalesData[[#This Row],[Quantity]]&gt;=2),"Yes","No")</f>
        <v>No</v>
      </c>
      <c r="Z118" s="19" t="str">
        <f>UPPER(SalesData[[#This Row],[Customer_Name]])</f>
        <v>SIMRAN KAUR</v>
      </c>
      <c r="AA118" s="19" t="str">
        <f>LOWER(SalesData[[#This Row],[Customer_Name]])</f>
        <v>simran kaur</v>
      </c>
      <c r="AB118" s="19">
        <f>LEN(SalesData[[#This Row],[Customer_Name]])</f>
        <v>11</v>
      </c>
      <c r="AC118" s="19" t="str">
        <f>LEFT(SalesData[[#This Row],[Order_ID]],3)</f>
        <v>ORD</v>
      </c>
      <c r="AD118" s="19" t="str">
        <f>RIGHT(SalesData[[#This Row],[Order_ID]],4)</f>
        <v>0004</v>
      </c>
      <c r="AE118" s="19" t="str">
        <f>_xlfn.CONCAT(SalesData[[#This Row],[Clean_Customer_Name]],"-",SalesData[[#This Row],[Region]])</f>
        <v>Simran Kaur-Central</v>
      </c>
      <c r="AF118" s="19" t="str">
        <f>MID(SalesData[[#This Row],[Order_ID]],4,4)</f>
        <v>0004</v>
      </c>
      <c r="AG118" s="19" t="e">
        <f ca="1">_xlfn.SINGLE(_xlfn.XLOOKUP(SalesData[[#This Row],[Product]],Product_Master!A:A,Product_Master!B:B,"Not Found"))</f>
        <v>#NAME?</v>
      </c>
      <c r="AH118" s="19" t="str">
        <f>VLOOKUP(SalesData[[#This Row],[Product]],Product_Master!$A$1:$B$21,2,FALSE)</f>
        <v>Rohan</v>
      </c>
      <c r="AI118" s="16"/>
    </row>
    <row r="119" spans="1:35" ht="13.8">
      <c r="A119" s="16" t="s">
        <v>760</v>
      </c>
      <c r="B119" s="17">
        <v>45929</v>
      </c>
      <c r="C119" s="16" t="s">
        <v>47</v>
      </c>
      <c r="D119" s="16" t="s">
        <v>48</v>
      </c>
      <c r="E119" s="16" t="s">
        <v>49</v>
      </c>
      <c r="F119" s="16" t="s">
        <v>50</v>
      </c>
      <c r="G119" s="16" t="s">
        <v>51</v>
      </c>
      <c r="H119" s="16" t="s">
        <v>52</v>
      </c>
      <c r="I119" s="16" t="s">
        <v>23</v>
      </c>
      <c r="J119" s="16" t="s">
        <v>24</v>
      </c>
      <c r="K119" s="18">
        <v>32884.54</v>
      </c>
      <c r="L119" s="18">
        <v>18951.27</v>
      </c>
      <c r="M119" s="19">
        <v>3</v>
      </c>
      <c r="N119" s="20">
        <v>0.15</v>
      </c>
      <c r="O119" s="19" t="s">
        <v>34</v>
      </c>
      <c r="P119" s="19" t="s">
        <v>58</v>
      </c>
      <c r="Q119" s="19" t="str">
        <f>TRIM(SalesData[[#This Row],[Customer_Name]])</f>
        <v>Simran Kaur</v>
      </c>
      <c r="R119" s="21">
        <f>SalesData[[#This Row],[Sales]]-SalesData[[#This Row],[Cost]]</f>
        <v>13933.27</v>
      </c>
      <c r="S119" s="22">
        <f>IFERROR(SalesData[[#This Row],[Profit]]/SalesData[[#This Row],[Sales]],0)</f>
        <v>0.42370274907296862</v>
      </c>
      <c r="T119" s="19">
        <f>YEAR(SalesData[[#This Row],[Order_Date]])</f>
        <v>2025</v>
      </c>
      <c r="U119" s="19" t="str">
        <f>TEXT(SalesData[[#This Row],[Order_Date]],"mmm")</f>
        <v>Sept</v>
      </c>
      <c r="V119" s="19" t="str">
        <f>"Q"&amp;ROUNDUP(MONTH(SalesData[[#This Row],[Order_Date]])/3,0)</f>
        <v>Q3</v>
      </c>
      <c r="W119" s="19" t="str">
        <f>IF(SalesData[[#This Row],[Sales]]&gt;=50000,"High",IF(AND(SalesData[[#This Row],[Sales]]&gt;= 20000, SalesData[[#This Row],[Sales]]&lt; 50000),"Medium","Low"))</f>
        <v>Medium</v>
      </c>
      <c r="X119" s="19" t="str">
        <f>IF(SalesData[[#This Row],[Profit]]&gt;0,"Profit","Loss")</f>
        <v>Profit</v>
      </c>
      <c r="Y119" s="19" t="str">
        <f>IF(AND(SalesData[[#This Row],[Sales]]&gt;= 50000, SalesData[[#This Row],[Quantity]]&gt;=2),"Yes","No")</f>
        <v>No</v>
      </c>
      <c r="Z119" s="19" t="str">
        <f>UPPER(SalesData[[#This Row],[Customer_Name]])</f>
        <v>SIMRAN KAUR</v>
      </c>
      <c r="AA119" s="19" t="str">
        <f>LOWER(SalesData[[#This Row],[Customer_Name]])</f>
        <v>simran kaur</v>
      </c>
      <c r="AB119" s="19">
        <f>LEN(SalesData[[#This Row],[Customer_Name]])</f>
        <v>11</v>
      </c>
      <c r="AC119" s="19" t="str">
        <f>LEFT(SalesData[[#This Row],[Order_ID]],3)</f>
        <v>ORD</v>
      </c>
      <c r="AD119" s="19" t="str">
        <f>RIGHT(SalesData[[#This Row],[Order_ID]],4)</f>
        <v>0607</v>
      </c>
      <c r="AE119" s="19" t="str">
        <f>_xlfn.CONCAT(SalesData[[#This Row],[Clean_Customer_Name]],"-",SalesData[[#This Row],[Region]])</f>
        <v>Simran Kaur-North</v>
      </c>
      <c r="AF119" s="19" t="str">
        <f>MID(SalesData[[#This Row],[Order_ID]],4,4)</f>
        <v>0607</v>
      </c>
      <c r="AG119" s="19" t="e">
        <f ca="1">_xlfn.SINGLE(_xlfn.XLOOKUP(SalesData[[#This Row],[Product]],Product_Master!A:A,Product_Master!B:B,"Not Found"))</f>
        <v>#NAME?</v>
      </c>
      <c r="AH119" s="19" t="str">
        <f>VLOOKUP(SalesData[[#This Row],[Product]],Product_Master!$A$1:$B$21,2,FALSE)</f>
        <v>Rohan</v>
      </c>
      <c r="AI119" s="16"/>
    </row>
    <row r="120" spans="1:35" ht="13.8">
      <c r="A120" s="16" t="s">
        <v>494</v>
      </c>
      <c r="B120" s="17">
        <v>45336</v>
      </c>
      <c r="C120" s="16" t="s">
        <v>47</v>
      </c>
      <c r="D120" s="16" t="s">
        <v>48</v>
      </c>
      <c r="E120" s="16" t="s">
        <v>175</v>
      </c>
      <c r="F120" s="16" t="s">
        <v>176</v>
      </c>
      <c r="G120" s="16" t="s">
        <v>51</v>
      </c>
      <c r="H120" s="16" t="s">
        <v>177</v>
      </c>
      <c r="I120" s="16" t="s">
        <v>23</v>
      </c>
      <c r="J120" s="16" t="s">
        <v>33</v>
      </c>
      <c r="K120" s="18">
        <v>45428.78</v>
      </c>
      <c r="L120" s="18">
        <v>34542.639999999999</v>
      </c>
      <c r="M120" s="19">
        <v>2</v>
      </c>
      <c r="N120" s="20">
        <v>0.1</v>
      </c>
      <c r="O120" s="19" t="s">
        <v>136</v>
      </c>
      <c r="P120" s="19" t="s">
        <v>58</v>
      </c>
      <c r="Q120" s="19" t="str">
        <f>TRIM(SalesData[[#This Row],[Customer_Name]])</f>
        <v>Simran Kaur</v>
      </c>
      <c r="R120" s="21">
        <f>SalesData[[#This Row],[Sales]]-SalesData[[#This Row],[Cost]]</f>
        <v>10886.14</v>
      </c>
      <c r="S120" s="22">
        <f>IFERROR(SalesData[[#This Row],[Profit]]/SalesData[[#This Row],[Sales]],0)</f>
        <v>0.2396309123863771</v>
      </c>
      <c r="T120" s="19">
        <f>YEAR(SalesData[[#This Row],[Order_Date]])</f>
        <v>2024</v>
      </c>
      <c r="U120" s="19" t="str">
        <f>TEXT(SalesData[[#This Row],[Order_Date]],"mmm")</f>
        <v>Feb</v>
      </c>
      <c r="V120" s="19" t="str">
        <f>"Q"&amp;ROUNDUP(MONTH(SalesData[[#This Row],[Order_Date]])/3,0)</f>
        <v>Q1</v>
      </c>
      <c r="W120" s="19" t="str">
        <f>IF(SalesData[[#This Row],[Sales]]&gt;=50000,"High",IF(AND(SalesData[[#This Row],[Sales]]&gt;= 20000, SalesData[[#This Row],[Sales]]&lt; 50000),"Medium","Low"))</f>
        <v>Medium</v>
      </c>
      <c r="X120" s="19" t="str">
        <f>IF(SalesData[[#This Row],[Profit]]&gt;0,"Profit","Loss")</f>
        <v>Profit</v>
      </c>
      <c r="Y120" s="19" t="str">
        <f>IF(AND(SalesData[[#This Row],[Sales]]&gt;= 50000, SalesData[[#This Row],[Quantity]]&gt;=2),"Yes","No")</f>
        <v>No</v>
      </c>
      <c r="Z120" s="19" t="str">
        <f>UPPER(SalesData[[#This Row],[Customer_Name]])</f>
        <v>SIMRAN KAUR</v>
      </c>
      <c r="AA120" s="19" t="str">
        <f>LOWER(SalesData[[#This Row],[Customer_Name]])</f>
        <v>simran kaur</v>
      </c>
      <c r="AB120" s="19">
        <f>LEN(SalesData[[#This Row],[Customer_Name]])</f>
        <v>11</v>
      </c>
      <c r="AC120" s="19" t="str">
        <f>LEFT(SalesData[[#This Row],[Order_ID]],3)</f>
        <v>ORD</v>
      </c>
      <c r="AD120" s="19" t="str">
        <f>RIGHT(SalesData[[#This Row],[Order_ID]],4)</f>
        <v>0341</v>
      </c>
      <c r="AE120" s="19" t="str">
        <f>_xlfn.CONCAT(SalesData[[#This Row],[Clean_Customer_Name]],"-",SalesData[[#This Row],[Region]])</f>
        <v>Simran Kaur-North</v>
      </c>
      <c r="AF120" s="19" t="str">
        <f>MID(SalesData[[#This Row],[Order_ID]],4,4)</f>
        <v>0341</v>
      </c>
      <c r="AG120" s="19" t="e">
        <f ca="1">_xlfn.SINGLE(_xlfn.XLOOKUP(SalesData[[#This Row],[Product]],Product_Master!A:A,Product_Master!B:B,"Not Found"))</f>
        <v>#NAME?</v>
      </c>
      <c r="AH120" s="19" t="str">
        <f>VLOOKUP(SalesData[[#This Row],[Product]],Product_Master!$A$1:$B$21,2,FALSE)</f>
        <v>Arjun</v>
      </c>
      <c r="AI120" s="16"/>
    </row>
    <row r="121" spans="1:35" ht="13.8">
      <c r="A121" s="16" t="s">
        <v>743</v>
      </c>
      <c r="B121" s="17">
        <v>46014</v>
      </c>
      <c r="C121" s="16" t="s">
        <v>47</v>
      </c>
      <c r="D121" s="16" t="s">
        <v>48</v>
      </c>
      <c r="E121" s="16" t="s">
        <v>123</v>
      </c>
      <c r="F121" s="16" t="s">
        <v>124</v>
      </c>
      <c r="G121" s="16" t="s">
        <v>51</v>
      </c>
      <c r="H121" s="16" t="s">
        <v>125</v>
      </c>
      <c r="I121" s="16" t="s">
        <v>42</v>
      </c>
      <c r="J121" s="16" t="s">
        <v>162</v>
      </c>
      <c r="K121" s="18">
        <v>132203.66</v>
      </c>
      <c r="L121" s="18">
        <v>97372.15</v>
      </c>
      <c r="M121" s="19">
        <v>5</v>
      </c>
      <c r="N121" s="20">
        <v>0.05</v>
      </c>
      <c r="O121" s="19" t="s">
        <v>34</v>
      </c>
      <c r="P121" s="19" t="s">
        <v>58</v>
      </c>
      <c r="Q121" s="19" t="str">
        <f>TRIM(SalesData[[#This Row],[Customer_Name]])</f>
        <v>Simran Kaur</v>
      </c>
      <c r="R121" s="21">
        <f>SalesData[[#This Row],[Sales]]-SalesData[[#This Row],[Cost]]</f>
        <v>34831.510000000009</v>
      </c>
      <c r="S121" s="22">
        <f>IFERROR(SalesData[[#This Row],[Profit]]/SalesData[[#This Row],[Sales]],0)</f>
        <v>0.26346857568088516</v>
      </c>
      <c r="T121" s="19">
        <f>YEAR(SalesData[[#This Row],[Order_Date]])</f>
        <v>2025</v>
      </c>
      <c r="U121" s="19" t="str">
        <f>TEXT(SalesData[[#This Row],[Order_Date]],"mmm")</f>
        <v>Dec</v>
      </c>
      <c r="V121" s="19" t="str">
        <f>"Q"&amp;ROUNDUP(MONTH(SalesData[[#This Row],[Order_Date]])/3,0)</f>
        <v>Q4</v>
      </c>
      <c r="W121" s="19" t="str">
        <f>IF(SalesData[[#This Row],[Sales]]&gt;=50000,"High",IF(AND(SalesData[[#This Row],[Sales]]&gt;= 20000, SalesData[[#This Row],[Sales]]&lt; 50000),"Medium","Low"))</f>
        <v>High</v>
      </c>
      <c r="X121" s="19" t="str">
        <f>IF(SalesData[[#This Row],[Profit]]&gt;0,"Profit","Loss")</f>
        <v>Profit</v>
      </c>
      <c r="Y121" s="19" t="str">
        <f>IF(AND(SalesData[[#This Row],[Sales]]&gt;= 50000, SalesData[[#This Row],[Quantity]]&gt;=2),"Yes","No")</f>
        <v>Yes</v>
      </c>
      <c r="Z121" s="19" t="str">
        <f>UPPER(SalesData[[#This Row],[Customer_Name]])</f>
        <v>SIMRAN KAUR</v>
      </c>
      <c r="AA121" s="19" t="str">
        <f>LOWER(SalesData[[#This Row],[Customer_Name]])</f>
        <v>simran kaur</v>
      </c>
      <c r="AB121" s="19">
        <f>LEN(SalesData[[#This Row],[Customer_Name]])</f>
        <v>11</v>
      </c>
      <c r="AC121" s="19" t="str">
        <f>LEFT(SalesData[[#This Row],[Order_ID]],3)</f>
        <v>ORD</v>
      </c>
      <c r="AD121" s="19" t="str">
        <f>RIGHT(SalesData[[#This Row],[Order_ID]],4)</f>
        <v>0590</v>
      </c>
      <c r="AE121" s="19" t="str">
        <f>_xlfn.CONCAT(SalesData[[#This Row],[Clean_Customer_Name]],"-",SalesData[[#This Row],[Region]])</f>
        <v>Simran Kaur-East</v>
      </c>
      <c r="AF121" s="19" t="str">
        <f>MID(SalesData[[#This Row],[Order_ID]],4,4)</f>
        <v>0590</v>
      </c>
      <c r="AG121" s="19" t="e">
        <f ca="1">_xlfn.SINGLE(_xlfn.XLOOKUP(SalesData[[#This Row],[Product]],Product_Master!A:A,Product_Master!B:B,"Not Found"))</f>
        <v>#NAME?</v>
      </c>
      <c r="AH121" s="19" t="str">
        <f>VLOOKUP(SalesData[[#This Row],[Product]],Product_Master!$A$1:$B$21,2,FALSE)</f>
        <v>Sneha</v>
      </c>
      <c r="AI121" s="16"/>
    </row>
    <row r="122" spans="1:35" ht="13.8">
      <c r="A122" s="16" t="s">
        <v>803</v>
      </c>
      <c r="B122" s="17">
        <v>45978</v>
      </c>
      <c r="C122" s="16" t="s">
        <v>47</v>
      </c>
      <c r="D122" s="16" t="s">
        <v>48</v>
      </c>
      <c r="E122" s="16" t="s">
        <v>123</v>
      </c>
      <c r="F122" s="16" t="s">
        <v>124</v>
      </c>
      <c r="G122" s="16" t="s">
        <v>51</v>
      </c>
      <c r="H122" s="16" t="s">
        <v>125</v>
      </c>
      <c r="I122" s="16" t="s">
        <v>53</v>
      </c>
      <c r="J122" s="16" t="s">
        <v>102</v>
      </c>
      <c r="K122" s="18">
        <v>42879.9</v>
      </c>
      <c r="L122" s="18">
        <v>33366.800000000003</v>
      </c>
      <c r="M122" s="19">
        <v>2</v>
      </c>
      <c r="N122" s="20">
        <v>0</v>
      </c>
      <c r="O122" s="19" t="s">
        <v>76</v>
      </c>
      <c r="P122" s="19" t="s">
        <v>98</v>
      </c>
      <c r="Q122" s="19" t="str">
        <f>TRIM(SalesData[[#This Row],[Customer_Name]])</f>
        <v>Simran Kaur</v>
      </c>
      <c r="R122" s="21">
        <f>SalesData[[#This Row],[Sales]]-SalesData[[#This Row],[Cost]]</f>
        <v>9513.0999999999985</v>
      </c>
      <c r="S122" s="22">
        <f>IFERROR(SalesData[[#This Row],[Profit]]/SalesData[[#This Row],[Sales]],0)</f>
        <v>0.22185452857865803</v>
      </c>
      <c r="T122" s="19">
        <f>YEAR(SalesData[[#This Row],[Order_Date]])</f>
        <v>2025</v>
      </c>
      <c r="U122" s="19" t="str">
        <f>TEXT(SalesData[[#This Row],[Order_Date]],"mmm")</f>
        <v>Nov</v>
      </c>
      <c r="V122" s="19" t="str">
        <f>"Q"&amp;ROUNDUP(MONTH(SalesData[[#This Row],[Order_Date]])/3,0)</f>
        <v>Q4</v>
      </c>
      <c r="W122" s="19" t="str">
        <f>IF(SalesData[[#This Row],[Sales]]&gt;=50000,"High",IF(AND(SalesData[[#This Row],[Sales]]&gt;= 20000, SalesData[[#This Row],[Sales]]&lt; 50000),"Medium","Low"))</f>
        <v>Medium</v>
      </c>
      <c r="X122" s="19" t="str">
        <f>IF(SalesData[[#This Row],[Profit]]&gt;0,"Profit","Loss")</f>
        <v>Profit</v>
      </c>
      <c r="Y122" s="19" t="str">
        <f>IF(AND(SalesData[[#This Row],[Sales]]&gt;= 50000, SalesData[[#This Row],[Quantity]]&gt;=2),"Yes","No")</f>
        <v>No</v>
      </c>
      <c r="Z122" s="19" t="str">
        <f>UPPER(SalesData[[#This Row],[Customer_Name]])</f>
        <v>SIMRAN KAUR</v>
      </c>
      <c r="AA122" s="19" t="str">
        <f>LOWER(SalesData[[#This Row],[Customer_Name]])</f>
        <v>simran kaur</v>
      </c>
      <c r="AB122" s="19">
        <f>LEN(SalesData[[#This Row],[Customer_Name]])</f>
        <v>11</v>
      </c>
      <c r="AC122" s="19" t="str">
        <f>LEFT(SalesData[[#This Row],[Order_ID]],3)</f>
        <v>ORD</v>
      </c>
      <c r="AD122" s="19" t="str">
        <f>RIGHT(SalesData[[#This Row],[Order_ID]],4)</f>
        <v>0650</v>
      </c>
      <c r="AE122" s="19" t="str">
        <f>_xlfn.CONCAT(SalesData[[#This Row],[Clean_Customer_Name]],"-",SalesData[[#This Row],[Region]])</f>
        <v>Simran Kaur-Central</v>
      </c>
      <c r="AF122" s="19" t="str">
        <f>MID(SalesData[[#This Row],[Order_ID]],4,4)</f>
        <v>0650</v>
      </c>
      <c r="AG122" s="19" t="e">
        <f ca="1">_xlfn.SINGLE(_xlfn.XLOOKUP(SalesData[[#This Row],[Product]],Product_Master!A:A,Product_Master!B:B,"Not Found"))</f>
        <v>#NAME?</v>
      </c>
      <c r="AH122" s="19" t="str">
        <f>VLOOKUP(SalesData[[#This Row],[Product]],Product_Master!$A$1:$B$21,2,FALSE)</f>
        <v>Sneha</v>
      </c>
      <c r="AI122" s="16"/>
    </row>
    <row r="123" spans="1:35" ht="13.8">
      <c r="A123" s="16" t="s">
        <v>830</v>
      </c>
      <c r="B123" s="17">
        <v>45880</v>
      </c>
      <c r="C123" s="16" t="s">
        <v>47</v>
      </c>
      <c r="D123" s="16" t="s">
        <v>48</v>
      </c>
      <c r="E123" s="16" t="s">
        <v>110</v>
      </c>
      <c r="F123" s="16" t="s">
        <v>111</v>
      </c>
      <c r="G123" s="16" t="s">
        <v>40</v>
      </c>
      <c r="H123" s="16" t="s">
        <v>112</v>
      </c>
      <c r="I123" s="16" t="s">
        <v>56</v>
      </c>
      <c r="J123" s="16" t="s">
        <v>91</v>
      </c>
      <c r="K123" s="18">
        <v>4063.26</v>
      </c>
      <c r="L123" s="18">
        <v>1203.69</v>
      </c>
      <c r="M123" s="19">
        <v>1</v>
      </c>
      <c r="N123" s="20">
        <v>0.15</v>
      </c>
      <c r="O123" s="19" t="s">
        <v>136</v>
      </c>
      <c r="P123" s="19" t="s">
        <v>26</v>
      </c>
      <c r="Q123" s="19" t="str">
        <f>TRIM(SalesData[[#This Row],[Customer_Name]])</f>
        <v>Simran Kaur</v>
      </c>
      <c r="R123" s="21">
        <f>SalesData[[#This Row],[Sales]]-SalesData[[#This Row],[Cost]]</f>
        <v>2859.57</v>
      </c>
      <c r="S123" s="22">
        <f>IFERROR(SalesData[[#This Row],[Profit]]/SalesData[[#This Row],[Sales]],0)</f>
        <v>0.70376249612380204</v>
      </c>
      <c r="T123" s="19">
        <f>YEAR(SalesData[[#This Row],[Order_Date]])</f>
        <v>2025</v>
      </c>
      <c r="U123" s="19" t="str">
        <f>TEXT(SalesData[[#This Row],[Order_Date]],"mmm")</f>
        <v>Aug</v>
      </c>
      <c r="V123" s="19" t="str">
        <f>"Q"&amp;ROUNDUP(MONTH(SalesData[[#This Row],[Order_Date]])/3,0)</f>
        <v>Q3</v>
      </c>
      <c r="W123" s="19" t="str">
        <f>IF(SalesData[[#This Row],[Sales]]&gt;=50000,"High",IF(AND(SalesData[[#This Row],[Sales]]&gt;= 20000, SalesData[[#This Row],[Sales]]&lt; 50000),"Medium","Low"))</f>
        <v>Low</v>
      </c>
      <c r="X123" s="19" t="str">
        <f>IF(SalesData[[#This Row],[Profit]]&gt;0,"Profit","Loss")</f>
        <v>Profit</v>
      </c>
      <c r="Y123" s="19" t="str">
        <f>IF(AND(SalesData[[#This Row],[Sales]]&gt;= 50000, SalesData[[#This Row],[Quantity]]&gt;=2),"Yes","No")</f>
        <v>No</v>
      </c>
      <c r="Z123" s="19" t="str">
        <f>UPPER(SalesData[[#This Row],[Customer_Name]])</f>
        <v>SIMRAN KAUR</v>
      </c>
      <c r="AA123" s="19" t="str">
        <f>LOWER(SalesData[[#This Row],[Customer_Name]])</f>
        <v>simran kaur</v>
      </c>
      <c r="AB123" s="19">
        <f>LEN(SalesData[[#This Row],[Customer_Name]])</f>
        <v>11</v>
      </c>
      <c r="AC123" s="19" t="str">
        <f>LEFT(SalesData[[#This Row],[Order_ID]],3)</f>
        <v>ORD</v>
      </c>
      <c r="AD123" s="19" t="str">
        <f>RIGHT(SalesData[[#This Row],[Order_ID]],4)</f>
        <v>0677</v>
      </c>
      <c r="AE123" s="19" t="str">
        <f>_xlfn.CONCAT(SalesData[[#This Row],[Clean_Customer_Name]],"-",SalesData[[#This Row],[Region]])</f>
        <v>Simran Kaur-West</v>
      </c>
      <c r="AF123" s="19" t="str">
        <f>MID(SalesData[[#This Row],[Order_ID]],4,4)</f>
        <v>0677</v>
      </c>
      <c r="AG123" s="19" t="e">
        <f ca="1">_xlfn.SINGLE(_xlfn.XLOOKUP(SalesData[[#This Row],[Product]],Product_Master!A:A,Product_Master!B:B,"Not Found"))</f>
        <v>#NAME?</v>
      </c>
      <c r="AH123" s="19" t="str">
        <f>VLOOKUP(SalesData[[#This Row],[Product]],Product_Master!$A$1:$B$21,2,FALSE)</f>
        <v>Vikas</v>
      </c>
      <c r="AI123" s="16"/>
    </row>
    <row r="124" spans="1:35" ht="13.8">
      <c r="A124" s="16" t="s">
        <v>866</v>
      </c>
      <c r="B124" s="17">
        <v>45844</v>
      </c>
      <c r="C124" s="16" t="s">
        <v>47</v>
      </c>
      <c r="D124" s="16" t="s">
        <v>48</v>
      </c>
      <c r="E124" s="16" t="s">
        <v>110</v>
      </c>
      <c r="F124" s="16" t="s">
        <v>111</v>
      </c>
      <c r="G124" s="16" t="s">
        <v>40</v>
      </c>
      <c r="H124" s="16" t="s">
        <v>112</v>
      </c>
      <c r="I124" s="16" t="s">
        <v>84</v>
      </c>
      <c r="J124" s="16" t="s">
        <v>85</v>
      </c>
      <c r="K124" s="18">
        <v>3231.89</v>
      </c>
      <c r="L124" s="18">
        <v>1235.77</v>
      </c>
      <c r="M124" s="19">
        <v>1</v>
      </c>
      <c r="N124" s="20">
        <v>0.2</v>
      </c>
      <c r="O124" s="19" t="s">
        <v>76</v>
      </c>
      <c r="P124" s="19" t="s">
        <v>58</v>
      </c>
      <c r="Q124" s="19" t="str">
        <f>TRIM(SalesData[[#This Row],[Customer_Name]])</f>
        <v>Simran Kaur</v>
      </c>
      <c r="R124" s="21">
        <f>SalesData[[#This Row],[Sales]]-SalesData[[#This Row],[Cost]]</f>
        <v>1996.12</v>
      </c>
      <c r="S124" s="22">
        <f>IFERROR(SalesData[[#This Row],[Profit]]/SalesData[[#This Row],[Sales]],0)</f>
        <v>0.6176324070435566</v>
      </c>
      <c r="T124" s="19">
        <f>YEAR(SalesData[[#This Row],[Order_Date]])</f>
        <v>2025</v>
      </c>
      <c r="U124" s="19" t="str">
        <f>TEXT(SalesData[[#This Row],[Order_Date]],"mmm")</f>
        <v>Jul</v>
      </c>
      <c r="V124" s="19" t="str">
        <f>"Q"&amp;ROUNDUP(MONTH(SalesData[[#This Row],[Order_Date]])/3,0)</f>
        <v>Q3</v>
      </c>
      <c r="W124" s="19" t="str">
        <f>IF(SalesData[[#This Row],[Sales]]&gt;=50000,"High",IF(AND(SalesData[[#This Row],[Sales]]&gt;= 20000, SalesData[[#This Row],[Sales]]&lt; 50000),"Medium","Low"))</f>
        <v>Low</v>
      </c>
      <c r="X124" s="19" t="str">
        <f>IF(SalesData[[#This Row],[Profit]]&gt;0,"Profit","Loss")</f>
        <v>Profit</v>
      </c>
      <c r="Y124" s="19" t="str">
        <f>IF(AND(SalesData[[#This Row],[Sales]]&gt;= 50000, SalesData[[#This Row],[Quantity]]&gt;=2),"Yes","No")</f>
        <v>No</v>
      </c>
      <c r="Z124" s="19" t="str">
        <f>UPPER(SalesData[[#This Row],[Customer_Name]])</f>
        <v>SIMRAN KAUR</v>
      </c>
      <c r="AA124" s="19" t="str">
        <f>LOWER(SalesData[[#This Row],[Customer_Name]])</f>
        <v>simran kaur</v>
      </c>
      <c r="AB124" s="19">
        <f>LEN(SalesData[[#This Row],[Customer_Name]])</f>
        <v>11</v>
      </c>
      <c r="AC124" s="19" t="str">
        <f>LEFT(SalesData[[#This Row],[Order_ID]],3)</f>
        <v>ORD</v>
      </c>
      <c r="AD124" s="19" t="str">
        <f>RIGHT(SalesData[[#This Row],[Order_ID]],4)</f>
        <v>0713</v>
      </c>
      <c r="AE124" s="19" t="str">
        <f>_xlfn.CONCAT(SalesData[[#This Row],[Clean_Customer_Name]],"-",SalesData[[#This Row],[Region]])</f>
        <v>Simran Kaur-South</v>
      </c>
      <c r="AF124" s="19" t="str">
        <f>MID(SalesData[[#This Row],[Order_ID]],4,4)</f>
        <v>0713</v>
      </c>
      <c r="AG124" s="19" t="e">
        <f ca="1">_xlfn.SINGLE(_xlfn.XLOOKUP(SalesData[[#This Row],[Product]],Product_Master!A:A,Product_Master!B:B,"Not Found"))</f>
        <v>#NAME?</v>
      </c>
      <c r="AH124" s="19" t="str">
        <f>VLOOKUP(SalesData[[#This Row],[Product]],Product_Master!$A$1:$B$21,2,FALSE)</f>
        <v>Vikas</v>
      </c>
      <c r="AI124" s="16"/>
    </row>
    <row r="125" spans="1:35" ht="13.8">
      <c r="A125" s="16" t="s">
        <v>477</v>
      </c>
      <c r="B125" s="17">
        <v>45874</v>
      </c>
      <c r="C125" s="16" t="s">
        <v>47</v>
      </c>
      <c r="D125" s="16" t="s">
        <v>48</v>
      </c>
      <c r="E125" s="16" t="s">
        <v>106</v>
      </c>
      <c r="F125" s="16" t="s">
        <v>107</v>
      </c>
      <c r="G125" s="16" t="s">
        <v>40</v>
      </c>
      <c r="H125" s="16" t="s">
        <v>108</v>
      </c>
      <c r="I125" s="16" t="s">
        <v>53</v>
      </c>
      <c r="J125" s="16" t="s">
        <v>102</v>
      </c>
      <c r="K125" s="18">
        <v>7828.4</v>
      </c>
      <c r="L125" s="18">
        <v>2724.64</v>
      </c>
      <c r="M125" s="19">
        <v>4</v>
      </c>
      <c r="N125" s="20">
        <v>0.15</v>
      </c>
      <c r="O125" s="19" t="s">
        <v>25</v>
      </c>
      <c r="P125" s="19" t="s">
        <v>58</v>
      </c>
      <c r="Q125" s="19" t="str">
        <f>TRIM(SalesData[[#This Row],[Customer_Name]])</f>
        <v>Simran Kaur</v>
      </c>
      <c r="R125" s="21">
        <f>SalesData[[#This Row],[Sales]]-SalesData[[#This Row],[Cost]]</f>
        <v>5103.76</v>
      </c>
      <c r="S125" s="22">
        <f>IFERROR(SalesData[[#This Row],[Profit]]/SalesData[[#This Row],[Sales]],0)</f>
        <v>0.65195442235961376</v>
      </c>
      <c r="T125" s="19">
        <f>YEAR(SalesData[[#This Row],[Order_Date]])</f>
        <v>2025</v>
      </c>
      <c r="U125" s="19" t="str">
        <f>TEXT(SalesData[[#This Row],[Order_Date]],"mmm")</f>
        <v>Aug</v>
      </c>
      <c r="V125" s="19" t="str">
        <f>"Q"&amp;ROUNDUP(MONTH(SalesData[[#This Row],[Order_Date]])/3,0)</f>
        <v>Q3</v>
      </c>
      <c r="W125" s="19" t="str">
        <f>IF(SalesData[[#This Row],[Sales]]&gt;=50000,"High",IF(AND(SalesData[[#This Row],[Sales]]&gt;= 20000, SalesData[[#This Row],[Sales]]&lt; 50000),"Medium","Low"))</f>
        <v>Low</v>
      </c>
      <c r="X125" s="19" t="str">
        <f>IF(SalesData[[#This Row],[Profit]]&gt;0,"Profit","Loss")</f>
        <v>Profit</v>
      </c>
      <c r="Y125" s="19" t="str">
        <f>IF(AND(SalesData[[#This Row],[Sales]]&gt;= 50000, SalesData[[#This Row],[Quantity]]&gt;=2),"Yes","No")</f>
        <v>No</v>
      </c>
      <c r="Z125" s="19" t="str">
        <f>UPPER(SalesData[[#This Row],[Customer_Name]])</f>
        <v>SIMRAN KAUR</v>
      </c>
      <c r="AA125" s="19" t="str">
        <f>LOWER(SalesData[[#This Row],[Customer_Name]])</f>
        <v>simran kaur</v>
      </c>
      <c r="AB125" s="19">
        <f>LEN(SalesData[[#This Row],[Customer_Name]])</f>
        <v>11</v>
      </c>
      <c r="AC125" s="19" t="str">
        <f>LEFT(SalesData[[#This Row],[Order_ID]],3)</f>
        <v>ORD</v>
      </c>
      <c r="AD125" s="19" t="str">
        <f>RIGHT(SalesData[[#This Row],[Order_ID]],4)</f>
        <v>0324</v>
      </c>
      <c r="AE125" s="19" t="str">
        <f>_xlfn.CONCAT(SalesData[[#This Row],[Clean_Customer_Name]],"-",SalesData[[#This Row],[Region]])</f>
        <v>Simran Kaur-Central</v>
      </c>
      <c r="AF125" s="19" t="str">
        <f>MID(SalesData[[#This Row],[Order_ID]],4,4)</f>
        <v>0324</v>
      </c>
      <c r="AG125" s="19" t="e">
        <f ca="1">_xlfn.SINGLE(_xlfn.XLOOKUP(SalesData[[#This Row],[Product]],Product_Master!A:A,Product_Master!B:B,"Not Found"))</f>
        <v>#NAME?</v>
      </c>
      <c r="AH125" s="19" t="str">
        <f>VLOOKUP(SalesData[[#This Row],[Product]],Product_Master!$A$1:$B$21,2,FALSE)</f>
        <v>Aditya</v>
      </c>
      <c r="AI125" s="16"/>
    </row>
    <row r="126" spans="1:35" ht="13.8">
      <c r="A126" s="16" t="s">
        <v>1118</v>
      </c>
      <c r="B126" s="17">
        <v>45949</v>
      </c>
      <c r="C126" s="16" t="s">
        <v>47</v>
      </c>
      <c r="D126" s="16" t="s">
        <v>48</v>
      </c>
      <c r="E126" s="16" t="s">
        <v>106</v>
      </c>
      <c r="F126" s="16" t="s">
        <v>107</v>
      </c>
      <c r="G126" s="16" t="s">
        <v>40</v>
      </c>
      <c r="H126" s="16" t="s">
        <v>108</v>
      </c>
      <c r="I126" s="16" t="s">
        <v>84</v>
      </c>
      <c r="J126" s="16" t="s">
        <v>85</v>
      </c>
      <c r="K126" s="18">
        <v>2036.33</v>
      </c>
      <c r="L126" s="18">
        <v>663.33</v>
      </c>
      <c r="M126" s="19">
        <v>1</v>
      </c>
      <c r="N126" s="20">
        <v>0.15</v>
      </c>
      <c r="O126" s="19" t="s">
        <v>44</v>
      </c>
      <c r="P126" s="19" t="s">
        <v>58</v>
      </c>
      <c r="Q126" s="19" t="str">
        <f>TRIM(SalesData[[#This Row],[Customer_Name]])</f>
        <v>Simran Kaur</v>
      </c>
      <c r="R126" s="21">
        <f>SalesData[[#This Row],[Sales]]-SalesData[[#This Row],[Cost]]</f>
        <v>1373</v>
      </c>
      <c r="S126" s="22">
        <f>IFERROR(SalesData[[#This Row],[Profit]]/SalesData[[#This Row],[Sales]],0)</f>
        <v>0.67425220863023183</v>
      </c>
      <c r="T126" s="19">
        <f>YEAR(SalesData[[#This Row],[Order_Date]])</f>
        <v>2025</v>
      </c>
      <c r="U126" s="19" t="str">
        <f>TEXT(SalesData[[#This Row],[Order_Date]],"mmm")</f>
        <v>Oct</v>
      </c>
      <c r="V126" s="19" t="str">
        <f>"Q"&amp;ROUNDUP(MONTH(SalesData[[#This Row],[Order_Date]])/3,0)</f>
        <v>Q4</v>
      </c>
      <c r="W126" s="19" t="str">
        <f>IF(SalesData[[#This Row],[Sales]]&gt;=50000,"High",IF(AND(SalesData[[#This Row],[Sales]]&gt;= 20000, SalesData[[#This Row],[Sales]]&lt; 50000),"Medium","Low"))</f>
        <v>Low</v>
      </c>
      <c r="X126" s="19" t="str">
        <f>IF(SalesData[[#This Row],[Profit]]&gt;0,"Profit","Loss")</f>
        <v>Profit</v>
      </c>
      <c r="Y126" s="19" t="str">
        <f>IF(AND(SalesData[[#This Row],[Sales]]&gt;= 50000, SalesData[[#This Row],[Quantity]]&gt;=2),"Yes","No")</f>
        <v>No</v>
      </c>
      <c r="Z126" s="19" t="str">
        <f>UPPER(SalesData[[#This Row],[Customer_Name]])</f>
        <v>SIMRAN KAUR</v>
      </c>
      <c r="AA126" s="19" t="str">
        <f>LOWER(SalesData[[#This Row],[Customer_Name]])</f>
        <v>simran kaur</v>
      </c>
      <c r="AB126" s="19">
        <f>LEN(SalesData[[#This Row],[Customer_Name]])</f>
        <v>11</v>
      </c>
      <c r="AC126" s="19" t="str">
        <f>LEFT(SalesData[[#This Row],[Order_ID]],3)</f>
        <v>ORD</v>
      </c>
      <c r="AD126" s="19" t="str">
        <f>RIGHT(SalesData[[#This Row],[Order_ID]],4)</f>
        <v>0965</v>
      </c>
      <c r="AE126" s="19" t="str">
        <f>_xlfn.CONCAT(SalesData[[#This Row],[Clean_Customer_Name]],"-",SalesData[[#This Row],[Region]])</f>
        <v>Simran Kaur-South</v>
      </c>
      <c r="AF126" s="19" t="str">
        <f>MID(SalesData[[#This Row],[Order_ID]],4,4)</f>
        <v>0965</v>
      </c>
      <c r="AG126" s="19" t="e">
        <f ca="1">_xlfn.SINGLE(_xlfn.XLOOKUP(SalesData[[#This Row],[Product]],Product_Master!A:A,Product_Master!B:B,"Not Found"))</f>
        <v>#NAME?</v>
      </c>
      <c r="AH126" s="19" t="str">
        <f>VLOOKUP(SalesData[[#This Row],[Product]],Product_Master!$A$1:$B$21,2,FALSE)</f>
        <v>Aditya</v>
      </c>
      <c r="AI126" s="16"/>
    </row>
    <row r="127" spans="1:35" ht="13.8">
      <c r="A127" s="16" t="s">
        <v>595</v>
      </c>
      <c r="B127" s="17">
        <v>46008</v>
      </c>
      <c r="C127" s="16" t="s">
        <v>47</v>
      </c>
      <c r="D127" s="16" t="s">
        <v>48</v>
      </c>
      <c r="E127" s="16" t="s">
        <v>132</v>
      </c>
      <c r="F127" s="16" t="s">
        <v>133</v>
      </c>
      <c r="G127" s="16" t="s">
        <v>40</v>
      </c>
      <c r="H127" s="16" t="s">
        <v>41</v>
      </c>
      <c r="I127" s="16" t="s">
        <v>42</v>
      </c>
      <c r="J127" s="16" t="s">
        <v>43</v>
      </c>
      <c r="K127" s="18">
        <v>4258.22</v>
      </c>
      <c r="L127" s="18">
        <v>1199.75</v>
      </c>
      <c r="M127" s="19">
        <v>5</v>
      </c>
      <c r="N127" s="20">
        <v>0.1</v>
      </c>
      <c r="O127" s="19" t="s">
        <v>34</v>
      </c>
      <c r="P127" s="19" t="s">
        <v>58</v>
      </c>
      <c r="Q127" s="19" t="str">
        <f>TRIM(SalesData[[#This Row],[Customer_Name]])</f>
        <v>Simran Kaur</v>
      </c>
      <c r="R127" s="21">
        <f>SalesData[[#This Row],[Sales]]-SalesData[[#This Row],[Cost]]</f>
        <v>3058.4700000000003</v>
      </c>
      <c r="S127" s="22">
        <f>IFERROR(SalesData[[#This Row],[Profit]]/SalesData[[#This Row],[Sales]],0)</f>
        <v>0.71825081841708505</v>
      </c>
      <c r="T127" s="19">
        <f>YEAR(SalesData[[#This Row],[Order_Date]])</f>
        <v>2025</v>
      </c>
      <c r="U127" s="19" t="str">
        <f>TEXT(SalesData[[#This Row],[Order_Date]],"mmm")</f>
        <v>Dec</v>
      </c>
      <c r="V127" s="19" t="str">
        <f>"Q"&amp;ROUNDUP(MONTH(SalesData[[#This Row],[Order_Date]])/3,0)</f>
        <v>Q4</v>
      </c>
      <c r="W127" s="19" t="str">
        <f>IF(SalesData[[#This Row],[Sales]]&gt;=50000,"High",IF(AND(SalesData[[#This Row],[Sales]]&gt;= 20000, SalesData[[#This Row],[Sales]]&lt; 50000),"Medium","Low"))</f>
        <v>Low</v>
      </c>
      <c r="X127" s="19" t="str">
        <f>IF(SalesData[[#This Row],[Profit]]&gt;0,"Profit","Loss")</f>
        <v>Profit</v>
      </c>
      <c r="Y127" s="19" t="str">
        <f>IF(AND(SalesData[[#This Row],[Sales]]&gt;= 50000, SalesData[[#This Row],[Quantity]]&gt;=2),"Yes","No")</f>
        <v>No</v>
      </c>
      <c r="Z127" s="19" t="str">
        <f>UPPER(SalesData[[#This Row],[Customer_Name]])</f>
        <v>SIMRAN KAUR</v>
      </c>
      <c r="AA127" s="19" t="str">
        <f>LOWER(SalesData[[#This Row],[Customer_Name]])</f>
        <v>simran kaur</v>
      </c>
      <c r="AB127" s="19">
        <f>LEN(SalesData[[#This Row],[Customer_Name]])</f>
        <v>11</v>
      </c>
      <c r="AC127" s="19" t="str">
        <f>LEFT(SalesData[[#This Row],[Order_ID]],3)</f>
        <v>ORD</v>
      </c>
      <c r="AD127" s="19" t="str">
        <f>RIGHT(SalesData[[#This Row],[Order_ID]],4)</f>
        <v>0442</v>
      </c>
      <c r="AE127" s="19" t="str">
        <f>_xlfn.CONCAT(SalesData[[#This Row],[Clean_Customer_Name]],"-",SalesData[[#This Row],[Region]])</f>
        <v>Simran Kaur-East</v>
      </c>
      <c r="AF127" s="19" t="str">
        <f>MID(SalesData[[#This Row],[Order_ID]],4,4)</f>
        <v>0442</v>
      </c>
      <c r="AG127" s="19" t="e">
        <f ca="1">_xlfn.SINGLE(_xlfn.XLOOKUP(SalesData[[#This Row],[Product]],Product_Master!A:A,Product_Master!B:B,"Not Found"))</f>
        <v>#NAME?</v>
      </c>
      <c r="AH127" s="19" t="str">
        <f>VLOOKUP(SalesData[[#This Row],[Product]],Product_Master!$A$1:$B$21,2,FALSE)</f>
        <v>Kavya</v>
      </c>
      <c r="AI127" s="16"/>
    </row>
    <row r="128" spans="1:35" ht="13.8">
      <c r="A128" s="16" t="s">
        <v>1003</v>
      </c>
      <c r="B128" s="17">
        <v>45711</v>
      </c>
      <c r="C128" s="16" t="s">
        <v>47</v>
      </c>
      <c r="D128" s="16" t="s">
        <v>48</v>
      </c>
      <c r="E128" s="16" t="s">
        <v>132</v>
      </c>
      <c r="F128" s="16" t="s">
        <v>133</v>
      </c>
      <c r="G128" s="16" t="s">
        <v>40</v>
      </c>
      <c r="H128" s="16" t="s">
        <v>41</v>
      </c>
      <c r="I128" s="16" t="s">
        <v>56</v>
      </c>
      <c r="J128" s="16" t="s">
        <v>91</v>
      </c>
      <c r="K128" s="18">
        <v>2839.43</v>
      </c>
      <c r="L128" s="18">
        <v>1090.3599999999999</v>
      </c>
      <c r="M128" s="19">
        <v>4</v>
      </c>
      <c r="N128" s="20">
        <v>0.1</v>
      </c>
      <c r="O128" s="19" t="s">
        <v>25</v>
      </c>
      <c r="P128" s="19" t="s">
        <v>98</v>
      </c>
      <c r="Q128" s="19" t="str">
        <f>TRIM(SalesData[[#This Row],[Customer_Name]])</f>
        <v>Simran Kaur</v>
      </c>
      <c r="R128" s="21">
        <f>SalesData[[#This Row],[Sales]]-SalesData[[#This Row],[Cost]]</f>
        <v>1749.07</v>
      </c>
      <c r="S128" s="22">
        <f>IFERROR(SalesData[[#This Row],[Profit]]/SalesData[[#This Row],[Sales]],0)</f>
        <v>0.6159933507781491</v>
      </c>
      <c r="T128" s="19">
        <f>YEAR(SalesData[[#This Row],[Order_Date]])</f>
        <v>2025</v>
      </c>
      <c r="U128" s="19" t="str">
        <f>TEXT(SalesData[[#This Row],[Order_Date]],"mmm")</f>
        <v>Feb</v>
      </c>
      <c r="V128" s="19" t="str">
        <f>"Q"&amp;ROUNDUP(MONTH(SalesData[[#This Row],[Order_Date]])/3,0)</f>
        <v>Q1</v>
      </c>
      <c r="W128" s="19" t="str">
        <f>IF(SalesData[[#This Row],[Sales]]&gt;=50000,"High",IF(AND(SalesData[[#This Row],[Sales]]&gt;= 20000, SalesData[[#This Row],[Sales]]&lt; 50000),"Medium","Low"))</f>
        <v>Low</v>
      </c>
      <c r="X128" s="19" t="str">
        <f>IF(SalesData[[#This Row],[Profit]]&gt;0,"Profit","Loss")</f>
        <v>Profit</v>
      </c>
      <c r="Y128" s="19" t="str">
        <f>IF(AND(SalesData[[#This Row],[Sales]]&gt;= 50000, SalesData[[#This Row],[Quantity]]&gt;=2),"Yes","No")</f>
        <v>No</v>
      </c>
      <c r="Z128" s="19" t="str">
        <f>UPPER(SalesData[[#This Row],[Customer_Name]])</f>
        <v>SIMRAN KAUR</v>
      </c>
      <c r="AA128" s="19" t="str">
        <f>LOWER(SalesData[[#This Row],[Customer_Name]])</f>
        <v>simran kaur</v>
      </c>
      <c r="AB128" s="19">
        <f>LEN(SalesData[[#This Row],[Customer_Name]])</f>
        <v>11</v>
      </c>
      <c r="AC128" s="19" t="str">
        <f>LEFT(SalesData[[#This Row],[Order_ID]],3)</f>
        <v>ORD</v>
      </c>
      <c r="AD128" s="19" t="str">
        <f>RIGHT(SalesData[[#This Row],[Order_ID]],4)</f>
        <v>0850</v>
      </c>
      <c r="AE128" s="19" t="str">
        <f>_xlfn.CONCAT(SalesData[[#This Row],[Clean_Customer_Name]],"-",SalesData[[#This Row],[Region]])</f>
        <v>Simran Kaur-West</v>
      </c>
      <c r="AF128" s="19" t="str">
        <f>MID(SalesData[[#This Row],[Order_ID]],4,4)</f>
        <v>0850</v>
      </c>
      <c r="AG128" s="19" t="e">
        <f ca="1">_xlfn.SINGLE(_xlfn.XLOOKUP(SalesData[[#This Row],[Product]],Product_Master!A:A,Product_Master!B:B,"Not Found"))</f>
        <v>#NAME?</v>
      </c>
      <c r="AH128" s="19" t="str">
        <f>VLOOKUP(SalesData[[#This Row],[Product]],Product_Master!$A$1:$B$21,2,FALSE)</f>
        <v>Kavya</v>
      </c>
      <c r="AI128" s="16"/>
    </row>
    <row r="129" spans="1:35" ht="13.8">
      <c r="A129" s="16" t="s">
        <v>251</v>
      </c>
      <c r="B129" s="17">
        <v>45787</v>
      </c>
      <c r="C129" s="16" t="s">
        <v>47</v>
      </c>
      <c r="D129" s="16" t="s">
        <v>48</v>
      </c>
      <c r="E129" s="16" t="s">
        <v>38</v>
      </c>
      <c r="F129" s="16" t="s">
        <v>39</v>
      </c>
      <c r="G129" s="16" t="s">
        <v>40</v>
      </c>
      <c r="H129" s="16" t="s">
        <v>41</v>
      </c>
      <c r="I129" s="16" t="s">
        <v>56</v>
      </c>
      <c r="J129" s="16" t="s">
        <v>57</v>
      </c>
      <c r="K129" s="18">
        <v>4642.53</v>
      </c>
      <c r="L129" s="18">
        <v>1449.72</v>
      </c>
      <c r="M129" s="19">
        <v>3</v>
      </c>
      <c r="N129" s="20">
        <v>0.15</v>
      </c>
      <c r="O129" s="19" t="s">
        <v>136</v>
      </c>
      <c r="P129" s="19" t="s">
        <v>77</v>
      </c>
      <c r="Q129" s="19" t="str">
        <f>TRIM(SalesData[[#This Row],[Customer_Name]])</f>
        <v>Simran Kaur</v>
      </c>
      <c r="R129" s="21">
        <f>SalesData[[#This Row],[Sales]]-SalesData[[#This Row],[Cost]]</f>
        <v>3192.8099999999995</v>
      </c>
      <c r="S129" s="22">
        <f>IFERROR(SalesData[[#This Row],[Profit]]/SalesData[[#This Row],[Sales]],0)</f>
        <v>0.68773061240315081</v>
      </c>
      <c r="T129" s="19">
        <f>YEAR(SalesData[[#This Row],[Order_Date]])</f>
        <v>2025</v>
      </c>
      <c r="U129" s="19" t="str">
        <f>TEXT(SalesData[[#This Row],[Order_Date]],"mmm")</f>
        <v>May</v>
      </c>
      <c r="V129" s="19" t="str">
        <f>"Q"&amp;ROUNDUP(MONTH(SalesData[[#This Row],[Order_Date]])/3,0)</f>
        <v>Q2</v>
      </c>
      <c r="W129" s="19" t="str">
        <f>IF(SalesData[[#This Row],[Sales]]&gt;=50000,"High",IF(AND(SalesData[[#This Row],[Sales]]&gt;= 20000, SalesData[[#This Row],[Sales]]&lt; 50000),"Medium","Low"))</f>
        <v>Low</v>
      </c>
      <c r="X129" s="19" t="str">
        <f>IF(SalesData[[#This Row],[Profit]]&gt;0,"Profit","Loss")</f>
        <v>Profit</v>
      </c>
      <c r="Y129" s="19" t="str">
        <f>IF(AND(SalesData[[#This Row],[Sales]]&gt;= 50000, SalesData[[#This Row],[Quantity]]&gt;=2),"Yes","No")</f>
        <v>No</v>
      </c>
      <c r="Z129" s="19" t="str">
        <f>UPPER(SalesData[[#This Row],[Customer_Name]])</f>
        <v>SIMRAN KAUR</v>
      </c>
      <c r="AA129" s="19" t="str">
        <f>LOWER(SalesData[[#This Row],[Customer_Name]])</f>
        <v>simran kaur</v>
      </c>
      <c r="AB129" s="19">
        <f>LEN(SalesData[[#This Row],[Customer_Name]])</f>
        <v>11</v>
      </c>
      <c r="AC129" s="19" t="str">
        <f>LEFT(SalesData[[#This Row],[Order_ID]],3)</f>
        <v>ORD</v>
      </c>
      <c r="AD129" s="19" t="str">
        <f>RIGHT(SalesData[[#This Row],[Order_ID]],4)</f>
        <v>0100</v>
      </c>
      <c r="AE129" s="19" t="str">
        <f>_xlfn.CONCAT(SalesData[[#This Row],[Clean_Customer_Name]],"-",SalesData[[#This Row],[Region]])</f>
        <v>Simran Kaur-West</v>
      </c>
      <c r="AF129" s="19" t="str">
        <f>MID(SalesData[[#This Row],[Order_ID]],4,4)</f>
        <v>0100</v>
      </c>
      <c r="AG129" s="19" t="e">
        <f ca="1">_xlfn.SINGLE(_xlfn.XLOOKUP(SalesData[[#This Row],[Product]],Product_Master!A:A,Product_Master!B:B,"Not Found"))</f>
        <v>#NAME?</v>
      </c>
      <c r="AH129" s="19" t="str">
        <f>VLOOKUP(SalesData[[#This Row],[Product]],Product_Master!$A$1:$B$21,2,FALSE)</f>
        <v>Manish</v>
      </c>
      <c r="AI129" s="16"/>
    </row>
    <row r="130" spans="1:35" ht="13.8">
      <c r="A130" s="16" t="s">
        <v>305</v>
      </c>
      <c r="B130" s="17">
        <v>45772</v>
      </c>
      <c r="C130" s="16" t="s">
        <v>47</v>
      </c>
      <c r="D130" s="16" t="s">
        <v>48</v>
      </c>
      <c r="E130" s="16" t="s">
        <v>38</v>
      </c>
      <c r="F130" s="16" t="s">
        <v>39</v>
      </c>
      <c r="G130" s="16" t="s">
        <v>40</v>
      </c>
      <c r="H130" s="16" t="s">
        <v>41</v>
      </c>
      <c r="I130" s="16" t="s">
        <v>23</v>
      </c>
      <c r="J130" s="16" t="s">
        <v>33</v>
      </c>
      <c r="K130" s="18">
        <v>5997.22</v>
      </c>
      <c r="L130" s="18">
        <v>2052.56</v>
      </c>
      <c r="M130" s="19">
        <v>4</v>
      </c>
      <c r="N130" s="20">
        <v>0.2</v>
      </c>
      <c r="O130" s="19" t="s">
        <v>25</v>
      </c>
      <c r="P130" s="19" t="s">
        <v>77</v>
      </c>
      <c r="Q130" s="19" t="str">
        <f>TRIM(SalesData[[#This Row],[Customer_Name]])</f>
        <v>Simran Kaur</v>
      </c>
      <c r="R130" s="21">
        <f>SalesData[[#This Row],[Sales]]-SalesData[[#This Row],[Cost]]</f>
        <v>3944.6600000000003</v>
      </c>
      <c r="S130" s="22">
        <f>IFERROR(SalesData[[#This Row],[Profit]]/SalesData[[#This Row],[Sales]],0)</f>
        <v>0.65774808994834277</v>
      </c>
      <c r="T130" s="19">
        <f>YEAR(SalesData[[#This Row],[Order_Date]])</f>
        <v>2025</v>
      </c>
      <c r="U130" s="19" t="str">
        <f>TEXT(SalesData[[#This Row],[Order_Date]],"mmm")</f>
        <v>Apr</v>
      </c>
      <c r="V130" s="19" t="str">
        <f>"Q"&amp;ROUNDUP(MONTH(SalesData[[#This Row],[Order_Date]])/3,0)</f>
        <v>Q2</v>
      </c>
      <c r="W130" s="19" t="str">
        <f>IF(SalesData[[#This Row],[Sales]]&gt;=50000,"High",IF(AND(SalesData[[#This Row],[Sales]]&gt;= 20000, SalesData[[#This Row],[Sales]]&lt; 50000),"Medium","Low"))</f>
        <v>Low</v>
      </c>
      <c r="X130" s="19" t="str">
        <f>IF(SalesData[[#This Row],[Profit]]&gt;0,"Profit","Loss")</f>
        <v>Profit</v>
      </c>
      <c r="Y130" s="19" t="str">
        <f>IF(AND(SalesData[[#This Row],[Sales]]&gt;= 50000, SalesData[[#This Row],[Quantity]]&gt;=2),"Yes","No")</f>
        <v>No</v>
      </c>
      <c r="Z130" s="19" t="str">
        <f>UPPER(SalesData[[#This Row],[Customer_Name]])</f>
        <v>SIMRAN KAUR</v>
      </c>
      <c r="AA130" s="19" t="str">
        <f>LOWER(SalesData[[#This Row],[Customer_Name]])</f>
        <v>simran kaur</v>
      </c>
      <c r="AB130" s="19">
        <f>LEN(SalesData[[#This Row],[Customer_Name]])</f>
        <v>11</v>
      </c>
      <c r="AC130" s="19" t="str">
        <f>LEFT(SalesData[[#This Row],[Order_ID]],3)</f>
        <v>ORD</v>
      </c>
      <c r="AD130" s="19" t="str">
        <f>RIGHT(SalesData[[#This Row],[Order_ID]],4)</f>
        <v>0152</v>
      </c>
      <c r="AE130" s="19" t="str">
        <f>_xlfn.CONCAT(SalesData[[#This Row],[Clean_Customer_Name]],"-",SalesData[[#This Row],[Region]])</f>
        <v>Simran Kaur-North</v>
      </c>
      <c r="AF130" s="19" t="str">
        <f>MID(SalesData[[#This Row],[Order_ID]],4,4)</f>
        <v>0152</v>
      </c>
      <c r="AG130" s="19" t="e">
        <f ca="1">_xlfn.SINGLE(_xlfn.XLOOKUP(SalesData[[#This Row],[Product]],Product_Master!A:A,Product_Master!B:B,"Not Found"))</f>
        <v>#NAME?</v>
      </c>
      <c r="AH130" s="19" t="str">
        <f>VLOOKUP(SalesData[[#This Row],[Product]],Product_Master!$A$1:$B$21,2,FALSE)</f>
        <v>Manish</v>
      </c>
      <c r="AI130" s="16"/>
    </row>
    <row r="131" spans="1:35" ht="13.8">
      <c r="A131" s="16" t="s">
        <v>854</v>
      </c>
      <c r="B131" s="17">
        <v>45490</v>
      </c>
      <c r="C131" s="16" t="s">
        <v>47</v>
      </c>
      <c r="D131" s="16" t="s">
        <v>48</v>
      </c>
      <c r="E131" s="16" t="s">
        <v>38</v>
      </c>
      <c r="F131" s="16" t="s">
        <v>39</v>
      </c>
      <c r="G131" s="16" t="s">
        <v>40</v>
      </c>
      <c r="H131" s="16" t="s">
        <v>41</v>
      </c>
      <c r="I131" s="16" t="s">
        <v>42</v>
      </c>
      <c r="J131" s="16" t="s">
        <v>162</v>
      </c>
      <c r="K131" s="18">
        <v>2632.09</v>
      </c>
      <c r="L131" s="18">
        <v>1642.68</v>
      </c>
      <c r="M131" s="19">
        <v>3</v>
      </c>
      <c r="N131" s="20">
        <v>0.05</v>
      </c>
      <c r="O131" s="19" t="s">
        <v>25</v>
      </c>
      <c r="P131" s="19" t="s">
        <v>58</v>
      </c>
      <c r="Q131" s="19" t="str">
        <f>TRIM(SalesData[[#This Row],[Customer_Name]])</f>
        <v>Simran Kaur</v>
      </c>
      <c r="R131" s="21">
        <f>SalesData[[#This Row],[Sales]]-SalesData[[#This Row],[Cost]]</f>
        <v>989.41000000000008</v>
      </c>
      <c r="S131" s="22">
        <f>IFERROR(SalesData[[#This Row],[Profit]]/SalesData[[#This Row],[Sales]],0)</f>
        <v>0.37590279967630286</v>
      </c>
      <c r="T131" s="19">
        <f>YEAR(SalesData[[#This Row],[Order_Date]])</f>
        <v>2024</v>
      </c>
      <c r="U131" s="19" t="str">
        <f>TEXT(SalesData[[#This Row],[Order_Date]],"mmm")</f>
        <v>Jul</v>
      </c>
      <c r="V131" s="19" t="str">
        <f>"Q"&amp;ROUNDUP(MONTH(SalesData[[#This Row],[Order_Date]])/3,0)</f>
        <v>Q3</v>
      </c>
      <c r="W131" s="19" t="str">
        <f>IF(SalesData[[#This Row],[Sales]]&gt;=50000,"High",IF(AND(SalesData[[#This Row],[Sales]]&gt;= 20000, SalesData[[#This Row],[Sales]]&lt; 50000),"Medium","Low"))</f>
        <v>Low</v>
      </c>
      <c r="X131" s="19" t="str">
        <f>IF(SalesData[[#This Row],[Profit]]&gt;0,"Profit","Loss")</f>
        <v>Profit</v>
      </c>
      <c r="Y131" s="19" t="str">
        <f>IF(AND(SalesData[[#This Row],[Sales]]&gt;= 50000, SalesData[[#This Row],[Quantity]]&gt;=2),"Yes","No")</f>
        <v>No</v>
      </c>
      <c r="Z131" s="19" t="str">
        <f>UPPER(SalesData[[#This Row],[Customer_Name]])</f>
        <v>SIMRAN KAUR</v>
      </c>
      <c r="AA131" s="19" t="str">
        <f>LOWER(SalesData[[#This Row],[Customer_Name]])</f>
        <v>simran kaur</v>
      </c>
      <c r="AB131" s="19">
        <f>LEN(SalesData[[#This Row],[Customer_Name]])</f>
        <v>11</v>
      </c>
      <c r="AC131" s="19" t="str">
        <f>LEFT(SalesData[[#This Row],[Order_ID]],3)</f>
        <v>ORD</v>
      </c>
      <c r="AD131" s="19" t="str">
        <f>RIGHT(SalesData[[#This Row],[Order_ID]],4)</f>
        <v>0701</v>
      </c>
      <c r="AE131" s="19" t="str">
        <f>_xlfn.CONCAT(SalesData[[#This Row],[Clean_Customer_Name]],"-",SalesData[[#This Row],[Region]])</f>
        <v>Simran Kaur-East</v>
      </c>
      <c r="AF131" s="19" t="str">
        <f>MID(SalesData[[#This Row],[Order_ID]],4,4)</f>
        <v>0701</v>
      </c>
      <c r="AG131" s="19" t="e">
        <f ca="1">_xlfn.SINGLE(_xlfn.XLOOKUP(SalesData[[#This Row],[Product]],Product_Master!A:A,Product_Master!B:B,"Not Found"))</f>
        <v>#NAME?</v>
      </c>
      <c r="AH131" s="19" t="str">
        <f>VLOOKUP(SalesData[[#This Row],[Product]],Product_Master!$A$1:$B$21,2,FALSE)</f>
        <v>Manish</v>
      </c>
      <c r="AI131" s="16"/>
    </row>
    <row r="132" spans="1:35" ht="13.8">
      <c r="A132" s="16" t="s">
        <v>121</v>
      </c>
      <c r="B132" s="17">
        <v>45461</v>
      </c>
      <c r="C132" s="16" t="s">
        <v>47</v>
      </c>
      <c r="D132" s="16" t="s">
        <v>48</v>
      </c>
      <c r="E132" s="16" t="s">
        <v>87</v>
      </c>
      <c r="F132" s="16" t="s">
        <v>88</v>
      </c>
      <c r="G132" s="16" t="s">
        <v>89</v>
      </c>
      <c r="H132" s="16" t="s">
        <v>90</v>
      </c>
      <c r="I132" s="16" t="s">
        <v>56</v>
      </c>
      <c r="J132" s="16" t="s">
        <v>57</v>
      </c>
      <c r="K132" s="18">
        <v>11768.7</v>
      </c>
      <c r="L132" s="18">
        <v>5429.88</v>
      </c>
      <c r="M132" s="19">
        <v>3</v>
      </c>
      <c r="N132" s="20">
        <v>0.05</v>
      </c>
      <c r="O132" s="19" t="s">
        <v>34</v>
      </c>
      <c r="P132" s="19" t="s">
        <v>58</v>
      </c>
      <c r="Q132" s="19" t="str">
        <f>TRIM(SalesData[[#This Row],[Customer_Name]])</f>
        <v>Simran Kaur</v>
      </c>
      <c r="R132" s="21">
        <f>SalesData[[#This Row],[Sales]]-SalesData[[#This Row],[Cost]]</f>
        <v>6338.8200000000006</v>
      </c>
      <c r="S132" s="22">
        <f>IFERROR(SalesData[[#This Row],[Profit]]/SalesData[[#This Row],[Sales]],0)</f>
        <v>0.53861683958296158</v>
      </c>
      <c r="T132" s="19">
        <f>YEAR(SalesData[[#This Row],[Order_Date]])</f>
        <v>2024</v>
      </c>
      <c r="U132" s="19" t="str">
        <f>TEXT(SalesData[[#This Row],[Order_Date]],"mmm")</f>
        <v>Jun</v>
      </c>
      <c r="V132" s="19" t="str">
        <f>"Q"&amp;ROUNDUP(MONTH(SalesData[[#This Row],[Order_Date]])/3,0)</f>
        <v>Q2</v>
      </c>
      <c r="W132" s="19" t="str">
        <f>IF(SalesData[[#This Row],[Sales]]&gt;=50000,"High",IF(AND(SalesData[[#This Row],[Sales]]&gt;= 20000, SalesData[[#This Row],[Sales]]&lt; 50000),"Medium","Low"))</f>
        <v>Low</v>
      </c>
      <c r="X132" s="19" t="str">
        <f>IF(SalesData[[#This Row],[Profit]]&gt;0,"Profit","Loss")</f>
        <v>Profit</v>
      </c>
      <c r="Y132" s="19" t="str">
        <f>IF(AND(SalesData[[#This Row],[Sales]]&gt;= 50000, SalesData[[#This Row],[Quantity]]&gt;=2),"Yes","No")</f>
        <v>No</v>
      </c>
      <c r="Z132" s="19" t="str">
        <f>UPPER(SalesData[[#This Row],[Customer_Name]])</f>
        <v>SIMRAN KAUR</v>
      </c>
      <c r="AA132" s="19" t="str">
        <f>LOWER(SalesData[[#This Row],[Customer_Name]])</f>
        <v>simran kaur</v>
      </c>
      <c r="AB132" s="19">
        <f>LEN(SalesData[[#This Row],[Customer_Name]])</f>
        <v>11</v>
      </c>
      <c r="AC132" s="19" t="str">
        <f>LEFT(SalesData[[#This Row],[Order_ID]],3)</f>
        <v>ORD</v>
      </c>
      <c r="AD132" s="19" t="str">
        <f>RIGHT(SalesData[[#This Row],[Order_ID]],4)</f>
        <v>0018</v>
      </c>
      <c r="AE132" s="19" t="str">
        <f>_xlfn.CONCAT(SalesData[[#This Row],[Clean_Customer_Name]],"-",SalesData[[#This Row],[Region]])</f>
        <v>Simran Kaur-West</v>
      </c>
      <c r="AF132" s="19" t="str">
        <f>MID(SalesData[[#This Row],[Order_ID]],4,4)</f>
        <v>0018</v>
      </c>
      <c r="AG132" s="19" t="e">
        <f ca="1">_xlfn.SINGLE(_xlfn.XLOOKUP(SalesData[[#This Row],[Product]],Product_Master!A:A,Product_Master!B:B,"Not Found"))</f>
        <v>#NAME?</v>
      </c>
      <c r="AH132" s="19" t="str">
        <f>VLOOKUP(SalesData[[#This Row],[Product]],Product_Master!$A$1:$B$21,2,FALSE)</f>
        <v>Rahul</v>
      </c>
      <c r="AI132" s="16"/>
    </row>
    <row r="133" spans="1:35" ht="13.8">
      <c r="A133" s="16" t="s">
        <v>1062</v>
      </c>
      <c r="B133" s="17">
        <v>45909</v>
      </c>
      <c r="C133" s="16" t="s">
        <v>47</v>
      </c>
      <c r="D133" s="16" t="s">
        <v>48</v>
      </c>
      <c r="E133" s="16" t="s">
        <v>87</v>
      </c>
      <c r="F133" s="16" t="s">
        <v>88</v>
      </c>
      <c r="G133" s="16" t="s">
        <v>89</v>
      </c>
      <c r="H133" s="16" t="s">
        <v>90</v>
      </c>
      <c r="I133" s="16" t="s">
        <v>84</v>
      </c>
      <c r="J133" s="16" t="s">
        <v>142</v>
      </c>
      <c r="K133" s="18">
        <v>12951.41</v>
      </c>
      <c r="L133" s="18">
        <v>5174.34</v>
      </c>
      <c r="M133" s="19">
        <v>3</v>
      </c>
      <c r="N133" s="20">
        <v>0.2</v>
      </c>
      <c r="O133" s="19" t="s">
        <v>34</v>
      </c>
      <c r="P133" s="19" t="s">
        <v>58</v>
      </c>
      <c r="Q133" s="19" t="str">
        <f>TRIM(SalesData[[#This Row],[Customer_Name]])</f>
        <v>Simran Kaur</v>
      </c>
      <c r="R133" s="21">
        <f>SalesData[[#This Row],[Sales]]-SalesData[[#This Row],[Cost]]</f>
        <v>7777.07</v>
      </c>
      <c r="S133" s="22">
        <f>IFERROR(SalesData[[#This Row],[Profit]]/SalesData[[#This Row],[Sales]],0)</f>
        <v>0.60048056543650463</v>
      </c>
      <c r="T133" s="19">
        <f>YEAR(SalesData[[#This Row],[Order_Date]])</f>
        <v>2025</v>
      </c>
      <c r="U133" s="19" t="str">
        <f>TEXT(SalesData[[#This Row],[Order_Date]],"mmm")</f>
        <v>Sept</v>
      </c>
      <c r="V133" s="19" t="str">
        <f>"Q"&amp;ROUNDUP(MONTH(SalesData[[#This Row],[Order_Date]])/3,0)</f>
        <v>Q3</v>
      </c>
      <c r="W133" s="19" t="str">
        <f>IF(SalesData[[#This Row],[Sales]]&gt;=50000,"High",IF(AND(SalesData[[#This Row],[Sales]]&gt;= 20000, SalesData[[#This Row],[Sales]]&lt; 50000),"Medium","Low"))</f>
        <v>Low</v>
      </c>
      <c r="X133" s="19" t="str">
        <f>IF(SalesData[[#This Row],[Profit]]&gt;0,"Profit","Loss")</f>
        <v>Profit</v>
      </c>
      <c r="Y133" s="19" t="str">
        <f>IF(AND(SalesData[[#This Row],[Sales]]&gt;= 50000, SalesData[[#This Row],[Quantity]]&gt;=2),"Yes","No")</f>
        <v>No</v>
      </c>
      <c r="Z133" s="19" t="str">
        <f>UPPER(SalesData[[#This Row],[Customer_Name]])</f>
        <v>SIMRAN KAUR</v>
      </c>
      <c r="AA133" s="19" t="str">
        <f>LOWER(SalesData[[#This Row],[Customer_Name]])</f>
        <v>simran kaur</v>
      </c>
      <c r="AB133" s="19">
        <f>LEN(SalesData[[#This Row],[Customer_Name]])</f>
        <v>11</v>
      </c>
      <c r="AC133" s="19" t="str">
        <f>LEFT(SalesData[[#This Row],[Order_ID]],3)</f>
        <v>ORD</v>
      </c>
      <c r="AD133" s="19" t="str">
        <f>RIGHT(SalesData[[#This Row],[Order_ID]],4)</f>
        <v>0909</v>
      </c>
      <c r="AE133" s="19" t="str">
        <f>_xlfn.CONCAT(SalesData[[#This Row],[Clean_Customer_Name]],"-",SalesData[[#This Row],[Region]])</f>
        <v>Simran Kaur-South</v>
      </c>
      <c r="AF133" s="19" t="str">
        <f>MID(SalesData[[#This Row],[Order_ID]],4,4)</f>
        <v>0909</v>
      </c>
      <c r="AG133" s="19" t="e">
        <f ca="1">_xlfn.SINGLE(_xlfn.XLOOKUP(SalesData[[#This Row],[Product]],Product_Master!A:A,Product_Master!B:B,"Not Found"))</f>
        <v>#NAME?</v>
      </c>
      <c r="AH133" s="19" t="str">
        <f>VLOOKUP(SalesData[[#This Row],[Product]],Product_Master!$A$1:$B$21,2,FALSE)</f>
        <v>Rahul</v>
      </c>
      <c r="AI133" s="16"/>
    </row>
    <row r="134" spans="1:35" ht="13.8">
      <c r="A134" s="16" t="s">
        <v>1149</v>
      </c>
      <c r="B134" s="17">
        <v>45381</v>
      </c>
      <c r="C134" s="16" t="s">
        <v>47</v>
      </c>
      <c r="D134" s="16" t="s">
        <v>48</v>
      </c>
      <c r="E134" s="16" t="s">
        <v>87</v>
      </c>
      <c r="F134" s="16" t="s">
        <v>88</v>
      </c>
      <c r="G134" s="16" t="s">
        <v>89</v>
      </c>
      <c r="H134" s="16" t="s">
        <v>90</v>
      </c>
      <c r="I134" s="16" t="s">
        <v>53</v>
      </c>
      <c r="J134" s="16" t="s">
        <v>54</v>
      </c>
      <c r="K134" s="18">
        <v>13992.18</v>
      </c>
      <c r="L134" s="18">
        <v>5758.95</v>
      </c>
      <c r="M134" s="19">
        <v>3</v>
      </c>
      <c r="N134" s="20">
        <v>0.15</v>
      </c>
      <c r="O134" s="19" t="s">
        <v>76</v>
      </c>
      <c r="P134" s="19" t="s">
        <v>98</v>
      </c>
      <c r="Q134" s="19" t="str">
        <f>TRIM(SalesData[[#This Row],[Customer_Name]])</f>
        <v>Simran Kaur</v>
      </c>
      <c r="R134" s="21">
        <f>SalesData[[#This Row],[Sales]]-SalesData[[#This Row],[Cost]]</f>
        <v>8233.23</v>
      </c>
      <c r="S134" s="22">
        <f>IFERROR(SalesData[[#This Row],[Profit]]/SalesData[[#This Row],[Sales]],0)</f>
        <v>0.5884165298045051</v>
      </c>
      <c r="T134" s="19">
        <f>YEAR(SalesData[[#This Row],[Order_Date]])</f>
        <v>2024</v>
      </c>
      <c r="U134" s="19" t="str">
        <f>TEXT(SalesData[[#This Row],[Order_Date]],"mmm")</f>
        <v>Mar</v>
      </c>
      <c r="V134" s="19" t="str">
        <f>"Q"&amp;ROUNDUP(MONTH(SalesData[[#This Row],[Order_Date]])/3,0)</f>
        <v>Q1</v>
      </c>
      <c r="W134" s="19" t="str">
        <f>IF(SalesData[[#This Row],[Sales]]&gt;=50000,"High",IF(AND(SalesData[[#This Row],[Sales]]&gt;= 20000, SalesData[[#This Row],[Sales]]&lt; 50000),"Medium","Low"))</f>
        <v>Low</v>
      </c>
      <c r="X134" s="19" t="str">
        <f>IF(SalesData[[#This Row],[Profit]]&gt;0,"Profit","Loss")</f>
        <v>Profit</v>
      </c>
      <c r="Y134" s="19" t="str">
        <f>IF(AND(SalesData[[#This Row],[Sales]]&gt;= 50000, SalesData[[#This Row],[Quantity]]&gt;=2),"Yes","No")</f>
        <v>No</v>
      </c>
      <c r="Z134" s="19" t="str">
        <f>UPPER(SalesData[[#This Row],[Customer_Name]])</f>
        <v>SIMRAN KAUR</v>
      </c>
      <c r="AA134" s="19" t="str">
        <f>LOWER(SalesData[[#This Row],[Customer_Name]])</f>
        <v>simran kaur</v>
      </c>
      <c r="AB134" s="19">
        <f>LEN(SalesData[[#This Row],[Customer_Name]])</f>
        <v>11</v>
      </c>
      <c r="AC134" s="19" t="str">
        <f>LEFT(SalesData[[#This Row],[Order_ID]],3)</f>
        <v>ORD</v>
      </c>
      <c r="AD134" s="19" t="str">
        <f>RIGHT(SalesData[[#This Row],[Order_ID]],4)</f>
        <v>0996</v>
      </c>
      <c r="AE134" s="19" t="str">
        <f>_xlfn.CONCAT(SalesData[[#This Row],[Clean_Customer_Name]],"-",SalesData[[#This Row],[Region]])</f>
        <v>Simran Kaur-Central</v>
      </c>
      <c r="AF134" s="19" t="str">
        <f>MID(SalesData[[#This Row],[Order_ID]],4,4)</f>
        <v>0996</v>
      </c>
      <c r="AG134" s="19" t="e">
        <f ca="1">_xlfn.SINGLE(_xlfn.XLOOKUP(SalesData[[#This Row],[Product]],Product_Master!A:A,Product_Master!B:B,"Not Found"))</f>
        <v>#NAME?</v>
      </c>
      <c r="AH134" s="19" t="str">
        <f>VLOOKUP(SalesData[[#This Row],[Product]],Product_Master!$A$1:$B$21,2,FALSE)</f>
        <v>Rahul</v>
      </c>
      <c r="AI134" s="16"/>
    </row>
    <row r="135" spans="1:35" ht="13.8">
      <c r="A135" s="16" t="s">
        <v>380</v>
      </c>
      <c r="B135" s="17">
        <v>45571</v>
      </c>
      <c r="C135" s="16" t="s">
        <v>47</v>
      </c>
      <c r="D135" s="16" t="s">
        <v>48</v>
      </c>
      <c r="E135" s="16" t="s">
        <v>182</v>
      </c>
      <c r="F135" s="16" t="s">
        <v>183</v>
      </c>
      <c r="G135" s="16" t="s">
        <v>89</v>
      </c>
      <c r="H135" s="16" t="s">
        <v>90</v>
      </c>
      <c r="I135" s="16" t="s">
        <v>56</v>
      </c>
      <c r="J135" s="16" t="s">
        <v>191</v>
      </c>
      <c r="K135" s="18">
        <v>15516.55</v>
      </c>
      <c r="L135" s="18">
        <v>12741.16</v>
      </c>
      <c r="M135" s="19">
        <v>2</v>
      </c>
      <c r="N135" s="20">
        <v>0.15</v>
      </c>
      <c r="O135" s="19" t="s">
        <v>44</v>
      </c>
      <c r="P135" s="19" t="s">
        <v>58</v>
      </c>
      <c r="Q135" s="19" t="str">
        <f>TRIM(SalesData[[#This Row],[Customer_Name]])</f>
        <v>Simran Kaur</v>
      </c>
      <c r="R135" s="21">
        <f>SalesData[[#This Row],[Sales]]-SalesData[[#This Row],[Cost]]</f>
        <v>2775.3899999999994</v>
      </c>
      <c r="S135" s="22">
        <f>IFERROR(SalesData[[#This Row],[Profit]]/SalesData[[#This Row],[Sales]],0)</f>
        <v>0.17886643616010001</v>
      </c>
      <c r="T135" s="19">
        <f>YEAR(SalesData[[#This Row],[Order_Date]])</f>
        <v>2024</v>
      </c>
      <c r="U135" s="19" t="str">
        <f>TEXT(SalesData[[#This Row],[Order_Date]],"mmm")</f>
        <v>Oct</v>
      </c>
      <c r="V135" s="19" t="str">
        <f>"Q"&amp;ROUNDUP(MONTH(SalesData[[#This Row],[Order_Date]])/3,0)</f>
        <v>Q4</v>
      </c>
      <c r="W135" s="19" t="str">
        <f>IF(SalesData[[#This Row],[Sales]]&gt;=50000,"High",IF(AND(SalesData[[#This Row],[Sales]]&gt;= 20000, SalesData[[#This Row],[Sales]]&lt; 50000),"Medium","Low"))</f>
        <v>Low</v>
      </c>
      <c r="X135" s="19" t="str">
        <f>IF(SalesData[[#This Row],[Profit]]&gt;0,"Profit","Loss")</f>
        <v>Profit</v>
      </c>
      <c r="Y135" s="19" t="str">
        <f>IF(AND(SalesData[[#This Row],[Sales]]&gt;= 50000, SalesData[[#This Row],[Quantity]]&gt;=2),"Yes","No")</f>
        <v>No</v>
      </c>
      <c r="Z135" s="19" t="str">
        <f>UPPER(SalesData[[#This Row],[Customer_Name]])</f>
        <v>SIMRAN KAUR</v>
      </c>
      <c r="AA135" s="19" t="str">
        <f>LOWER(SalesData[[#This Row],[Customer_Name]])</f>
        <v>simran kaur</v>
      </c>
      <c r="AB135" s="19">
        <f>LEN(SalesData[[#This Row],[Customer_Name]])</f>
        <v>11</v>
      </c>
      <c r="AC135" s="19" t="str">
        <f>LEFT(SalesData[[#This Row],[Order_ID]],3)</f>
        <v>ORD</v>
      </c>
      <c r="AD135" s="19" t="str">
        <f>RIGHT(SalesData[[#This Row],[Order_ID]],4)</f>
        <v>0227</v>
      </c>
      <c r="AE135" s="19" t="str">
        <f>_xlfn.CONCAT(SalesData[[#This Row],[Clean_Customer_Name]],"-",SalesData[[#This Row],[Region]])</f>
        <v>Simran Kaur-West</v>
      </c>
      <c r="AF135" s="19" t="str">
        <f>MID(SalesData[[#This Row],[Order_ID]],4,4)</f>
        <v>0227</v>
      </c>
      <c r="AG135" s="19" t="e">
        <f ca="1">_xlfn.SINGLE(_xlfn.XLOOKUP(SalesData[[#This Row],[Product]],Product_Master!A:A,Product_Master!B:B,"Not Found"))</f>
        <v>#NAME?</v>
      </c>
      <c r="AH135" s="19" t="str">
        <f>VLOOKUP(SalesData[[#This Row],[Product]],Product_Master!$A$1:$B$21,2,FALSE)</f>
        <v>Priya</v>
      </c>
      <c r="AI135" s="16"/>
    </row>
    <row r="136" spans="1:35" ht="13.8">
      <c r="A136" s="16" t="s">
        <v>638</v>
      </c>
      <c r="B136" s="17">
        <v>45878</v>
      </c>
      <c r="C136" s="16" t="s">
        <v>47</v>
      </c>
      <c r="D136" s="16" t="s">
        <v>48</v>
      </c>
      <c r="E136" s="16" t="s">
        <v>182</v>
      </c>
      <c r="F136" s="16" t="s">
        <v>183</v>
      </c>
      <c r="G136" s="16" t="s">
        <v>89</v>
      </c>
      <c r="H136" s="16" t="s">
        <v>90</v>
      </c>
      <c r="I136" s="16" t="s">
        <v>23</v>
      </c>
      <c r="J136" s="16" t="s">
        <v>24</v>
      </c>
      <c r="K136" s="18">
        <v>16340.25</v>
      </c>
      <c r="L136" s="18">
        <v>10934.18</v>
      </c>
      <c r="M136" s="19">
        <v>2</v>
      </c>
      <c r="N136" s="20">
        <v>0.05</v>
      </c>
      <c r="O136" s="19" t="s">
        <v>34</v>
      </c>
      <c r="P136" s="19" t="s">
        <v>26</v>
      </c>
      <c r="Q136" s="19" t="str">
        <f>TRIM(SalesData[[#This Row],[Customer_Name]])</f>
        <v>Simran Kaur</v>
      </c>
      <c r="R136" s="21">
        <f>SalesData[[#This Row],[Sales]]-SalesData[[#This Row],[Cost]]</f>
        <v>5406.07</v>
      </c>
      <c r="S136" s="22">
        <f>IFERROR(SalesData[[#This Row],[Profit]]/SalesData[[#This Row],[Sales]],0)</f>
        <v>0.33084377534003456</v>
      </c>
      <c r="T136" s="19">
        <f>YEAR(SalesData[[#This Row],[Order_Date]])</f>
        <v>2025</v>
      </c>
      <c r="U136" s="19" t="str">
        <f>TEXT(SalesData[[#This Row],[Order_Date]],"mmm")</f>
        <v>Aug</v>
      </c>
      <c r="V136" s="19" t="str">
        <f>"Q"&amp;ROUNDUP(MONTH(SalesData[[#This Row],[Order_Date]])/3,0)</f>
        <v>Q3</v>
      </c>
      <c r="W136" s="19" t="str">
        <f>IF(SalesData[[#This Row],[Sales]]&gt;=50000,"High",IF(AND(SalesData[[#This Row],[Sales]]&gt;= 20000, SalesData[[#This Row],[Sales]]&lt; 50000),"Medium","Low"))</f>
        <v>Low</v>
      </c>
      <c r="X136" s="19" t="str">
        <f>IF(SalesData[[#This Row],[Profit]]&gt;0,"Profit","Loss")</f>
        <v>Profit</v>
      </c>
      <c r="Y136" s="19" t="str">
        <f>IF(AND(SalesData[[#This Row],[Sales]]&gt;= 50000, SalesData[[#This Row],[Quantity]]&gt;=2),"Yes","No")</f>
        <v>No</v>
      </c>
      <c r="Z136" s="19" t="str">
        <f>UPPER(SalesData[[#This Row],[Customer_Name]])</f>
        <v>SIMRAN KAUR</v>
      </c>
      <c r="AA136" s="19" t="str">
        <f>LOWER(SalesData[[#This Row],[Customer_Name]])</f>
        <v>simran kaur</v>
      </c>
      <c r="AB136" s="19">
        <f>LEN(SalesData[[#This Row],[Customer_Name]])</f>
        <v>11</v>
      </c>
      <c r="AC136" s="19" t="str">
        <f>LEFT(SalesData[[#This Row],[Order_ID]],3)</f>
        <v>ORD</v>
      </c>
      <c r="AD136" s="19" t="str">
        <f>RIGHT(SalesData[[#This Row],[Order_ID]],4)</f>
        <v>0485</v>
      </c>
      <c r="AE136" s="19" t="str">
        <f>_xlfn.CONCAT(SalesData[[#This Row],[Clean_Customer_Name]],"-",SalesData[[#This Row],[Region]])</f>
        <v>Simran Kaur-North</v>
      </c>
      <c r="AF136" s="19" t="str">
        <f>MID(SalesData[[#This Row],[Order_ID]],4,4)</f>
        <v>0485</v>
      </c>
      <c r="AG136" s="19" t="e">
        <f ca="1">_xlfn.SINGLE(_xlfn.XLOOKUP(SalesData[[#This Row],[Product]],Product_Master!A:A,Product_Master!B:B,"Not Found"))</f>
        <v>#NAME?</v>
      </c>
      <c r="AH136" s="19" t="str">
        <f>VLOOKUP(SalesData[[#This Row],[Product]],Product_Master!$A$1:$B$21,2,FALSE)</f>
        <v>Priya</v>
      </c>
      <c r="AI136" s="16"/>
    </row>
    <row r="137" spans="1:35" ht="13.8">
      <c r="A137" s="16" t="s">
        <v>1017</v>
      </c>
      <c r="B137" s="17">
        <v>45788</v>
      </c>
      <c r="C137" s="16" t="s">
        <v>47</v>
      </c>
      <c r="D137" s="16" t="s">
        <v>48</v>
      </c>
      <c r="E137" s="16" t="s">
        <v>182</v>
      </c>
      <c r="F137" s="16" t="s">
        <v>183</v>
      </c>
      <c r="G137" s="16" t="s">
        <v>89</v>
      </c>
      <c r="H137" s="16" t="s">
        <v>90</v>
      </c>
      <c r="I137" s="16" t="s">
        <v>23</v>
      </c>
      <c r="J137" s="16" t="s">
        <v>75</v>
      </c>
      <c r="K137" s="18">
        <v>37916.61</v>
      </c>
      <c r="L137" s="18">
        <v>22221.040000000001</v>
      </c>
      <c r="M137" s="19">
        <v>4</v>
      </c>
      <c r="N137" s="20">
        <v>0.2</v>
      </c>
      <c r="O137" s="19" t="s">
        <v>25</v>
      </c>
      <c r="P137" s="19" t="s">
        <v>58</v>
      </c>
      <c r="Q137" s="19" t="str">
        <f>TRIM(SalesData[[#This Row],[Customer_Name]])</f>
        <v>Simran Kaur</v>
      </c>
      <c r="R137" s="21">
        <f>SalesData[[#This Row],[Sales]]-SalesData[[#This Row],[Cost]]</f>
        <v>15695.57</v>
      </c>
      <c r="S137" s="22">
        <f>IFERROR(SalesData[[#This Row],[Profit]]/SalesData[[#This Row],[Sales]],0)</f>
        <v>0.41394971755122623</v>
      </c>
      <c r="T137" s="19">
        <f>YEAR(SalesData[[#This Row],[Order_Date]])</f>
        <v>2025</v>
      </c>
      <c r="U137" s="19" t="str">
        <f>TEXT(SalesData[[#This Row],[Order_Date]],"mmm")</f>
        <v>May</v>
      </c>
      <c r="V137" s="19" t="str">
        <f>"Q"&amp;ROUNDUP(MONTH(SalesData[[#This Row],[Order_Date]])/3,0)</f>
        <v>Q2</v>
      </c>
      <c r="W137" s="19" t="str">
        <f>IF(SalesData[[#This Row],[Sales]]&gt;=50000,"High",IF(AND(SalesData[[#This Row],[Sales]]&gt;= 20000, SalesData[[#This Row],[Sales]]&lt; 50000),"Medium","Low"))</f>
        <v>Medium</v>
      </c>
      <c r="X137" s="19" t="str">
        <f>IF(SalesData[[#This Row],[Profit]]&gt;0,"Profit","Loss")</f>
        <v>Profit</v>
      </c>
      <c r="Y137" s="19" t="str">
        <f>IF(AND(SalesData[[#This Row],[Sales]]&gt;= 50000, SalesData[[#This Row],[Quantity]]&gt;=2),"Yes","No")</f>
        <v>No</v>
      </c>
      <c r="Z137" s="19" t="str">
        <f>UPPER(SalesData[[#This Row],[Customer_Name]])</f>
        <v>SIMRAN KAUR</v>
      </c>
      <c r="AA137" s="19" t="str">
        <f>LOWER(SalesData[[#This Row],[Customer_Name]])</f>
        <v>simran kaur</v>
      </c>
      <c r="AB137" s="19">
        <f>LEN(SalesData[[#This Row],[Customer_Name]])</f>
        <v>11</v>
      </c>
      <c r="AC137" s="19" t="str">
        <f>LEFT(SalesData[[#This Row],[Order_ID]],3)</f>
        <v>ORD</v>
      </c>
      <c r="AD137" s="19" t="str">
        <f>RIGHT(SalesData[[#This Row],[Order_ID]],4)</f>
        <v>0864</v>
      </c>
      <c r="AE137" s="19" t="str">
        <f>_xlfn.CONCAT(SalesData[[#This Row],[Clean_Customer_Name]],"-",SalesData[[#This Row],[Region]])</f>
        <v>Simran Kaur-North</v>
      </c>
      <c r="AF137" s="19" t="str">
        <f>MID(SalesData[[#This Row],[Order_ID]],4,4)</f>
        <v>0864</v>
      </c>
      <c r="AG137" s="19" t="e">
        <f ca="1">_xlfn.SINGLE(_xlfn.XLOOKUP(SalesData[[#This Row],[Product]],Product_Master!A:A,Product_Master!B:B,"Not Found"))</f>
        <v>#NAME?</v>
      </c>
      <c r="AH137" s="19" t="str">
        <f>VLOOKUP(SalesData[[#This Row],[Product]],Product_Master!$A$1:$B$21,2,FALSE)</f>
        <v>Priya</v>
      </c>
      <c r="AI137" s="16"/>
    </row>
    <row r="138" spans="1:35" ht="13.8">
      <c r="A138" s="16" t="s">
        <v>685</v>
      </c>
      <c r="B138" s="17">
        <v>45897</v>
      </c>
      <c r="C138" s="16" t="s">
        <v>47</v>
      </c>
      <c r="D138" s="16" t="s">
        <v>48</v>
      </c>
      <c r="E138" s="16" t="s">
        <v>187</v>
      </c>
      <c r="F138" s="16" t="s">
        <v>188</v>
      </c>
      <c r="G138" s="16" t="s">
        <v>89</v>
      </c>
      <c r="H138" s="16" t="s">
        <v>189</v>
      </c>
      <c r="I138" s="16" t="s">
        <v>23</v>
      </c>
      <c r="J138" s="16" t="s">
        <v>75</v>
      </c>
      <c r="K138" s="18">
        <v>45130.239999999998</v>
      </c>
      <c r="L138" s="18">
        <v>27261</v>
      </c>
      <c r="M138" s="19">
        <v>5</v>
      </c>
      <c r="N138" s="20">
        <v>0.2</v>
      </c>
      <c r="O138" s="19" t="s">
        <v>136</v>
      </c>
      <c r="P138" s="19" t="s">
        <v>45</v>
      </c>
      <c r="Q138" s="19" t="str">
        <f>TRIM(SalesData[[#This Row],[Customer_Name]])</f>
        <v>Simran Kaur</v>
      </c>
      <c r="R138" s="21">
        <f>SalesData[[#This Row],[Sales]]-SalesData[[#This Row],[Cost]]</f>
        <v>17869.239999999998</v>
      </c>
      <c r="S138" s="22">
        <f>IFERROR(SalesData[[#This Row],[Profit]]/SalesData[[#This Row],[Sales]],0)</f>
        <v>0.39594825996936861</v>
      </c>
      <c r="T138" s="19">
        <f>YEAR(SalesData[[#This Row],[Order_Date]])</f>
        <v>2025</v>
      </c>
      <c r="U138" s="19" t="str">
        <f>TEXT(SalesData[[#This Row],[Order_Date]],"mmm")</f>
        <v>Aug</v>
      </c>
      <c r="V138" s="19" t="str">
        <f>"Q"&amp;ROUNDUP(MONTH(SalesData[[#This Row],[Order_Date]])/3,0)</f>
        <v>Q3</v>
      </c>
      <c r="W138" s="19" t="str">
        <f>IF(SalesData[[#This Row],[Sales]]&gt;=50000,"High",IF(AND(SalesData[[#This Row],[Sales]]&gt;= 20000, SalesData[[#This Row],[Sales]]&lt; 50000),"Medium","Low"))</f>
        <v>Medium</v>
      </c>
      <c r="X138" s="19" t="str">
        <f>IF(SalesData[[#This Row],[Profit]]&gt;0,"Profit","Loss")</f>
        <v>Profit</v>
      </c>
      <c r="Y138" s="19" t="str">
        <f>IF(AND(SalesData[[#This Row],[Sales]]&gt;= 50000, SalesData[[#This Row],[Quantity]]&gt;=2),"Yes","No")</f>
        <v>No</v>
      </c>
      <c r="Z138" s="19" t="str">
        <f>UPPER(SalesData[[#This Row],[Customer_Name]])</f>
        <v>SIMRAN KAUR</v>
      </c>
      <c r="AA138" s="19" t="str">
        <f>LOWER(SalesData[[#This Row],[Customer_Name]])</f>
        <v>simran kaur</v>
      </c>
      <c r="AB138" s="19">
        <f>LEN(SalesData[[#This Row],[Customer_Name]])</f>
        <v>11</v>
      </c>
      <c r="AC138" s="19" t="str">
        <f>LEFT(SalesData[[#This Row],[Order_ID]],3)</f>
        <v>ORD</v>
      </c>
      <c r="AD138" s="19" t="str">
        <f>RIGHT(SalesData[[#This Row],[Order_ID]],4)</f>
        <v>0532</v>
      </c>
      <c r="AE138" s="19" t="str">
        <f>_xlfn.CONCAT(SalesData[[#This Row],[Clean_Customer_Name]],"-",SalesData[[#This Row],[Region]])</f>
        <v>Simran Kaur-North</v>
      </c>
      <c r="AF138" s="19" t="str">
        <f>MID(SalesData[[#This Row],[Order_ID]],4,4)</f>
        <v>0532</v>
      </c>
      <c r="AG138" s="19" t="e">
        <f ca="1">_xlfn.SINGLE(_xlfn.XLOOKUP(SalesData[[#This Row],[Product]],Product_Master!A:A,Product_Master!B:B,"Not Found"))</f>
        <v>#NAME?</v>
      </c>
      <c r="AH138" s="19" t="str">
        <f>VLOOKUP(SalesData[[#This Row],[Product]],Product_Master!$A$1:$B$21,2,FALSE)</f>
        <v>Amit</v>
      </c>
      <c r="AI138" s="16"/>
    </row>
    <row r="139" spans="1:35" ht="13.8">
      <c r="A139" s="16" t="s">
        <v>1094</v>
      </c>
      <c r="B139" s="17">
        <v>45781</v>
      </c>
      <c r="C139" s="16" t="s">
        <v>47</v>
      </c>
      <c r="D139" s="16" t="s">
        <v>48</v>
      </c>
      <c r="E139" s="16" t="s">
        <v>187</v>
      </c>
      <c r="F139" s="16" t="s">
        <v>188</v>
      </c>
      <c r="G139" s="16" t="s">
        <v>89</v>
      </c>
      <c r="H139" s="16" t="s">
        <v>189</v>
      </c>
      <c r="I139" s="16" t="s">
        <v>56</v>
      </c>
      <c r="J139" s="16" t="s">
        <v>91</v>
      </c>
      <c r="K139" s="18">
        <v>11723.51</v>
      </c>
      <c r="L139" s="18">
        <v>5377.89</v>
      </c>
      <c r="M139" s="19">
        <v>1</v>
      </c>
      <c r="N139" s="20">
        <v>0.05</v>
      </c>
      <c r="O139" s="19" t="s">
        <v>76</v>
      </c>
      <c r="P139" s="19" t="s">
        <v>58</v>
      </c>
      <c r="Q139" s="19" t="str">
        <f>TRIM(SalesData[[#This Row],[Customer_Name]])</f>
        <v>Simran Kaur</v>
      </c>
      <c r="R139" s="21">
        <f>SalesData[[#This Row],[Sales]]-SalesData[[#This Row],[Cost]]</f>
        <v>6345.62</v>
      </c>
      <c r="S139" s="22">
        <f>IFERROR(SalesData[[#This Row],[Profit]]/SalesData[[#This Row],[Sales]],0)</f>
        <v>0.54127304877122973</v>
      </c>
      <c r="T139" s="19">
        <f>YEAR(SalesData[[#This Row],[Order_Date]])</f>
        <v>2025</v>
      </c>
      <c r="U139" s="19" t="str">
        <f>TEXT(SalesData[[#This Row],[Order_Date]],"mmm")</f>
        <v>May</v>
      </c>
      <c r="V139" s="19" t="str">
        <f>"Q"&amp;ROUNDUP(MONTH(SalesData[[#This Row],[Order_Date]])/3,0)</f>
        <v>Q2</v>
      </c>
      <c r="W139" s="19" t="str">
        <f>IF(SalesData[[#This Row],[Sales]]&gt;=50000,"High",IF(AND(SalesData[[#This Row],[Sales]]&gt;= 20000, SalesData[[#This Row],[Sales]]&lt; 50000),"Medium","Low"))</f>
        <v>Low</v>
      </c>
      <c r="X139" s="19" t="str">
        <f>IF(SalesData[[#This Row],[Profit]]&gt;0,"Profit","Loss")</f>
        <v>Profit</v>
      </c>
      <c r="Y139" s="19" t="str">
        <f>IF(AND(SalesData[[#This Row],[Sales]]&gt;= 50000, SalesData[[#This Row],[Quantity]]&gt;=2),"Yes","No")</f>
        <v>No</v>
      </c>
      <c r="Z139" s="19" t="str">
        <f>UPPER(SalesData[[#This Row],[Customer_Name]])</f>
        <v>SIMRAN KAUR</v>
      </c>
      <c r="AA139" s="19" t="str">
        <f>LOWER(SalesData[[#This Row],[Customer_Name]])</f>
        <v>simran kaur</v>
      </c>
      <c r="AB139" s="19">
        <f>LEN(SalesData[[#This Row],[Customer_Name]])</f>
        <v>11</v>
      </c>
      <c r="AC139" s="19" t="str">
        <f>LEFT(SalesData[[#This Row],[Order_ID]],3)</f>
        <v>ORD</v>
      </c>
      <c r="AD139" s="19" t="str">
        <f>RIGHT(SalesData[[#This Row],[Order_ID]],4)</f>
        <v>0941</v>
      </c>
      <c r="AE139" s="19" t="str">
        <f>_xlfn.CONCAT(SalesData[[#This Row],[Clean_Customer_Name]],"-",SalesData[[#This Row],[Region]])</f>
        <v>Simran Kaur-West</v>
      </c>
      <c r="AF139" s="19" t="str">
        <f>MID(SalesData[[#This Row],[Order_ID]],4,4)</f>
        <v>0941</v>
      </c>
      <c r="AG139" s="19" t="e">
        <f ca="1">_xlfn.SINGLE(_xlfn.XLOOKUP(SalesData[[#This Row],[Product]],Product_Master!A:A,Product_Master!B:B,"Not Found"))</f>
        <v>#NAME?</v>
      </c>
      <c r="AH139" s="19" t="str">
        <f>VLOOKUP(SalesData[[#This Row],[Product]],Product_Master!$A$1:$B$21,2,FALSE)</f>
        <v>Amit</v>
      </c>
      <c r="AI139" s="16"/>
    </row>
    <row r="140" spans="1:35" ht="13.8">
      <c r="A140" s="16" t="s">
        <v>515</v>
      </c>
      <c r="B140" s="17">
        <v>45437</v>
      </c>
      <c r="C140" s="16" t="s">
        <v>47</v>
      </c>
      <c r="D140" s="16" t="s">
        <v>48</v>
      </c>
      <c r="E140" s="16" t="s">
        <v>95</v>
      </c>
      <c r="F140" s="16" t="s">
        <v>96</v>
      </c>
      <c r="G140" s="16" t="s">
        <v>89</v>
      </c>
      <c r="H140" s="16" t="s">
        <v>97</v>
      </c>
      <c r="I140" s="16" t="s">
        <v>42</v>
      </c>
      <c r="J140" s="16" t="s">
        <v>162</v>
      </c>
      <c r="K140" s="18">
        <v>8292.2000000000007</v>
      </c>
      <c r="L140" s="18">
        <v>3742.54</v>
      </c>
      <c r="M140" s="19">
        <v>1</v>
      </c>
      <c r="N140" s="20">
        <v>0</v>
      </c>
      <c r="O140" s="19" t="s">
        <v>44</v>
      </c>
      <c r="P140" s="19" t="s">
        <v>26</v>
      </c>
      <c r="Q140" s="19" t="str">
        <f>TRIM(SalesData[[#This Row],[Customer_Name]])</f>
        <v>Simran Kaur</v>
      </c>
      <c r="R140" s="21">
        <f>SalesData[[#This Row],[Sales]]-SalesData[[#This Row],[Cost]]</f>
        <v>4549.6600000000008</v>
      </c>
      <c r="S140" s="22">
        <f>IFERROR(SalesData[[#This Row],[Profit]]/SalesData[[#This Row],[Sales]],0)</f>
        <v>0.54866742239695143</v>
      </c>
      <c r="T140" s="19">
        <f>YEAR(SalesData[[#This Row],[Order_Date]])</f>
        <v>2024</v>
      </c>
      <c r="U140" s="19" t="str">
        <f>TEXT(SalesData[[#This Row],[Order_Date]],"mmm")</f>
        <v>May</v>
      </c>
      <c r="V140" s="19" t="str">
        <f>"Q"&amp;ROUNDUP(MONTH(SalesData[[#This Row],[Order_Date]])/3,0)</f>
        <v>Q2</v>
      </c>
      <c r="W140" s="19" t="str">
        <f>IF(SalesData[[#This Row],[Sales]]&gt;=50000,"High",IF(AND(SalesData[[#This Row],[Sales]]&gt;= 20000, SalesData[[#This Row],[Sales]]&lt; 50000),"Medium","Low"))</f>
        <v>Low</v>
      </c>
      <c r="X140" s="19" t="str">
        <f>IF(SalesData[[#This Row],[Profit]]&gt;0,"Profit","Loss")</f>
        <v>Profit</v>
      </c>
      <c r="Y140" s="19" t="str">
        <f>IF(AND(SalesData[[#This Row],[Sales]]&gt;= 50000, SalesData[[#This Row],[Quantity]]&gt;=2),"Yes","No")</f>
        <v>No</v>
      </c>
      <c r="Z140" s="19" t="str">
        <f>UPPER(SalesData[[#This Row],[Customer_Name]])</f>
        <v>SIMRAN KAUR</v>
      </c>
      <c r="AA140" s="19" t="str">
        <f>LOWER(SalesData[[#This Row],[Customer_Name]])</f>
        <v>simran kaur</v>
      </c>
      <c r="AB140" s="19">
        <f>LEN(SalesData[[#This Row],[Customer_Name]])</f>
        <v>11</v>
      </c>
      <c r="AC140" s="19" t="str">
        <f>LEFT(SalesData[[#This Row],[Order_ID]],3)</f>
        <v>ORD</v>
      </c>
      <c r="AD140" s="19" t="str">
        <f>RIGHT(SalesData[[#This Row],[Order_ID]],4)</f>
        <v>0362</v>
      </c>
      <c r="AE140" s="19" t="str">
        <f>_xlfn.CONCAT(SalesData[[#This Row],[Clean_Customer_Name]],"-",SalesData[[#This Row],[Region]])</f>
        <v>Simran Kaur-East</v>
      </c>
      <c r="AF140" s="19" t="str">
        <f>MID(SalesData[[#This Row],[Order_ID]],4,4)</f>
        <v>0362</v>
      </c>
      <c r="AG140" s="19" t="e">
        <f ca="1">_xlfn.SINGLE(_xlfn.XLOOKUP(SalesData[[#This Row],[Product]],Product_Master!A:A,Product_Master!B:B,"Not Found"))</f>
        <v>#NAME?</v>
      </c>
      <c r="AH140" s="19" t="str">
        <f>VLOOKUP(SalesData[[#This Row],[Product]],Product_Master!$A$1:$B$21,2,FALSE)</f>
        <v>Neha</v>
      </c>
      <c r="AI140" s="16"/>
    </row>
    <row r="141" spans="1:35" ht="13.8">
      <c r="A141" s="16" t="s">
        <v>211</v>
      </c>
      <c r="B141" s="17">
        <v>45319</v>
      </c>
      <c r="C141" s="16" t="s">
        <v>47</v>
      </c>
      <c r="D141" s="16" t="s">
        <v>48</v>
      </c>
      <c r="E141" s="16" t="s">
        <v>193</v>
      </c>
      <c r="F141" s="16" t="s">
        <v>194</v>
      </c>
      <c r="G141" s="16" t="s">
        <v>89</v>
      </c>
      <c r="H141" s="16" t="s">
        <v>90</v>
      </c>
      <c r="I141" s="16" t="s">
        <v>56</v>
      </c>
      <c r="J141" s="16" t="s">
        <v>57</v>
      </c>
      <c r="K141" s="18">
        <v>5582.4</v>
      </c>
      <c r="L141" s="18">
        <v>2036.76</v>
      </c>
      <c r="M141" s="19">
        <v>4</v>
      </c>
      <c r="N141" s="20">
        <v>0</v>
      </c>
      <c r="O141" s="19" t="s">
        <v>136</v>
      </c>
      <c r="P141" s="19" t="s">
        <v>58</v>
      </c>
      <c r="Q141" s="19" t="str">
        <f>TRIM(SalesData[[#This Row],[Customer_Name]])</f>
        <v>Simran Kaur</v>
      </c>
      <c r="R141" s="21">
        <f>SalesData[[#This Row],[Sales]]-SalesData[[#This Row],[Cost]]</f>
        <v>3545.6399999999994</v>
      </c>
      <c r="S141" s="22">
        <f>IFERROR(SalesData[[#This Row],[Profit]]/SalesData[[#This Row],[Sales]],0)</f>
        <v>0.63514617368873594</v>
      </c>
      <c r="T141" s="19">
        <f>YEAR(SalesData[[#This Row],[Order_Date]])</f>
        <v>2024</v>
      </c>
      <c r="U141" s="19" t="str">
        <f>TEXT(SalesData[[#This Row],[Order_Date]],"mmm")</f>
        <v>Jan</v>
      </c>
      <c r="V141" s="19" t="str">
        <f>"Q"&amp;ROUNDUP(MONTH(SalesData[[#This Row],[Order_Date]])/3,0)</f>
        <v>Q1</v>
      </c>
      <c r="W141" s="19" t="str">
        <f>IF(SalesData[[#This Row],[Sales]]&gt;=50000,"High",IF(AND(SalesData[[#This Row],[Sales]]&gt;= 20000, SalesData[[#This Row],[Sales]]&lt; 50000),"Medium","Low"))</f>
        <v>Low</v>
      </c>
      <c r="X141" s="19" t="str">
        <f>IF(SalesData[[#This Row],[Profit]]&gt;0,"Profit","Loss")</f>
        <v>Profit</v>
      </c>
      <c r="Y141" s="19" t="str">
        <f>IF(AND(SalesData[[#This Row],[Sales]]&gt;= 50000, SalesData[[#This Row],[Quantity]]&gt;=2),"Yes","No")</f>
        <v>No</v>
      </c>
      <c r="Z141" s="19" t="str">
        <f>UPPER(SalesData[[#This Row],[Customer_Name]])</f>
        <v>SIMRAN KAUR</v>
      </c>
      <c r="AA141" s="19" t="str">
        <f>LOWER(SalesData[[#This Row],[Customer_Name]])</f>
        <v>simran kaur</v>
      </c>
      <c r="AB141" s="19">
        <f>LEN(SalesData[[#This Row],[Customer_Name]])</f>
        <v>11</v>
      </c>
      <c r="AC141" s="19" t="str">
        <f>LEFT(SalesData[[#This Row],[Order_ID]],3)</f>
        <v>ORD</v>
      </c>
      <c r="AD141" s="19" t="str">
        <f>RIGHT(SalesData[[#This Row],[Order_ID]],4)</f>
        <v>0062</v>
      </c>
      <c r="AE141" s="19" t="str">
        <f>_xlfn.CONCAT(SalesData[[#This Row],[Clean_Customer_Name]],"-",SalesData[[#This Row],[Region]])</f>
        <v>Simran Kaur-West</v>
      </c>
      <c r="AF141" s="19" t="str">
        <f>MID(SalesData[[#This Row],[Order_ID]],4,4)</f>
        <v>0062</v>
      </c>
      <c r="AG141" s="19" t="e">
        <f ca="1">_xlfn.SINGLE(_xlfn.XLOOKUP(SalesData[[#This Row],[Product]],Product_Master!A:A,Product_Master!B:B,"Not Found"))</f>
        <v>#NAME?</v>
      </c>
      <c r="AH141" s="19" t="str">
        <f>VLOOKUP(SalesData[[#This Row],[Product]],Product_Master!$A$1:$B$21,2,FALSE)</f>
        <v>Simran</v>
      </c>
      <c r="AI141" s="16"/>
    </row>
    <row r="142" spans="1:35" ht="13.8">
      <c r="A142" s="16" t="s">
        <v>769</v>
      </c>
      <c r="B142" s="17">
        <v>45800</v>
      </c>
      <c r="C142" s="16" t="s">
        <v>47</v>
      </c>
      <c r="D142" s="16" t="s">
        <v>48</v>
      </c>
      <c r="E142" s="16" t="s">
        <v>193</v>
      </c>
      <c r="F142" s="16" t="s">
        <v>194</v>
      </c>
      <c r="G142" s="16" t="s">
        <v>89</v>
      </c>
      <c r="H142" s="16" t="s">
        <v>90</v>
      </c>
      <c r="I142" s="16" t="s">
        <v>42</v>
      </c>
      <c r="J142" s="16" t="s">
        <v>43</v>
      </c>
      <c r="K142" s="18">
        <v>5687.13</v>
      </c>
      <c r="L142" s="18">
        <v>2614.6</v>
      </c>
      <c r="M142" s="19">
        <v>5</v>
      </c>
      <c r="N142" s="20">
        <v>0.05</v>
      </c>
      <c r="O142" s="19" t="s">
        <v>34</v>
      </c>
      <c r="P142" s="19" t="s">
        <v>58</v>
      </c>
      <c r="Q142" s="19" t="str">
        <f>TRIM(SalesData[[#This Row],[Customer_Name]])</f>
        <v>Simran Kaur</v>
      </c>
      <c r="R142" s="21">
        <f>SalesData[[#This Row],[Sales]]-SalesData[[#This Row],[Cost]]</f>
        <v>3072.53</v>
      </c>
      <c r="S142" s="22">
        <f>IFERROR(SalesData[[#This Row],[Profit]]/SalesData[[#This Row],[Sales]],0)</f>
        <v>0.54026020154278176</v>
      </c>
      <c r="T142" s="19">
        <f>YEAR(SalesData[[#This Row],[Order_Date]])</f>
        <v>2025</v>
      </c>
      <c r="U142" s="19" t="str">
        <f>TEXT(SalesData[[#This Row],[Order_Date]],"mmm")</f>
        <v>May</v>
      </c>
      <c r="V142" s="19" t="str">
        <f>"Q"&amp;ROUNDUP(MONTH(SalesData[[#This Row],[Order_Date]])/3,0)</f>
        <v>Q2</v>
      </c>
      <c r="W142" s="19" t="str">
        <f>IF(SalesData[[#This Row],[Sales]]&gt;=50000,"High",IF(AND(SalesData[[#This Row],[Sales]]&gt;= 20000, SalesData[[#This Row],[Sales]]&lt; 50000),"Medium","Low"))</f>
        <v>Low</v>
      </c>
      <c r="X142" s="19" t="str">
        <f>IF(SalesData[[#This Row],[Profit]]&gt;0,"Profit","Loss")</f>
        <v>Profit</v>
      </c>
      <c r="Y142" s="19" t="str">
        <f>IF(AND(SalesData[[#This Row],[Sales]]&gt;= 50000, SalesData[[#This Row],[Quantity]]&gt;=2),"Yes","No")</f>
        <v>No</v>
      </c>
      <c r="Z142" s="19" t="str">
        <f>UPPER(SalesData[[#This Row],[Customer_Name]])</f>
        <v>SIMRAN KAUR</v>
      </c>
      <c r="AA142" s="19" t="str">
        <f>LOWER(SalesData[[#This Row],[Customer_Name]])</f>
        <v>simran kaur</v>
      </c>
      <c r="AB142" s="19">
        <f>LEN(SalesData[[#This Row],[Customer_Name]])</f>
        <v>11</v>
      </c>
      <c r="AC142" s="19" t="str">
        <f>LEFT(SalesData[[#This Row],[Order_ID]],3)</f>
        <v>ORD</v>
      </c>
      <c r="AD142" s="19" t="str">
        <f>RIGHT(SalesData[[#This Row],[Order_ID]],4)</f>
        <v>0616</v>
      </c>
      <c r="AE142" s="19" t="str">
        <f>_xlfn.CONCAT(SalesData[[#This Row],[Clean_Customer_Name]],"-",SalesData[[#This Row],[Region]])</f>
        <v>Simran Kaur-East</v>
      </c>
      <c r="AF142" s="19" t="str">
        <f>MID(SalesData[[#This Row],[Order_ID]],4,4)</f>
        <v>0616</v>
      </c>
      <c r="AG142" s="19" t="e">
        <f ca="1">_xlfn.SINGLE(_xlfn.XLOOKUP(SalesData[[#This Row],[Product]],Product_Master!A:A,Product_Master!B:B,"Not Found"))</f>
        <v>#NAME?</v>
      </c>
      <c r="AH142" s="19" t="str">
        <f>VLOOKUP(SalesData[[#This Row],[Product]],Product_Master!$A$1:$B$21,2,FALSE)</f>
        <v>Simran</v>
      </c>
      <c r="AI142" s="16"/>
    </row>
    <row r="143" spans="1:35" ht="13.8">
      <c r="A143" s="16" t="s">
        <v>463</v>
      </c>
      <c r="B143" s="17">
        <v>45387</v>
      </c>
      <c r="C143" s="16" t="s">
        <v>147</v>
      </c>
      <c r="D143" s="16" t="s">
        <v>148</v>
      </c>
      <c r="E143" s="16" t="s">
        <v>30</v>
      </c>
      <c r="F143" s="16" t="s">
        <v>31</v>
      </c>
      <c r="G143" s="16" t="s">
        <v>21</v>
      </c>
      <c r="H143" s="16" t="s">
        <v>32</v>
      </c>
      <c r="I143" s="16" t="s">
        <v>53</v>
      </c>
      <c r="J143" s="16" t="s">
        <v>102</v>
      </c>
      <c r="K143" s="18">
        <v>246390.12</v>
      </c>
      <c r="L143" s="18">
        <v>197177.88</v>
      </c>
      <c r="M143" s="19">
        <v>4</v>
      </c>
      <c r="N143" s="20">
        <v>0</v>
      </c>
      <c r="O143" s="19" t="s">
        <v>34</v>
      </c>
      <c r="P143" s="19" t="s">
        <v>26</v>
      </c>
      <c r="Q143" s="19" t="str">
        <f>TRIM(SalesData[[#This Row],[Customer_Name]])</f>
        <v>Saurabh Roy</v>
      </c>
      <c r="R143" s="21">
        <f>SalesData[[#This Row],[Sales]]-SalesData[[#This Row],[Cost]]</f>
        <v>49212.239999999991</v>
      </c>
      <c r="S143" s="22">
        <f>IFERROR(SalesData[[#This Row],[Profit]]/SalesData[[#This Row],[Sales]],0)</f>
        <v>0.1997330087748648</v>
      </c>
      <c r="T143" s="19">
        <f>YEAR(SalesData[[#This Row],[Order_Date]])</f>
        <v>2024</v>
      </c>
      <c r="U143" s="19" t="str">
        <f>TEXT(SalesData[[#This Row],[Order_Date]],"mmm")</f>
        <v>Apr</v>
      </c>
      <c r="V143" s="19" t="str">
        <f>"Q"&amp;ROUNDUP(MONTH(SalesData[[#This Row],[Order_Date]])/3,0)</f>
        <v>Q2</v>
      </c>
      <c r="W143" s="19" t="str">
        <f>IF(SalesData[[#This Row],[Sales]]&gt;=50000,"High",IF(AND(SalesData[[#This Row],[Sales]]&gt;= 20000, SalesData[[#This Row],[Sales]]&lt; 50000),"Medium","Low"))</f>
        <v>High</v>
      </c>
      <c r="X143" s="19" t="str">
        <f>IF(SalesData[[#This Row],[Profit]]&gt;0,"Profit","Loss")</f>
        <v>Profit</v>
      </c>
      <c r="Y143" s="19" t="str">
        <f>IF(AND(SalesData[[#This Row],[Sales]]&gt;= 50000, SalesData[[#This Row],[Quantity]]&gt;=2),"Yes","No")</f>
        <v>Yes</v>
      </c>
      <c r="Z143" s="19" t="str">
        <f>UPPER(SalesData[[#This Row],[Customer_Name]])</f>
        <v>SAURABH ROY</v>
      </c>
      <c r="AA143" s="19" t="str">
        <f>LOWER(SalesData[[#This Row],[Customer_Name]])</f>
        <v>saurabh roy</v>
      </c>
      <c r="AB143" s="19">
        <f>LEN(SalesData[[#This Row],[Customer_Name]])</f>
        <v>11</v>
      </c>
      <c r="AC143" s="19" t="str">
        <f>LEFT(SalesData[[#This Row],[Order_ID]],3)</f>
        <v>ORD</v>
      </c>
      <c r="AD143" s="19" t="str">
        <f>RIGHT(SalesData[[#This Row],[Order_ID]],4)</f>
        <v>0310</v>
      </c>
      <c r="AE143" s="19" t="str">
        <f>_xlfn.CONCAT(SalesData[[#This Row],[Clean_Customer_Name]],"-",SalesData[[#This Row],[Region]])</f>
        <v>Saurabh Roy-Central</v>
      </c>
      <c r="AF143" s="19" t="str">
        <f>MID(SalesData[[#This Row],[Order_ID]],4,4)</f>
        <v>0310</v>
      </c>
      <c r="AG143" s="19" t="e">
        <f ca="1">_xlfn.SINGLE(_xlfn.XLOOKUP(SalesData[[#This Row],[Product]],Product_Master!A:A,Product_Master!B:B,"Not Found"))</f>
        <v>#NAME?</v>
      </c>
      <c r="AH143" s="19" t="str">
        <f>VLOOKUP(SalesData[[#This Row],[Product]],Product_Master!$A$1:$B$21,2,FALSE)</f>
        <v>Rahul</v>
      </c>
      <c r="AI143" s="16"/>
    </row>
    <row r="144" spans="1:35" ht="13.8">
      <c r="A144" s="16" t="s">
        <v>1089</v>
      </c>
      <c r="B144" s="17">
        <v>45449</v>
      </c>
      <c r="C144" s="16" t="s">
        <v>147</v>
      </c>
      <c r="D144" s="16" t="s">
        <v>148</v>
      </c>
      <c r="E144" s="16" t="s">
        <v>81</v>
      </c>
      <c r="F144" s="16" t="s">
        <v>82</v>
      </c>
      <c r="G144" s="16" t="s">
        <v>21</v>
      </c>
      <c r="H144" s="16" t="s">
        <v>83</v>
      </c>
      <c r="I144" s="16" t="s">
        <v>23</v>
      </c>
      <c r="J144" s="16" t="s">
        <v>75</v>
      </c>
      <c r="K144" s="18">
        <v>76846.37</v>
      </c>
      <c r="L144" s="18">
        <v>54736.47</v>
      </c>
      <c r="M144" s="19">
        <v>3</v>
      </c>
      <c r="N144" s="20">
        <v>0.2</v>
      </c>
      <c r="O144" s="19" t="s">
        <v>34</v>
      </c>
      <c r="P144" s="19" t="s">
        <v>26</v>
      </c>
      <c r="Q144" s="19" t="str">
        <f>TRIM(SalesData[[#This Row],[Customer_Name]])</f>
        <v>Saurabh Roy</v>
      </c>
      <c r="R144" s="21">
        <f>SalesData[[#This Row],[Sales]]-SalesData[[#This Row],[Cost]]</f>
        <v>22109.899999999994</v>
      </c>
      <c r="S144" s="22">
        <f>IFERROR(SalesData[[#This Row],[Profit]]/SalesData[[#This Row],[Sales]],0)</f>
        <v>0.2877156071262702</v>
      </c>
      <c r="T144" s="19">
        <f>YEAR(SalesData[[#This Row],[Order_Date]])</f>
        <v>2024</v>
      </c>
      <c r="U144" s="19" t="str">
        <f>TEXT(SalesData[[#This Row],[Order_Date]],"mmm")</f>
        <v>Jun</v>
      </c>
      <c r="V144" s="19" t="str">
        <f>"Q"&amp;ROUNDUP(MONTH(SalesData[[#This Row],[Order_Date]])/3,0)</f>
        <v>Q2</v>
      </c>
      <c r="W144" s="19" t="str">
        <f>IF(SalesData[[#This Row],[Sales]]&gt;=50000,"High",IF(AND(SalesData[[#This Row],[Sales]]&gt;= 20000, SalesData[[#This Row],[Sales]]&lt; 50000),"Medium","Low"))</f>
        <v>High</v>
      </c>
      <c r="X144" s="19" t="str">
        <f>IF(SalesData[[#This Row],[Profit]]&gt;0,"Profit","Loss")</f>
        <v>Profit</v>
      </c>
      <c r="Y144" s="19" t="str">
        <f>IF(AND(SalesData[[#This Row],[Sales]]&gt;= 50000, SalesData[[#This Row],[Quantity]]&gt;=2),"Yes","No")</f>
        <v>Yes</v>
      </c>
      <c r="Z144" s="19" t="str">
        <f>UPPER(SalesData[[#This Row],[Customer_Name]])</f>
        <v>SAURABH ROY</v>
      </c>
      <c r="AA144" s="19" t="str">
        <f>LOWER(SalesData[[#This Row],[Customer_Name]])</f>
        <v>saurabh roy</v>
      </c>
      <c r="AB144" s="19">
        <f>LEN(SalesData[[#This Row],[Customer_Name]])</f>
        <v>11</v>
      </c>
      <c r="AC144" s="19" t="str">
        <f>LEFT(SalesData[[#This Row],[Order_ID]],3)</f>
        <v>ORD</v>
      </c>
      <c r="AD144" s="19" t="str">
        <f>RIGHT(SalesData[[#This Row],[Order_ID]],4)</f>
        <v>0936</v>
      </c>
      <c r="AE144" s="19" t="str">
        <f>_xlfn.CONCAT(SalesData[[#This Row],[Clean_Customer_Name]],"-",SalesData[[#This Row],[Region]])</f>
        <v>Saurabh Roy-North</v>
      </c>
      <c r="AF144" s="19" t="str">
        <f>MID(SalesData[[#This Row],[Order_ID]],4,4)</f>
        <v>0936</v>
      </c>
      <c r="AG144" s="19" t="e">
        <f ca="1">_xlfn.SINGLE(_xlfn.XLOOKUP(SalesData[[#This Row],[Product]],Product_Master!A:A,Product_Master!B:B,"Not Found"))</f>
        <v>#NAME?</v>
      </c>
      <c r="AH144" s="19" t="str">
        <f>VLOOKUP(SalesData[[#This Row],[Product]],Product_Master!$A$1:$B$21,2,FALSE)</f>
        <v>Priya</v>
      </c>
      <c r="AI144" s="16"/>
    </row>
    <row r="145" spans="1:35" ht="13.8">
      <c r="A145" s="16" t="s">
        <v>478</v>
      </c>
      <c r="B145" s="17">
        <v>45560</v>
      </c>
      <c r="C145" s="16" t="s">
        <v>147</v>
      </c>
      <c r="D145" s="16" t="s">
        <v>148</v>
      </c>
      <c r="E145" s="16" t="s">
        <v>62</v>
      </c>
      <c r="F145" s="16" t="s">
        <v>63</v>
      </c>
      <c r="G145" s="16" t="s">
        <v>21</v>
      </c>
      <c r="H145" s="16" t="s">
        <v>64</v>
      </c>
      <c r="I145" s="16" t="s">
        <v>23</v>
      </c>
      <c r="J145" s="16" t="s">
        <v>24</v>
      </c>
      <c r="K145" s="18">
        <v>3888.14</v>
      </c>
      <c r="L145" s="18">
        <v>3268.68</v>
      </c>
      <c r="M145" s="19">
        <v>2</v>
      </c>
      <c r="N145" s="20">
        <v>0.15</v>
      </c>
      <c r="O145" s="19" t="s">
        <v>34</v>
      </c>
      <c r="P145" s="19" t="s">
        <v>45</v>
      </c>
      <c r="Q145" s="19" t="str">
        <f>TRIM(SalesData[[#This Row],[Customer_Name]])</f>
        <v>Saurabh Roy</v>
      </c>
      <c r="R145" s="21">
        <f>SalesData[[#This Row],[Sales]]-SalesData[[#This Row],[Cost]]</f>
        <v>619.46</v>
      </c>
      <c r="S145" s="22">
        <f>IFERROR(SalesData[[#This Row],[Profit]]/SalesData[[#This Row],[Sales]],0)</f>
        <v>0.15932039484174954</v>
      </c>
      <c r="T145" s="19">
        <f>YEAR(SalesData[[#This Row],[Order_Date]])</f>
        <v>2024</v>
      </c>
      <c r="U145" s="19" t="str">
        <f>TEXT(SalesData[[#This Row],[Order_Date]],"mmm")</f>
        <v>Sept</v>
      </c>
      <c r="V145" s="19" t="str">
        <f>"Q"&amp;ROUNDUP(MONTH(SalesData[[#This Row],[Order_Date]])/3,0)</f>
        <v>Q3</v>
      </c>
      <c r="W145" s="19" t="str">
        <f>IF(SalesData[[#This Row],[Sales]]&gt;=50000,"High",IF(AND(SalesData[[#This Row],[Sales]]&gt;= 20000, SalesData[[#This Row],[Sales]]&lt; 50000),"Medium","Low"))</f>
        <v>Low</v>
      </c>
      <c r="X145" s="19" t="str">
        <f>IF(SalesData[[#This Row],[Profit]]&gt;0,"Profit","Loss")</f>
        <v>Profit</v>
      </c>
      <c r="Y145" s="19" t="str">
        <f>IF(AND(SalesData[[#This Row],[Sales]]&gt;= 50000, SalesData[[#This Row],[Quantity]]&gt;=2),"Yes","No")</f>
        <v>No</v>
      </c>
      <c r="Z145" s="19" t="str">
        <f>UPPER(SalesData[[#This Row],[Customer_Name]])</f>
        <v>SAURABH ROY</v>
      </c>
      <c r="AA145" s="19" t="str">
        <f>LOWER(SalesData[[#This Row],[Customer_Name]])</f>
        <v>saurabh roy</v>
      </c>
      <c r="AB145" s="19">
        <f>LEN(SalesData[[#This Row],[Customer_Name]])</f>
        <v>11</v>
      </c>
      <c r="AC145" s="19" t="str">
        <f>LEFT(SalesData[[#This Row],[Order_ID]],3)</f>
        <v>ORD</v>
      </c>
      <c r="AD145" s="19" t="str">
        <f>RIGHT(SalesData[[#This Row],[Order_ID]],4)</f>
        <v>0325</v>
      </c>
      <c r="AE145" s="19" t="str">
        <f>_xlfn.CONCAT(SalesData[[#This Row],[Clean_Customer_Name]],"-",SalesData[[#This Row],[Region]])</f>
        <v>Saurabh Roy-North</v>
      </c>
      <c r="AF145" s="19" t="str">
        <f>MID(SalesData[[#This Row],[Order_ID]],4,4)</f>
        <v>0325</v>
      </c>
      <c r="AG145" s="19" t="e">
        <f ca="1">_xlfn.SINGLE(_xlfn.XLOOKUP(SalesData[[#This Row],[Product]],Product_Master!A:A,Product_Master!B:B,"Not Found"))</f>
        <v>#NAME?</v>
      </c>
      <c r="AH145" s="19" t="str">
        <f>VLOOKUP(SalesData[[#This Row],[Product]],Product_Master!$A$1:$B$21,2,FALSE)</f>
        <v>Amit</v>
      </c>
      <c r="AI145" s="16"/>
    </row>
    <row r="146" spans="1:35" ht="13.8">
      <c r="A146" s="16" t="s">
        <v>839</v>
      </c>
      <c r="B146" s="17">
        <v>45400</v>
      </c>
      <c r="C146" s="16" t="s">
        <v>147</v>
      </c>
      <c r="D146" s="16" t="s">
        <v>148</v>
      </c>
      <c r="E146" s="16" t="s">
        <v>62</v>
      </c>
      <c r="F146" s="16" t="s">
        <v>63</v>
      </c>
      <c r="G146" s="16" t="s">
        <v>21</v>
      </c>
      <c r="H146" s="16" t="s">
        <v>64</v>
      </c>
      <c r="I146" s="16" t="s">
        <v>53</v>
      </c>
      <c r="J146" s="16" t="s">
        <v>102</v>
      </c>
      <c r="K146" s="18">
        <v>5319.52</v>
      </c>
      <c r="L146" s="18">
        <v>1798.97</v>
      </c>
      <c r="M146" s="19">
        <v>1</v>
      </c>
      <c r="N146" s="20">
        <v>0.05</v>
      </c>
      <c r="O146" s="19" t="s">
        <v>25</v>
      </c>
      <c r="P146" s="19" t="s">
        <v>58</v>
      </c>
      <c r="Q146" s="19" t="str">
        <f>TRIM(SalesData[[#This Row],[Customer_Name]])</f>
        <v>Saurabh Roy</v>
      </c>
      <c r="R146" s="21">
        <f>SalesData[[#This Row],[Sales]]-SalesData[[#This Row],[Cost]]</f>
        <v>3520.55</v>
      </c>
      <c r="S146" s="22">
        <f>IFERROR(SalesData[[#This Row],[Profit]]/SalesData[[#This Row],[Sales]],0)</f>
        <v>0.66181723162992145</v>
      </c>
      <c r="T146" s="19">
        <f>YEAR(SalesData[[#This Row],[Order_Date]])</f>
        <v>2024</v>
      </c>
      <c r="U146" s="19" t="str">
        <f>TEXT(SalesData[[#This Row],[Order_Date]],"mmm")</f>
        <v>Apr</v>
      </c>
      <c r="V146" s="19" t="str">
        <f>"Q"&amp;ROUNDUP(MONTH(SalesData[[#This Row],[Order_Date]])/3,0)</f>
        <v>Q2</v>
      </c>
      <c r="W146" s="19" t="str">
        <f>IF(SalesData[[#This Row],[Sales]]&gt;=50000,"High",IF(AND(SalesData[[#This Row],[Sales]]&gt;= 20000, SalesData[[#This Row],[Sales]]&lt; 50000),"Medium","Low"))</f>
        <v>Low</v>
      </c>
      <c r="X146" s="19" t="str">
        <f>IF(SalesData[[#This Row],[Profit]]&gt;0,"Profit","Loss")</f>
        <v>Profit</v>
      </c>
      <c r="Y146" s="19" t="str">
        <f>IF(AND(SalesData[[#This Row],[Sales]]&gt;= 50000, SalesData[[#This Row],[Quantity]]&gt;=2),"Yes","No")</f>
        <v>No</v>
      </c>
      <c r="Z146" s="19" t="str">
        <f>UPPER(SalesData[[#This Row],[Customer_Name]])</f>
        <v>SAURABH ROY</v>
      </c>
      <c r="AA146" s="19" t="str">
        <f>LOWER(SalesData[[#This Row],[Customer_Name]])</f>
        <v>saurabh roy</v>
      </c>
      <c r="AB146" s="19">
        <f>LEN(SalesData[[#This Row],[Customer_Name]])</f>
        <v>11</v>
      </c>
      <c r="AC146" s="19" t="str">
        <f>LEFT(SalesData[[#This Row],[Order_ID]],3)</f>
        <v>ORD</v>
      </c>
      <c r="AD146" s="19" t="str">
        <f>RIGHT(SalesData[[#This Row],[Order_ID]],4)</f>
        <v>0686</v>
      </c>
      <c r="AE146" s="19" t="str">
        <f>_xlfn.CONCAT(SalesData[[#This Row],[Clean_Customer_Name]],"-",SalesData[[#This Row],[Region]])</f>
        <v>Saurabh Roy-Central</v>
      </c>
      <c r="AF146" s="19" t="str">
        <f>MID(SalesData[[#This Row],[Order_ID]],4,4)</f>
        <v>0686</v>
      </c>
      <c r="AG146" s="19" t="e">
        <f ca="1">_xlfn.SINGLE(_xlfn.XLOOKUP(SalesData[[#This Row],[Product]],Product_Master!A:A,Product_Master!B:B,"Not Found"))</f>
        <v>#NAME?</v>
      </c>
      <c r="AH146" s="19" t="str">
        <f>VLOOKUP(SalesData[[#This Row],[Product]],Product_Master!$A$1:$B$21,2,FALSE)</f>
        <v>Amit</v>
      </c>
      <c r="AI146" s="16"/>
    </row>
    <row r="147" spans="1:35" ht="13.8">
      <c r="A147" s="16" t="s">
        <v>455</v>
      </c>
      <c r="B147" s="17">
        <v>45848</v>
      </c>
      <c r="C147" s="16" t="s">
        <v>147</v>
      </c>
      <c r="D147" s="16" t="s">
        <v>148</v>
      </c>
      <c r="E147" s="16" t="s">
        <v>19</v>
      </c>
      <c r="F147" s="16" t="s">
        <v>20</v>
      </c>
      <c r="G147" s="16" t="s">
        <v>21</v>
      </c>
      <c r="H147" s="16" t="s">
        <v>22</v>
      </c>
      <c r="I147" s="16" t="s">
        <v>84</v>
      </c>
      <c r="J147" s="16" t="s">
        <v>142</v>
      </c>
      <c r="K147" s="18">
        <v>19452.09</v>
      </c>
      <c r="L147" s="18">
        <v>9075.69</v>
      </c>
      <c r="M147" s="19">
        <v>3</v>
      </c>
      <c r="N147" s="20">
        <v>0.15</v>
      </c>
      <c r="O147" s="19" t="s">
        <v>34</v>
      </c>
      <c r="P147" s="19" t="s">
        <v>58</v>
      </c>
      <c r="Q147" s="19" t="str">
        <f>TRIM(SalesData[[#This Row],[Customer_Name]])</f>
        <v>Saurabh Roy</v>
      </c>
      <c r="R147" s="21">
        <f>SalesData[[#This Row],[Sales]]-SalesData[[#This Row],[Cost]]</f>
        <v>10376.4</v>
      </c>
      <c r="S147" s="22">
        <f>IFERROR(SalesData[[#This Row],[Profit]]/SalesData[[#This Row],[Sales]],0)</f>
        <v>0.53343368244749023</v>
      </c>
      <c r="T147" s="19">
        <f>YEAR(SalesData[[#This Row],[Order_Date]])</f>
        <v>2025</v>
      </c>
      <c r="U147" s="19" t="str">
        <f>TEXT(SalesData[[#This Row],[Order_Date]],"mmm")</f>
        <v>Jul</v>
      </c>
      <c r="V147" s="19" t="str">
        <f>"Q"&amp;ROUNDUP(MONTH(SalesData[[#This Row],[Order_Date]])/3,0)</f>
        <v>Q3</v>
      </c>
      <c r="W147" s="19" t="str">
        <f>IF(SalesData[[#This Row],[Sales]]&gt;=50000,"High",IF(AND(SalesData[[#This Row],[Sales]]&gt;= 20000, SalesData[[#This Row],[Sales]]&lt; 50000),"Medium","Low"))</f>
        <v>Low</v>
      </c>
      <c r="X147" s="19" t="str">
        <f>IF(SalesData[[#This Row],[Profit]]&gt;0,"Profit","Loss")</f>
        <v>Profit</v>
      </c>
      <c r="Y147" s="19" t="str">
        <f>IF(AND(SalesData[[#This Row],[Sales]]&gt;= 50000, SalesData[[#This Row],[Quantity]]&gt;=2),"Yes","No")</f>
        <v>No</v>
      </c>
      <c r="Z147" s="19" t="str">
        <f>UPPER(SalesData[[#This Row],[Customer_Name]])</f>
        <v>SAURABH ROY</v>
      </c>
      <c r="AA147" s="19" t="str">
        <f>LOWER(SalesData[[#This Row],[Customer_Name]])</f>
        <v>saurabh roy</v>
      </c>
      <c r="AB147" s="19">
        <f>LEN(SalesData[[#This Row],[Customer_Name]])</f>
        <v>11</v>
      </c>
      <c r="AC147" s="19" t="str">
        <f>LEFT(SalesData[[#This Row],[Order_ID]],3)</f>
        <v>ORD</v>
      </c>
      <c r="AD147" s="19" t="str">
        <f>RIGHT(SalesData[[#This Row],[Order_ID]],4)</f>
        <v>0302</v>
      </c>
      <c r="AE147" s="19" t="str">
        <f>_xlfn.CONCAT(SalesData[[#This Row],[Clean_Customer_Name]],"-",SalesData[[#This Row],[Region]])</f>
        <v>Saurabh Roy-South</v>
      </c>
      <c r="AF147" s="19" t="str">
        <f>MID(SalesData[[#This Row],[Order_ID]],4,4)</f>
        <v>0302</v>
      </c>
      <c r="AG147" s="19" t="e">
        <f ca="1">_xlfn.SINGLE(_xlfn.XLOOKUP(SalesData[[#This Row],[Product]],Product_Master!A:A,Product_Master!B:B,"Not Found"))</f>
        <v>#NAME?</v>
      </c>
      <c r="AH147" s="19" t="str">
        <f>VLOOKUP(SalesData[[#This Row],[Product]],Product_Master!$A$1:$B$21,2,FALSE)</f>
        <v>Neha</v>
      </c>
      <c r="AI147" s="16"/>
    </row>
    <row r="148" spans="1:35" ht="13.8">
      <c r="A148" s="16" t="s">
        <v>495</v>
      </c>
      <c r="B148" s="17">
        <v>45428</v>
      </c>
      <c r="C148" s="16" t="s">
        <v>147</v>
      </c>
      <c r="D148" s="16" t="s">
        <v>148</v>
      </c>
      <c r="E148" s="16" t="s">
        <v>19</v>
      </c>
      <c r="F148" s="16" t="s">
        <v>20</v>
      </c>
      <c r="G148" s="16" t="s">
        <v>21</v>
      </c>
      <c r="H148" s="16" t="s">
        <v>22</v>
      </c>
      <c r="I148" s="16" t="s">
        <v>56</v>
      </c>
      <c r="J148" s="16" t="s">
        <v>57</v>
      </c>
      <c r="K148" s="18">
        <v>22312.53</v>
      </c>
      <c r="L148" s="18">
        <v>10979.6</v>
      </c>
      <c r="M148" s="19">
        <v>4</v>
      </c>
      <c r="N148" s="20">
        <v>0.15</v>
      </c>
      <c r="O148" s="19" t="s">
        <v>76</v>
      </c>
      <c r="P148" s="19" t="s">
        <v>58</v>
      </c>
      <c r="Q148" s="19" t="str">
        <f>TRIM(SalesData[[#This Row],[Customer_Name]])</f>
        <v>Saurabh Roy</v>
      </c>
      <c r="R148" s="21">
        <f>SalesData[[#This Row],[Sales]]-SalesData[[#This Row],[Cost]]</f>
        <v>11332.929999999998</v>
      </c>
      <c r="S148" s="22">
        <f>IFERROR(SalesData[[#This Row],[Profit]]/SalesData[[#This Row],[Sales]],0)</f>
        <v>0.50791774845792925</v>
      </c>
      <c r="T148" s="19">
        <f>YEAR(SalesData[[#This Row],[Order_Date]])</f>
        <v>2024</v>
      </c>
      <c r="U148" s="19" t="str">
        <f>TEXT(SalesData[[#This Row],[Order_Date]],"mmm")</f>
        <v>May</v>
      </c>
      <c r="V148" s="19" t="str">
        <f>"Q"&amp;ROUNDUP(MONTH(SalesData[[#This Row],[Order_Date]])/3,0)</f>
        <v>Q2</v>
      </c>
      <c r="W148" s="19" t="str">
        <f>IF(SalesData[[#This Row],[Sales]]&gt;=50000,"High",IF(AND(SalesData[[#This Row],[Sales]]&gt;= 20000, SalesData[[#This Row],[Sales]]&lt; 50000),"Medium","Low"))</f>
        <v>Medium</v>
      </c>
      <c r="X148" s="19" t="str">
        <f>IF(SalesData[[#This Row],[Profit]]&gt;0,"Profit","Loss")</f>
        <v>Profit</v>
      </c>
      <c r="Y148" s="19" t="str">
        <f>IF(AND(SalesData[[#This Row],[Sales]]&gt;= 50000, SalesData[[#This Row],[Quantity]]&gt;=2),"Yes","No")</f>
        <v>No</v>
      </c>
      <c r="Z148" s="19" t="str">
        <f>UPPER(SalesData[[#This Row],[Customer_Name]])</f>
        <v>SAURABH ROY</v>
      </c>
      <c r="AA148" s="19" t="str">
        <f>LOWER(SalesData[[#This Row],[Customer_Name]])</f>
        <v>saurabh roy</v>
      </c>
      <c r="AB148" s="19">
        <f>LEN(SalesData[[#This Row],[Customer_Name]])</f>
        <v>11</v>
      </c>
      <c r="AC148" s="19" t="str">
        <f>LEFT(SalesData[[#This Row],[Order_ID]],3)</f>
        <v>ORD</v>
      </c>
      <c r="AD148" s="19" t="str">
        <f>RIGHT(SalesData[[#This Row],[Order_ID]],4)</f>
        <v>0342</v>
      </c>
      <c r="AE148" s="19" t="str">
        <f>_xlfn.CONCAT(SalesData[[#This Row],[Clean_Customer_Name]],"-",SalesData[[#This Row],[Region]])</f>
        <v>Saurabh Roy-West</v>
      </c>
      <c r="AF148" s="19" t="str">
        <f>MID(SalesData[[#This Row],[Order_ID]],4,4)</f>
        <v>0342</v>
      </c>
      <c r="AG148" s="19" t="e">
        <f ca="1">_xlfn.SINGLE(_xlfn.XLOOKUP(SalesData[[#This Row],[Product]],Product_Master!A:A,Product_Master!B:B,"Not Found"))</f>
        <v>#NAME?</v>
      </c>
      <c r="AH148" s="19" t="str">
        <f>VLOOKUP(SalesData[[#This Row],[Product]],Product_Master!$A$1:$B$21,2,FALSE)</f>
        <v>Neha</v>
      </c>
      <c r="AI148" s="16"/>
    </row>
    <row r="149" spans="1:35" ht="13.8">
      <c r="A149" s="16" t="s">
        <v>516</v>
      </c>
      <c r="B149" s="17">
        <v>45601</v>
      </c>
      <c r="C149" s="16" t="s">
        <v>147</v>
      </c>
      <c r="D149" s="16" t="s">
        <v>148</v>
      </c>
      <c r="E149" s="16" t="s">
        <v>19</v>
      </c>
      <c r="F149" s="16" t="s">
        <v>20</v>
      </c>
      <c r="G149" s="16" t="s">
        <v>21</v>
      </c>
      <c r="H149" s="16" t="s">
        <v>22</v>
      </c>
      <c r="I149" s="16" t="s">
        <v>84</v>
      </c>
      <c r="J149" s="16" t="s">
        <v>134</v>
      </c>
      <c r="K149" s="18">
        <v>10833.22</v>
      </c>
      <c r="L149" s="18">
        <v>8345.61</v>
      </c>
      <c r="M149" s="19">
        <v>3</v>
      </c>
      <c r="N149" s="20">
        <v>0.15</v>
      </c>
      <c r="O149" s="19" t="s">
        <v>136</v>
      </c>
      <c r="P149" s="19" t="s">
        <v>77</v>
      </c>
      <c r="Q149" s="19" t="str">
        <f>TRIM(SalesData[[#This Row],[Customer_Name]])</f>
        <v>Saurabh Roy</v>
      </c>
      <c r="R149" s="21">
        <f>SalesData[[#This Row],[Sales]]-SalesData[[#This Row],[Cost]]</f>
        <v>2487.6099999999988</v>
      </c>
      <c r="S149" s="22">
        <f>IFERROR(SalesData[[#This Row],[Profit]]/SalesData[[#This Row],[Sales]],0)</f>
        <v>0.22962794072307208</v>
      </c>
      <c r="T149" s="19">
        <f>YEAR(SalesData[[#This Row],[Order_Date]])</f>
        <v>2024</v>
      </c>
      <c r="U149" s="19" t="str">
        <f>TEXT(SalesData[[#This Row],[Order_Date]],"mmm")</f>
        <v>Nov</v>
      </c>
      <c r="V149" s="19" t="str">
        <f>"Q"&amp;ROUNDUP(MONTH(SalesData[[#This Row],[Order_Date]])/3,0)</f>
        <v>Q4</v>
      </c>
      <c r="W149" s="19" t="str">
        <f>IF(SalesData[[#This Row],[Sales]]&gt;=50000,"High",IF(AND(SalesData[[#This Row],[Sales]]&gt;= 20000, SalesData[[#This Row],[Sales]]&lt; 50000),"Medium","Low"))</f>
        <v>Low</v>
      </c>
      <c r="X149" s="19" t="str">
        <f>IF(SalesData[[#This Row],[Profit]]&gt;0,"Profit","Loss")</f>
        <v>Profit</v>
      </c>
      <c r="Y149" s="19" t="str">
        <f>IF(AND(SalesData[[#This Row],[Sales]]&gt;= 50000, SalesData[[#This Row],[Quantity]]&gt;=2),"Yes","No")</f>
        <v>No</v>
      </c>
      <c r="Z149" s="19" t="str">
        <f>UPPER(SalesData[[#This Row],[Customer_Name]])</f>
        <v>SAURABH ROY</v>
      </c>
      <c r="AA149" s="19" t="str">
        <f>LOWER(SalesData[[#This Row],[Customer_Name]])</f>
        <v>saurabh roy</v>
      </c>
      <c r="AB149" s="19">
        <f>LEN(SalesData[[#This Row],[Customer_Name]])</f>
        <v>11</v>
      </c>
      <c r="AC149" s="19" t="str">
        <f>LEFT(SalesData[[#This Row],[Order_ID]],3)</f>
        <v>ORD</v>
      </c>
      <c r="AD149" s="19" t="str">
        <f>RIGHT(SalesData[[#This Row],[Order_ID]],4)</f>
        <v>0363</v>
      </c>
      <c r="AE149" s="19" t="str">
        <f>_xlfn.CONCAT(SalesData[[#This Row],[Clean_Customer_Name]],"-",SalesData[[#This Row],[Region]])</f>
        <v>Saurabh Roy-South</v>
      </c>
      <c r="AF149" s="19" t="str">
        <f>MID(SalesData[[#This Row],[Order_ID]],4,4)</f>
        <v>0363</v>
      </c>
      <c r="AG149" s="19" t="e">
        <f ca="1">_xlfn.SINGLE(_xlfn.XLOOKUP(SalesData[[#This Row],[Product]],Product_Master!A:A,Product_Master!B:B,"Not Found"))</f>
        <v>#NAME?</v>
      </c>
      <c r="AH149" s="19" t="str">
        <f>VLOOKUP(SalesData[[#This Row],[Product]],Product_Master!$A$1:$B$21,2,FALSE)</f>
        <v>Neha</v>
      </c>
      <c r="AI149" s="16"/>
    </row>
    <row r="150" spans="1:35" ht="13.8">
      <c r="A150" s="16" t="s">
        <v>669</v>
      </c>
      <c r="B150" s="17">
        <v>45662</v>
      </c>
      <c r="C150" s="16" t="s">
        <v>147</v>
      </c>
      <c r="D150" s="16" t="s">
        <v>148</v>
      </c>
      <c r="E150" s="16" t="s">
        <v>19</v>
      </c>
      <c r="F150" s="16" t="s">
        <v>20</v>
      </c>
      <c r="G150" s="16" t="s">
        <v>21</v>
      </c>
      <c r="H150" s="16" t="s">
        <v>22</v>
      </c>
      <c r="I150" s="16" t="s">
        <v>84</v>
      </c>
      <c r="J150" s="16" t="s">
        <v>134</v>
      </c>
      <c r="K150" s="18">
        <v>19869.93</v>
      </c>
      <c r="L150" s="18">
        <v>16085.55</v>
      </c>
      <c r="M150" s="19">
        <v>5</v>
      </c>
      <c r="N150" s="20">
        <v>0.1</v>
      </c>
      <c r="O150" s="19" t="s">
        <v>76</v>
      </c>
      <c r="P150" s="19" t="s">
        <v>45</v>
      </c>
      <c r="Q150" s="19" t="str">
        <f>TRIM(SalesData[[#This Row],[Customer_Name]])</f>
        <v>Saurabh Roy</v>
      </c>
      <c r="R150" s="21">
        <f>SalesData[[#This Row],[Sales]]-SalesData[[#This Row],[Cost]]</f>
        <v>3784.380000000001</v>
      </c>
      <c r="S150" s="22">
        <f>IFERROR(SalesData[[#This Row],[Profit]]/SalesData[[#This Row],[Sales]],0)</f>
        <v>0.19045764126999948</v>
      </c>
      <c r="T150" s="19">
        <f>YEAR(SalesData[[#This Row],[Order_Date]])</f>
        <v>2025</v>
      </c>
      <c r="U150" s="19" t="str">
        <f>TEXT(SalesData[[#This Row],[Order_Date]],"mmm")</f>
        <v>Jan</v>
      </c>
      <c r="V150" s="19" t="str">
        <f>"Q"&amp;ROUNDUP(MONTH(SalesData[[#This Row],[Order_Date]])/3,0)</f>
        <v>Q1</v>
      </c>
      <c r="W150" s="19" t="str">
        <f>IF(SalesData[[#This Row],[Sales]]&gt;=50000,"High",IF(AND(SalesData[[#This Row],[Sales]]&gt;= 20000, SalesData[[#This Row],[Sales]]&lt; 50000),"Medium","Low"))</f>
        <v>Low</v>
      </c>
      <c r="X150" s="19" t="str">
        <f>IF(SalesData[[#This Row],[Profit]]&gt;0,"Profit","Loss")</f>
        <v>Profit</v>
      </c>
      <c r="Y150" s="19" t="str">
        <f>IF(AND(SalesData[[#This Row],[Sales]]&gt;= 50000, SalesData[[#This Row],[Quantity]]&gt;=2),"Yes","No")</f>
        <v>No</v>
      </c>
      <c r="Z150" s="19" t="str">
        <f>UPPER(SalesData[[#This Row],[Customer_Name]])</f>
        <v>SAURABH ROY</v>
      </c>
      <c r="AA150" s="19" t="str">
        <f>LOWER(SalesData[[#This Row],[Customer_Name]])</f>
        <v>saurabh roy</v>
      </c>
      <c r="AB150" s="19">
        <f>LEN(SalesData[[#This Row],[Customer_Name]])</f>
        <v>11</v>
      </c>
      <c r="AC150" s="19" t="str">
        <f>LEFT(SalesData[[#This Row],[Order_ID]],3)</f>
        <v>ORD</v>
      </c>
      <c r="AD150" s="19" t="str">
        <f>RIGHT(SalesData[[#This Row],[Order_ID]],4)</f>
        <v>0516</v>
      </c>
      <c r="AE150" s="19" t="str">
        <f>_xlfn.CONCAT(SalesData[[#This Row],[Clean_Customer_Name]],"-",SalesData[[#This Row],[Region]])</f>
        <v>Saurabh Roy-South</v>
      </c>
      <c r="AF150" s="19" t="str">
        <f>MID(SalesData[[#This Row],[Order_ID]],4,4)</f>
        <v>0516</v>
      </c>
      <c r="AG150" s="19" t="e">
        <f ca="1">_xlfn.SINGLE(_xlfn.XLOOKUP(SalesData[[#This Row],[Product]],Product_Master!A:A,Product_Master!B:B,"Not Found"))</f>
        <v>#NAME?</v>
      </c>
      <c r="AH150" s="19" t="str">
        <f>VLOOKUP(SalesData[[#This Row],[Product]],Product_Master!$A$1:$B$21,2,FALSE)</f>
        <v>Neha</v>
      </c>
      <c r="AI150" s="16"/>
    </row>
    <row r="151" spans="1:35" ht="13.8">
      <c r="A151" s="16" t="s">
        <v>926</v>
      </c>
      <c r="B151" s="17">
        <v>45792</v>
      </c>
      <c r="C151" s="16" t="s">
        <v>147</v>
      </c>
      <c r="D151" s="16" t="s">
        <v>148</v>
      </c>
      <c r="E151" s="16" t="s">
        <v>19</v>
      </c>
      <c r="F151" s="16" t="s">
        <v>20</v>
      </c>
      <c r="G151" s="16" t="s">
        <v>21</v>
      </c>
      <c r="H151" s="16" t="s">
        <v>22</v>
      </c>
      <c r="I151" s="16" t="s">
        <v>53</v>
      </c>
      <c r="J151" s="16" t="s">
        <v>54</v>
      </c>
      <c r="K151" s="18">
        <v>3843.12</v>
      </c>
      <c r="L151" s="18">
        <v>3114.52</v>
      </c>
      <c r="M151" s="19">
        <v>1</v>
      </c>
      <c r="N151" s="20">
        <v>0.15</v>
      </c>
      <c r="O151" s="19" t="s">
        <v>34</v>
      </c>
      <c r="P151" s="19" t="s">
        <v>77</v>
      </c>
      <c r="Q151" s="19" t="str">
        <f>TRIM(SalesData[[#This Row],[Customer_Name]])</f>
        <v>Saurabh Roy</v>
      </c>
      <c r="R151" s="21">
        <f>SalesData[[#This Row],[Sales]]-SalesData[[#This Row],[Cost]]</f>
        <v>728.59999999999991</v>
      </c>
      <c r="S151" s="22">
        <f>IFERROR(SalesData[[#This Row],[Profit]]/SalesData[[#This Row],[Sales]],0)</f>
        <v>0.18958554507795747</v>
      </c>
      <c r="T151" s="19">
        <f>YEAR(SalesData[[#This Row],[Order_Date]])</f>
        <v>2025</v>
      </c>
      <c r="U151" s="19" t="str">
        <f>TEXT(SalesData[[#This Row],[Order_Date]],"mmm")</f>
        <v>May</v>
      </c>
      <c r="V151" s="19" t="str">
        <f>"Q"&amp;ROUNDUP(MONTH(SalesData[[#This Row],[Order_Date]])/3,0)</f>
        <v>Q2</v>
      </c>
      <c r="W151" s="19" t="str">
        <f>IF(SalesData[[#This Row],[Sales]]&gt;=50000,"High",IF(AND(SalesData[[#This Row],[Sales]]&gt;= 20000, SalesData[[#This Row],[Sales]]&lt; 50000),"Medium","Low"))</f>
        <v>Low</v>
      </c>
      <c r="X151" s="19" t="str">
        <f>IF(SalesData[[#This Row],[Profit]]&gt;0,"Profit","Loss")</f>
        <v>Profit</v>
      </c>
      <c r="Y151" s="19" t="str">
        <f>IF(AND(SalesData[[#This Row],[Sales]]&gt;= 50000, SalesData[[#This Row],[Quantity]]&gt;=2),"Yes","No")</f>
        <v>No</v>
      </c>
      <c r="Z151" s="19" t="str">
        <f>UPPER(SalesData[[#This Row],[Customer_Name]])</f>
        <v>SAURABH ROY</v>
      </c>
      <c r="AA151" s="19" t="str">
        <f>LOWER(SalesData[[#This Row],[Customer_Name]])</f>
        <v>saurabh roy</v>
      </c>
      <c r="AB151" s="19">
        <f>LEN(SalesData[[#This Row],[Customer_Name]])</f>
        <v>11</v>
      </c>
      <c r="AC151" s="19" t="str">
        <f>LEFT(SalesData[[#This Row],[Order_ID]],3)</f>
        <v>ORD</v>
      </c>
      <c r="AD151" s="19" t="str">
        <f>RIGHT(SalesData[[#This Row],[Order_ID]],4)</f>
        <v>0773</v>
      </c>
      <c r="AE151" s="19" t="str">
        <f>_xlfn.CONCAT(SalesData[[#This Row],[Clean_Customer_Name]],"-",SalesData[[#This Row],[Region]])</f>
        <v>Saurabh Roy-Central</v>
      </c>
      <c r="AF151" s="19" t="str">
        <f>MID(SalesData[[#This Row],[Order_ID]],4,4)</f>
        <v>0773</v>
      </c>
      <c r="AG151" s="19" t="e">
        <f ca="1">_xlfn.SINGLE(_xlfn.XLOOKUP(SalesData[[#This Row],[Product]],Product_Master!A:A,Product_Master!B:B,"Not Found"))</f>
        <v>#NAME?</v>
      </c>
      <c r="AH151" s="19" t="str">
        <f>VLOOKUP(SalesData[[#This Row],[Product]],Product_Master!$A$1:$B$21,2,FALSE)</f>
        <v>Neha</v>
      </c>
      <c r="AI151" s="16"/>
    </row>
    <row r="152" spans="1:35" ht="13.8">
      <c r="A152" s="16" t="s">
        <v>969</v>
      </c>
      <c r="B152" s="17">
        <v>45623</v>
      </c>
      <c r="C152" s="16" t="s">
        <v>147</v>
      </c>
      <c r="D152" s="16" t="s">
        <v>148</v>
      </c>
      <c r="E152" s="16" t="s">
        <v>19</v>
      </c>
      <c r="F152" s="16" t="s">
        <v>20</v>
      </c>
      <c r="G152" s="16" t="s">
        <v>21</v>
      </c>
      <c r="H152" s="16" t="s">
        <v>22</v>
      </c>
      <c r="I152" s="16" t="s">
        <v>53</v>
      </c>
      <c r="J152" s="16" t="s">
        <v>102</v>
      </c>
      <c r="K152" s="18">
        <v>10124.719999999999</v>
      </c>
      <c r="L152" s="18">
        <v>5434.64</v>
      </c>
      <c r="M152" s="19">
        <v>2</v>
      </c>
      <c r="N152" s="20">
        <v>0.15</v>
      </c>
      <c r="O152" s="19" t="s">
        <v>136</v>
      </c>
      <c r="P152" s="19" t="s">
        <v>45</v>
      </c>
      <c r="Q152" s="19" t="str">
        <f>TRIM(SalesData[[#This Row],[Customer_Name]])</f>
        <v>Saurabh Roy</v>
      </c>
      <c r="R152" s="21">
        <f>SalesData[[#This Row],[Sales]]-SalesData[[#This Row],[Cost]]</f>
        <v>4690.079999999999</v>
      </c>
      <c r="S152" s="22">
        <f>IFERROR(SalesData[[#This Row],[Profit]]/SalesData[[#This Row],[Sales]],0)</f>
        <v>0.4632305881051525</v>
      </c>
      <c r="T152" s="19">
        <f>YEAR(SalesData[[#This Row],[Order_Date]])</f>
        <v>2024</v>
      </c>
      <c r="U152" s="19" t="str">
        <f>TEXT(SalesData[[#This Row],[Order_Date]],"mmm")</f>
        <v>Nov</v>
      </c>
      <c r="V152" s="19" t="str">
        <f>"Q"&amp;ROUNDUP(MONTH(SalesData[[#This Row],[Order_Date]])/3,0)</f>
        <v>Q4</v>
      </c>
      <c r="W152" s="19" t="str">
        <f>IF(SalesData[[#This Row],[Sales]]&gt;=50000,"High",IF(AND(SalesData[[#This Row],[Sales]]&gt;= 20000, SalesData[[#This Row],[Sales]]&lt; 50000),"Medium","Low"))</f>
        <v>Low</v>
      </c>
      <c r="X152" s="19" t="str">
        <f>IF(SalesData[[#This Row],[Profit]]&gt;0,"Profit","Loss")</f>
        <v>Profit</v>
      </c>
      <c r="Y152" s="19" t="str">
        <f>IF(AND(SalesData[[#This Row],[Sales]]&gt;= 50000, SalesData[[#This Row],[Quantity]]&gt;=2),"Yes","No")</f>
        <v>No</v>
      </c>
      <c r="Z152" s="19" t="str">
        <f>UPPER(SalesData[[#This Row],[Customer_Name]])</f>
        <v>SAURABH ROY</v>
      </c>
      <c r="AA152" s="19" t="str">
        <f>LOWER(SalesData[[#This Row],[Customer_Name]])</f>
        <v>saurabh roy</v>
      </c>
      <c r="AB152" s="19">
        <f>LEN(SalesData[[#This Row],[Customer_Name]])</f>
        <v>11</v>
      </c>
      <c r="AC152" s="19" t="str">
        <f>LEFT(SalesData[[#This Row],[Order_ID]],3)</f>
        <v>ORD</v>
      </c>
      <c r="AD152" s="19" t="str">
        <f>RIGHT(SalesData[[#This Row],[Order_ID]],4)</f>
        <v>0816</v>
      </c>
      <c r="AE152" s="19" t="str">
        <f>_xlfn.CONCAT(SalesData[[#This Row],[Clean_Customer_Name]],"-",SalesData[[#This Row],[Region]])</f>
        <v>Saurabh Roy-Central</v>
      </c>
      <c r="AF152" s="19" t="str">
        <f>MID(SalesData[[#This Row],[Order_ID]],4,4)</f>
        <v>0816</v>
      </c>
      <c r="AG152" s="19" t="e">
        <f ca="1">_xlfn.SINGLE(_xlfn.XLOOKUP(SalesData[[#This Row],[Product]],Product_Master!A:A,Product_Master!B:B,"Not Found"))</f>
        <v>#NAME?</v>
      </c>
      <c r="AH152" s="19" t="str">
        <f>VLOOKUP(SalesData[[#This Row],[Product]],Product_Master!$A$1:$B$21,2,FALSE)</f>
        <v>Neha</v>
      </c>
      <c r="AI152" s="16"/>
    </row>
    <row r="153" spans="1:35" ht="13.8">
      <c r="A153" s="16" t="s">
        <v>421</v>
      </c>
      <c r="B153" s="17">
        <v>46021</v>
      </c>
      <c r="C153" s="16" t="s">
        <v>147</v>
      </c>
      <c r="D153" s="16" t="s">
        <v>148</v>
      </c>
      <c r="E153" s="16" t="s">
        <v>152</v>
      </c>
      <c r="F153" s="16" t="s">
        <v>153</v>
      </c>
      <c r="G153" s="16" t="s">
        <v>21</v>
      </c>
      <c r="H153" s="16" t="s">
        <v>32</v>
      </c>
      <c r="I153" s="16" t="s">
        <v>53</v>
      </c>
      <c r="J153" s="16" t="s">
        <v>54</v>
      </c>
      <c r="K153" s="18">
        <v>35414.11</v>
      </c>
      <c r="L153" s="18">
        <v>34744.800000000003</v>
      </c>
      <c r="M153" s="19">
        <v>4</v>
      </c>
      <c r="N153" s="20">
        <v>0.2</v>
      </c>
      <c r="O153" s="19" t="s">
        <v>76</v>
      </c>
      <c r="P153" s="19" t="s">
        <v>26</v>
      </c>
      <c r="Q153" s="19" t="str">
        <f>TRIM(SalesData[[#This Row],[Customer_Name]])</f>
        <v>Saurabh Roy</v>
      </c>
      <c r="R153" s="21">
        <f>SalesData[[#This Row],[Sales]]-SalesData[[#This Row],[Cost]]</f>
        <v>669.30999999999767</v>
      </c>
      <c r="S153" s="22">
        <f>IFERROR(SalesData[[#This Row],[Profit]]/SalesData[[#This Row],[Sales]],0)</f>
        <v>1.8899529029530817E-2</v>
      </c>
      <c r="T153" s="19">
        <f>YEAR(SalesData[[#This Row],[Order_Date]])</f>
        <v>2025</v>
      </c>
      <c r="U153" s="19" t="str">
        <f>TEXT(SalesData[[#This Row],[Order_Date]],"mmm")</f>
        <v>Dec</v>
      </c>
      <c r="V153" s="19" t="str">
        <f>"Q"&amp;ROUNDUP(MONTH(SalesData[[#This Row],[Order_Date]])/3,0)</f>
        <v>Q4</v>
      </c>
      <c r="W153" s="19" t="str">
        <f>IF(SalesData[[#This Row],[Sales]]&gt;=50000,"High",IF(AND(SalesData[[#This Row],[Sales]]&gt;= 20000, SalesData[[#This Row],[Sales]]&lt; 50000),"Medium","Low"))</f>
        <v>Medium</v>
      </c>
      <c r="X153" s="19" t="str">
        <f>IF(SalesData[[#This Row],[Profit]]&gt;0,"Profit","Loss")</f>
        <v>Profit</v>
      </c>
      <c r="Y153" s="19" t="str">
        <f>IF(AND(SalesData[[#This Row],[Sales]]&gt;= 50000, SalesData[[#This Row],[Quantity]]&gt;=2),"Yes","No")</f>
        <v>No</v>
      </c>
      <c r="Z153" s="19" t="str">
        <f>UPPER(SalesData[[#This Row],[Customer_Name]])</f>
        <v>SAURABH ROY</v>
      </c>
      <c r="AA153" s="19" t="str">
        <f>LOWER(SalesData[[#This Row],[Customer_Name]])</f>
        <v>saurabh roy</v>
      </c>
      <c r="AB153" s="19">
        <f>LEN(SalesData[[#This Row],[Customer_Name]])</f>
        <v>11</v>
      </c>
      <c r="AC153" s="19" t="str">
        <f>LEFT(SalesData[[#This Row],[Order_ID]],3)</f>
        <v>ORD</v>
      </c>
      <c r="AD153" s="19" t="str">
        <f>RIGHT(SalesData[[#This Row],[Order_ID]],4)</f>
        <v>0268</v>
      </c>
      <c r="AE153" s="19" t="str">
        <f>_xlfn.CONCAT(SalesData[[#This Row],[Clean_Customer_Name]],"-",SalesData[[#This Row],[Region]])</f>
        <v>Saurabh Roy-Central</v>
      </c>
      <c r="AF153" s="19" t="str">
        <f>MID(SalesData[[#This Row],[Order_ID]],4,4)</f>
        <v>0268</v>
      </c>
      <c r="AG153" s="19" t="e">
        <f ca="1">_xlfn.SINGLE(_xlfn.XLOOKUP(SalesData[[#This Row],[Product]],Product_Master!A:A,Product_Master!B:B,"Not Found"))</f>
        <v>#NAME?</v>
      </c>
      <c r="AH153" s="19" t="str">
        <f>VLOOKUP(SalesData[[#This Row],[Product]],Product_Master!$A$1:$B$21,2,FALSE)</f>
        <v>Simran</v>
      </c>
      <c r="AI153" s="16"/>
    </row>
    <row r="154" spans="1:35" ht="13.8">
      <c r="A154" s="16" t="s">
        <v>814</v>
      </c>
      <c r="B154" s="17">
        <v>45749</v>
      </c>
      <c r="C154" s="16" t="s">
        <v>147</v>
      </c>
      <c r="D154" s="16" t="s">
        <v>148</v>
      </c>
      <c r="E154" s="16" t="s">
        <v>152</v>
      </c>
      <c r="F154" s="16" t="s">
        <v>153</v>
      </c>
      <c r="G154" s="16" t="s">
        <v>21</v>
      </c>
      <c r="H154" s="16" t="s">
        <v>32</v>
      </c>
      <c r="I154" s="16" t="s">
        <v>42</v>
      </c>
      <c r="J154" s="16" t="s">
        <v>68</v>
      </c>
      <c r="K154" s="18">
        <v>30777.78</v>
      </c>
      <c r="L154" s="18">
        <v>25477.65</v>
      </c>
      <c r="M154" s="19">
        <v>3</v>
      </c>
      <c r="N154" s="20">
        <v>0.05</v>
      </c>
      <c r="O154" s="19" t="s">
        <v>136</v>
      </c>
      <c r="P154" s="19" t="s">
        <v>58</v>
      </c>
      <c r="Q154" s="19" t="str">
        <f>TRIM(SalesData[[#This Row],[Customer_Name]])</f>
        <v>Saurabh Roy</v>
      </c>
      <c r="R154" s="21">
        <f>SalesData[[#This Row],[Sales]]-SalesData[[#This Row],[Cost]]</f>
        <v>5300.1299999999974</v>
      </c>
      <c r="S154" s="22">
        <f>IFERROR(SalesData[[#This Row],[Profit]]/SalesData[[#This Row],[Sales]],0)</f>
        <v>0.1722063774580232</v>
      </c>
      <c r="T154" s="19">
        <f>YEAR(SalesData[[#This Row],[Order_Date]])</f>
        <v>2025</v>
      </c>
      <c r="U154" s="19" t="str">
        <f>TEXT(SalesData[[#This Row],[Order_Date]],"mmm")</f>
        <v>Apr</v>
      </c>
      <c r="V154" s="19" t="str">
        <f>"Q"&amp;ROUNDUP(MONTH(SalesData[[#This Row],[Order_Date]])/3,0)</f>
        <v>Q2</v>
      </c>
      <c r="W154" s="19" t="str">
        <f>IF(SalesData[[#This Row],[Sales]]&gt;=50000,"High",IF(AND(SalesData[[#This Row],[Sales]]&gt;= 20000, SalesData[[#This Row],[Sales]]&lt; 50000),"Medium","Low"))</f>
        <v>Medium</v>
      </c>
      <c r="X154" s="19" t="str">
        <f>IF(SalesData[[#This Row],[Profit]]&gt;0,"Profit","Loss")</f>
        <v>Profit</v>
      </c>
      <c r="Y154" s="19" t="str">
        <f>IF(AND(SalesData[[#This Row],[Sales]]&gt;= 50000, SalesData[[#This Row],[Quantity]]&gt;=2),"Yes","No")</f>
        <v>No</v>
      </c>
      <c r="Z154" s="19" t="str">
        <f>UPPER(SalesData[[#This Row],[Customer_Name]])</f>
        <v>SAURABH ROY</v>
      </c>
      <c r="AA154" s="19" t="str">
        <f>LOWER(SalesData[[#This Row],[Customer_Name]])</f>
        <v>saurabh roy</v>
      </c>
      <c r="AB154" s="19">
        <f>LEN(SalesData[[#This Row],[Customer_Name]])</f>
        <v>11</v>
      </c>
      <c r="AC154" s="19" t="str">
        <f>LEFT(SalesData[[#This Row],[Order_ID]],3)</f>
        <v>ORD</v>
      </c>
      <c r="AD154" s="19" t="str">
        <f>RIGHT(SalesData[[#This Row],[Order_ID]],4)</f>
        <v>0661</v>
      </c>
      <c r="AE154" s="19" t="str">
        <f>_xlfn.CONCAT(SalesData[[#This Row],[Clean_Customer_Name]],"-",SalesData[[#This Row],[Region]])</f>
        <v>Saurabh Roy-East</v>
      </c>
      <c r="AF154" s="19" t="str">
        <f>MID(SalesData[[#This Row],[Order_ID]],4,4)</f>
        <v>0661</v>
      </c>
      <c r="AG154" s="19" t="e">
        <f ca="1">_xlfn.SINGLE(_xlfn.XLOOKUP(SalesData[[#This Row],[Product]],Product_Master!A:A,Product_Master!B:B,"Not Found"))</f>
        <v>#NAME?</v>
      </c>
      <c r="AH154" s="19" t="str">
        <f>VLOOKUP(SalesData[[#This Row],[Product]],Product_Master!$A$1:$B$21,2,FALSE)</f>
        <v>Simran</v>
      </c>
      <c r="AI154" s="16"/>
    </row>
    <row r="155" spans="1:35" ht="13.8">
      <c r="A155" s="16" t="s">
        <v>756</v>
      </c>
      <c r="B155" s="17">
        <v>45384</v>
      </c>
      <c r="C155" s="16" t="s">
        <v>147</v>
      </c>
      <c r="D155" s="16" t="s">
        <v>148</v>
      </c>
      <c r="E155" s="16" t="s">
        <v>49</v>
      </c>
      <c r="F155" s="16" t="s">
        <v>50</v>
      </c>
      <c r="G155" s="16" t="s">
        <v>51</v>
      </c>
      <c r="H155" s="16" t="s">
        <v>52</v>
      </c>
      <c r="I155" s="16" t="s">
        <v>56</v>
      </c>
      <c r="J155" s="16" t="s">
        <v>191</v>
      </c>
      <c r="K155" s="18">
        <v>41124.19</v>
      </c>
      <c r="L155" s="18">
        <v>20261.099999999999</v>
      </c>
      <c r="M155" s="19">
        <v>3</v>
      </c>
      <c r="N155" s="20">
        <v>0.05</v>
      </c>
      <c r="O155" s="19" t="s">
        <v>25</v>
      </c>
      <c r="P155" s="19" t="s">
        <v>58</v>
      </c>
      <c r="Q155" s="19" t="str">
        <f>TRIM(SalesData[[#This Row],[Customer_Name]])</f>
        <v>Saurabh Roy</v>
      </c>
      <c r="R155" s="21">
        <f>SalesData[[#This Row],[Sales]]-SalesData[[#This Row],[Cost]]</f>
        <v>20863.090000000004</v>
      </c>
      <c r="S155" s="22">
        <f>IFERROR(SalesData[[#This Row],[Profit]]/SalesData[[#This Row],[Sales]],0)</f>
        <v>0.50731917151438122</v>
      </c>
      <c r="T155" s="19">
        <f>YEAR(SalesData[[#This Row],[Order_Date]])</f>
        <v>2024</v>
      </c>
      <c r="U155" s="19" t="str">
        <f>TEXT(SalesData[[#This Row],[Order_Date]],"mmm")</f>
        <v>Apr</v>
      </c>
      <c r="V155" s="19" t="str">
        <f>"Q"&amp;ROUNDUP(MONTH(SalesData[[#This Row],[Order_Date]])/3,0)</f>
        <v>Q2</v>
      </c>
      <c r="W155" s="19" t="str">
        <f>IF(SalesData[[#This Row],[Sales]]&gt;=50000,"High",IF(AND(SalesData[[#This Row],[Sales]]&gt;= 20000, SalesData[[#This Row],[Sales]]&lt; 50000),"Medium","Low"))</f>
        <v>Medium</v>
      </c>
      <c r="X155" s="19" t="str">
        <f>IF(SalesData[[#This Row],[Profit]]&gt;0,"Profit","Loss")</f>
        <v>Profit</v>
      </c>
      <c r="Y155" s="19" t="str">
        <f>IF(AND(SalesData[[#This Row],[Sales]]&gt;= 50000, SalesData[[#This Row],[Quantity]]&gt;=2),"Yes","No")</f>
        <v>No</v>
      </c>
      <c r="Z155" s="19" t="str">
        <f>UPPER(SalesData[[#This Row],[Customer_Name]])</f>
        <v>SAURABH ROY</v>
      </c>
      <c r="AA155" s="19" t="str">
        <f>LOWER(SalesData[[#This Row],[Customer_Name]])</f>
        <v>saurabh roy</v>
      </c>
      <c r="AB155" s="19">
        <f>LEN(SalesData[[#This Row],[Customer_Name]])</f>
        <v>11</v>
      </c>
      <c r="AC155" s="19" t="str">
        <f>LEFT(SalesData[[#This Row],[Order_ID]],3)</f>
        <v>ORD</v>
      </c>
      <c r="AD155" s="19" t="str">
        <f>RIGHT(SalesData[[#This Row],[Order_ID]],4)</f>
        <v>0603</v>
      </c>
      <c r="AE155" s="19" t="str">
        <f>_xlfn.CONCAT(SalesData[[#This Row],[Clean_Customer_Name]],"-",SalesData[[#This Row],[Region]])</f>
        <v>Saurabh Roy-West</v>
      </c>
      <c r="AF155" s="19" t="str">
        <f>MID(SalesData[[#This Row],[Order_ID]],4,4)</f>
        <v>0603</v>
      </c>
      <c r="AG155" s="19" t="e">
        <f ca="1">_xlfn.SINGLE(_xlfn.XLOOKUP(SalesData[[#This Row],[Product]],Product_Master!A:A,Product_Master!B:B,"Not Found"))</f>
        <v>#NAME?</v>
      </c>
      <c r="AH155" s="19" t="str">
        <f>VLOOKUP(SalesData[[#This Row],[Product]],Product_Master!$A$1:$B$21,2,FALSE)</f>
        <v>Rohan</v>
      </c>
      <c r="AI155" s="16"/>
    </row>
    <row r="156" spans="1:35" ht="13.8">
      <c r="A156" s="16" t="s">
        <v>902</v>
      </c>
      <c r="B156" s="17">
        <v>45978</v>
      </c>
      <c r="C156" s="16" t="s">
        <v>147</v>
      </c>
      <c r="D156" s="16" t="s">
        <v>148</v>
      </c>
      <c r="E156" s="16" t="s">
        <v>49</v>
      </c>
      <c r="F156" s="16" t="s">
        <v>50</v>
      </c>
      <c r="G156" s="16" t="s">
        <v>51</v>
      </c>
      <c r="H156" s="16" t="s">
        <v>52</v>
      </c>
      <c r="I156" s="16" t="s">
        <v>23</v>
      </c>
      <c r="J156" s="16" t="s">
        <v>75</v>
      </c>
      <c r="K156" s="18">
        <v>25160.92</v>
      </c>
      <c r="L156" s="18">
        <v>19022.88</v>
      </c>
      <c r="M156" s="19">
        <v>3</v>
      </c>
      <c r="N156" s="20">
        <v>0.1</v>
      </c>
      <c r="O156" s="19" t="s">
        <v>34</v>
      </c>
      <c r="P156" s="19" t="s">
        <v>77</v>
      </c>
      <c r="Q156" s="19" t="str">
        <f>TRIM(SalesData[[#This Row],[Customer_Name]])</f>
        <v>Saurabh Roy</v>
      </c>
      <c r="R156" s="21">
        <f>SalesData[[#This Row],[Sales]]-SalesData[[#This Row],[Cost]]</f>
        <v>6138.0399999999972</v>
      </c>
      <c r="S156" s="22">
        <f>IFERROR(SalesData[[#This Row],[Profit]]/SalesData[[#This Row],[Sales]],0)</f>
        <v>0.24395133405296776</v>
      </c>
      <c r="T156" s="19">
        <f>YEAR(SalesData[[#This Row],[Order_Date]])</f>
        <v>2025</v>
      </c>
      <c r="U156" s="19" t="str">
        <f>TEXT(SalesData[[#This Row],[Order_Date]],"mmm")</f>
        <v>Nov</v>
      </c>
      <c r="V156" s="19" t="str">
        <f>"Q"&amp;ROUNDUP(MONTH(SalesData[[#This Row],[Order_Date]])/3,0)</f>
        <v>Q4</v>
      </c>
      <c r="W156" s="19" t="str">
        <f>IF(SalesData[[#This Row],[Sales]]&gt;=50000,"High",IF(AND(SalesData[[#This Row],[Sales]]&gt;= 20000, SalesData[[#This Row],[Sales]]&lt; 50000),"Medium","Low"))</f>
        <v>Medium</v>
      </c>
      <c r="X156" s="19" t="str">
        <f>IF(SalesData[[#This Row],[Profit]]&gt;0,"Profit","Loss")</f>
        <v>Profit</v>
      </c>
      <c r="Y156" s="19" t="str">
        <f>IF(AND(SalesData[[#This Row],[Sales]]&gt;= 50000, SalesData[[#This Row],[Quantity]]&gt;=2),"Yes","No")</f>
        <v>No</v>
      </c>
      <c r="Z156" s="19" t="str">
        <f>UPPER(SalesData[[#This Row],[Customer_Name]])</f>
        <v>SAURABH ROY</v>
      </c>
      <c r="AA156" s="19" t="str">
        <f>LOWER(SalesData[[#This Row],[Customer_Name]])</f>
        <v>saurabh roy</v>
      </c>
      <c r="AB156" s="19">
        <f>LEN(SalesData[[#This Row],[Customer_Name]])</f>
        <v>11</v>
      </c>
      <c r="AC156" s="19" t="str">
        <f>LEFT(SalesData[[#This Row],[Order_ID]],3)</f>
        <v>ORD</v>
      </c>
      <c r="AD156" s="19" t="str">
        <f>RIGHT(SalesData[[#This Row],[Order_ID]],4)</f>
        <v>0749</v>
      </c>
      <c r="AE156" s="19" t="str">
        <f>_xlfn.CONCAT(SalesData[[#This Row],[Clean_Customer_Name]],"-",SalesData[[#This Row],[Region]])</f>
        <v>Saurabh Roy-North</v>
      </c>
      <c r="AF156" s="19" t="str">
        <f>MID(SalesData[[#This Row],[Order_ID]],4,4)</f>
        <v>0749</v>
      </c>
      <c r="AG156" s="19" t="e">
        <f ca="1">_xlfn.SINGLE(_xlfn.XLOOKUP(SalesData[[#This Row],[Product]],Product_Master!A:A,Product_Master!B:B,"Not Found"))</f>
        <v>#NAME?</v>
      </c>
      <c r="AH156" s="19" t="str">
        <f>VLOOKUP(SalesData[[#This Row],[Product]],Product_Master!$A$1:$B$21,2,FALSE)</f>
        <v>Rohan</v>
      </c>
      <c r="AI156" s="16"/>
    </row>
    <row r="157" spans="1:35" ht="13.8">
      <c r="A157" s="16" t="s">
        <v>1059</v>
      </c>
      <c r="B157" s="17">
        <v>45397</v>
      </c>
      <c r="C157" s="16" t="s">
        <v>147</v>
      </c>
      <c r="D157" s="16" t="s">
        <v>148</v>
      </c>
      <c r="E157" s="16" t="s">
        <v>49</v>
      </c>
      <c r="F157" s="16" t="s">
        <v>50</v>
      </c>
      <c r="G157" s="16" t="s">
        <v>51</v>
      </c>
      <c r="H157" s="16" t="s">
        <v>52</v>
      </c>
      <c r="I157" s="16" t="s">
        <v>23</v>
      </c>
      <c r="J157" s="16" t="s">
        <v>33</v>
      </c>
      <c r="K157" s="18">
        <v>8099.94</v>
      </c>
      <c r="L157" s="18">
        <v>7133.25</v>
      </c>
      <c r="M157" s="19">
        <v>1</v>
      </c>
      <c r="N157" s="20">
        <v>0.05</v>
      </c>
      <c r="O157" s="19" t="s">
        <v>34</v>
      </c>
      <c r="P157" s="19" t="s">
        <v>58</v>
      </c>
      <c r="Q157" s="19" t="str">
        <f>TRIM(SalesData[[#This Row],[Customer_Name]])</f>
        <v>Saurabh Roy</v>
      </c>
      <c r="R157" s="21">
        <f>SalesData[[#This Row],[Sales]]-SalesData[[#This Row],[Cost]]</f>
        <v>966.6899999999996</v>
      </c>
      <c r="S157" s="22">
        <f>IFERROR(SalesData[[#This Row],[Profit]]/SalesData[[#This Row],[Sales]],0)</f>
        <v>0.11934532848391466</v>
      </c>
      <c r="T157" s="19">
        <f>YEAR(SalesData[[#This Row],[Order_Date]])</f>
        <v>2024</v>
      </c>
      <c r="U157" s="19" t="str">
        <f>TEXT(SalesData[[#This Row],[Order_Date]],"mmm")</f>
        <v>Apr</v>
      </c>
      <c r="V157" s="19" t="str">
        <f>"Q"&amp;ROUNDUP(MONTH(SalesData[[#This Row],[Order_Date]])/3,0)</f>
        <v>Q2</v>
      </c>
      <c r="W157" s="19" t="str">
        <f>IF(SalesData[[#This Row],[Sales]]&gt;=50000,"High",IF(AND(SalesData[[#This Row],[Sales]]&gt;= 20000, SalesData[[#This Row],[Sales]]&lt; 50000),"Medium","Low"))</f>
        <v>Low</v>
      </c>
      <c r="X157" s="19" t="str">
        <f>IF(SalesData[[#This Row],[Profit]]&gt;0,"Profit","Loss")</f>
        <v>Profit</v>
      </c>
      <c r="Y157" s="19" t="str">
        <f>IF(AND(SalesData[[#This Row],[Sales]]&gt;= 50000, SalesData[[#This Row],[Quantity]]&gt;=2),"Yes","No")</f>
        <v>No</v>
      </c>
      <c r="Z157" s="19" t="str">
        <f>UPPER(SalesData[[#This Row],[Customer_Name]])</f>
        <v>SAURABH ROY</v>
      </c>
      <c r="AA157" s="19" t="str">
        <f>LOWER(SalesData[[#This Row],[Customer_Name]])</f>
        <v>saurabh roy</v>
      </c>
      <c r="AB157" s="19">
        <f>LEN(SalesData[[#This Row],[Customer_Name]])</f>
        <v>11</v>
      </c>
      <c r="AC157" s="19" t="str">
        <f>LEFT(SalesData[[#This Row],[Order_ID]],3)</f>
        <v>ORD</v>
      </c>
      <c r="AD157" s="19" t="str">
        <f>RIGHT(SalesData[[#This Row],[Order_ID]],4)</f>
        <v>0906</v>
      </c>
      <c r="AE157" s="19" t="str">
        <f>_xlfn.CONCAT(SalesData[[#This Row],[Clean_Customer_Name]],"-",SalesData[[#This Row],[Region]])</f>
        <v>Saurabh Roy-North</v>
      </c>
      <c r="AF157" s="19" t="str">
        <f>MID(SalesData[[#This Row],[Order_ID]],4,4)</f>
        <v>0906</v>
      </c>
      <c r="AG157" s="19" t="e">
        <f ca="1">_xlfn.SINGLE(_xlfn.XLOOKUP(SalesData[[#This Row],[Product]],Product_Master!A:A,Product_Master!B:B,"Not Found"))</f>
        <v>#NAME?</v>
      </c>
      <c r="AH157" s="19" t="str">
        <f>VLOOKUP(SalesData[[#This Row],[Product]],Product_Master!$A$1:$B$21,2,FALSE)</f>
        <v>Rohan</v>
      </c>
      <c r="AI157" s="16"/>
    </row>
    <row r="158" spans="1:35" ht="13.8">
      <c r="A158" s="16" t="s">
        <v>523</v>
      </c>
      <c r="B158" s="17">
        <v>45754</v>
      </c>
      <c r="C158" s="16" t="s">
        <v>147</v>
      </c>
      <c r="D158" s="16" t="s">
        <v>148</v>
      </c>
      <c r="E158" s="16" t="s">
        <v>72</v>
      </c>
      <c r="F158" s="16" t="s">
        <v>73</v>
      </c>
      <c r="G158" s="16" t="s">
        <v>51</v>
      </c>
      <c r="H158" s="16" t="s">
        <v>74</v>
      </c>
      <c r="I158" s="16" t="s">
        <v>23</v>
      </c>
      <c r="J158" s="16" t="s">
        <v>75</v>
      </c>
      <c r="K158" s="18">
        <v>4664.4399999999996</v>
      </c>
      <c r="L158" s="18">
        <v>4239.3599999999997</v>
      </c>
      <c r="M158" s="19">
        <v>1</v>
      </c>
      <c r="N158" s="20">
        <v>0</v>
      </c>
      <c r="O158" s="19" t="s">
        <v>44</v>
      </c>
      <c r="P158" s="19" t="s">
        <v>45</v>
      </c>
      <c r="Q158" s="19" t="str">
        <f>TRIM(SalesData[[#This Row],[Customer_Name]])</f>
        <v>Saurabh Roy</v>
      </c>
      <c r="R158" s="21">
        <f>SalesData[[#This Row],[Sales]]-SalesData[[#This Row],[Cost]]</f>
        <v>425.07999999999993</v>
      </c>
      <c r="S158" s="22">
        <f>IFERROR(SalesData[[#This Row],[Profit]]/SalesData[[#This Row],[Sales]],0)</f>
        <v>9.1132054437402979E-2</v>
      </c>
      <c r="T158" s="19">
        <f>YEAR(SalesData[[#This Row],[Order_Date]])</f>
        <v>2025</v>
      </c>
      <c r="U158" s="19" t="str">
        <f>TEXT(SalesData[[#This Row],[Order_Date]],"mmm")</f>
        <v>Apr</v>
      </c>
      <c r="V158" s="19" t="str">
        <f>"Q"&amp;ROUNDUP(MONTH(SalesData[[#This Row],[Order_Date]])/3,0)</f>
        <v>Q2</v>
      </c>
      <c r="W158" s="19" t="str">
        <f>IF(SalesData[[#This Row],[Sales]]&gt;=50000,"High",IF(AND(SalesData[[#This Row],[Sales]]&gt;= 20000, SalesData[[#This Row],[Sales]]&lt; 50000),"Medium","Low"))</f>
        <v>Low</v>
      </c>
      <c r="X158" s="19" t="str">
        <f>IF(SalesData[[#This Row],[Profit]]&gt;0,"Profit","Loss")</f>
        <v>Profit</v>
      </c>
      <c r="Y158" s="19" t="str">
        <f>IF(AND(SalesData[[#This Row],[Sales]]&gt;= 50000, SalesData[[#This Row],[Quantity]]&gt;=2),"Yes","No")</f>
        <v>No</v>
      </c>
      <c r="Z158" s="19" t="str">
        <f>UPPER(SalesData[[#This Row],[Customer_Name]])</f>
        <v>SAURABH ROY</v>
      </c>
      <c r="AA158" s="19" t="str">
        <f>LOWER(SalesData[[#This Row],[Customer_Name]])</f>
        <v>saurabh roy</v>
      </c>
      <c r="AB158" s="19">
        <f>LEN(SalesData[[#This Row],[Customer_Name]])</f>
        <v>11</v>
      </c>
      <c r="AC158" s="19" t="str">
        <f>LEFT(SalesData[[#This Row],[Order_ID]],3)</f>
        <v>ORD</v>
      </c>
      <c r="AD158" s="19" t="str">
        <f>RIGHT(SalesData[[#This Row],[Order_ID]],4)</f>
        <v>0370</v>
      </c>
      <c r="AE158" s="19" t="str">
        <f>_xlfn.CONCAT(SalesData[[#This Row],[Clean_Customer_Name]],"-",SalesData[[#This Row],[Region]])</f>
        <v>Saurabh Roy-North</v>
      </c>
      <c r="AF158" s="19" t="str">
        <f>MID(SalesData[[#This Row],[Order_ID]],4,4)</f>
        <v>0370</v>
      </c>
      <c r="AG158" s="19" t="e">
        <f ca="1">_xlfn.SINGLE(_xlfn.XLOOKUP(SalesData[[#This Row],[Product]],Product_Master!A:A,Product_Master!B:B,"Not Found"))</f>
        <v>#NAME?</v>
      </c>
      <c r="AH158" s="19" t="str">
        <f>VLOOKUP(SalesData[[#This Row],[Product]],Product_Master!$A$1:$B$21,2,FALSE)</f>
        <v>Anjali</v>
      </c>
      <c r="AI158" s="16"/>
    </row>
    <row r="159" spans="1:35" ht="13.8">
      <c r="A159" s="16" t="s">
        <v>929</v>
      </c>
      <c r="B159" s="17">
        <v>45360</v>
      </c>
      <c r="C159" s="16" t="s">
        <v>147</v>
      </c>
      <c r="D159" s="16" t="s">
        <v>148</v>
      </c>
      <c r="E159" s="16" t="s">
        <v>110</v>
      </c>
      <c r="F159" s="16" t="s">
        <v>111</v>
      </c>
      <c r="G159" s="16" t="s">
        <v>40</v>
      </c>
      <c r="H159" s="16" t="s">
        <v>112</v>
      </c>
      <c r="I159" s="16" t="s">
        <v>84</v>
      </c>
      <c r="J159" s="16" t="s">
        <v>142</v>
      </c>
      <c r="K159" s="18">
        <v>14637.5</v>
      </c>
      <c r="L159" s="18">
        <v>6361.4</v>
      </c>
      <c r="M159" s="19">
        <v>5</v>
      </c>
      <c r="N159" s="20">
        <v>0.05</v>
      </c>
      <c r="O159" s="19" t="s">
        <v>44</v>
      </c>
      <c r="P159" s="19" t="s">
        <v>58</v>
      </c>
      <c r="Q159" s="19" t="str">
        <f>TRIM(SalesData[[#This Row],[Customer_Name]])</f>
        <v>Saurabh Roy</v>
      </c>
      <c r="R159" s="21">
        <f>SalesData[[#This Row],[Sales]]-SalesData[[#This Row],[Cost]]</f>
        <v>8276.1</v>
      </c>
      <c r="S159" s="22">
        <f>IFERROR(SalesData[[#This Row],[Profit]]/SalesData[[#This Row],[Sales]],0)</f>
        <v>0.56540392826643893</v>
      </c>
      <c r="T159" s="19">
        <f>YEAR(SalesData[[#This Row],[Order_Date]])</f>
        <v>2024</v>
      </c>
      <c r="U159" s="19" t="str">
        <f>TEXT(SalesData[[#This Row],[Order_Date]],"mmm")</f>
        <v>Mar</v>
      </c>
      <c r="V159" s="19" t="str">
        <f>"Q"&amp;ROUNDUP(MONTH(SalesData[[#This Row],[Order_Date]])/3,0)</f>
        <v>Q1</v>
      </c>
      <c r="W159" s="19" t="str">
        <f>IF(SalesData[[#This Row],[Sales]]&gt;=50000,"High",IF(AND(SalesData[[#This Row],[Sales]]&gt;= 20000, SalesData[[#This Row],[Sales]]&lt; 50000),"Medium","Low"))</f>
        <v>Low</v>
      </c>
      <c r="X159" s="19" t="str">
        <f>IF(SalesData[[#This Row],[Profit]]&gt;0,"Profit","Loss")</f>
        <v>Profit</v>
      </c>
      <c r="Y159" s="19" t="str">
        <f>IF(AND(SalesData[[#This Row],[Sales]]&gt;= 50000, SalesData[[#This Row],[Quantity]]&gt;=2),"Yes","No")</f>
        <v>No</v>
      </c>
      <c r="Z159" s="19" t="str">
        <f>UPPER(SalesData[[#This Row],[Customer_Name]])</f>
        <v>SAURABH ROY</v>
      </c>
      <c r="AA159" s="19" t="str">
        <f>LOWER(SalesData[[#This Row],[Customer_Name]])</f>
        <v>saurabh roy</v>
      </c>
      <c r="AB159" s="19">
        <f>LEN(SalesData[[#This Row],[Customer_Name]])</f>
        <v>11</v>
      </c>
      <c r="AC159" s="19" t="str">
        <f>LEFT(SalesData[[#This Row],[Order_ID]],3)</f>
        <v>ORD</v>
      </c>
      <c r="AD159" s="19" t="str">
        <f>RIGHT(SalesData[[#This Row],[Order_ID]],4)</f>
        <v>0776</v>
      </c>
      <c r="AE159" s="19" t="str">
        <f>_xlfn.CONCAT(SalesData[[#This Row],[Clean_Customer_Name]],"-",SalesData[[#This Row],[Region]])</f>
        <v>Saurabh Roy-South</v>
      </c>
      <c r="AF159" s="19" t="str">
        <f>MID(SalesData[[#This Row],[Order_ID]],4,4)</f>
        <v>0776</v>
      </c>
      <c r="AG159" s="19" t="e">
        <f ca="1">_xlfn.SINGLE(_xlfn.XLOOKUP(SalesData[[#This Row],[Product]],Product_Master!A:A,Product_Master!B:B,"Not Found"))</f>
        <v>#NAME?</v>
      </c>
      <c r="AH159" s="19" t="str">
        <f>VLOOKUP(SalesData[[#This Row],[Product]],Product_Master!$A$1:$B$21,2,FALSE)</f>
        <v>Vikas</v>
      </c>
      <c r="AI159" s="16"/>
    </row>
    <row r="160" spans="1:35" ht="13.8">
      <c r="A160" s="16" t="s">
        <v>650</v>
      </c>
      <c r="B160" s="17">
        <v>46014</v>
      </c>
      <c r="C160" s="16" t="s">
        <v>147</v>
      </c>
      <c r="D160" s="16" t="s">
        <v>148</v>
      </c>
      <c r="E160" s="16" t="s">
        <v>172</v>
      </c>
      <c r="F160" s="16" t="s">
        <v>173</v>
      </c>
      <c r="G160" s="16" t="s">
        <v>40</v>
      </c>
      <c r="H160" s="16" t="s">
        <v>41</v>
      </c>
      <c r="I160" s="16" t="s">
        <v>53</v>
      </c>
      <c r="J160" s="16" t="s">
        <v>54</v>
      </c>
      <c r="K160" s="18">
        <v>14264.64</v>
      </c>
      <c r="L160" s="18">
        <v>3769.76</v>
      </c>
      <c r="M160" s="19">
        <v>4</v>
      </c>
      <c r="N160" s="20">
        <v>0</v>
      </c>
      <c r="O160" s="19" t="s">
        <v>76</v>
      </c>
      <c r="P160" s="19" t="s">
        <v>98</v>
      </c>
      <c r="Q160" s="19" t="str">
        <f>TRIM(SalesData[[#This Row],[Customer_Name]])</f>
        <v>Saurabh Roy</v>
      </c>
      <c r="R160" s="21">
        <f>SalesData[[#This Row],[Sales]]-SalesData[[#This Row],[Cost]]</f>
        <v>10494.88</v>
      </c>
      <c r="S160" s="22">
        <f>IFERROR(SalesData[[#This Row],[Profit]]/SalesData[[#This Row],[Sales]],0)</f>
        <v>0.73572694438836173</v>
      </c>
      <c r="T160" s="19">
        <f>YEAR(SalesData[[#This Row],[Order_Date]])</f>
        <v>2025</v>
      </c>
      <c r="U160" s="19" t="str">
        <f>TEXT(SalesData[[#This Row],[Order_Date]],"mmm")</f>
        <v>Dec</v>
      </c>
      <c r="V160" s="19" t="str">
        <f>"Q"&amp;ROUNDUP(MONTH(SalesData[[#This Row],[Order_Date]])/3,0)</f>
        <v>Q4</v>
      </c>
      <c r="W160" s="19" t="str">
        <f>IF(SalesData[[#This Row],[Sales]]&gt;=50000,"High",IF(AND(SalesData[[#This Row],[Sales]]&gt;= 20000, SalesData[[#This Row],[Sales]]&lt; 50000),"Medium","Low"))</f>
        <v>Low</v>
      </c>
      <c r="X160" s="19" t="str">
        <f>IF(SalesData[[#This Row],[Profit]]&gt;0,"Profit","Loss")</f>
        <v>Profit</v>
      </c>
      <c r="Y160" s="19" t="str">
        <f>IF(AND(SalesData[[#This Row],[Sales]]&gt;= 50000, SalesData[[#This Row],[Quantity]]&gt;=2),"Yes","No")</f>
        <v>No</v>
      </c>
      <c r="Z160" s="19" t="str">
        <f>UPPER(SalesData[[#This Row],[Customer_Name]])</f>
        <v>SAURABH ROY</v>
      </c>
      <c r="AA160" s="19" t="str">
        <f>LOWER(SalesData[[#This Row],[Customer_Name]])</f>
        <v>saurabh roy</v>
      </c>
      <c r="AB160" s="19">
        <f>LEN(SalesData[[#This Row],[Customer_Name]])</f>
        <v>11</v>
      </c>
      <c r="AC160" s="19" t="str">
        <f>LEFT(SalesData[[#This Row],[Order_ID]],3)</f>
        <v>ORD</v>
      </c>
      <c r="AD160" s="19" t="str">
        <f>RIGHT(SalesData[[#This Row],[Order_ID]],4)</f>
        <v>0497</v>
      </c>
      <c r="AE160" s="19" t="str">
        <f>_xlfn.CONCAT(SalesData[[#This Row],[Clean_Customer_Name]],"-",SalesData[[#This Row],[Region]])</f>
        <v>Saurabh Roy-Central</v>
      </c>
      <c r="AF160" s="19" t="str">
        <f>MID(SalesData[[#This Row],[Order_ID]],4,4)</f>
        <v>0497</v>
      </c>
      <c r="AG160" s="19" t="e">
        <f ca="1">_xlfn.SINGLE(_xlfn.XLOOKUP(SalesData[[#This Row],[Product]],Product_Master!A:A,Product_Master!B:B,"Not Found"))</f>
        <v>#NAME?</v>
      </c>
      <c r="AH160" s="19" t="str">
        <f>VLOOKUP(SalesData[[#This Row],[Product]],Product_Master!$A$1:$B$21,2,FALSE)</f>
        <v>Pooja</v>
      </c>
      <c r="AI160" s="16"/>
    </row>
    <row r="161" spans="1:35" ht="13.8">
      <c r="A161" s="16" t="s">
        <v>438</v>
      </c>
      <c r="B161" s="17">
        <v>45810</v>
      </c>
      <c r="C161" s="16" t="s">
        <v>147</v>
      </c>
      <c r="D161" s="16" t="s">
        <v>148</v>
      </c>
      <c r="E161" s="16" t="s">
        <v>106</v>
      </c>
      <c r="F161" s="16" t="s">
        <v>107</v>
      </c>
      <c r="G161" s="16" t="s">
        <v>40</v>
      </c>
      <c r="H161" s="16" t="s">
        <v>108</v>
      </c>
      <c r="I161" s="16" t="s">
        <v>56</v>
      </c>
      <c r="J161" s="16" t="s">
        <v>57</v>
      </c>
      <c r="K161" s="18">
        <v>9142.52</v>
      </c>
      <c r="L161" s="18">
        <v>2824.44</v>
      </c>
      <c r="M161" s="19">
        <v>4</v>
      </c>
      <c r="N161" s="20">
        <v>0.1</v>
      </c>
      <c r="O161" s="19" t="s">
        <v>34</v>
      </c>
      <c r="P161" s="19" t="s">
        <v>58</v>
      </c>
      <c r="Q161" s="19" t="str">
        <f>TRIM(SalesData[[#This Row],[Customer_Name]])</f>
        <v>Saurabh Roy</v>
      </c>
      <c r="R161" s="21">
        <f>SalesData[[#This Row],[Sales]]-SalesData[[#This Row],[Cost]]</f>
        <v>6318.08</v>
      </c>
      <c r="S161" s="22">
        <f>IFERROR(SalesData[[#This Row],[Profit]]/SalesData[[#This Row],[Sales]],0)</f>
        <v>0.69106548303968707</v>
      </c>
      <c r="T161" s="19">
        <f>YEAR(SalesData[[#This Row],[Order_Date]])</f>
        <v>2025</v>
      </c>
      <c r="U161" s="19" t="str">
        <f>TEXT(SalesData[[#This Row],[Order_Date]],"mmm")</f>
        <v>Jun</v>
      </c>
      <c r="V161" s="19" t="str">
        <f>"Q"&amp;ROUNDUP(MONTH(SalesData[[#This Row],[Order_Date]])/3,0)</f>
        <v>Q2</v>
      </c>
      <c r="W161" s="19" t="str">
        <f>IF(SalesData[[#This Row],[Sales]]&gt;=50000,"High",IF(AND(SalesData[[#This Row],[Sales]]&gt;= 20000, SalesData[[#This Row],[Sales]]&lt; 50000),"Medium","Low"))</f>
        <v>Low</v>
      </c>
      <c r="X161" s="19" t="str">
        <f>IF(SalesData[[#This Row],[Profit]]&gt;0,"Profit","Loss")</f>
        <v>Profit</v>
      </c>
      <c r="Y161" s="19" t="str">
        <f>IF(AND(SalesData[[#This Row],[Sales]]&gt;= 50000, SalesData[[#This Row],[Quantity]]&gt;=2),"Yes","No")</f>
        <v>No</v>
      </c>
      <c r="Z161" s="19" t="str">
        <f>UPPER(SalesData[[#This Row],[Customer_Name]])</f>
        <v>SAURABH ROY</v>
      </c>
      <c r="AA161" s="19" t="str">
        <f>LOWER(SalesData[[#This Row],[Customer_Name]])</f>
        <v>saurabh roy</v>
      </c>
      <c r="AB161" s="19">
        <f>LEN(SalesData[[#This Row],[Customer_Name]])</f>
        <v>11</v>
      </c>
      <c r="AC161" s="19" t="str">
        <f>LEFT(SalesData[[#This Row],[Order_ID]],3)</f>
        <v>ORD</v>
      </c>
      <c r="AD161" s="19" t="str">
        <f>RIGHT(SalesData[[#This Row],[Order_ID]],4)</f>
        <v>0285</v>
      </c>
      <c r="AE161" s="19" t="str">
        <f>_xlfn.CONCAT(SalesData[[#This Row],[Clean_Customer_Name]],"-",SalesData[[#This Row],[Region]])</f>
        <v>Saurabh Roy-West</v>
      </c>
      <c r="AF161" s="19" t="str">
        <f>MID(SalesData[[#This Row],[Order_ID]],4,4)</f>
        <v>0285</v>
      </c>
      <c r="AG161" s="19" t="e">
        <f ca="1">_xlfn.SINGLE(_xlfn.XLOOKUP(SalesData[[#This Row],[Product]],Product_Master!A:A,Product_Master!B:B,"Not Found"))</f>
        <v>#NAME?</v>
      </c>
      <c r="AH161" s="19" t="str">
        <f>VLOOKUP(SalesData[[#This Row],[Product]],Product_Master!$A$1:$B$21,2,FALSE)</f>
        <v>Aditya</v>
      </c>
      <c r="AI161" s="16"/>
    </row>
    <row r="162" spans="1:35" ht="13.8">
      <c r="A162" s="16" t="s">
        <v>1077</v>
      </c>
      <c r="B162" s="17">
        <v>45889</v>
      </c>
      <c r="C162" s="16" t="s">
        <v>147</v>
      </c>
      <c r="D162" s="16" t="s">
        <v>148</v>
      </c>
      <c r="E162" s="16" t="s">
        <v>106</v>
      </c>
      <c r="F162" s="16" t="s">
        <v>107</v>
      </c>
      <c r="G162" s="16" t="s">
        <v>40</v>
      </c>
      <c r="H162" s="16" t="s">
        <v>108</v>
      </c>
      <c r="I162" s="16" t="s">
        <v>42</v>
      </c>
      <c r="J162" s="16" t="s">
        <v>68</v>
      </c>
      <c r="K162" s="18">
        <v>2353.44</v>
      </c>
      <c r="L162" s="18">
        <v>659.01</v>
      </c>
      <c r="M162" s="19">
        <v>1</v>
      </c>
      <c r="N162" s="20">
        <v>0.15</v>
      </c>
      <c r="O162" s="19" t="s">
        <v>76</v>
      </c>
      <c r="P162" s="19" t="s">
        <v>26</v>
      </c>
      <c r="Q162" s="19" t="str">
        <f>TRIM(SalesData[[#This Row],[Customer_Name]])</f>
        <v>Saurabh Roy</v>
      </c>
      <c r="R162" s="21">
        <f>SalesData[[#This Row],[Sales]]-SalesData[[#This Row],[Cost]]</f>
        <v>1694.43</v>
      </c>
      <c r="S162" s="22">
        <f>IFERROR(SalesData[[#This Row],[Profit]]/SalesData[[#This Row],[Sales]],0)</f>
        <v>0.71998011421578623</v>
      </c>
      <c r="T162" s="19">
        <f>YEAR(SalesData[[#This Row],[Order_Date]])</f>
        <v>2025</v>
      </c>
      <c r="U162" s="19" t="str">
        <f>TEXT(SalesData[[#This Row],[Order_Date]],"mmm")</f>
        <v>Aug</v>
      </c>
      <c r="V162" s="19" t="str">
        <f>"Q"&amp;ROUNDUP(MONTH(SalesData[[#This Row],[Order_Date]])/3,0)</f>
        <v>Q3</v>
      </c>
      <c r="W162" s="19" t="str">
        <f>IF(SalesData[[#This Row],[Sales]]&gt;=50000,"High",IF(AND(SalesData[[#This Row],[Sales]]&gt;= 20000, SalesData[[#This Row],[Sales]]&lt; 50000),"Medium","Low"))</f>
        <v>Low</v>
      </c>
      <c r="X162" s="19" t="str">
        <f>IF(SalesData[[#This Row],[Profit]]&gt;0,"Profit","Loss")</f>
        <v>Profit</v>
      </c>
      <c r="Y162" s="19" t="str">
        <f>IF(AND(SalesData[[#This Row],[Sales]]&gt;= 50000, SalesData[[#This Row],[Quantity]]&gt;=2),"Yes","No")</f>
        <v>No</v>
      </c>
      <c r="Z162" s="19" t="str">
        <f>UPPER(SalesData[[#This Row],[Customer_Name]])</f>
        <v>SAURABH ROY</v>
      </c>
      <c r="AA162" s="19" t="str">
        <f>LOWER(SalesData[[#This Row],[Customer_Name]])</f>
        <v>saurabh roy</v>
      </c>
      <c r="AB162" s="19">
        <f>LEN(SalesData[[#This Row],[Customer_Name]])</f>
        <v>11</v>
      </c>
      <c r="AC162" s="19" t="str">
        <f>LEFT(SalesData[[#This Row],[Order_ID]],3)</f>
        <v>ORD</v>
      </c>
      <c r="AD162" s="19" t="str">
        <f>RIGHT(SalesData[[#This Row],[Order_ID]],4)</f>
        <v>0924</v>
      </c>
      <c r="AE162" s="19" t="str">
        <f>_xlfn.CONCAT(SalesData[[#This Row],[Clean_Customer_Name]],"-",SalesData[[#This Row],[Region]])</f>
        <v>Saurabh Roy-East</v>
      </c>
      <c r="AF162" s="19" t="str">
        <f>MID(SalesData[[#This Row],[Order_ID]],4,4)</f>
        <v>0924</v>
      </c>
      <c r="AG162" s="19" t="e">
        <f ca="1">_xlfn.SINGLE(_xlfn.XLOOKUP(SalesData[[#This Row],[Product]],Product_Master!A:A,Product_Master!B:B,"Not Found"))</f>
        <v>#NAME?</v>
      </c>
      <c r="AH162" s="19" t="str">
        <f>VLOOKUP(SalesData[[#This Row],[Product]],Product_Master!$A$1:$B$21,2,FALSE)</f>
        <v>Aditya</v>
      </c>
      <c r="AI162" s="16"/>
    </row>
    <row r="163" spans="1:35" ht="13.8">
      <c r="A163" s="16" t="s">
        <v>891</v>
      </c>
      <c r="B163" s="17">
        <v>45556</v>
      </c>
      <c r="C163" s="16" t="s">
        <v>147</v>
      </c>
      <c r="D163" s="16" t="s">
        <v>148</v>
      </c>
      <c r="E163" s="16" t="s">
        <v>132</v>
      </c>
      <c r="F163" s="16" t="s">
        <v>133</v>
      </c>
      <c r="G163" s="16" t="s">
        <v>40</v>
      </c>
      <c r="H163" s="16" t="s">
        <v>41</v>
      </c>
      <c r="I163" s="16" t="s">
        <v>53</v>
      </c>
      <c r="J163" s="16" t="s">
        <v>102</v>
      </c>
      <c r="K163" s="18">
        <v>3763.94</v>
      </c>
      <c r="L163" s="18">
        <v>1094.8399999999999</v>
      </c>
      <c r="M163" s="19">
        <v>4</v>
      </c>
      <c r="N163" s="20">
        <v>0.1</v>
      </c>
      <c r="O163" s="19" t="s">
        <v>34</v>
      </c>
      <c r="P163" s="19" t="s">
        <v>58</v>
      </c>
      <c r="Q163" s="19" t="str">
        <f>TRIM(SalesData[[#This Row],[Customer_Name]])</f>
        <v>Saurabh Roy</v>
      </c>
      <c r="R163" s="21">
        <f>SalesData[[#This Row],[Sales]]-SalesData[[#This Row],[Cost]]</f>
        <v>2669.1000000000004</v>
      </c>
      <c r="S163" s="22">
        <f>IFERROR(SalesData[[#This Row],[Profit]]/SalesData[[#This Row],[Sales]],0)</f>
        <v>0.70912394990355854</v>
      </c>
      <c r="T163" s="19">
        <f>YEAR(SalesData[[#This Row],[Order_Date]])</f>
        <v>2024</v>
      </c>
      <c r="U163" s="19" t="str">
        <f>TEXT(SalesData[[#This Row],[Order_Date]],"mmm")</f>
        <v>Sept</v>
      </c>
      <c r="V163" s="19" t="str">
        <f>"Q"&amp;ROUNDUP(MONTH(SalesData[[#This Row],[Order_Date]])/3,0)</f>
        <v>Q3</v>
      </c>
      <c r="W163" s="19" t="str">
        <f>IF(SalesData[[#This Row],[Sales]]&gt;=50000,"High",IF(AND(SalesData[[#This Row],[Sales]]&gt;= 20000, SalesData[[#This Row],[Sales]]&lt; 50000),"Medium","Low"))</f>
        <v>Low</v>
      </c>
      <c r="X163" s="19" t="str">
        <f>IF(SalesData[[#This Row],[Profit]]&gt;0,"Profit","Loss")</f>
        <v>Profit</v>
      </c>
      <c r="Y163" s="19" t="str">
        <f>IF(AND(SalesData[[#This Row],[Sales]]&gt;= 50000, SalesData[[#This Row],[Quantity]]&gt;=2),"Yes","No")</f>
        <v>No</v>
      </c>
      <c r="Z163" s="19" t="str">
        <f>UPPER(SalesData[[#This Row],[Customer_Name]])</f>
        <v>SAURABH ROY</v>
      </c>
      <c r="AA163" s="19" t="str">
        <f>LOWER(SalesData[[#This Row],[Customer_Name]])</f>
        <v>saurabh roy</v>
      </c>
      <c r="AB163" s="19">
        <f>LEN(SalesData[[#This Row],[Customer_Name]])</f>
        <v>11</v>
      </c>
      <c r="AC163" s="19" t="str">
        <f>LEFT(SalesData[[#This Row],[Order_ID]],3)</f>
        <v>ORD</v>
      </c>
      <c r="AD163" s="19" t="str">
        <f>RIGHT(SalesData[[#This Row],[Order_ID]],4)</f>
        <v>0738</v>
      </c>
      <c r="AE163" s="19" t="str">
        <f>_xlfn.CONCAT(SalesData[[#This Row],[Clean_Customer_Name]],"-",SalesData[[#This Row],[Region]])</f>
        <v>Saurabh Roy-Central</v>
      </c>
      <c r="AF163" s="19" t="str">
        <f>MID(SalesData[[#This Row],[Order_ID]],4,4)</f>
        <v>0738</v>
      </c>
      <c r="AG163" s="19" t="e">
        <f ca="1">_xlfn.SINGLE(_xlfn.XLOOKUP(SalesData[[#This Row],[Product]],Product_Master!A:A,Product_Master!B:B,"Not Found"))</f>
        <v>#NAME?</v>
      </c>
      <c r="AH163" s="19" t="str">
        <f>VLOOKUP(SalesData[[#This Row],[Product]],Product_Master!$A$1:$B$21,2,FALSE)</f>
        <v>Kavya</v>
      </c>
      <c r="AI163" s="16"/>
    </row>
    <row r="164" spans="1:35" ht="13.8">
      <c r="A164" s="16" t="s">
        <v>579</v>
      </c>
      <c r="B164" s="17">
        <v>45917</v>
      </c>
      <c r="C164" s="16" t="s">
        <v>147</v>
      </c>
      <c r="D164" s="16" t="s">
        <v>148</v>
      </c>
      <c r="E164" s="16" t="s">
        <v>38</v>
      </c>
      <c r="F164" s="16" t="s">
        <v>39</v>
      </c>
      <c r="G164" s="16" t="s">
        <v>40</v>
      </c>
      <c r="H164" s="16" t="s">
        <v>41</v>
      </c>
      <c r="I164" s="16" t="s">
        <v>23</v>
      </c>
      <c r="J164" s="16" t="s">
        <v>75</v>
      </c>
      <c r="K164" s="18">
        <v>5997.05</v>
      </c>
      <c r="L164" s="18">
        <v>2111.6799999999998</v>
      </c>
      <c r="M164" s="19">
        <v>4</v>
      </c>
      <c r="N164" s="20">
        <v>0.05</v>
      </c>
      <c r="O164" s="19" t="s">
        <v>136</v>
      </c>
      <c r="P164" s="19" t="s">
        <v>98</v>
      </c>
      <c r="Q164" s="19" t="str">
        <f>TRIM(SalesData[[#This Row],[Customer_Name]])</f>
        <v>Saurabh Roy</v>
      </c>
      <c r="R164" s="21">
        <f>SalesData[[#This Row],[Sales]]-SalesData[[#This Row],[Cost]]</f>
        <v>3885.3700000000003</v>
      </c>
      <c r="S164" s="22">
        <f>IFERROR(SalesData[[#This Row],[Profit]]/SalesData[[#This Row],[Sales]],0)</f>
        <v>0.64788020776881972</v>
      </c>
      <c r="T164" s="19">
        <f>YEAR(SalesData[[#This Row],[Order_Date]])</f>
        <v>2025</v>
      </c>
      <c r="U164" s="19" t="str">
        <f>TEXT(SalesData[[#This Row],[Order_Date]],"mmm")</f>
        <v>Sept</v>
      </c>
      <c r="V164" s="19" t="str">
        <f>"Q"&amp;ROUNDUP(MONTH(SalesData[[#This Row],[Order_Date]])/3,0)</f>
        <v>Q3</v>
      </c>
      <c r="W164" s="19" t="str">
        <f>IF(SalesData[[#This Row],[Sales]]&gt;=50000,"High",IF(AND(SalesData[[#This Row],[Sales]]&gt;= 20000, SalesData[[#This Row],[Sales]]&lt; 50000),"Medium","Low"))</f>
        <v>Low</v>
      </c>
      <c r="X164" s="19" t="str">
        <f>IF(SalesData[[#This Row],[Profit]]&gt;0,"Profit","Loss")</f>
        <v>Profit</v>
      </c>
      <c r="Y164" s="19" t="str">
        <f>IF(AND(SalesData[[#This Row],[Sales]]&gt;= 50000, SalesData[[#This Row],[Quantity]]&gt;=2),"Yes","No")</f>
        <v>No</v>
      </c>
      <c r="Z164" s="19" t="str">
        <f>UPPER(SalesData[[#This Row],[Customer_Name]])</f>
        <v>SAURABH ROY</v>
      </c>
      <c r="AA164" s="19" t="str">
        <f>LOWER(SalesData[[#This Row],[Customer_Name]])</f>
        <v>saurabh roy</v>
      </c>
      <c r="AB164" s="19">
        <f>LEN(SalesData[[#This Row],[Customer_Name]])</f>
        <v>11</v>
      </c>
      <c r="AC164" s="19" t="str">
        <f>LEFT(SalesData[[#This Row],[Order_ID]],3)</f>
        <v>ORD</v>
      </c>
      <c r="AD164" s="19" t="str">
        <f>RIGHT(SalesData[[#This Row],[Order_ID]],4)</f>
        <v>0426</v>
      </c>
      <c r="AE164" s="19" t="str">
        <f>_xlfn.CONCAT(SalesData[[#This Row],[Clean_Customer_Name]],"-",SalesData[[#This Row],[Region]])</f>
        <v>Saurabh Roy-North</v>
      </c>
      <c r="AF164" s="19" t="str">
        <f>MID(SalesData[[#This Row],[Order_ID]],4,4)</f>
        <v>0426</v>
      </c>
      <c r="AG164" s="19" t="e">
        <f ca="1">_xlfn.SINGLE(_xlfn.XLOOKUP(SalesData[[#This Row],[Product]],Product_Master!A:A,Product_Master!B:B,"Not Found"))</f>
        <v>#NAME?</v>
      </c>
      <c r="AH164" s="19" t="str">
        <f>VLOOKUP(SalesData[[#This Row],[Product]],Product_Master!$A$1:$B$21,2,FALSE)</f>
        <v>Manish</v>
      </c>
      <c r="AI164" s="16"/>
    </row>
    <row r="165" spans="1:35" ht="13.8">
      <c r="A165" s="16" t="s">
        <v>1022</v>
      </c>
      <c r="B165" s="17">
        <v>45678</v>
      </c>
      <c r="C165" s="16" t="s">
        <v>147</v>
      </c>
      <c r="D165" s="16" t="s">
        <v>148</v>
      </c>
      <c r="E165" s="16" t="s">
        <v>38</v>
      </c>
      <c r="F165" s="16" t="s">
        <v>39</v>
      </c>
      <c r="G165" s="16" t="s">
        <v>40</v>
      </c>
      <c r="H165" s="16" t="s">
        <v>41</v>
      </c>
      <c r="I165" s="16" t="s">
        <v>84</v>
      </c>
      <c r="J165" s="16" t="s">
        <v>134</v>
      </c>
      <c r="K165" s="18">
        <v>7348.78</v>
      </c>
      <c r="L165" s="18">
        <v>2133.8000000000002</v>
      </c>
      <c r="M165" s="19">
        <v>4</v>
      </c>
      <c r="N165" s="20">
        <v>0.05</v>
      </c>
      <c r="O165" s="19" t="s">
        <v>76</v>
      </c>
      <c r="P165" s="19" t="s">
        <v>98</v>
      </c>
      <c r="Q165" s="19" t="str">
        <f>TRIM(SalesData[[#This Row],[Customer_Name]])</f>
        <v>Saurabh Roy</v>
      </c>
      <c r="R165" s="21">
        <f>SalesData[[#This Row],[Sales]]-SalesData[[#This Row],[Cost]]</f>
        <v>5214.9799999999996</v>
      </c>
      <c r="S165" s="22">
        <f>IFERROR(SalesData[[#This Row],[Profit]]/SalesData[[#This Row],[Sales]],0)</f>
        <v>0.70963887883430987</v>
      </c>
      <c r="T165" s="19">
        <f>YEAR(SalesData[[#This Row],[Order_Date]])</f>
        <v>2025</v>
      </c>
      <c r="U165" s="19" t="str">
        <f>TEXT(SalesData[[#This Row],[Order_Date]],"mmm")</f>
        <v>Jan</v>
      </c>
      <c r="V165" s="19" t="str">
        <f>"Q"&amp;ROUNDUP(MONTH(SalesData[[#This Row],[Order_Date]])/3,0)</f>
        <v>Q1</v>
      </c>
      <c r="W165" s="19" t="str">
        <f>IF(SalesData[[#This Row],[Sales]]&gt;=50000,"High",IF(AND(SalesData[[#This Row],[Sales]]&gt;= 20000, SalesData[[#This Row],[Sales]]&lt; 50000),"Medium","Low"))</f>
        <v>Low</v>
      </c>
      <c r="X165" s="19" t="str">
        <f>IF(SalesData[[#This Row],[Profit]]&gt;0,"Profit","Loss")</f>
        <v>Profit</v>
      </c>
      <c r="Y165" s="19" t="str">
        <f>IF(AND(SalesData[[#This Row],[Sales]]&gt;= 50000, SalesData[[#This Row],[Quantity]]&gt;=2),"Yes","No")</f>
        <v>No</v>
      </c>
      <c r="Z165" s="19" t="str">
        <f>UPPER(SalesData[[#This Row],[Customer_Name]])</f>
        <v>SAURABH ROY</v>
      </c>
      <c r="AA165" s="19" t="str">
        <f>LOWER(SalesData[[#This Row],[Customer_Name]])</f>
        <v>saurabh roy</v>
      </c>
      <c r="AB165" s="19">
        <f>LEN(SalesData[[#This Row],[Customer_Name]])</f>
        <v>11</v>
      </c>
      <c r="AC165" s="19" t="str">
        <f>LEFT(SalesData[[#This Row],[Order_ID]],3)</f>
        <v>ORD</v>
      </c>
      <c r="AD165" s="19" t="str">
        <f>RIGHT(SalesData[[#This Row],[Order_ID]],4)</f>
        <v>0869</v>
      </c>
      <c r="AE165" s="19" t="str">
        <f>_xlfn.CONCAT(SalesData[[#This Row],[Clean_Customer_Name]],"-",SalesData[[#This Row],[Region]])</f>
        <v>Saurabh Roy-South</v>
      </c>
      <c r="AF165" s="19" t="str">
        <f>MID(SalesData[[#This Row],[Order_ID]],4,4)</f>
        <v>0869</v>
      </c>
      <c r="AG165" s="19" t="e">
        <f ca="1">_xlfn.SINGLE(_xlfn.XLOOKUP(SalesData[[#This Row],[Product]],Product_Master!A:A,Product_Master!B:B,"Not Found"))</f>
        <v>#NAME?</v>
      </c>
      <c r="AH165" s="19" t="str">
        <f>VLOOKUP(SalesData[[#This Row],[Product]],Product_Master!$A$1:$B$21,2,FALSE)</f>
        <v>Manish</v>
      </c>
      <c r="AI165" s="16"/>
    </row>
    <row r="166" spans="1:35" ht="13.8">
      <c r="A166" s="16" t="s">
        <v>1124</v>
      </c>
      <c r="B166" s="17">
        <v>45498</v>
      </c>
      <c r="C166" s="16" t="s">
        <v>147</v>
      </c>
      <c r="D166" s="16" t="s">
        <v>148</v>
      </c>
      <c r="E166" s="16" t="s">
        <v>38</v>
      </c>
      <c r="F166" s="16" t="s">
        <v>39</v>
      </c>
      <c r="G166" s="16" t="s">
        <v>40</v>
      </c>
      <c r="H166" s="16" t="s">
        <v>41</v>
      </c>
      <c r="I166" s="16" t="s">
        <v>42</v>
      </c>
      <c r="J166" s="16" t="s">
        <v>68</v>
      </c>
      <c r="K166" s="18">
        <v>3698.65</v>
      </c>
      <c r="L166" s="18">
        <v>1608.72</v>
      </c>
      <c r="M166" s="19">
        <v>3</v>
      </c>
      <c r="N166" s="20">
        <v>0.1</v>
      </c>
      <c r="O166" s="19" t="s">
        <v>136</v>
      </c>
      <c r="P166" s="19" t="s">
        <v>26</v>
      </c>
      <c r="Q166" s="19" t="str">
        <f>TRIM(SalesData[[#This Row],[Customer_Name]])</f>
        <v>Saurabh Roy</v>
      </c>
      <c r="R166" s="21">
        <f>SalesData[[#This Row],[Sales]]-SalesData[[#This Row],[Cost]]</f>
        <v>2089.9300000000003</v>
      </c>
      <c r="S166" s="22">
        <f>IFERROR(SalesData[[#This Row],[Profit]]/SalesData[[#This Row],[Sales]],0)</f>
        <v>0.56505211360901952</v>
      </c>
      <c r="T166" s="19">
        <f>YEAR(SalesData[[#This Row],[Order_Date]])</f>
        <v>2024</v>
      </c>
      <c r="U166" s="19" t="str">
        <f>TEXT(SalesData[[#This Row],[Order_Date]],"mmm")</f>
        <v>Jul</v>
      </c>
      <c r="V166" s="19" t="str">
        <f>"Q"&amp;ROUNDUP(MONTH(SalesData[[#This Row],[Order_Date]])/3,0)</f>
        <v>Q3</v>
      </c>
      <c r="W166" s="19" t="str">
        <f>IF(SalesData[[#This Row],[Sales]]&gt;=50000,"High",IF(AND(SalesData[[#This Row],[Sales]]&gt;= 20000, SalesData[[#This Row],[Sales]]&lt; 50000),"Medium","Low"))</f>
        <v>Low</v>
      </c>
      <c r="X166" s="19" t="str">
        <f>IF(SalesData[[#This Row],[Profit]]&gt;0,"Profit","Loss")</f>
        <v>Profit</v>
      </c>
      <c r="Y166" s="19" t="str">
        <f>IF(AND(SalesData[[#This Row],[Sales]]&gt;= 50000, SalesData[[#This Row],[Quantity]]&gt;=2),"Yes","No")</f>
        <v>No</v>
      </c>
      <c r="Z166" s="19" t="str">
        <f>UPPER(SalesData[[#This Row],[Customer_Name]])</f>
        <v>SAURABH ROY</v>
      </c>
      <c r="AA166" s="19" t="str">
        <f>LOWER(SalesData[[#This Row],[Customer_Name]])</f>
        <v>saurabh roy</v>
      </c>
      <c r="AB166" s="19">
        <f>LEN(SalesData[[#This Row],[Customer_Name]])</f>
        <v>11</v>
      </c>
      <c r="AC166" s="19" t="str">
        <f>LEFT(SalesData[[#This Row],[Order_ID]],3)</f>
        <v>ORD</v>
      </c>
      <c r="AD166" s="19" t="str">
        <f>RIGHT(SalesData[[#This Row],[Order_ID]],4)</f>
        <v>0971</v>
      </c>
      <c r="AE166" s="19" t="str">
        <f>_xlfn.CONCAT(SalesData[[#This Row],[Clean_Customer_Name]],"-",SalesData[[#This Row],[Region]])</f>
        <v>Saurabh Roy-East</v>
      </c>
      <c r="AF166" s="19" t="str">
        <f>MID(SalesData[[#This Row],[Order_ID]],4,4)</f>
        <v>0971</v>
      </c>
      <c r="AG166" s="19" t="e">
        <f ca="1">_xlfn.SINGLE(_xlfn.XLOOKUP(SalesData[[#This Row],[Product]],Product_Master!A:A,Product_Master!B:B,"Not Found"))</f>
        <v>#NAME?</v>
      </c>
      <c r="AH166" s="19" t="str">
        <f>VLOOKUP(SalesData[[#This Row],[Product]],Product_Master!$A$1:$B$21,2,FALSE)</f>
        <v>Manish</v>
      </c>
      <c r="AI166" s="16"/>
    </row>
    <row r="167" spans="1:35" ht="13.8">
      <c r="A167" s="16" t="s">
        <v>146</v>
      </c>
      <c r="B167" s="17">
        <v>45835</v>
      </c>
      <c r="C167" s="16" t="s">
        <v>147</v>
      </c>
      <c r="D167" s="16" t="s">
        <v>148</v>
      </c>
      <c r="E167" s="16" t="s">
        <v>87</v>
      </c>
      <c r="F167" s="16" t="s">
        <v>88</v>
      </c>
      <c r="G167" s="16" t="s">
        <v>89</v>
      </c>
      <c r="H167" s="16" t="s">
        <v>90</v>
      </c>
      <c r="I167" s="16" t="s">
        <v>56</v>
      </c>
      <c r="J167" s="16" t="s">
        <v>57</v>
      </c>
      <c r="K167" s="18">
        <v>7192.01</v>
      </c>
      <c r="L167" s="18">
        <v>3280.96</v>
      </c>
      <c r="M167" s="19">
        <v>2</v>
      </c>
      <c r="N167" s="20">
        <v>0.05</v>
      </c>
      <c r="O167" s="19" t="s">
        <v>25</v>
      </c>
      <c r="P167" s="19" t="s">
        <v>58</v>
      </c>
      <c r="Q167" s="19" t="str">
        <f>TRIM(SalesData[[#This Row],[Customer_Name]])</f>
        <v>Saurabh Roy</v>
      </c>
      <c r="R167" s="21">
        <f>SalesData[[#This Row],[Sales]]-SalesData[[#This Row],[Cost]]</f>
        <v>3911.05</v>
      </c>
      <c r="S167" s="22">
        <f>IFERROR(SalesData[[#This Row],[Profit]]/SalesData[[#This Row],[Sales]],0)</f>
        <v>0.54380486122794602</v>
      </c>
      <c r="T167" s="19">
        <f>YEAR(SalesData[[#This Row],[Order_Date]])</f>
        <v>2025</v>
      </c>
      <c r="U167" s="19" t="str">
        <f>TEXT(SalesData[[#This Row],[Order_Date]],"mmm")</f>
        <v>Jun</v>
      </c>
      <c r="V167" s="19" t="str">
        <f>"Q"&amp;ROUNDUP(MONTH(SalesData[[#This Row],[Order_Date]])/3,0)</f>
        <v>Q2</v>
      </c>
      <c r="W167" s="19" t="str">
        <f>IF(SalesData[[#This Row],[Sales]]&gt;=50000,"High",IF(AND(SalesData[[#This Row],[Sales]]&gt;= 20000, SalesData[[#This Row],[Sales]]&lt; 50000),"Medium","Low"))</f>
        <v>Low</v>
      </c>
      <c r="X167" s="19" t="str">
        <f>IF(SalesData[[#This Row],[Profit]]&gt;0,"Profit","Loss")</f>
        <v>Profit</v>
      </c>
      <c r="Y167" s="19" t="str">
        <f>IF(AND(SalesData[[#This Row],[Sales]]&gt;= 50000, SalesData[[#This Row],[Quantity]]&gt;=2),"Yes","No")</f>
        <v>No</v>
      </c>
      <c r="Z167" s="19" t="str">
        <f>UPPER(SalesData[[#This Row],[Customer_Name]])</f>
        <v>SAURABH ROY</v>
      </c>
      <c r="AA167" s="19" t="str">
        <f>LOWER(SalesData[[#This Row],[Customer_Name]])</f>
        <v>saurabh roy</v>
      </c>
      <c r="AB167" s="19">
        <f>LEN(SalesData[[#This Row],[Customer_Name]])</f>
        <v>11</v>
      </c>
      <c r="AC167" s="19" t="str">
        <f>LEFT(SalesData[[#This Row],[Order_ID]],3)</f>
        <v>ORD</v>
      </c>
      <c r="AD167" s="19" t="str">
        <f>RIGHT(SalesData[[#This Row],[Order_ID]],4)</f>
        <v>0029</v>
      </c>
      <c r="AE167" s="19" t="str">
        <f>_xlfn.CONCAT(SalesData[[#This Row],[Clean_Customer_Name]],"-",SalesData[[#This Row],[Region]])</f>
        <v>Saurabh Roy-West</v>
      </c>
      <c r="AF167" s="19" t="str">
        <f>MID(SalesData[[#This Row],[Order_ID]],4,4)</f>
        <v>0029</v>
      </c>
      <c r="AG167" s="19" t="e">
        <f ca="1">_xlfn.SINGLE(_xlfn.XLOOKUP(SalesData[[#This Row],[Product]],Product_Master!A:A,Product_Master!B:B,"Not Found"))</f>
        <v>#NAME?</v>
      </c>
      <c r="AH167" s="19" t="str">
        <f>VLOOKUP(SalesData[[#This Row],[Product]],Product_Master!$A$1:$B$21,2,FALSE)</f>
        <v>Rahul</v>
      </c>
      <c r="AI167" s="16"/>
    </row>
    <row r="168" spans="1:35" ht="13.8">
      <c r="A168" s="16" t="s">
        <v>465</v>
      </c>
      <c r="B168" s="17">
        <v>45643</v>
      </c>
      <c r="C168" s="16" t="s">
        <v>147</v>
      </c>
      <c r="D168" s="16" t="s">
        <v>148</v>
      </c>
      <c r="E168" s="16" t="s">
        <v>87</v>
      </c>
      <c r="F168" s="16" t="s">
        <v>88</v>
      </c>
      <c r="G168" s="16" t="s">
        <v>89</v>
      </c>
      <c r="H168" s="16" t="s">
        <v>90</v>
      </c>
      <c r="I168" s="16" t="s">
        <v>53</v>
      </c>
      <c r="J168" s="16" t="s">
        <v>54</v>
      </c>
      <c r="K168" s="18">
        <v>3567.97</v>
      </c>
      <c r="L168" s="18">
        <v>1636.54</v>
      </c>
      <c r="M168" s="19">
        <v>1</v>
      </c>
      <c r="N168" s="20">
        <v>0.15</v>
      </c>
      <c r="O168" s="19" t="s">
        <v>25</v>
      </c>
      <c r="P168" s="19" t="s">
        <v>58</v>
      </c>
      <c r="Q168" s="19" t="str">
        <f>TRIM(SalesData[[#This Row],[Customer_Name]])</f>
        <v>Saurabh Roy</v>
      </c>
      <c r="R168" s="21">
        <f>SalesData[[#This Row],[Sales]]-SalesData[[#This Row],[Cost]]</f>
        <v>1931.4299999999998</v>
      </c>
      <c r="S168" s="22">
        <f>IFERROR(SalesData[[#This Row],[Profit]]/SalesData[[#This Row],[Sales]],0)</f>
        <v>0.54132461876080795</v>
      </c>
      <c r="T168" s="19">
        <f>YEAR(SalesData[[#This Row],[Order_Date]])</f>
        <v>2024</v>
      </c>
      <c r="U168" s="19" t="str">
        <f>TEXT(SalesData[[#This Row],[Order_Date]],"mmm")</f>
        <v>Dec</v>
      </c>
      <c r="V168" s="19" t="str">
        <f>"Q"&amp;ROUNDUP(MONTH(SalesData[[#This Row],[Order_Date]])/3,0)</f>
        <v>Q4</v>
      </c>
      <c r="W168" s="19" t="str">
        <f>IF(SalesData[[#This Row],[Sales]]&gt;=50000,"High",IF(AND(SalesData[[#This Row],[Sales]]&gt;= 20000, SalesData[[#This Row],[Sales]]&lt; 50000),"Medium","Low"))</f>
        <v>Low</v>
      </c>
      <c r="X168" s="19" t="str">
        <f>IF(SalesData[[#This Row],[Profit]]&gt;0,"Profit","Loss")</f>
        <v>Profit</v>
      </c>
      <c r="Y168" s="19" t="str">
        <f>IF(AND(SalesData[[#This Row],[Sales]]&gt;= 50000, SalesData[[#This Row],[Quantity]]&gt;=2),"Yes","No")</f>
        <v>No</v>
      </c>
      <c r="Z168" s="19" t="str">
        <f>UPPER(SalesData[[#This Row],[Customer_Name]])</f>
        <v>SAURABH ROY</v>
      </c>
      <c r="AA168" s="19" t="str">
        <f>LOWER(SalesData[[#This Row],[Customer_Name]])</f>
        <v>saurabh roy</v>
      </c>
      <c r="AB168" s="19">
        <f>LEN(SalesData[[#This Row],[Customer_Name]])</f>
        <v>11</v>
      </c>
      <c r="AC168" s="19" t="str">
        <f>LEFT(SalesData[[#This Row],[Order_ID]],3)</f>
        <v>ORD</v>
      </c>
      <c r="AD168" s="19" t="str">
        <f>RIGHT(SalesData[[#This Row],[Order_ID]],4)</f>
        <v>0312</v>
      </c>
      <c r="AE168" s="19" t="str">
        <f>_xlfn.CONCAT(SalesData[[#This Row],[Clean_Customer_Name]],"-",SalesData[[#This Row],[Region]])</f>
        <v>Saurabh Roy-Central</v>
      </c>
      <c r="AF168" s="19" t="str">
        <f>MID(SalesData[[#This Row],[Order_ID]],4,4)</f>
        <v>0312</v>
      </c>
      <c r="AG168" s="19" t="e">
        <f ca="1">_xlfn.SINGLE(_xlfn.XLOOKUP(SalesData[[#This Row],[Product]],Product_Master!A:A,Product_Master!B:B,"Not Found"))</f>
        <v>#NAME?</v>
      </c>
      <c r="AH168" s="19" t="str">
        <f>VLOOKUP(SalesData[[#This Row],[Product]],Product_Master!$A$1:$B$21,2,FALSE)</f>
        <v>Rahul</v>
      </c>
      <c r="AI168" s="16"/>
    </row>
    <row r="169" spans="1:35" ht="13.8">
      <c r="A169" s="16" t="s">
        <v>853</v>
      </c>
      <c r="B169" s="17">
        <v>45738</v>
      </c>
      <c r="C169" s="16" t="s">
        <v>147</v>
      </c>
      <c r="D169" s="16" t="s">
        <v>148</v>
      </c>
      <c r="E169" s="16" t="s">
        <v>87</v>
      </c>
      <c r="F169" s="16" t="s">
        <v>88</v>
      </c>
      <c r="G169" s="16" t="s">
        <v>89</v>
      </c>
      <c r="H169" s="16" t="s">
        <v>90</v>
      </c>
      <c r="I169" s="16" t="s">
        <v>23</v>
      </c>
      <c r="J169" s="16" t="s">
        <v>24</v>
      </c>
      <c r="K169" s="18">
        <v>7864.61</v>
      </c>
      <c r="L169" s="18">
        <v>3395.64</v>
      </c>
      <c r="M169" s="19">
        <v>2</v>
      </c>
      <c r="N169" s="20">
        <v>0.05</v>
      </c>
      <c r="O169" s="19" t="s">
        <v>136</v>
      </c>
      <c r="P169" s="19" t="s">
        <v>77</v>
      </c>
      <c r="Q169" s="19" t="str">
        <f>TRIM(SalesData[[#This Row],[Customer_Name]])</f>
        <v>Saurabh Roy</v>
      </c>
      <c r="R169" s="21">
        <f>SalesData[[#This Row],[Sales]]-SalesData[[#This Row],[Cost]]</f>
        <v>4468.9699999999993</v>
      </c>
      <c r="S169" s="22">
        <f>IFERROR(SalesData[[#This Row],[Profit]]/SalesData[[#This Row],[Sales]],0)</f>
        <v>0.56823796729907772</v>
      </c>
      <c r="T169" s="19">
        <f>YEAR(SalesData[[#This Row],[Order_Date]])</f>
        <v>2025</v>
      </c>
      <c r="U169" s="19" t="str">
        <f>TEXT(SalesData[[#This Row],[Order_Date]],"mmm")</f>
        <v>Mar</v>
      </c>
      <c r="V169" s="19" t="str">
        <f>"Q"&amp;ROUNDUP(MONTH(SalesData[[#This Row],[Order_Date]])/3,0)</f>
        <v>Q1</v>
      </c>
      <c r="W169" s="19" t="str">
        <f>IF(SalesData[[#This Row],[Sales]]&gt;=50000,"High",IF(AND(SalesData[[#This Row],[Sales]]&gt;= 20000, SalesData[[#This Row],[Sales]]&lt; 50000),"Medium","Low"))</f>
        <v>Low</v>
      </c>
      <c r="X169" s="19" t="str">
        <f>IF(SalesData[[#This Row],[Profit]]&gt;0,"Profit","Loss")</f>
        <v>Profit</v>
      </c>
      <c r="Y169" s="19" t="str">
        <f>IF(AND(SalesData[[#This Row],[Sales]]&gt;= 50000, SalesData[[#This Row],[Quantity]]&gt;=2),"Yes","No")</f>
        <v>No</v>
      </c>
      <c r="Z169" s="19" t="str">
        <f>UPPER(SalesData[[#This Row],[Customer_Name]])</f>
        <v>SAURABH ROY</v>
      </c>
      <c r="AA169" s="19" t="str">
        <f>LOWER(SalesData[[#This Row],[Customer_Name]])</f>
        <v>saurabh roy</v>
      </c>
      <c r="AB169" s="19">
        <f>LEN(SalesData[[#This Row],[Customer_Name]])</f>
        <v>11</v>
      </c>
      <c r="AC169" s="19" t="str">
        <f>LEFT(SalesData[[#This Row],[Order_ID]],3)</f>
        <v>ORD</v>
      </c>
      <c r="AD169" s="19" t="str">
        <f>RIGHT(SalesData[[#This Row],[Order_ID]],4)</f>
        <v>0700</v>
      </c>
      <c r="AE169" s="19" t="str">
        <f>_xlfn.CONCAT(SalesData[[#This Row],[Clean_Customer_Name]],"-",SalesData[[#This Row],[Region]])</f>
        <v>Saurabh Roy-North</v>
      </c>
      <c r="AF169" s="19" t="str">
        <f>MID(SalesData[[#This Row],[Order_ID]],4,4)</f>
        <v>0700</v>
      </c>
      <c r="AG169" s="19" t="e">
        <f ca="1">_xlfn.SINGLE(_xlfn.XLOOKUP(SalesData[[#This Row],[Product]],Product_Master!A:A,Product_Master!B:B,"Not Found"))</f>
        <v>#NAME?</v>
      </c>
      <c r="AH169" s="19" t="str">
        <f>VLOOKUP(SalesData[[#This Row],[Product]],Product_Master!$A$1:$B$21,2,FALSE)</f>
        <v>Rahul</v>
      </c>
      <c r="AI169" s="16"/>
    </row>
    <row r="170" spans="1:35" ht="13.8">
      <c r="A170" s="16" t="s">
        <v>857</v>
      </c>
      <c r="B170" s="17">
        <v>45765</v>
      </c>
      <c r="C170" s="16" t="s">
        <v>147</v>
      </c>
      <c r="D170" s="16" t="s">
        <v>148</v>
      </c>
      <c r="E170" s="16" t="s">
        <v>87</v>
      </c>
      <c r="F170" s="16" t="s">
        <v>88</v>
      </c>
      <c r="G170" s="16" t="s">
        <v>89</v>
      </c>
      <c r="H170" s="16" t="s">
        <v>90</v>
      </c>
      <c r="I170" s="16" t="s">
        <v>53</v>
      </c>
      <c r="J170" s="16" t="s">
        <v>102</v>
      </c>
      <c r="K170" s="18">
        <v>9996.49</v>
      </c>
      <c r="L170" s="18">
        <v>4875.66</v>
      </c>
      <c r="M170" s="19">
        <v>3</v>
      </c>
      <c r="N170" s="20">
        <v>0.05</v>
      </c>
      <c r="O170" s="19" t="s">
        <v>76</v>
      </c>
      <c r="P170" s="19" t="s">
        <v>77</v>
      </c>
      <c r="Q170" s="19" t="str">
        <f>TRIM(SalesData[[#This Row],[Customer_Name]])</f>
        <v>Saurabh Roy</v>
      </c>
      <c r="R170" s="21">
        <f>SalesData[[#This Row],[Sales]]-SalesData[[#This Row],[Cost]]</f>
        <v>5120.83</v>
      </c>
      <c r="S170" s="22">
        <f>IFERROR(SalesData[[#This Row],[Profit]]/SalesData[[#This Row],[Sales]],0)</f>
        <v>0.51226280424428972</v>
      </c>
      <c r="T170" s="19">
        <f>YEAR(SalesData[[#This Row],[Order_Date]])</f>
        <v>2025</v>
      </c>
      <c r="U170" s="19" t="str">
        <f>TEXT(SalesData[[#This Row],[Order_Date]],"mmm")</f>
        <v>Apr</v>
      </c>
      <c r="V170" s="19" t="str">
        <f>"Q"&amp;ROUNDUP(MONTH(SalesData[[#This Row],[Order_Date]])/3,0)</f>
        <v>Q2</v>
      </c>
      <c r="W170" s="19" t="str">
        <f>IF(SalesData[[#This Row],[Sales]]&gt;=50000,"High",IF(AND(SalesData[[#This Row],[Sales]]&gt;= 20000, SalesData[[#This Row],[Sales]]&lt; 50000),"Medium","Low"))</f>
        <v>Low</v>
      </c>
      <c r="X170" s="19" t="str">
        <f>IF(SalesData[[#This Row],[Profit]]&gt;0,"Profit","Loss")</f>
        <v>Profit</v>
      </c>
      <c r="Y170" s="19" t="str">
        <f>IF(AND(SalesData[[#This Row],[Sales]]&gt;= 50000, SalesData[[#This Row],[Quantity]]&gt;=2),"Yes","No")</f>
        <v>No</v>
      </c>
      <c r="Z170" s="19" t="str">
        <f>UPPER(SalesData[[#This Row],[Customer_Name]])</f>
        <v>SAURABH ROY</v>
      </c>
      <c r="AA170" s="19" t="str">
        <f>LOWER(SalesData[[#This Row],[Customer_Name]])</f>
        <v>saurabh roy</v>
      </c>
      <c r="AB170" s="19">
        <f>LEN(SalesData[[#This Row],[Customer_Name]])</f>
        <v>11</v>
      </c>
      <c r="AC170" s="19" t="str">
        <f>LEFT(SalesData[[#This Row],[Order_ID]],3)</f>
        <v>ORD</v>
      </c>
      <c r="AD170" s="19" t="str">
        <f>RIGHT(SalesData[[#This Row],[Order_ID]],4)</f>
        <v>0704</v>
      </c>
      <c r="AE170" s="19" t="str">
        <f>_xlfn.CONCAT(SalesData[[#This Row],[Clean_Customer_Name]],"-",SalesData[[#This Row],[Region]])</f>
        <v>Saurabh Roy-Central</v>
      </c>
      <c r="AF170" s="19" t="str">
        <f>MID(SalesData[[#This Row],[Order_ID]],4,4)</f>
        <v>0704</v>
      </c>
      <c r="AG170" s="19" t="e">
        <f ca="1">_xlfn.SINGLE(_xlfn.XLOOKUP(SalesData[[#This Row],[Product]],Product_Master!A:A,Product_Master!B:B,"Not Found"))</f>
        <v>#NAME?</v>
      </c>
      <c r="AH170" s="19" t="str">
        <f>VLOOKUP(SalesData[[#This Row],[Product]],Product_Master!$A$1:$B$21,2,FALSE)</f>
        <v>Rahul</v>
      </c>
      <c r="AI170" s="16"/>
    </row>
    <row r="171" spans="1:35" ht="13.8">
      <c r="A171" s="16" t="s">
        <v>735</v>
      </c>
      <c r="B171" s="17">
        <v>45553</v>
      </c>
      <c r="C171" s="16" t="s">
        <v>147</v>
      </c>
      <c r="D171" s="16" t="s">
        <v>148</v>
      </c>
      <c r="E171" s="16" t="s">
        <v>182</v>
      </c>
      <c r="F171" s="16" t="s">
        <v>183</v>
      </c>
      <c r="G171" s="16" t="s">
        <v>89</v>
      </c>
      <c r="H171" s="16" t="s">
        <v>90</v>
      </c>
      <c r="I171" s="16" t="s">
        <v>23</v>
      </c>
      <c r="J171" s="16" t="s">
        <v>24</v>
      </c>
      <c r="K171" s="18">
        <v>13089.71</v>
      </c>
      <c r="L171" s="18">
        <v>10944.26</v>
      </c>
      <c r="M171" s="19">
        <v>2</v>
      </c>
      <c r="N171" s="20">
        <v>0.2</v>
      </c>
      <c r="O171" s="19" t="s">
        <v>44</v>
      </c>
      <c r="P171" s="19" t="s">
        <v>58</v>
      </c>
      <c r="Q171" s="19" t="str">
        <f>TRIM(SalesData[[#This Row],[Customer_Name]])</f>
        <v>Saurabh Roy</v>
      </c>
      <c r="R171" s="21">
        <f>SalesData[[#This Row],[Sales]]-SalesData[[#This Row],[Cost]]</f>
        <v>2145.4499999999989</v>
      </c>
      <c r="S171" s="22">
        <f>IFERROR(SalesData[[#This Row],[Profit]]/SalesData[[#This Row],[Sales]],0)</f>
        <v>0.1639035547769965</v>
      </c>
      <c r="T171" s="19">
        <f>YEAR(SalesData[[#This Row],[Order_Date]])</f>
        <v>2024</v>
      </c>
      <c r="U171" s="19" t="str">
        <f>TEXT(SalesData[[#This Row],[Order_Date]],"mmm")</f>
        <v>Sept</v>
      </c>
      <c r="V171" s="19" t="str">
        <f>"Q"&amp;ROUNDUP(MONTH(SalesData[[#This Row],[Order_Date]])/3,0)</f>
        <v>Q3</v>
      </c>
      <c r="W171" s="19" t="str">
        <f>IF(SalesData[[#This Row],[Sales]]&gt;=50000,"High",IF(AND(SalesData[[#This Row],[Sales]]&gt;= 20000, SalesData[[#This Row],[Sales]]&lt; 50000),"Medium","Low"))</f>
        <v>Low</v>
      </c>
      <c r="X171" s="19" t="str">
        <f>IF(SalesData[[#This Row],[Profit]]&gt;0,"Profit","Loss")</f>
        <v>Profit</v>
      </c>
      <c r="Y171" s="19" t="str">
        <f>IF(AND(SalesData[[#This Row],[Sales]]&gt;= 50000, SalesData[[#This Row],[Quantity]]&gt;=2),"Yes","No")</f>
        <v>No</v>
      </c>
      <c r="Z171" s="19" t="str">
        <f>UPPER(SalesData[[#This Row],[Customer_Name]])</f>
        <v>SAURABH ROY</v>
      </c>
      <c r="AA171" s="19" t="str">
        <f>LOWER(SalesData[[#This Row],[Customer_Name]])</f>
        <v>saurabh roy</v>
      </c>
      <c r="AB171" s="19">
        <f>LEN(SalesData[[#This Row],[Customer_Name]])</f>
        <v>11</v>
      </c>
      <c r="AC171" s="19" t="str">
        <f>LEFT(SalesData[[#This Row],[Order_ID]],3)</f>
        <v>ORD</v>
      </c>
      <c r="AD171" s="19" t="str">
        <f>RIGHT(SalesData[[#This Row],[Order_ID]],4)</f>
        <v>0582</v>
      </c>
      <c r="AE171" s="19" t="str">
        <f>_xlfn.CONCAT(SalesData[[#This Row],[Clean_Customer_Name]],"-",SalesData[[#This Row],[Region]])</f>
        <v>Saurabh Roy-North</v>
      </c>
      <c r="AF171" s="19" t="str">
        <f>MID(SalesData[[#This Row],[Order_ID]],4,4)</f>
        <v>0582</v>
      </c>
      <c r="AG171" s="19" t="e">
        <f ca="1">_xlfn.SINGLE(_xlfn.XLOOKUP(SalesData[[#This Row],[Product]],Product_Master!A:A,Product_Master!B:B,"Not Found"))</f>
        <v>#NAME?</v>
      </c>
      <c r="AH171" s="19" t="str">
        <f>VLOOKUP(SalesData[[#This Row],[Product]],Product_Master!$A$1:$B$21,2,FALSE)</f>
        <v>Priya</v>
      </c>
      <c r="AI171" s="16"/>
    </row>
    <row r="172" spans="1:35" ht="13.8">
      <c r="A172" s="16" t="s">
        <v>388</v>
      </c>
      <c r="B172" s="17">
        <v>45460</v>
      </c>
      <c r="C172" s="16" t="s">
        <v>147</v>
      </c>
      <c r="D172" s="16" t="s">
        <v>148</v>
      </c>
      <c r="E172" s="16" t="s">
        <v>187</v>
      </c>
      <c r="F172" s="16" t="s">
        <v>188</v>
      </c>
      <c r="G172" s="16" t="s">
        <v>89</v>
      </c>
      <c r="H172" s="16" t="s">
        <v>189</v>
      </c>
      <c r="I172" s="16" t="s">
        <v>23</v>
      </c>
      <c r="J172" s="16" t="s">
        <v>75</v>
      </c>
      <c r="K172" s="18">
        <v>26169.24</v>
      </c>
      <c r="L172" s="18">
        <v>17669.79</v>
      </c>
      <c r="M172" s="19">
        <v>3</v>
      </c>
      <c r="N172" s="20">
        <v>0.05</v>
      </c>
      <c r="O172" s="19" t="s">
        <v>34</v>
      </c>
      <c r="P172" s="19" t="s">
        <v>98</v>
      </c>
      <c r="Q172" s="19" t="str">
        <f>TRIM(SalesData[[#This Row],[Customer_Name]])</f>
        <v>Saurabh Roy</v>
      </c>
      <c r="R172" s="21">
        <f>SalesData[[#This Row],[Sales]]-SalesData[[#This Row],[Cost]]</f>
        <v>8499.4500000000007</v>
      </c>
      <c r="S172" s="22">
        <f>IFERROR(SalesData[[#This Row],[Profit]]/SalesData[[#This Row],[Sales]],0)</f>
        <v>0.32478780430765281</v>
      </c>
      <c r="T172" s="19">
        <f>YEAR(SalesData[[#This Row],[Order_Date]])</f>
        <v>2024</v>
      </c>
      <c r="U172" s="19" t="str">
        <f>TEXT(SalesData[[#This Row],[Order_Date]],"mmm")</f>
        <v>Jun</v>
      </c>
      <c r="V172" s="19" t="str">
        <f>"Q"&amp;ROUNDUP(MONTH(SalesData[[#This Row],[Order_Date]])/3,0)</f>
        <v>Q2</v>
      </c>
      <c r="W172" s="19" t="str">
        <f>IF(SalesData[[#This Row],[Sales]]&gt;=50000,"High",IF(AND(SalesData[[#This Row],[Sales]]&gt;= 20000, SalesData[[#This Row],[Sales]]&lt; 50000),"Medium","Low"))</f>
        <v>Medium</v>
      </c>
      <c r="X172" s="19" t="str">
        <f>IF(SalesData[[#This Row],[Profit]]&gt;0,"Profit","Loss")</f>
        <v>Profit</v>
      </c>
      <c r="Y172" s="19" t="str">
        <f>IF(AND(SalesData[[#This Row],[Sales]]&gt;= 50000, SalesData[[#This Row],[Quantity]]&gt;=2),"Yes","No")</f>
        <v>No</v>
      </c>
      <c r="Z172" s="19" t="str">
        <f>UPPER(SalesData[[#This Row],[Customer_Name]])</f>
        <v>SAURABH ROY</v>
      </c>
      <c r="AA172" s="19" t="str">
        <f>LOWER(SalesData[[#This Row],[Customer_Name]])</f>
        <v>saurabh roy</v>
      </c>
      <c r="AB172" s="19">
        <f>LEN(SalesData[[#This Row],[Customer_Name]])</f>
        <v>11</v>
      </c>
      <c r="AC172" s="19" t="str">
        <f>LEFT(SalesData[[#This Row],[Order_ID]],3)</f>
        <v>ORD</v>
      </c>
      <c r="AD172" s="19" t="str">
        <f>RIGHT(SalesData[[#This Row],[Order_ID]],4)</f>
        <v>0235</v>
      </c>
      <c r="AE172" s="19" t="str">
        <f>_xlfn.CONCAT(SalesData[[#This Row],[Clean_Customer_Name]],"-",SalesData[[#This Row],[Region]])</f>
        <v>Saurabh Roy-North</v>
      </c>
      <c r="AF172" s="19" t="str">
        <f>MID(SalesData[[#This Row],[Order_ID]],4,4)</f>
        <v>0235</v>
      </c>
      <c r="AG172" s="19" t="e">
        <f ca="1">_xlfn.SINGLE(_xlfn.XLOOKUP(SalesData[[#This Row],[Product]],Product_Master!A:A,Product_Master!B:B,"Not Found"))</f>
        <v>#NAME?</v>
      </c>
      <c r="AH172" s="19" t="str">
        <f>VLOOKUP(SalesData[[#This Row],[Product]],Product_Master!$A$1:$B$21,2,FALSE)</f>
        <v>Amit</v>
      </c>
      <c r="AI172" s="16"/>
    </row>
    <row r="173" spans="1:35" ht="13.8">
      <c r="A173" s="16" t="s">
        <v>606</v>
      </c>
      <c r="B173" s="17">
        <v>45366</v>
      </c>
      <c r="C173" s="16" t="s">
        <v>147</v>
      </c>
      <c r="D173" s="16" t="s">
        <v>148</v>
      </c>
      <c r="E173" s="16" t="s">
        <v>187</v>
      </c>
      <c r="F173" s="16" t="s">
        <v>188</v>
      </c>
      <c r="G173" s="16" t="s">
        <v>89</v>
      </c>
      <c r="H173" s="16" t="s">
        <v>189</v>
      </c>
      <c r="I173" s="16" t="s">
        <v>84</v>
      </c>
      <c r="J173" s="16" t="s">
        <v>134</v>
      </c>
      <c r="K173" s="18">
        <v>30493.919999999998</v>
      </c>
      <c r="L173" s="18">
        <v>16583.79</v>
      </c>
      <c r="M173" s="19">
        <v>3</v>
      </c>
      <c r="N173" s="20">
        <v>0.2</v>
      </c>
      <c r="O173" s="19" t="s">
        <v>25</v>
      </c>
      <c r="P173" s="19" t="s">
        <v>58</v>
      </c>
      <c r="Q173" s="19" t="str">
        <f>TRIM(SalesData[[#This Row],[Customer_Name]])</f>
        <v>Saurabh Roy</v>
      </c>
      <c r="R173" s="21">
        <f>SalesData[[#This Row],[Sales]]-SalesData[[#This Row],[Cost]]</f>
        <v>13910.129999999997</v>
      </c>
      <c r="S173" s="22">
        <f>IFERROR(SalesData[[#This Row],[Profit]]/SalesData[[#This Row],[Sales]],0)</f>
        <v>0.45616076909757741</v>
      </c>
      <c r="T173" s="19">
        <f>YEAR(SalesData[[#This Row],[Order_Date]])</f>
        <v>2024</v>
      </c>
      <c r="U173" s="19" t="str">
        <f>TEXT(SalesData[[#This Row],[Order_Date]],"mmm")</f>
        <v>Mar</v>
      </c>
      <c r="V173" s="19" t="str">
        <f>"Q"&amp;ROUNDUP(MONTH(SalesData[[#This Row],[Order_Date]])/3,0)</f>
        <v>Q1</v>
      </c>
      <c r="W173" s="19" t="str">
        <f>IF(SalesData[[#This Row],[Sales]]&gt;=50000,"High",IF(AND(SalesData[[#This Row],[Sales]]&gt;= 20000, SalesData[[#This Row],[Sales]]&lt; 50000),"Medium","Low"))</f>
        <v>Medium</v>
      </c>
      <c r="X173" s="19" t="str">
        <f>IF(SalesData[[#This Row],[Profit]]&gt;0,"Profit","Loss")</f>
        <v>Profit</v>
      </c>
      <c r="Y173" s="19" t="str">
        <f>IF(AND(SalesData[[#This Row],[Sales]]&gt;= 50000, SalesData[[#This Row],[Quantity]]&gt;=2),"Yes","No")</f>
        <v>No</v>
      </c>
      <c r="Z173" s="19" t="str">
        <f>UPPER(SalesData[[#This Row],[Customer_Name]])</f>
        <v>SAURABH ROY</v>
      </c>
      <c r="AA173" s="19" t="str">
        <f>LOWER(SalesData[[#This Row],[Customer_Name]])</f>
        <v>saurabh roy</v>
      </c>
      <c r="AB173" s="19">
        <f>LEN(SalesData[[#This Row],[Customer_Name]])</f>
        <v>11</v>
      </c>
      <c r="AC173" s="19" t="str">
        <f>LEFT(SalesData[[#This Row],[Order_ID]],3)</f>
        <v>ORD</v>
      </c>
      <c r="AD173" s="19" t="str">
        <f>RIGHT(SalesData[[#This Row],[Order_ID]],4)</f>
        <v>0453</v>
      </c>
      <c r="AE173" s="19" t="str">
        <f>_xlfn.CONCAT(SalesData[[#This Row],[Clean_Customer_Name]],"-",SalesData[[#This Row],[Region]])</f>
        <v>Saurabh Roy-South</v>
      </c>
      <c r="AF173" s="19" t="str">
        <f>MID(SalesData[[#This Row],[Order_ID]],4,4)</f>
        <v>0453</v>
      </c>
      <c r="AG173" s="19" t="e">
        <f ca="1">_xlfn.SINGLE(_xlfn.XLOOKUP(SalesData[[#This Row],[Product]],Product_Master!A:A,Product_Master!B:B,"Not Found"))</f>
        <v>#NAME?</v>
      </c>
      <c r="AH173" s="19" t="str">
        <f>VLOOKUP(SalesData[[#This Row],[Product]],Product_Master!$A$1:$B$21,2,FALSE)</f>
        <v>Amit</v>
      </c>
      <c r="AI173" s="16"/>
    </row>
    <row r="174" spans="1:35" ht="13.8">
      <c r="A174" s="16" t="s">
        <v>633</v>
      </c>
      <c r="B174" s="17">
        <v>45470</v>
      </c>
      <c r="C174" s="16" t="s">
        <v>147</v>
      </c>
      <c r="D174" s="16" t="s">
        <v>148</v>
      </c>
      <c r="E174" s="16" t="s">
        <v>187</v>
      </c>
      <c r="F174" s="16" t="s">
        <v>188</v>
      </c>
      <c r="G174" s="16" t="s">
        <v>89</v>
      </c>
      <c r="H174" s="16" t="s">
        <v>189</v>
      </c>
      <c r="I174" s="16" t="s">
        <v>42</v>
      </c>
      <c r="J174" s="16" t="s">
        <v>43</v>
      </c>
      <c r="K174" s="18">
        <v>34634.519999999997</v>
      </c>
      <c r="L174" s="18">
        <v>22676.16</v>
      </c>
      <c r="M174" s="19">
        <v>4</v>
      </c>
      <c r="N174" s="20">
        <v>0</v>
      </c>
      <c r="O174" s="19" t="s">
        <v>34</v>
      </c>
      <c r="P174" s="19" t="s">
        <v>45</v>
      </c>
      <c r="Q174" s="19" t="str">
        <f>TRIM(SalesData[[#This Row],[Customer_Name]])</f>
        <v>Saurabh Roy</v>
      </c>
      <c r="R174" s="21">
        <f>SalesData[[#This Row],[Sales]]-SalesData[[#This Row],[Cost]]</f>
        <v>11958.359999999997</v>
      </c>
      <c r="S174" s="22">
        <f>IFERROR(SalesData[[#This Row],[Profit]]/SalesData[[#This Row],[Sales]],0)</f>
        <v>0.34527286649273609</v>
      </c>
      <c r="T174" s="19">
        <f>YEAR(SalesData[[#This Row],[Order_Date]])</f>
        <v>2024</v>
      </c>
      <c r="U174" s="19" t="str">
        <f>TEXT(SalesData[[#This Row],[Order_Date]],"mmm")</f>
        <v>Jun</v>
      </c>
      <c r="V174" s="19" t="str">
        <f>"Q"&amp;ROUNDUP(MONTH(SalesData[[#This Row],[Order_Date]])/3,0)</f>
        <v>Q2</v>
      </c>
      <c r="W174" s="19" t="str">
        <f>IF(SalesData[[#This Row],[Sales]]&gt;=50000,"High",IF(AND(SalesData[[#This Row],[Sales]]&gt;= 20000, SalesData[[#This Row],[Sales]]&lt; 50000),"Medium","Low"))</f>
        <v>Medium</v>
      </c>
      <c r="X174" s="19" t="str">
        <f>IF(SalesData[[#This Row],[Profit]]&gt;0,"Profit","Loss")</f>
        <v>Profit</v>
      </c>
      <c r="Y174" s="19" t="str">
        <f>IF(AND(SalesData[[#This Row],[Sales]]&gt;= 50000, SalesData[[#This Row],[Quantity]]&gt;=2),"Yes","No")</f>
        <v>No</v>
      </c>
      <c r="Z174" s="19" t="str">
        <f>UPPER(SalesData[[#This Row],[Customer_Name]])</f>
        <v>SAURABH ROY</v>
      </c>
      <c r="AA174" s="19" t="str">
        <f>LOWER(SalesData[[#This Row],[Customer_Name]])</f>
        <v>saurabh roy</v>
      </c>
      <c r="AB174" s="19">
        <f>LEN(SalesData[[#This Row],[Customer_Name]])</f>
        <v>11</v>
      </c>
      <c r="AC174" s="19" t="str">
        <f>LEFT(SalesData[[#This Row],[Order_ID]],3)</f>
        <v>ORD</v>
      </c>
      <c r="AD174" s="19" t="str">
        <f>RIGHT(SalesData[[#This Row],[Order_ID]],4)</f>
        <v>0480</v>
      </c>
      <c r="AE174" s="19" t="str">
        <f>_xlfn.CONCAT(SalesData[[#This Row],[Clean_Customer_Name]],"-",SalesData[[#This Row],[Region]])</f>
        <v>Saurabh Roy-East</v>
      </c>
      <c r="AF174" s="19" t="str">
        <f>MID(SalesData[[#This Row],[Order_ID]],4,4)</f>
        <v>0480</v>
      </c>
      <c r="AG174" s="19" t="e">
        <f ca="1">_xlfn.SINGLE(_xlfn.XLOOKUP(SalesData[[#This Row],[Product]],Product_Master!A:A,Product_Master!B:B,"Not Found"))</f>
        <v>#NAME?</v>
      </c>
      <c r="AH174" s="19" t="str">
        <f>VLOOKUP(SalesData[[#This Row],[Product]],Product_Master!$A$1:$B$21,2,FALSE)</f>
        <v>Amit</v>
      </c>
      <c r="AI174" s="16"/>
    </row>
    <row r="175" spans="1:35" ht="13.8">
      <c r="A175" s="16" t="s">
        <v>717</v>
      </c>
      <c r="B175" s="17">
        <v>45676</v>
      </c>
      <c r="C175" s="16" t="s">
        <v>147</v>
      </c>
      <c r="D175" s="16" t="s">
        <v>148</v>
      </c>
      <c r="E175" s="16" t="s">
        <v>187</v>
      </c>
      <c r="F175" s="16" t="s">
        <v>188</v>
      </c>
      <c r="G175" s="16" t="s">
        <v>89</v>
      </c>
      <c r="H175" s="16" t="s">
        <v>189</v>
      </c>
      <c r="I175" s="16" t="s">
        <v>84</v>
      </c>
      <c r="J175" s="16" t="s">
        <v>85</v>
      </c>
      <c r="K175" s="18">
        <v>33566.370000000003</v>
      </c>
      <c r="L175" s="18">
        <v>29843.8</v>
      </c>
      <c r="M175" s="19">
        <v>5</v>
      </c>
      <c r="N175" s="20">
        <v>0.15</v>
      </c>
      <c r="O175" s="19" t="s">
        <v>136</v>
      </c>
      <c r="P175" s="19" t="s">
        <v>26</v>
      </c>
      <c r="Q175" s="19" t="str">
        <f>TRIM(SalesData[[#This Row],[Customer_Name]])</f>
        <v>Saurabh Roy</v>
      </c>
      <c r="R175" s="21">
        <f>SalesData[[#This Row],[Sales]]-SalesData[[#This Row],[Cost]]</f>
        <v>3722.5700000000033</v>
      </c>
      <c r="S175" s="22">
        <f>IFERROR(SalesData[[#This Row],[Profit]]/SalesData[[#This Row],[Sales]],0)</f>
        <v>0.11090177460356908</v>
      </c>
      <c r="T175" s="19">
        <f>YEAR(SalesData[[#This Row],[Order_Date]])</f>
        <v>2025</v>
      </c>
      <c r="U175" s="19" t="str">
        <f>TEXT(SalesData[[#This Row],[Order_Date]],"mmm")</f>
        <v>Jan</v>
      </c>
      <c r="V175" s="19" t="str">
        <f>"Q"&amp;ROUNDUP(MONTH(SalesData[[#This Row],[Order_Date]])/3,0)</f>
        <v>Q1</v>
      </c>
      <c r="W175" s="19" t="str">
        <f>IF(SalesData[[#This Row],[Sales]]&gt;=50000,"High",IF(AND(SalesData[[#This Row],[Sales]]&gt;= 20000, SalesData[[#This Row],[Sales]]&lt; 50000),"Medium","Low"))</f>
        <v>Medium</v>
      </c>
      <c r="X175" s="19" t="str">
        <f>IF(SalesData[[#This Row],[Profit]]&gt;0,"Profit","Loss")</f>
        <v>Profit</v>
      </c>
      <c r="Y175" s="19" t="str">
        <f>IF(AND(SalesData[[#This Row],[Sales]]&gt;= 50000, SalesData[[#This Row],[Quantity]]&gt;=2),"Yes","No")</f>
        <v>No</v>
      </c>
      <c r="Z175" s="19" t="str">
        <f>UPPER(SalesData[[#This Row],[Customer_Name]])</f>
        <v>SAURABH ROY</v>
      </c>
      <c r="AA175" s="19" t="str">
        <f>LOWER(SalesData[[#This Row],[Customer_Name]])</f>
        <v>saurabh roy</v>
      </c>
      <c r="AB175" s="19">
        <f>LEN(SalesData[[#This Row],[Customer_Name]])</f>
        <v>11</v>
      </c>
      <c r="AC175" s="19" t="str">
        <f>LEFT(SalesData[[#This Row],[Order_ID]],3)</f>
        <v>ORD</v>
      </c>
      <c r="AD175" s="19" t="str">
        <f>RIGHT(SalesData[[#This Row],[Order_ID]],4)</f>
        <v>0564</v>
      </c>
      <c r="AE175" s="19" t="str">
        <f>_xlfn.CONCAT(SalesData[[#This Row],[Clean_Customer_Name]],"-",SalesData[[#This Row],[Region]])</f>
        <v>Saurabh Roy-South</v>
      </c>
      <c r="AF175" s="19" t="str">
        <f>MID(SalesData[[#This Row],[Order_ID]],4,4)</f>
        <v>0564</v>
      </c>
      <c r="AG175" s="19" t="e">
        <f ca="1">_xlfn.SINGLE(_xlfn.XLOOKUP(SalesData[[#This Row],[Product]],Product_Master!A:A,Product_Master!B:B,"Not Found"))</f>
        <v>#NAME?</v>
      </c>
      <c r="AH175" s="19" t="str">
        <f>VLOOKUP(SalesData[[#This Row],[Product]],Product_Master!$A$1:$B$21,2,FALSE)</f>
        <v>Amit</v>
      </c>
      <c r="AI175" s="16"/>
    </row>
    <row r="176" spans="1:35" ht="13.8">
      <c r="A176" s="16" t="s">
        <v>512</v>
      </c>
      <c r="B176" s="17">
        <v>45868</v>
      </c>
      <c r="C176" s="16" t="s">
        <v>147</v>
      </c>
      <c r="D176" s="16" t="s">
        <v>148</v>
      </c>
      <c r="E176" s="16" t="s">
        <v>95</v>
      </c>
      <c r="F176" s="16" t="s">
        <v>96</v>
      </c>
      <c r="G176" s="16" t="s">
        <v>89</v>
      </c>
      <c r="H176" s="16" t="s">
        <v>97</v>
      </c>
      <c r="I176" s="16" t="s">
        <v>23</v>
      </c>
      <c r="J176" s="16" t="s">
        <v>75</v>
      </c>
      <c r="K176" s="18">
        <v>13662.63</v>
      </c>
      <c r="L176" s="18">
        <v>7471.38</v>
      </c>
      <c r="M176" s="19">
        <v>2</v>
      </c>
      <c r="N176" s="20">
        <v>0.15</v>
      </c>
      <c r="O176" s="19" t="s">
        <v>34</v>
      </c>
      <c r="P176" s="19" t="s">
        <v>45</v>
      </c>
      <c r="Q176" s="19" t="str">
        <f>TRIM(SalesData[[#This Row],[Customer_Name]])</f>
        <v>Saurabh Roy</v>
      </c>
      <c r="R176" s="21">
        <f>SalesData[[#This Row],[Sales]]-SalesData[[#This Row],[Cost]]</f>
        <v>6191.2499999999991</v>
      </c>
      <c r="S176" s="22">
        <f>IFERROR(SalesData[[#This Row],[Profit]]/SalesData[[#This Row],[Sales]],0)</f>
        <v>0.45315213835110807</v>
      </c>
      <c r="T176" s="19">
        <f>YEAR(SalesData[[#This Row],[Order_Date]])</f>
        <v>2025</v>
      </c>
      <c r="U176" s="19" t="str">
        <f>TEXT(SalesData[[#This Row],[Order_Date]],"mmm")</f>
        <v>Jul</v>
      </c>
      <c r="V176" s="19" t="str">
        <f>"Q"&amp;ROUNDUP(MONTH(SalesData[[#This Row],[Order_Date]])/3,0)</f>
        <v>Q3</v>
      </c>
      <c r="W176" s="19" t="str">
        <f>IF(SalesData[[#This Row],[Sales]]&gt;=50000,"High",IF(AND(SalesData[[#This Row],[Sales]]&gt;= 20000, SalesData[[#This Row],[Sales]]&lt; 50000),"Medium","Low"))</f>
        <v>Low</v>
      </c>
      <c r="X176" s="19" t="str">
        <f>IF(SalesData[[#This Row],[Profit]]&gt;0,"Profit","Loss")</f>
        <v>Profit</v>
      </c>
      <c r="Y176" s="19" t="str">
        <f>IF(AND(SalesData[[#This Row],[Sales]]&gt;= 50000, SalesData[[#This Row],[Quantity]]&gt;=2),"Yes","No")</f>
        <v>No</v>
      </c>
      <c r="Z176" s="19" t="str">
        <f>UPPER(SalesData[[#This Row],[Customer_Name]])</f>
        <v>SAURABH ROY</v>
      </c>
      <c r="AA176" s="19" t="str">
        <f>LOWER(SalesData[[#This Row],[Customer_Name]])</f>
        <v>saurabh roy</v>
      </c>
      <c r="AB176" s="19">
        <f>LEN(SalesData[[#This Row],[Customer_Name]])</f>
        <v>11</v>
      </c>
      <c r="AC176" s="19" t="str">
        <f>LEFT(SalesData[[#This Row],[Order_ID]],3)</f>
        <v>ORD</v>
      </c>
      <c r="AD176" s="19" t="str">
        <f>RIGHT(SalesData[[#This Row],[Order_ID]],4)</f>
        <v>0359</v>
      </c>
      <c r="AE176" s="19" t="str">
        <f>_xlfn.CONCAT(SalesData[[#This Row],[Clean_Customer_Name]],"-",SalesData[[#This Row],[Region]])</f>
        <v>Saurabh Roy-North</v>
      </c>
      <c r="AF176" s="19" t="str">
        <f>MID(SalesData[[#This Row],[Order_ID]],4,4)</f>
        <v>0359</v>
      </c>
      <c r="AG176" s="19" t="e">
        <f ca="1">_xlfn.SINGLE(_xlfn.XLOOKUP(SalesData[[#This Row],[Product]],Product_Master!A:A,Product_Master!B:B,"Not Found"))</f>
        <v>#NAME?</v>
      </c>
      <c r="AH176" s="19" t="str">
        <f>VLOOKUP(SalesData[[#This Row],[Product]],Product_Master!$A$1:$B$21,2,FALSE)</f>
        <v>Neha</v>
      </c>
      <c r="AI176" s="16"/>
    </row>
    <row r="177" spans="1:35" ht="13.8">
      <c r="A177" s="16" t="s">
        <v>624</v>
      </c>
      <c r="B177" s="17">
        <v>45615</v>
      </c>
      <c r="C177" s="16" t="s">
        <v>147</v>
      </c>
      <c r="D177" s="16" t="s">
        <v>148</v>
      </c>
      <c r="E177" s="16" t="s">
        <v>95</v>
      </c>
      <c r="F177" s="16" t="s">
        <v>96</v>
      </c>
      <c r="G177" s="16" t="s">
        <v>89</v>
      </c>
      <c r="H177" s="16" t="s">
        <v>97</v>
      </c>
      <c r="I177" s="16" t="s">
        <v>84</v>
      </c>
      <c r="J177" s="16" t="s">
        <v>134</v>
      </c>
      <c r="K177" s="18">
        <v>20942.29</v>
      </c>
      <c r="L177" s="18">
        <v>13072.2</v>
      </c>
      <c r="M177" s="19">
        <v>4</v>
      </c>
      <c r="N177" s="20">
        <v>0.05</v>
      </c>
      <c r="O177" s="19" t="s">
        <v>136</v>
      </c>
      <c r="P177" s="19" t="s">
        <v>45</v>
      </c>
      <c r="Q177" s="19" t="str">
        <f>TRIM(SalesData[[#This Row],[Customer_Name]])</f>
        <v>Saurabh Roy</v>
      </c>
      <c r="R177" s="21">
        <f>SalesData[[#This Row],[Sales]]-SalesData[[#This Row],[Cost]]</f>
        <v>7870.09</v>
      </c>
      <c r="S177" s="22">
        <f>IFERROR(SalesData[[#This Row],[Profit]]/SalesData[[#This Row],[Sales]],0)</f>
        <v>0.3757989217034049</v>
      </c>
      <c r="T177" s="19">
        <f>YEAR(SalesData[[#This Row],[Order_Date]])</f>
        <v>2024</v>
      </c>
      <c r="U177" s="19" t="str">
        <f>TEXT(SalesData[[#This Row],[Order_Date]],"mmm")</f>
        <v>Nov</v>
      </c>
      <c r="V177" s="19" t="str">
        <f>"Q"&amp;ROUNDUP(MONTH(SalesData[[#This Row],[Order_Date]])/3,0)</f>
        <v>Q4</v>
      </c>
      <c r="W177" s="19" t="str">
        <f>IF(SalesData[[#This Row],[Sales]]&gt;=50000,"High",IF(AND(SalesData[[#This Row],[Sales]]&gt;= 20000, SalesData[[#This Row],[Sales]]&lt; 50000),"Medium","Low"))</f>
        <v>Medium</v>
      </c>
      <c r="X177" s="19" t="str">
        <f>IF(SalesData[[#This Row],[Profit]]&gt;0,"Profit","Loss")</f>
        <v>Profit</v>
      </c>
      <c r="Y177" s="19" t="str">
        <f>IF(AND(SalesData[[#This Row],[Sales]]&gt;= 50000, SalesData[[#This Row],[Quantity]]&gt;=2),"Yes","No")</f>
        <v>No</v>
      </c>
      <c r="Z177" s="19" t="str">
        <f>UPPER(SalesData[[#This Row],[Customer_Name]])</f>
        <v>SAURABH ROY</v>
      </c>
      <c r="AA177" s="19" t="str">
        <f>LOWER(SalesData[[#This Row],[Customer_Name]])</f>
        <v>saurabh roy</v>
      </c>
      <c r="AB177" s="19">
        <f>LEN(SalesData[[#This Row],[Customer_Name]])</f>
        <v>11</v>
      </c>
      <c r="AC177" s="19" t="str">
        <f>LEFT(SalesData[[#This Row],[Order_ID]],3)</f>
        <v>ORD</v>
      </c>
      <c r="AD177" s="19" t="str">
        <f>RIGHT(SalesData[[#This Row],[Order_ID]],4)</f>
        <v>0471</v>
      </c>
      <c r="AE177" s="19" t="str">
        <f>_xlfn.CONCAT(SalesData[[#This Row],[Clean_Customer_Name]],"-",SalesData[[#This Row],[Region]])</f>
        <v>Saurabh Roy-South</v>
      </c>
      <c r="AF177" s="19" t="str">
        <f>MID(SalesData[[#This Row],[Order_ID]],4,4)</f>
        <v>0471</v>
      </c>
      <c r="AG177" s="19" t="e">
        <f ca="1">_xlfn.SINGLE(_xlfn.XLOOKUP(SalesData[[#This Row],[Product]],Product_Master!A:A,Product_Master!B:B,"Not Found"))</f>
        <v>#NAME?</v>
      </c>
      <c r="AH177" s="19" t="str">
        <f>VLOOKUP(SalesData[[#This Row],[Product]],Product_Master!$A$1:$B$21,2,FALSE)</f>
        <v>Neha</v>
      </c>
      <c r="AI177" s="16"/>
    </row>
    <row r="178" spans="1:35" ht="13.8">
      <c r="A178" s="16" t="s">
        <v>975</v>
      </c>
      <c r="B178" s="17">
        <v>45384</v>
      </c>
      <c r="C178" s="16" t="s">
        <v>147</v>
      </c>
      <c r="D178" s="16" t="s">
        <v>148</v>
      </c>
      <c r="E178" s="16" t="s">
        <v>193</v>
      </c>
      <c r="F178" s="16" t="s">
        <v>194</v>
      </c>
      <c r="G178" s="16" t="s">
        <v>89</v>
      </c>
      <c r="H178" s="16" t="s">
        <v>90</v>
      </c>
      <c r="I178" s="16" t="s">
        <v>56</v>
      </c>
      <c r="J178" s="16" t="s">
        <v>91</v>
      </c>
      <c r="K178" s="18">
        <v>4544.58</v>
      </c>
      <c r="L178" s="18">
        <v>2124.4</v>
      </c>
      <c r="M178" s="19">
        <v>4</v>
      </c>
      <c r="N178" s="20">
        <v>0.15</v>
      </c>
      <c r="O178" s="19" t="s">
        <v>136</v>
      </c>
      <c r="P178" s="19" t="s">
        <v>58</v>
      </c>
      <c r="Q178" s="19" t="str">
        <f>TRIM(SalesData[[#This Row],[Customer_Name]])</f>
        <v>Saurabh Roy</v>
      </c>
      <c r="R178" s="21">
        <f>SalesData[[#This Row],[Sales]]-SalesData[[#This Row],[Cost]]</f>
        <v>2420.1799999999998</v>
      </c>
      <c r="S178" s="22">
        <f>IFERROR(SalesData[[#This Row],[Profit]]/SalesData[[#This Row],[Sales]],0)</f>
        <v>0.5325420610925542</v>
      </c>
      <c r="T178" s="19">
        <f>YEAR(SalesData[[#This Row],[Order_Date]])</f>
        <v>2024</v>
      </c>
      <c r="U178" s="19" t="str">
        <f>TEXT(SalesData[[#This Row],[Order_Date]],"mmm")</f>
        <v>Apr</v>
      </c>
      <c r="V178" s="19" t="str">
        <f>"Q"&amp;ROUNDUP(MONTH(SalesData[[#This Row],[Order_Date]])/3,0)</f>
        <v>Q2</v>
      </c>
      <c r="W178" s="19" t="str">
        <f>IF(SalesData[[#This Row],[Sales]]&gt;=50000,"High",IF(AND(SalesData[[#This Row],[Sales]]&gt;= 20000, SalesData[[#This Row],[Sales]]&lt; 50000),"Medium","Low"))</f>
        <v>Low</v>
      </c>
      <c r="X178" s="19" t="str">
        <f>IF(SalesData[[#This Row],[Profit]]&gt;0,"Profit","Loss")</f>
        <v>Profit</v>
      </c>
      <c r="Y178" s="19" t="str">
        <f>IF(AND(SalesData[[#This Row],[Sales]]&gt;= 50000, SalesData[[#This Row],[Quantity]]&gt;=2),"Yes","No")</f>
        <v>No</v>
      </c>
      <c r="Z178" s="19" t="str">
        <f>UPPER(SalesData[[#This Row],[Customer_Name]])</f>
        <v>SAURABH ROY</v>
      </c>
      <c r="AA178" s="19" t="str">
        <f>LOWER(SalesData[[#This Row],[Customer_Name]])</f>
        <v>saurabh roy</v>
      </c>
      <c r="AB178" s="19">
        <f>LEN(SalesData[[#This Row],[Customer_Name]])</f>
        <v>11</v>
      </c>
      <c r="AC178" s="19" t="str">
        <f>LEFT(SalesData[[#This Row],[Order_ID]],3)</f>
        <v>ORD</v>
      </c>
      <c r="AD178" s="19" t="str">
        <f>RIGHT(SalesData[[#This Row],[Order_ID]],4)</f>
        <v>0822</v>
      </c>
      <c r="AE178" s="19" t="str">
        <f>_xlfn.CONCAT(SalesData[[#This Row],[Clean_Customer_Name]],"-",SalesData[[#This Row],[Region]])</f>
        <v>Saurabh Roy-West</v>
      </c>
      <c r="AF178" s="19" t="str">
        <f>MID(SalesData[[#This Row],[Order_ID]],4,4)</f>
        <v>0822</v>
      </c>
      <c r="AG178" s="19" t="e">
        <f ca="1">_xlfn.SINGLE(_xlfn.XLOOKUP(SalesData[[#This Row],[Product]],Product_Master!A:A,Product_Master!B:B,"Not Found"))</f>
        <v>#NAME?</v>
      </c>
      <c r="AH178" s="19" t="str">
        <f>VLOOKUP(SalesData[[#This Row],[Product]],Product_Master!$A$1:$B$21,2,FALSE)</f>
        <v>Simran</v>
      </c>
      <c r="AI178" s="16"/>
    </row>
    <row r="179" spans="1:35" ht="13.8">
      <c r="A179" s="16" t="s">
        <v>1048</v>
      </c>
      <c r="B179" s="17">
        <v>45986</v>
      </c>
      <c r="C179" s="16" t="s">
        <v>144</v>
      </c>
      <c r="D179" s="16" t="s">
        <v>145</v>
      </c>
      <c r="E179" s="16" t="s">
        <v>30</v>
      </c>
      <c r="F179" s="16" t="s">
        <v>31</v>
      </c>
      <c r="G179" s="16" t="s">
        <v>21</v>
      </c>
      <c r="H179" s="16" t="s">
        <v>32</v>
      </c>
      <c r="I179" s="16" t="s">
        <v>42</v>
      </c>
      <c r="J179" s="16" t="s">
        <v>162</v>
      </c>
      <c r="K179" s="18">
        <v>260996.11</v>
      </c>
      <c r="L179" s="18">
        <v>245493.9</v>
      </c>
      <c r="M179" s="19">
        <v>5</v>
      </c>
      <c r="N179" s="20">
        <v>0.15</v>
      </c>
      <c r="O179" s="19" t="s">
        <v>25</v>
      </c>
      <c r="P179" s="19" t="s">
        <v>26</v>
      </c>
      <c r="Q179" s="19" t="str">
        <f>TRIM(SalesData[[#This Row],[Customer_Name]])</f>
        <v>Rohan Gupta</v>
      </c>
      <c r="R179" s="21">
        <f>SalesData[[#This Row],[Sales]]-SalesData[[#This Row],[Cost]]</f>
        <v>15502.209999999992</v>
      </c>
      <c r="S179" s="22">
        <f>IFERROR(SalesData[[#This Row],[Profit]]/SalesData[[#This Row],[Sales]],0)</f>
        <v>5.9396325868611578E-2</v>
      </c>
      <c r="T179" s="19">
        <f>YEAR(SalesData[[#This Row],[Order_Date]])</f>
        <v>2025</v>
      </c>
      <c r="U179" s="19" t="str">
        <f>TEXT(SalesData[[#This Row],[Order_Date]],"mmm")</f>
        <v>Nov</v>
      </c>
      <c r="V179" s="19" t="str">
        <f>"Q"&amp;ROUNDUP(MONTH(SalesData[[#This Row],[Order_Date]])/3,0)</f>
        <v>Q4</v>
      </c>
      <c r="W179" s="19" t="str">
        <f>IF(SalesData[[#This Row],[Sales]]&gt;=50000,"High",IF(AND(SalesData[[#This Row],[Sales]]&gt;= 20000, SalesData[[#This Row],[Sales]]&lt; 50000),"Medium","Low"))</f>
        <v>High</v>
      </c>
      <c r="X179" s="19" t="str">
        <f>IF(SalesData[[#This Row],[Profit]]&gt;0,"Profit","Loss")</f>
        <v>Profit</v>
      </c>
      <c r="Y179" s="19" t="str">
        <f>IF(AND(SalesData[[#This Row],[Sales]]&gt;= 50000, SalesData[[#This Row],[Quantity]]&gt;=2),"Yes","No")</f>
        <v>Yes</v>
      </c>
      <c r="Z179" s="19" t="str">
        <f>UPPER(SalesData[[#This Row],[Customer_Name]])</f>
        <v>ROHAN GUPTA</v>
      </c>
      <c r="AA179" s="19" t="str">
        <f>LOWER(SalesData[[#This Row],[Customer_Name]])</f>
        <v>rohan gupta</v>
      </c>
      <c r="AB179" s="19">
        <f>LEN(SalesData[[#This Row],[Customer_Name]])</f>
        <v>11</v>
      </c>
      <c r="AC179" s="19" t="str">
        <f>LEFT(SalesData[[#This Row],[Order_ID]],3)</f>
        <v>ORD</v>
      </c>
      <c r="AD179" s="19" t="str">
        <f>RIGHT(SalesData[[#This Row],[Order_ID]],4)</f>
        <v>0895</v>
      </c>
      <c r="AE179" s="19" t="str">
        <f>_xlfn.CONCAT(SalesData[[#This Row],[Clean_Customer_Name]],"-",SalesData[[#This Row],[Region]])</f>
        <v>Rohan Gupta-East</v>
      </c>
      <c r="AF179" s="19" t="str">
        <f>MID(SalesData[[#This Row],[Order_ID]],4,4)</f>
        <v>0895</v>
      </c>
      <c r="AG179" s="19" t="e">
        <f ca="1">_xlfn.SINGLE(_xlfn.XLOOKUP(SalesData[[#This Row],[Product]],Product_Master!A:A,Product_Master!B:B,"Not Found"))</f>
        <v>#NAME?</v>
      </c>
      <c r="AH179" s="19" t="str">
        <f>VLOOKUP(SalesData[[#This Row],[Product]],Product_Master!$A$1:$B$21,2,FALSE)</f>
        <v>Rahul</v>
      </c>
      <c r="AI179" s="16"/>
    </row>
    <row r="180" spans="1:35" ht="13.8">
      <c r="A180" s="16" t="s">
        <v>473</v>
      </c>
      <c r="B180" s="17">
        <v>45435</v>
      </c>
      <c r="C180" s="16" t="s">
        <v>144</v>
      </c>
      <c r="D180" s="16" t="s">
        <v>145</v>
      </c>
      <c r="E180" s="16" t="s">
        <v>62</v>
      </c>
      <c r="F180" s="16" t="s">
        <v>63</v>
      </c>
      <c r="G180" s="16" t="s">
        <v>21</v>
      </c>
      <c r="H180" s="16" t="s">
        <v>64</v>
      </c>
      <c r="I180" s="16" t="s">
        <v>23</v>
      </c>
      <c r="J180" s="16" t="s">
        <v>33</v>
      </c>
      <c r="K180" s="18">
        <v>3177.3</v>
      </c>
      <c r="L180" s="18">
        <v>1832.25</v>
      </c>
      <c r="M180" s="19">
        <v>1</v>
      </c>
      <c r="N180" s="20">
        <v>0.15</v>
      </c>
      <c r="O180" s="19" t="s">
        <v>44</v>
      </c>
      <c r="P180" s="19" t="s">
        <v>58</v>
      </c>
      <c r="Q180" s="19" t="str">
        <f>TRIM(SalesData[[#This Row],[Customer_Name]])</f>
        <v>Rohan Gupta</v>
      </c>
      <c r="R180" s="21">
        <f>SalesData[[#This Row],[Sales]]-SalesData[[#This Row],[Cost]]</f>
        <v>1345.0500000000002</v>
      </c>
      <c r="S180" s="22">
        <f>IFERROR(SalesData[[#This Row],[Profit]]/SalesData[[#This Row],[Sales]],0)</f>
        <v>0.42333113020489099</v>
      </c>
      <c r="T180" s="19">
        <f>YEAR(SalesData[[#This Row],[Order_Date]])</f>
        <v>2024</v>
      </c>
      <c r="U180" s="19" t="str">
        <f>TEXT(SalesData[[#This Row],[Order_Date]],"mmm")</f>
        <v>May</v>
      </c>
      <c r="V180" s="19" t="str">
        <f>"Q"&amp;ROUNDUP(MONTH(SalesData[[#This Row],[Order_Date]])/3,0)</f>
        <v>Q2</v>
      </c>
      <c r="W180" s="19" t="str">
        <f>IF(SalesData[[#This Row],[Sales]]&gt;=50000,"High",IF(AND(SalesData[[#This Row],[Sales]]&gt;= 20000, SalesData[[#This Row],[Sales]]&lt; 50000),"Medium","Low"))</f>
        <v>Low</v>
      </c>
      <c r="X180" s="19" t="str">
        <f>IF(SalesData[[#This Row],[Profit]]&gt;0,"Profit","Loss")</f>
        <v>Profit</v>
      </c>
      <c r="Y180" s="19" t="str">
        <f>IF(AND(SalesData[[#This Row],[Sales]]&gt;= 50000, SalesData[[#This Row],[Quantity]]&gt;=2),"Yes","No")</f>
        <v>No</v>
      </c>
      <c r="Z180" s="19" t="str">
        <f>UPPER(SalesData[[#This Row],[Customer_Name]])</f>
        <v>ROHAN GUPTA</v>
      </c>
      <c r="AA180" s="19" t="str">
        <f>LOWER(SalesData[[#This Row],[Customer_Name]])</f>
        <v>rohan gupta</v>
      </c>
      <c r="AB180" s="19">
        <f>LEN(SalesData[[#This Row],[Customer_Name]])</f>
        <v>11</v>
      </c>
      <c r="AC180" s="19" t="str">
        <f>LEFT(SalesData[[#This Row],[Order_ID]],3)</f>
        <v>ORD</v>
      </c>
      <c r="AD180" s="19" t="str">
        <f>RIGHT(SalesData[[#This Row],[Order_ID]],4)</f>
        <v>0320</v>
      </c>
      <c r="AE180" s="19" t="str">
        <f>_xlfn.CONCAT(SalesData[[#This Row],[Clean_Customer_Name]],"-",SalesData[[#This Row],[Region]])</f>
        <v>Rohan Gupta-North</v>
      </c>
      <c r="AF180" s="19" t="str">
        <f>MID(SalesData[[#This Row],[Order_ID]],4,4)</f>
        <v>0320</v>
      </c>
      <c r="AG180" s="19" t="e">
        <f ca="1">_xlfn.SINGLE(_xlfn.XLOOKUP(SalesData[[#This Row],[Product]],Product_Master!A:A,Product_Master!B:B,"Not Found"))</f>
        <v>#NAME?</v>
      </c>
      <c r="AH180" s="19" t="str">
        <f>VLOOKUP(SalesData[[#This Row],[Product]],Product_Master!$A$1:$B$21,2,FALSE)</f>
        <v>Amit</v>
      </c>
      <c r="AI180" s="16"/>
    </row>
    <row r="181" spans="1:35" ht="13.8">
      <c r="A181" s="16" t="s">
        <v>1009</v>
      </c>
      <c r="B181" s="17">
        <v>45857</v>
      </c>
      <c r="C181" s="16" t="s">
        <v>144</v>
      </c>
      <c r="D181" s="16" t="s">
        <v>145</v>
      </c>
      <c r="E181" s="16" t="s">
        <v>62</v>
      </c>
      <c r="F181" s="16" t="s">
        <v>63</v>
      </c>
      <c r="G181" s="16" t="s">
        <v>21</v>
      </c>
      <c r="H181" s="16" t="s">
        <v>64</v>
      </c>
      <c r="I181" s="16" t="s">
        <v>56</v>
      </c>
      <c r="J181" s="16" t="s">
        <v>57</v>
      </c>
      <c r="K181" s="18">
        <v>15420.21</v>
      </c>
      <c r="L181" s="18">
        <v>5423.04</v>
      </c>
      <c r="M181" s="19">
        <v>3</v>
      </c>
      <c r="N181" s="20">
        <v>0.05</v>
      </c>
      <c r="O181" s="19" t="s">
        <v>25</v>
      </c>
      <c r="P181" s="19" t="s">
        <v>58</v>
      </c>
      <c r="Q181" s="19" t="str">
        <f>TRIM(SalesData[[#This Row],[Customer_Name]])</f>
        <v>Rohan Gupta</v>
      </c>
      <c r="R181" s="21">
        <f>SalesData[[#This Row],[Sales]]-SalesData[[#This Row],[Cost]]</f>
        <v>9997.1699999999983</v>
      </c>
      <c r="S181" s="22">
        <f>IFERROR(SalesData[[#This Row],[Profit]]/SalesData[[#This Row],[Sales]],0)</f>
        <v>0.64831607351650844</v>
      </c>
      <c r="T181" s="19">
        <f>YEAR(SalesData[[#This Row],[Order_Date]])</f>
        <v>2025</v>
      </c>
      <c r="U181" s="19" t="str">
        <f>TEXT(SalesData[[#This Row],[Order_Date]],"mmm")</f>
        <v>Jul</v>
      </c>
      <c r="V181" s="19" t="str">
        <f>"Q"&amp;ROUNDUP(MONTH(SalesData[[#This Row],[Order_Date]])/3,0)</f>
        <v>Q3</v>
      </c>
      <c r="W181" s="19" t="str">
        <f>IF(SalesData[[#This Row],[Sales]]&gt;=50000,"High",IF(AND(SalesData[[#This Row],[Sales]]&gt;= 20000, SalesData[[#This Row],[Sales]]&lt; 50000),"Medium","Low"))</f>
        <v>Low</v>
      </c>
      <c r="X181" s="19" t="str">
        <f>IF(SalesData[[#This Row],[Profit]]&gt;0,"Profit","Loss")</f>
        <v>Profit</v>
      </c>
      <c r="Y181" s="19" t="str">
        <f>IF(AND(SalesData[[#This Row],[Sales]]&gt;= 50000, SalesData[[#This Row],[Quantity]]&gt;=2),"Yes","No")</f>
        <v>No</v>
      </c>
      <c r="Z181" s="19" t="str">
        <f>UPPER(SalesData[[#This Row],[Customer_Name]])</f>
        <v>ROHAN GUPTA</v>
      </c>
      <c r="AA181" s="19" t="str">
        <f>LOWER(SalesData[[#This Row],[Customer_Name]])</f>
        <v>rohan gupta</v>
      </c>
      <c r="AB181" s="19">
        <f>LEN(SalesData[[#This Row],[Customer_Name]])</f>
        <v>11</v>
      </c>
      <c r="AC181" s="19" t="str">
        <f>LEFT(SalesData[[#This Row],[Order_ID]],3)</f>
        <v>ORD</v>
      </c>
      <c r="AD181" s="19" t="str">
        <f>RIGHT(SalesData[[#This Row],[Order_ID]],4)</f>
        <v>0856</v>
      </c>
      <c r="AE181" s="19" t="str">
        <f>_xlfn.CONCAT(SalesData[[#This Row],[Clean_Customer_Name]],"-",SalesData[[#This Row],[Region]])</f>
        <v>Rohan Gupta-West</v>
      </c>
      <c r="AF181" s="19" t="str">
        <f>MID(SalesData[[#This Row],[Order_ID]],4,4)</f>
        <v>0856</v>
      </c>
      <c r="AG181" s="19" t="e">
        <f ca="1">_xlfn.SINGLE(_xlfn.XLOOKUP(SalesData[[#This Row],[Product]],Product_Master!A:A,Product_Master!B:B,"Not Found"))</f>
        <v>#NAME?</v>
      </c>
      <c r="AH181" s="19" t="str">
        <f>VLOOKUP(SalesData[[#This Row],[Product]],Product_Master!$A$1:$B$21,2,FALSE)</f>
        <v>Amit</v>
      </c>
      <c r="AI181" s="16"/>
    </row>
    <row r="182" spans="1:35" ht="13.8">
      <c r="A182" s="16" t="s">
        <v>1109</v>
      </c>
      <c r="B182" s="17">
        <v>45723</v>
      </c>
      <c r="C182" s="16" t="s">
        <v>144</v>
      </c>
      <c r="D182" s="16" t="s">
        <v>145</v>
      </c>
      <c r="E182" s="16" t="s">
        <v>62</v>
      </c>
      <c r="F182" s="16" t="s">
        <v>63</v>
      </c>
      <c r="G182" s="16" t="s">
        <v>21</v>
      </c>
      <c r="H182" s="16" t="s">
        <v>64</v>
      </c>
      <c r="I182" s="16" t="s">
        <v>23</v>
      </c>
      <c r="J182" s="16" t="s">
        <v>24</v>
      </c>
      <c r="K182" s="18">
        <v>3351.25</v>
      </c>
      <c r="L182" s="18">
        <v>1976.14</v>
      </c>
      <c r="M182" s="19">
        <v>1</v>
      </c>
      <c r="N182" s="20">
        <v>0.05</v>
      </c>
      <c r="O182" s="19" t="s">
        <v>25</v>
      </c>
      <c r="P182" s="19" t="s">
        <v>58</v>
      </c>
      <c r="Q182" s="19" t="str">
        <f>TRIM(SalesData[[#This Row],[Customer_Name]])</f>
        <v>Rohan Gupta</v>
      </c>
      <c r="R182" s="21">
        <f>SalesData[[#This Row],[Sales]]-SalesData[[#This Row],[Cost]]</f>
        <v>1375.11</v>
      </c>
      <c r="S182" s="22">
        <f>IFERROR(SalesData[[#This Row],[Profit]]/SalesData[[#This Row],[Sales]],0)</f>
        <v>0.41032748974263333</v>
      </c>
      <c r="T182" s="19">
        <f>YEAR(SalesData[[#This Row],[Order_Date]])</f>
        <v>2025</v>
      </c>
      <c r="U182" s="19" t="str">
        <f>TEXT(SalesData[[#This Row],[Order_Date]],"mmm")</f>
        <v>Mar</v>
      </c>
      <c r="V182" s="19" t="str">
        <f>"Q"&amp;ROUNDUP(MONTH(SalesData[[#This Row],[Order_Date]])/3,0)</f>
        <v>Q1</v>
      </c>
      <c r="W182" s="19" t="str">
        <f>IF(SalesData[[#This Row],[Sales]]&gt;=50000,"High",IF(AND(SalesData[[#This Row],[Sales]]&gt;= 20000, SalesData[[#This Row],[Sales]]&lt; 50000),"Medium","Low"))</f>
        <v>Low</v>
      </c>
      <c r="X182" s="19" t="str">
        <f>IF(SalesData[[#This Row],[Profit]]&gt;0,"Profit","Loss")</f>
        <v>Profit</v>
      </c>
      <c r="Y182" s="19" t="str">
        <f>IF(AND(SalesData[[#This Row],[Sales]]&gt;= 50000, SalesData[[#This Row],[Quantity]]&gt;=2),"Yes","No")</f>
        <v>No</v>
      </c>
      <c r="Z182" s="19" t="str">
        <f>UPPER(SalesData[[#This Row],[Customer_Name]])</f>
        <v>ROHAN GUPTA</v>
      </c>
      <c r="AA182" s="19" t="str">
        <f>LOWER(SalesData[[#This Row],[Customer_Name]])</f>
        <v>rohan gupta</v>
      </c>
      <c r="AB182" s="19">
        <f>LEN(SalesData[[#This Row],[Customer_Name]])</f>
        <v>11</v>
      </c>
      <c r="AC182" s="19" t="str">
        <f>LEFT(SalesData[[#This Row],[Order_ID]],3)</f>
        <v>ORD</v>
      </c>
      <c r="AD182" s="19" t="str">
        <f>RIGHT(SalesData[[#This Row],[Order_ID]],4)</f>
        <v>0956</v>
      </c>
      <c r="AE182" s="19" t="str">
        <f>_xlfn.CONCAT(SalesData[[#This Row],[Clean_Customer_Name]],"-",SalesData[[#This Row],[Region]])</f>
        <v>Rohan Gupta-North</v>
      </c>
      <c r="AF182" s="19" t="str">
        <f>MID(SalesData[[#This Row],[Order_ID]],4,4)</f>
        <v>0956</v>
      </c>
      <c r="AG182" s="19" t="e">
        <f ca="1">_xlfn.SINGLE(_xlfn.XLOOKUP(SalesData[[#This Row],[Product]],Product_Master!A:A,Product_Master!B:B,"Not Found"))</f>
        <v>#NAME?</v>
      </c>
      <c r="AH182" s="19" t="str">
        <f>VLOOKUP(SalesData[[#This Row],[Product]],Product_Master!$A$1:$B$21,2,FALSE)</f>
        <v>Amit</v>
      </c>
      <c r="AI182" s="16"/>
    </row>
    <row r="183" spans="1:35" ht="13.8">
      <c r="A183" s="16" t="s">
        <v>535</v>
      </c>
      <c r="B183" s="17">
        <v>45901</v>
      </c>
      <c r="C183" s="16" t="s">
        <v>144</v>
      </c>
      <c r="D183" s="16" t="s">
        <v>145</v>
      </c>
      <c r="E183" s="16" t="s">
        <v>152</v>
      </c>
      <c r="F183" s="16" t="s">
        <v>153</v>
      </c>
      <c r="G183" s="16" t="s">
        <v>21</v>
      </c>
      <c r="H183" s="16" t="s">
        <v>32</v>
      </c>
      <c r="I183" s="16" t="s">
        <v>53</v>
      </c>
      <c r="J183" s="16" t="s">
        <v>102</v>
      </c>
      <c r="K183" s="18">
        <v>42236.43</v>
      </c>
      <c r="L183" s="18">
        <v>23134.799999999999</v>
      </c>
      <c r="M183" s="19">
        <v>3</v>
      </c>
      <c r="N183" s="20">
        <v>0</v>
      </c>
      <c r="O183" s="19" t="s">
        <v>25</v>
      </c>
      <c r="P183" s="19" t="s">
        <v>26</v>
      </c>
      <c r="Q183" s="19" t="str">
        <f>TRIM(SalesData[[#This Row],[Customer_Name]])</f>
        <v>Rohan Gupta</v>
      </c>
      <c r="R183" s="21">
        <f>SalesData[[#This Row],[Sales]]-SalesData[[#This Row],[Cost]]</f>
        <v>19101.63</v>
      </c>
      <c r="S183" s="22">
        <f>IFERROR(SalesData[[#This Row],[Profit]]/SalesData[[#This Row],[Sales]],0)</f>
        <v>0.45225484256126763</v>
      </c>
      <c r="T183" s="19">
        <f>YEAR(SalesData[[#This Row],[Order_Date]])</f>
        <v>2025</v>
      </c>
      <c r="U183" s="19" t="str">
        <f>TEXT(SalesData[[#This Row],[Order_Date]],"mmm")</f>
        <v>Sept</v>
      </c>
      <c r="V183" s="19" t="str">
        <f>"Q"&amp;ROUNDUP(MONTH(SalesData[[#This Row],[Order_Date]])/3,0)</f>
        <v>Q3</v>
      </c>
      <c r="W183" s="19" t="str">
        <f>IF(SalesData[[#This Row],[Sales]]&gt;=50000,"High",IF(AND(SalesData[[#This Row],[Sales]]&gt;= 20000, SalesData[[#This Row],[Sales]]&lt; 50000),"Medium","Low"))</f>
        <v>Medium</v>
      </c>
      <c r="X183" s="19" t="str">
        <f>IF(SalesData[[#This Row],[Profit]]&gt;0,"Profit","Loss")</f>
        <v>Profit</v>
      </c>
      <c r="Y183" s="19" t="str">
        <f>IF(AND(SalesData[[#This Row],[Sales]]&gt;= 50000, SalesData[[#This Row],[Quantity]]&gt;=2),"Yes","No")</f>
        <v>No</v>
      </c>
      <c r="Z183" s="19" t="str">
        <f>UPPER(SalesData[[#This Row],[Customer_Name]])</f>
        <v>ROHAN GUPTA</v>
      </c>
      <c r="AA183" s="19" t="str">
        <f>LOWER(SalesData[[#This Row],[Customer_Name]])</f>
        <v>rohan gupta</v>
      </c>
      <c r="AB183" s="19">
        <f>LEN(SalesData[[#This Row],[Customer_Name]])</f>
        <v>11</v>
      </c>
      <c r="AC183" s="19" t="str">
        <f>LEFT(SalesData[[#This Row],[Order_ID]],3)</f>
        <v>ORD</v>
      </c>
      <c r="AD183" s="19" t="str">
        <f>RIGHT(SalesData[[#This Row],[Order_ID]],4)</f>
        <v>0382</v>
      </c>
      <c r="AE183" s="19" t="str">
        <f>_xlfn.CONCAT(SalesData[[#This Row],[Clean_Customer_Name]],"-",SalesData[[#This Row],[Region]])</f>
        <v>Rohan Gupta-Central</v>
      </c>
      <c r="AF183" s="19" t="str">
        <f>MID(SalesData[[#This Row],[Order_ID]],4,4)</f>
        <v>0382</v>
      </c>
      <c r="AG183" s="19" t="e">
        <f ca="1">_xlfn.SINGLE(_xlfn.XLOOKUP(SalesData[[#This Row],[Product]],Product_Master!A:A,Product_Master!B:B,"Not Found"))</f>
        <v>#NAME?</v>
      </c>
      <c r="AH183" s="19" t="str">
        <f>VLOOKUP(SalesData[[#This Row],[Product]],Product_Master!$A$1:$B$21,2,FALSE)</f>
        <v>Simran</v>
      </c>
      <c r="AI183" s="16"/>
    </row>
    <row r="184" spans="1:35" ht="13.8">
      <c r="A184" s="16" t="s">
        <v>941</v>
      </c>
      <c r="B184" s="17">
        <v>45471</v>
      </c>
      <c r="C184" s="16" t="s">
        <v>144</v>
      </c>
      <c r="D184" s="16" t="s">
        <v>145</v>
      </c>
      <c r="E184" s="16" t="s">
        <v>152</v>
      </c>
      <c r="F184" s="16" t="s">
        <v>153</v>
      </c>
      <c r="G184" s="16" t="s">
        <v>21</v>
      </c>
      <c r="H184" s="16" t="s">
        <v>32</v>
      </c>
      <c r="I184" s="16" t="s">
        <v>23</v>
      </c>
      <c r="J184" s="16" t="s">
        <v>33</v>
      </c>
      <c r="K184" s="18">
        <v>21697.040000000001</v>
      </c>
      <c r="L184" s="18">
        <v>17503.759999999998</v>
      </c>
      <c r="M184" s="19">
        <v>2</v>
      </c>
      <c r="N184" s="20">
        <v>0.1</v>
      </c>
      <c r="O184" s="19" t="s">
        <v>34</v>
      </c>
      <c r="P184" s="19" t="s">
        <v>58</v>
      </c>
      <c r="Q184" s="19" t="str">
        <f>TRIM(SalesData[[#This Row],[Customer_Name]])</f>
        <v>Rohan Gupta</v>
      </c>
      <c r="R184" s="21">
        <f>SalesData[[#This Row],[Sales]]-SalesData[[#This Row],[Cost]]</f>
        <v>4193.2800000000025</v>
      </c>
      <c r="S184" s="22">
        <f>IFERROR(SalesData[[#This Row],[Profit]]/SalesData[[#This Row],[Sales]],0)</f>
        <v>0.19326507210200111</v>
      </c>
      <c r="T184" s="19">
        <f>YEAR(SalesData[[#This Row],[Order_Date]])</f>
        <v>2024</v>
      </c>
      <c r="U184" s="19" t="str">
        <f>TEXT(SalesData[[#This Row],[Order_Date]],"mmm")</f>
        <v>Jun</v>
      </c>
      <c r="V184" s="19" t="str">
        <f>"Q"&amp;ROUNDUP(MONTH(SalesData[[#This Row],[Order_Date]])/3,0)</f>
        <v>Q2</v>
      </c>
      <c r="W184" s="19" t="str">
        <f>IF(SalesData[[#This Row],[Sales]]&gt;=50000,"High",IF(AND(SalesData[[#This Row],[Sales]]&gt;= 20000, SalesData[[#This Row],[Sales]]&lt; 50000),"Medium","Low"))</f>
        <v>Medium</v>
      </c>
      <c r="X184" s="19" t="str">
        <f>IF(SalesData[[#This Row],[Profit]]&gt;0,"Profit","Loss")</f>
        <v>Profit</v>
      </c>
      <c r="Y184" s="19" t="str">
        <f>IF(AND(SalesData[[#This Row],[Sales]]&gt;= 50000, SalesData[[#This Row],[Quantity]]&gt;=2),"Yes","No")</f>
        <v>No</v>
      </c>
      <c r="Z184" s="19" t="str">
        <f>UPPER(SalesData[[#This Row],[Customer_Name]])</f>
        <v>ROHAN GUPTA</v>
      </c>
      <c r="AA184" s="19" t="str">
        <f>LOWER(SalesData[[#This Row],[Customer_Name]])</f>
        <v>rohan gupta</v>
      </c>
      <c r="AB184" s="19">
        <f>LEN(SalesData[[#This Row],[Customer_Name]])</f>
        <v>11</v>
      </c>
      <c r="AC184" s="19" t="str">
        <f>LEFT(SalesData[[#This Row],[Order_ID]],3)</f>
        <v>ORD</v>
      </c>
      <c r="AD184" s="19" t="str">
        <f>RIGHT(SalesData[[#This Row],[Order_ID]],4)</f>
        <v>0788</v>
      </c>
      <c r="AE184" s="19" t="str">
        <f>_xlfn.CONCAT(SalesData[[#This Row],[Clean_Customer_Name]],"-",SalesData[[#This Row],[Region]])</f>
        <v>Rohan Gupta-North</v>
      </c>
      <c r="AF184" s="19" t="str">
        <f>MID(SalesData[[#This Row],[Order_ID]],4,4)</f>
        <v>0788</v>
      </c>
      <c r="AG184" s="19" t="e">
        <f ca="1">_xlfn.SINGLE(_xlfn.XLOOKUP(SalesData[[#This Row],[Product]],Product_Master!A:A,Product_Master!B:B,"Not Found"))</f>
        <v>#NAME?</v>
      </c>
      <c r="AH184" s="19" t="str">
        <f>VLOOKUP(SalesData[[#This Row],[Product]],Product_Master!$A$1:$B$21,2,FALSE)</f>
        <v>Simran</v>
      </c>
      <c r="AI184" s="16"/>
    </row>
    <row r="185" spans="1:35" ht="13.8">
      <c r="A185" s="16" t="s">
        <v>1122</v>
      </c>
      <c r="B185" s="17">
        <v>45469</v>
      </c>
      <c r="C185" s="16" t="s">
        <v>144</v>
      </c>
      <c r="D185" s="16" t="s">
        <v>145</v>
      </c>
      <c r="E185" s="16" t="s">
        <v>152</v>
      </c>
      <c r="F185" s="16" t="s">
        <v>153</v>
      </c>
      <c r="G185" s="16" t="s">
        <v>21</v>
      </c>
      <c r="H185" s="16" t="s">
        <v>32</v>
      </c>
      <c r="I185" s="16" t="s">
        <v>23</v>
      </c>
      <c r="J185" s="16" t="s">
        <v>33</v>
      </c>
      <c r="K185" s="18">
        <v>69152.59</v>
      </c>
      <c r="L185" s="18">
        <v>40390.800000000003</v>
      </c>
      <c r="M185" s="19">
        <v>5</v>
      </c>
      <c r="N185" s="20">
        <v>0.05</v>
      </c>
      <c r="O185" s="19" t="s">
        <v>76</v>
      </c>
      <c r="P185" s="19" t="s">
        <v>58</v>
      </c>
      <c r="Q185" s="19" t="str">
        <f>TRIM(SalesData[[#This Row],[Customer_Name]])</f>
        <v>Rohan Gupta</v>
      </c>
      <c r="R185" s="21">
        <f>SalesData[[#This Row],[Sales]]-SalesData[[#This Row],[Cost]]</f>
        <v>28761.789999999994</v>
      </c>
      <c r="S185" s="22">
        <f>IFERROR(SalesData[[#This Row],[Profit]]/SalesData[[#This Row],[Sales]],0)</f>
        <v>0.41591775521350677</v>
      </c>
      <c r="T185" s="19">
        <f>YEAR(SalesData[[#This Row],[Order_Date]])</f>
        <v>2024</v>
      </c>
      <c r="U185" s="19" t="str">
        <f>TEXT(SalesData[[#This Row],[Order_Date]],"mmm")</f>
        <v>Jun</v>
      </c>
      <c r="V185" s="19" t="str">
        <f>"Q"&amp;ROUNDUP(MONTH(SalesData[[#This Row],[Order_Date]])/3,0)</f>
        <v>Q2</v>
      </c>
      <c r="W185" s="19" t="str">
        <f>IF(SalesData[[#This Row],[Sales]]&gt;=50000,"High",IF(AND(SalesData[[#This Row],[Sales]]&gt;= 20000, SalesData[[#This Row],[Sales]]&lt; 50000),"Medium","Low"))</f>
        <v>High</v>
      </c>
      <c r="X185" s="19" t="str">
        <f>IF(SalesData[[#This Row],[Profit]]&gt;0,"Profit","Loss")</f>
        <v>Profit</v>
      </c>
      <c r="Y185" s="19" t="str">
        <f>IF(AND(SalesData[[#This Row],[Sales]]&gt;= 50000, SalesData[[#This Row],[Quantity]]&gt;=2),"Yes","No")</f>
        <v>Yes</v>
      </c>
      <c r="Z185" s="19" t="str">
        <f>UPPER(SalesData[[#This Row],[Customer_Name]])</f>
        <v>ROHAN GUPTA</v>
      </c>
      <c r="AA185" s="19" t="str">
        <f>LOWER(SalesData[[#This Row],[Customer_Name]])</f>
        <v>rohan gupta</v>
      </c>
      <c r="AB185" s="19">
        <f>LEN(SalesData[[#This Row],[Customer_Name]])</f>
        <v>11</v>
      </c>
      <c r="AC185" s="19" t="str">
        <f>LEFT(SalesData[[#This Row],[Order_ID]],3)</f>
        <v>ORD</v>
      </c>
      <c r="AD185" s="19" t="str">
        <f>RIGHT(SalesData[[#This Row],[Order_ID]],4)</f>
        <v>0969</v>
      </c>
      <c r="AE185" s="19" t="str">
        <f>_xlfn.CONCAT(SalesData[[#This Row],[Clean_Customer_Name]],"-",SalesData[[#This Row],[Region]])</f>
        <v>Rohan Gupta-North</v>
      </c>
      <c r="AF185" s="19" t="str">
        <f>MID(SalesData[[#This Row],[Order_ID]],4,4)</f>
        <v>0969</v>
      </c>
      <c r="AG185" s="19" t="e">
        <f ca="1">_xlfn.SINGLE(_xlfn.XLOOKUP(SalesData[[#This Row],[Product]],Product_Master!A:A,Product_Master!B:B,"Not Found"))</f>
        <v>#NAME?</v>
      </c>
      <c r="AH185" s="19" t="str">
        <f>VLOOKUP(SalesData[[#This Row],[Product]],Product_Master!$A$1:$B$21,2,FALSE)</f>
        <v>Simran</v>
      </c>
      <c r="AI185" s="16"/>
    </row>
    <row r="186" spans="1:35" ht="13.8">
      <c r="A186" s="16" t="s">
        <v>1128</v>
      </c>
      <c r="B186" s="17">
        <v>45296</v>
      </c>
      <c r="C186" s="16" t="s">
        <v>144</v>
      </c>
      <c r="D186" s="16" t="s">
        <v>145</v>
      </c>
      <c r="E186" s="16" t="s">
        <v>152</v>
      </c>
      <c r="F186" s="16" t="s">
        <v>153</v>
      </c>
      <c r="G186" s="16" t="s">
        <v>21</v>
      </c>
      <c r="H186" s="16" t="s">
        <v>32</v>
      </c>
      <c r="I186" s="16" t="s">
        <v>84</v>
      </c>
      <c r="J186" s="16" t="s">
        <v>85</v>
      </c>
      <c r="K186" s="18">
        <v>12691.62</v>
      </c>
      <c r="L186" s="18">
        <v>8578.65</v>
      </c>
      <c r="M186" s="19">
        <v>1</v>
      </c>
      <c r="N186" s="20">
        <v>0.1</v>
      </c>
      <c r="O186" s="19" t="s">
        <v>136</v>
      </c>
      <c r="P186" s="19" t="s">
        <v>26</v>
      </c>
      <c r="Q186" s="19" t="str">
        <f>TRIM(SalesData[[#This Row],[Customer_Name]])</f>
        <v>Rohan Gupta</v>
      </c>
      <c r="R186" s="21">
        <f>SalesData[[#This Row],[Sales]]-SalesData[[#This Row],[Cost]]</f>
        <v>4112.9700000000012</v>
      </c>
      <c r="S186" s="22">
        <f>IFERROR(SalesData[[#This Row],[Profit]]/SalesData[[#This Row],[Sales]],0)</f>
        <v>0.32406974050594023</v>
      </c>
      <c r="T186" s="19">
        <f>YEAR(SalesData[[#This Row],[Order_Date]])</f>
        <v>2024</v>
      </c>
      <c r="U186" s="19" t="str">
        <f>TEXT(SalesData[[#This Row],[Order_Date]],"mmm")</f>
        <v>Jan</v>
      </c>
      <c r="V186" s="19" t="str">
        <f>"Q"&amp;ROUNDUP(MONTH(SalesData[[#This Row],[Order_Date]])/3,0)</f>
        <v>Q1</v>
      </c>
      <c r="W186" s="19" t="str">
        <f>IF(SalesData[[#This Row],[Sales]]&gt;=50000,"High",IF(AND(SalesData[[#This Row],[Sales]]&gt;= 20000, SalesData[[#This Row],[Sales]]&lt; 50000),"Medium","Low"))</f>
        <v>Low</v>
      </c>
      <c r="X186" s="19" t="str">
        <f>IF(SalesData[[#This Row],[Profit]]&gt;0,"Profit","Loss")</f>
        <v>Profit</v>
      </c>
      <c r="Y186" s="19" t="str">
        <f>IF(AND(SalesData[[#This Row],[Sales]]&gt;= 50000, SalesData[[#This Row],[Quantity]]&gt;=2),"Yes","No")</f>
        <v>No</v>
      </c>
      <c r="Z186" s="19" t="str">
        <f>UPPER(SalesData[[#This Row],[Customer_Name]])</f>
        <v>ROHAN GUPTA</v>
      </c>
      <c r="AA186" s="19" t="str">
        <f>LOWER(SalesData[[#This Row],[Customer_Name]])</f>
        <v>rohan gupta</v>
      </c>
      <c r="AB186" s="19">
        <f>LEN(SalesData[[#This Row],[Customer_Name]])</f>
        <v>11</v>
      </c>
      <c r="AC186" s="19" t="str">
        <f>LEFT(SalesData[[#This Row],[Order_ID]],3)</f>
        <v>ORD</v>
      </c>
      <c r="AD186" s="19" t="str">
        <f>RIGHT(SalesData[[#This Row],[Order_ID]],4)</f>
        <v>0975</v>
      </c>
      <c r="AE186" s="19" t="str">
        <f>_xlfn.CONCAT(SalesData[[#This Row],[Clean_Customer_Name]],"-",SalesData[[#This Row],[Region]])</f>
        <v>Rohan Gupta-South</v>
      </c>
      <c r="AF186" s="19" t="str">
        <f>MID(SalesData[[#This Row],[Order_ID]],4,4)</f>
        <v>0975</v>
      </c>
      <c r="AG186" s="19" t="e">
        <f ca="1">_xlfn.SINGLE(_xlfn.XLOOKUP(SalesData[[#This Row],[Product]],Product_Master!A:A,Product_Master!B:B,"Not Found"))</f>
        <v>#NAME?</v>
      </c>
      <c r="AH186" s="19" t="str">
        <f>VLOOKUP(SalesData[[#This Row],[Product]],Product_Master!$A$1:$B$21,2,FALSE)</f>
        <v>Simran</v>
      </c>
      <c r="AI186" s="16"/>
    </row>
    <row r="187" spans="1:35" ht="13.8">
      <c r="A187" s="16" t="s">
        <v>405</v>
      </c>
      <c r="B187" s="17">
        <v>45412</v>
      </c>
      <c r="C187" s="16" t="s">
        <v>144</v>
      </c>
      <c r="D187" s="16" t="s">
        <v>145</v>
      </c>
      <c r="E187" s="16" t="s">
        <v>49</v>
      </c>
      <c r="F187" s="16" t="s">
        <v>50</v>
      </c>
      <c r="G187" s="16" t="s">
        <v>51</v>
      </c>
      <c r="H187" s="16" t="s">
        <v>52</v>
      </c>
      <c r="I187" s="16" t="s">
        <v>42</v>
      </c>
      <c r="J187" s="16" t="s">
        <v>162</v>
      </c>
      <c r="K187" s="18">
        <v>56648.73</v>
      </c>
      <c r="L187" s="18">
        <v>30320.880000000001</v>
      </c>
      <c r="M187" s="19">
        <v>4</v>
      </c>
      <c r="N187" s="20">
        <v>0.05</v>
      </c>
      <c r="O187" s="19" t="s">
        <v>136</v>
      </c>
      <c r="P187" s="19" t="s">
        <v>58</v>
      </c>
      <c r="Q187" s="19" t="str">
        <f>TRIM(SalesData[[#This Row],[Customer_Name]])</f>
        <v>Rohan Gupta</v>
      </c>
      <c r="R187" s="21">
        <f>SalesData[[#This Row],[Sales]]-SalesData[[#This Row],[Cost]]</f>
        <v>26327.850000000002</v>
      </c>
      <c r="S187" s="22">
        <f>IFERROR(SalesData[[#This Row],[Profit]]/SalesData[[#This Row],[Sales]],0)</f>
        <v>0.46475622666209815</v>
      </c>
      <c r="T187" s="19">
        <f>YEAR(SalesData[[#This Row],[Order_Date]])</f>
        <v>2024</v>
      </c>
      <c r="U187" s="19" t="str">
        <f>TEXT(SalesData[[#This Row],[Order_Date]],"mmm")</f>
        <v>Apr</v>
      </c>
      <c r="V187" s="19" t="str">
        <f>"Q"&amp;ROUNDUP(MONTH(SalesData[[#This Row],[Order_Date]])/3,0)</f>
        <v>Q2</v>
      </c>
      <c r="W187" s="19" t="str">
        <f>IF(SalesData[[#This Row],[Sales]]&gt;=50000,"High",IF(AND(SalesData[[#This Row],[Sales]]&gt;= 20000, SalesData[[#This Row],[Sales]]&lt; 50000),"Medium","Low"))</f>
        <v>High</v>
      </c>
      <c r="X187" s="19" t="str">
        <f>IF(SalesData[[#This Row],[Profit]]&gt;0,"Profit","Loss")</f>
        <v>Profit</v>
      </c>
      <c r="Y187" s="19" t="str">
        <f>IF(AND(SalesData[[#This Row],[Sales]]&gt;= 50000, SalesData[[#This Row],[Quantity]]&gt;=2),"Yes","No")</f>
        <v>Yes</v>
      </c>
      <c r="Z187" s="19" t="str">
        <f>UPPER(SalesData[[#This Row],[Customer_Name]])</f>
        <v>ROHAN GUPTA</v>
      </c>
      <c r="AA187" s="19" t="str">
        <f>LOWER(SalesData[[#This Row],[Customer_Name]])</f>
        <v>rohan gupta</v>
      </c>
      <c r="AB187" s="19">
        <f>LEN(SalesData[[#This Row],[Customer_Name]])</f>
        <v>11</v>
      </c>
      <c r="AC187" s="19" t="str">
        <f>LEFT(SalesData[[#This Row],[Order_ID]],3)</f>
        <v>ORD</v>
      </c>
      <c r="AD187" s="19" t="str">
        <f>RIGHT(SalesData[[#This Row],[Order_ID]],4)</f>
        <v>0252</v>
      </c>
      <c r="AE187" s="19" t="str">
        <f>_xlfn.CONCAT(SalesData[[#This Row],[Clean_Customer_Name]],"-",SalesData[[#This Row],[Region]])</f>
        <v>Rohan Gupta-East</v>
      </c>
      <c r="AF187" s="19" t="str">
        <f>MID(SalesData[[#This Row],[Order_ID]],4,4)</f>
        <v>0252</v>
      </c>
      <c r="AG187" s="19" t="e">
        <f ca="1">_xlfn.SINGLE(_xlfn.XLOOKUP(SalesData[[#This Row],[Product]],Product_Master!A:A,Product_Master!B:B,"Not Found"))</f>
        <v>#NAME?</v>
      </c>
      <c r="AH187" s="19" t="str">
        <f>VLOOKUP(SalesData[[#This Row],[Product]],Product_Master!$A$1:$B$21,2,FALSE)</f>
        <v>Rohan</v>
      </c>
      <c r="AI187" s="16"/>
    </row>
    <row r="188" spans="1:35" ht="13.8">
      <c r="A188" s="16" t="s">
        <v>526</v>
      </c>
      <c r="B188" s="17">
        <v>46005</v>
      </c>
      <c r="C188" s="16" t="s">
        <v>144</v>
      </c>
      <c r="D188" s="16" t="s">
        <v>145</v>
      </c>
      <c r="E188" s="16" t="s">
        <v>49</v>
      </c>
      <c r="F188" s="16" t="s">
        <v>50</v>
      </c>
      <c r="G188" s="16" t="s">
        <v>51</v>
      </c>
      <c r="H188" s="16" t="s">
        <v>52</v>
      </c>
      <c r="I188" s="16" t="s">
        <v>56</v>
      </c>
      <c r="J188" s="16" t="s">
        <v>91</v>
      </c>
      <c r="K188" s="18">
        <v>68654.429999999993</v>
      </c>
      <c r="L188" s="18">
        <v>36554.25</v>
      </c>
      <c r="M188" s="19">
        <v>5</v>
      </c>
      <c r="N188" s="20">
        <v>0.1</v>
      </c>
      <c r="O188" s="19" t="s">
        <v>44</v>
      </c>
      <c r="P188" s="19" t="s">
        <v>45</v>
      </c>
      <c r="Q188" s="19" t="str">
        <f>TRIM(SalesData[[#This Row],[Customer_Name]])</f>
        <v>Rohan Gupta</v>
      </c>
      <c r="R188" s="21">
        <f>SalesData[[#This Row],[Sales]]-SalesData[[#This Row],[Cost]]</f>
        <v>32100.179999999993</v>
      </c>
      <c r="S188" s="22">
        <f>IFERROR(SalesData[[#This Row],[Profit]]/SalesData[[#This Row],[Sales]],0)</f>
        <v>0.46756167082007666</v>
      </c>
      <c r="T188" s="19">
        <f>YEAR(SalesData[[#This Row],[Order_Date]])</f>
        <v>2025</v>
      </c>
      <c r="U188" s="19" t="str">
        <f>TEXT(SalesData[[#This Row],[Order_Date]],"mmm")</f>
        <v>Dec</v>
      </c>
      <c r="V188" s="19" t="str">
        <f>"Q"&amp;ROUNDUP(MONTH(SalesData[[#This Row],[Order_Date]])/3,0)</f>
        <v>Q4</v>
      </c>
      <c r="W188" s="19" t="str">
        <f>IF(SalesData[[#This Row],[Sales]]&gt;=50000,"High",IF(AND(SalesData[[#This Row],[Sales]]&gt;= 20000, SalesData[[#This Row],[Sales]]&lt; 50000),"Medium","Low"))</f>
        <v>High</v>
      </c>
      <c r="X188" s="19" t="str">
        <f>IF(SalesData[[#This Row],[Profit]]&gt;0,"Profit","Loss")</f>
        <v>Profit</v>
      </c>
      <c r="Y188" s="19" t="str">
        <f>IF(AND(SalesData[[#This Row],[Sales]]&gt;= 50000, SalesData[[#This Row],[Quantity]]&gt;=2),"Yes","No")</f>
        <v>Yes</v>
      </c>
      <c r="Z188" s="19" t="str">
        <f>UPPER(SalesData[[#This Row],[Customer_Name]])</f>
        <v>ROHAN GUPTA</v>
      </c>
      <c r="AA188" s="19" t="str">
        <f>LOWER(SalesData[[#This Row],[Customer_Name]])</f>
        <v>rohan gupta</v>
      </c>
      <c r="AB188" s="19">
        <f>LEN(SalesData[[#This Row],[Customer_Name]])</f>
        <v>11</v>
      </c>
      <c r="AC188" s="19" t="str">
        <f>LEFT(SalesData[[#This Row],[Order_ID]],3)</f>
        <v>ORD</v>
      </c>
      <c r="AD188" s="19" t="str">
        <f>RIGHT(SalesData[[#This Row],[Order_ID]],4)</f>
        <v>0373</v>
      </c>
      <c r="AE188" s="19" t="str">
        <f>_xlfn.CONCAT(SalesData[[#This Row],[Clean_Customer_Name]],"-",SalesData[[#This Row],[Region]])</f>
        <v>Rohan Gupta-West</v>
      </c>
      <c r="AF188" s="19" t="str">
        <f>MID(SalesData[[#This Row],[Order_ID]],4,4)</f>
        <v>0373</v>
      </c>
      <c r="AG188" s="19" t="e">
        <f ca="1">_xlfn.SINGLE(_xlfn.XLOOKUP(SalesData[[#This Row],[Product]],Product_Master!A:A,Product_Master!B:B,"Not Found"))</f>
        <v>#NAME?</v>
      </c>
      <c r="AH188" s="19" t="str">
        <f>VLOOKUP(SalesData[[#This Row],[Product]],Product_Master!$A$1:$B$21,2,FALSE)</f>
        <v>Rohan</v>
      </c>
      <c r="AI188" s="16"/>
    </row>
    <row r="189" spans="1:35" ht="13.8">
      <c r="A189" s="16" t="s">
        <v>596</v>
      </c>
      <c r="B189" s="17">
        <v>45589</v>
      </c>
      <c r="C189" s="16" t="s">
        <v>144</v>
      </c>
      <c r="D189" s="16" t="s">
        <v>145</v>
      </c>
      <c r="E189" s="16" t="s">
        <v>49</v>
      </c>
      <c r="F189" s="16" t="s">
        <v>50</v>
      </c>
      <c r="G189" s="16" t="s">
        <v>51</v>
      </c>
      <c r="H189" s="16" t="s">
        <v>52</v>
      </c>
      <c r="I189" s="16" t="s">
        <v>42</v>
      </c>
      <c r="J189" s="16" t="s">
        <v>43</v>
      </c>
      <c r="K189" s="18">
        <v>26185.63</v>
      </c>
      <c r="L189" s="18">
        <v>22769.01</v>
      </c>
      <c r="M189" s="19">
        <v>3</v>
      </c>
      <c r="N189" s="20">
        <v>0.05</v>
      </c>
      <c r="O189" s="19" t="s">
        <v>34</v>
      </c>
      <c r="P189" s="19" t="s">
        <v>77</v>
      </c>
      <c r="Q189" s="19" t="str">
        <f>TRIM(SalesData[[#This Row],[Customer_Name]])</f>
        <v>Rohan Gupta</v>
      </c>
      <c r="R189" s="21">
        <f>SalesData[[#This Row],[Sales]]-SalesData[[#This Row],[Cost]]</f>
        <v>3416.6200000000026</v>
      </c>
      <c r="S189" s="22">
        <f>IFERROR(SalesData[[#This Row],[Profit]]/SalesData[[#This Row],[Sales]],0)</f>
        <v>0.13047690660870112</v>
      </c>
      <c r="T189" s="19">
        <f>YEAR(SalesData[[#This Row],[Order_Date]])</f>
        <v>2024</v>
      </c>
      <c r="U189" s="19" t="str">
        <f>TEXT(SalesData[[#This Row],[Order_Date]],"mmm")</f>
        <v>Oct</v>
      </c>
      <c r="V189" s="19" t="str">
        <f>"Q"&amp;ROUNDUP(MONTH(SalesData[[#This Row],[Order_Date]])/3,0)</f>
        <v>Q4</v>
      </c>
      <c r="W189" s="19" t="str">
        <f>IF(SalesData[[#This Row],[Sales]]&gt;=50000,"High",IF(AND(SalesData[[#This Row],[Sales]]&gt;= 20000, SalesData[[#This Row],[Sales]]&lt; 50000),"Medium","Low"))</f>
        <v>Medium</v>
      </c>
      <c r="X189" s="19" t="str">
        <f>IF(SalesData[[#This Row],[Profit]]&gt;0,"Profit","Loss")</f>
        <v>Profit</v>
      </c>
      <c r="Y189" s="19" t="str">
        <f>IF(AND(SalesData[[#This Row],[Sales]]&gt;= 50000, SalesData[[#This Row],[Quantity]]&gt;=2),"Yes","No")</f>
        <v>No</v>
      </c>
      <c r="Z189" s="19" t="str">
        <f>UPPER(SalesData[[#This Row],[Customer_Name]])</f>
        <v>ROHAN GUPTA</v>
      </c>
      <c r="AA189" s="19" t="str">
        <f>LOWER(SalesData[[#This Row],[Customer_Name]])</f>
        <v>rohan gupta</v>
      </c>
      <c r="AB189" s="19">
        <f>LEN(SalesData[[#This Row],[Customer_Name]])</f>
        <v>11</v>
      </c>
      <c r="AC189" s="19" t="str">
        <f>LEFT(SalesData[[#This Row],[Order_ID]],3)</f>
        <v>ORD</v>
      </c>
      <c r="AD189" s="19" t="str">
        <f>RIGHT(SalesData[[#This Row],[Order_ID]],4)</f>
        <v>0443</v>
      </c>
      <c r="AE189" s="19" t="str">
        <f>_xlfn.CONCAT(SalesData[[#This Row],[Clean_Customer_Name]],"-",SalesData[[#This Row],[Region]])</f>
        <v>Rohan Gupta-East</v>
      </c>
      <c r="AF189" s="19" t="str">
        <f>MID(SalesData[[#This Row],[Order_ID]],4,4)</f>
        <v>0443</v>
      </c>
      <c r="AG189" s="19" t="e">
        <f ca="1">_xlfn.SINGLE(_xlfn.XLOOKUP(SalesData[[#This Row],[Product]],Product_Master!A:A,Product_Master!B:B,"Not Found"))</f>
        <v>#NAME?</v>
      </c>
      <c r="AH189" s="19" t="str">
        <f>VLOOKUP(SalesData[[#This Row],[Product]],Product_Master!$A$1:$B$21,2,FALSE)</f>
        <v>Rohan</v>
      </c>
      <c r="AI189" s="16"/>
    </row>
    <row r="190" spans="1:35" ht="13.8">
      <c r="A190" s="16" t="s">
        <v>252</v>
      </c>
      <c r="B190" s="17">
        <v>45684</v>
      </c>
      <c r="C190" s="16" t="s">
        <v>144</v>
      </c>
      <c r="D190" s="16" t="s">
        <v>145</v>
      </c>
      <c r="E190" s="16" t="s">
        <v>72</v>
      </c>
      <c r="F190" s="16" t="s">
        <v>73</v>
      </c>
      <c r="G190" s="16" t="s">
        <v>51</v>
      </c>
      <c r="H190" s="16" t="s">
        <v>74</v>
      </c>
      <c r="I190" s="16" t="s">
        <v>42</v>
      </c>
      <c r="J190" s="16" t="s">
        <v>43</v>
      </c>
      <c r="K190" s="18">
        <v>12145.46</v>
      </c>
      <c r="L190" s="18">
        <v>8569.6200000000008</v>
      </c>
      <c r="M190" s="19">
        <v>2</v>
      </c>
      <c r="N190" s="20">
        <v>0.1</v>
      </c>
      <c r="O190" s="19" t="s">
        <v>136</v>
      </c>
      <c r="P190" s="19" t="s">
        <v>26</v>
      </c>
      <c r="Q190" s="19" t="str">
        <f>TRIM(SalesData[[#This Row],[Customer_Name]])</f>
        <v>Rohan Gupta</v>
      </c>
      <c r="R190" s="21">
        <f>SalesData[[#This Row],[Sales]]-SalesData[[#This Row],[Cost]]</f>
        <v>3575.8399999999983</v>
      </c>
      <c r="S190" s="22">
        <f>IFERROR(SalesData[[#This Row],[Profit]]/SalesData[[#This Row],[Sales]],0)</f>
        <v>0.29441783184827897</v>
      </c>
      <c r="T190" s="19">
        <f>YEAR(SalesData[[#This Row],[Order_Date]])</f>
        <v>2025</v>
      </c>
      <c r="U190" s="19" t="str">
        <f>TEXT(SalesData[[#This Row],[Order_Date]],"mmm")</f>
        <v>Jan</v>
      </c>
      <c r="V190" s="19" t="str">
        <f>"Q"&amp;ROUNDUP(MONTH(SalesData[[#This Row],[Order_Date]])/3,0)</f>
        <v>Q1</v>
      </c>
      <c r="W190" s="19" t="str">
        <f>IF(SalesData[[#This Row],[Sales]]&gt;=50000,"High",IF(AND(SalesData[[#This Row],[Sales]]&gt;= 20000, SalesData[[#This Row],[Sales]]&lt; 50000),"Medium","Low"))</f>
        <v>Low</v>
      </c>
      <c r="X190" s="19" t="str">
        <f>IF(SalesData[[#This Row],[Profit]]&gt;0,"Profit","Loss")</f>
        <v>Profit</v>
      </c>
      <c r="Y190" s="19" t="str">
        <f>IF(AND(SalesData[[#This Row],[Sales]]&gt;= 50000, SalesData[[#This Row],[Quantity]]&gt;=2),"Yes","No")</f>
        <v>No</v>
      </c>
      <c r="Z190" s="19" t="str">
        <f>UPPER(SalesData[[#This Row],[Customer_Name]])</f>
        <v>ROHAN GUPTA</v>
      </c>
      <c r="AA190" s="19" t="str">
        <f>LOWER(SalesData[[#This Row],[Customer_Name]])</f>
        <v>rohan gupta</v>
      </c>
      <c r="AB190" s="19">
        <f>LEN(SalesData[[#This Row],[Customer_Name]])</f>
        <v>11</v>
      </c>
      <c r="AC190" s="19" t="str">
        <f>LEFT(SalesData[[#This Row],[Order_ID]],3)</f>
        <v>ORD</v>
      </c>
      <c r="AD190" s="19" t="str">
        <f>RIGHT(SalesData[[#This Row],[Order_ID]],4)</f>
        <v>0101</v>
      </c>
      <c r="AE190" s="19" t="str">
        <f>_xlfn.CONCAT(SalesData[[#This Row],[Clean_Customer_Name]],"-",SalesData[[#This Row],[Region]])</f>
        <v>Rohan Gupta-East</v>
      </c>
      <c r="AF190" s="19" t="str">
        <f>MID(SalesData[[#This Row],[Order_ID]],4,4)</f>
        <v>0101</v>
      </c>
      <c r="AG190" s="19" t="e">
        <f ca="1">_xlfn.SINGLE(_xlfn.XLOOKUP(SalesData[[#This Row],[Product]],Product_Master!A:A,Product_Master!B:B,"Not Found"))</f>
        <v>#NAME?</v>
      </c>
      <c r="AH190" s="19" t="str">
        <f>VLOOKUP(SalesData[[#This Row],[Product]],Product_Master!$A$1:$B$21,2,FALSE)</f>
        <v>Anjali</v>
      </c>
      <c r="AI190" s="16"/>
    </row>
    <row r="191" spans="1:35" ht="13.8">
      <c r="A191" s="16" t="s">
        <v>143</v>
      </c>
      <c r="B191" s="17">
        <v>45351</v>
      </c>
      <c r="C191" s="16" t="s">
        <v>144</v>
      </c>
      <c r="D191" s="16" t="s">
        <v>145</v>
      </c>
      <c r="E191" s="16" t="s">
        <v>123</v>
      </c>
      <c r="F191" s="16" t="s">
        <v>124</v>
      </c>
      <c r="G191" s="16" t="s">
        <v>51</v>
      </c>
      <c r="H191" s="16" t="s">
        <v>125</v>
      </c>
      <c r="I191" s="16" t="s">
        <v>84</v>
      </c>
      <c r="J191" s="16" t="s">
        <v>85</v>
      </c>
      <c r="K191" s="18">
        <v>95613.66</v>
      </c>
      <c r="L191" s="18">
        <v>94243.25</v>
      </c>
      <c r="M191" s="19">
        <v>5</v>
      </c>
      <c r="N191" s="20">
        <v>0.1</v>
      </c>
      <c r="O191" s="19" t="s">
        <v>25</v>
      </c>
      <c r="P191" s="19" t="s">
        <v>58</v>
      </c>
      <c r="Q191" s="19" t="str">
        <f>TRIM(SalesData[[#This Row],[Customer_Name]])</f>
        <v>Rohan Gupta</v>
      </c>
      <c r="R191" s="21">
        <f>SalesData[[#This Row],[Sales]]-SalesData[[#This Row],[Cost]]</f>
        <v>1370.4100000000035</v>
      </c>
      <c r="S191" s="22">
        <f>IFERROR(SalesData[[#This Row],[Profit]]/SalesData[[#This Row],[Sales]],0)</f>
        <v>1.4332784666960804E-2</v>
      </c>
      <c r="T191" s="19">
        <f>YEAR(SalesData[[#This Row],[Order_Date]])</f>
        <v>2024</v>
      </c>
      <c r="U191" s="19" t="str">
        <f>TEXT(SalesData[[#This Row],[Order_Date]],"mmm")</f>
        <v>Feb</v>
      </c>
      <c r="V191" s="19" t="str">
        <f>"Q"&amp;ROUNDUP(MONTH(SalesData[[#This Row],[Order_Date]])/3,0)</f>
        <v>Q1</v>
      </c>
      <c r="W191" s="19" t="str">
        <f>IF(SalesData[[#This Row],[Sales]]&gt;=50000,"High",IF(AND(SalesData[[#This Row],[Sales]]&gt;= 20000, SalesData[[#This Row],[Sales]]&lt; 50000),"Medium","Low"))</f>
        <v>High</v>
      </c>
      <c r="X191" s="19" t="str">
        <f>IF(SalesData[[#This Row],[Profit]]&gt;0,"Profit","Loss")</f>
        <v>Profit</v>
      </c>
      <c r="Y191" s="19" t="str">
        <f>IF(AND(SalesData[[#This Row],[Sales]]&gt;= 50000, SalesData[[#This Row],[Quantity]]&gt;=2),"Yes","No")</f>
        <v>Yes</v>
      </c>
      <c r="Z191" s="19" t="str">
        <f>UPPER(SalesData[[#This Row],[Customer_Name]])</f>
        <v>ROHAN GUPTA</v>
      </c>
      <c r="AA191" s="19" t="str">
        <f>LOWER(SalesData[[#This Row],[Customer_Name]])</f>
        <v>rohan gupta</v>
      </c>
      <c r="AB191" s="19">
        <f>LEN(SalesData[[#This Row],[Customer_Name]])</f>
        <v>11</v>
      </c>
      <c r="AC191" s="19" t="str">
        <f>LEFT(SalesData[[#This Row],[Order_ID]],3)</f>
        <v>ORD</v>
      </c>
      <c r="AD191" s="19" t="str">
        <f>RIGHT(SalesData[[#This Row],[Order_ID]],4)</f>
        <v>0028</v>
      </c>
      <c r="AE191" s="19" t="str">
        <f>_xlfn.CONCAT(SalesData[[#This Row],[Clean_Customer_Name]],"-",SalesData[[#This Row],[Region]])</f>
        <v>Rohan Gupta-South</v>
      </c>
      <c r="AF191" s="19" t="str">
        <f>MID(SalesData[[#This Row],[Order_ID]],4,4)</f>
        <v>0028</v>
      </c>
      <c r="AG191" s="19" t="e">
        <f ca="1">_xlfn.SINGLE(_xlfn.XLOOKUP(SalesData[[#This Row],[Product]],Product_Master!A:A,Product_Master!B:B,"Not Found"))</f>
        <v>#NAME?</v>
      </c>
      <c r="AH191" s="19" t="str">
        <f>VLOOKUP(SalesData[[#This Row],[Product]],Product_Master!$A$1:$B$21,2,FALSE)</f>
        <v>Sneha</v>
      </c>
      <c r="AI191" s="16"/>
    </row>
    <row r="192" spans="1:35" ht="13.8">
      <c r="A192" s="16" t="s">
        <v>1078</v>
      </c>
      <c r="B192" s="17">
        <v>45678</v>
      </c>
      <c r="C192" s="16" t="s">
        <v>144</v>
      </c>
      <c r="D192" s="16" t="s">
        <v>145</v>
      </c>
      <c r="E192" s="16" t="s">
        <v>123</v>
      </c>
      <c r="F192" s="16" t="s">
        <v>124</v>
      </c>
      <c r="G192" s="16" t="s">
        <v>51</v>
      </c>
      <c r="H192" s="16" t="s">
        <v>125</v>
      </c>
      <c r="I192" s="16" t="s">
        <v>56</v>
      </c>
      <c r="J192" s="16" t="s">
        <v>91</v>
      </c>
      <c r="K192" s="18">
        <v>158350.41</v>
      </c>
      <c r="L192" s="18">
        <v>83829.75</v>
      </c>
      <c r="M192" s="19">
        <v>5</v>
      </c>
      <c r="N192" s="20">
        <v>0.1</v>
      </c>
      <c r="O192" s="19" t="s">
        <v>34</v>
      </c>
      <c r="P192" s="19" t="s">
        <v>58</v>
      </c>
      <c r="Q192" s="19" t="str">
        <f>TRIM(SalesData[[#This Row],[Customer_Name]])</f>
        <v>Rohan Gupta</v>
      </c>
      <c r="R192" s="21">
        <f>SalesData[[#This Row],[Sales]]-SalesData[[#This Row],[Cost]]</f>
        <v>74520.66</v>
      </c>
      <c r="S192" s="22">
        <f>IFERROR(SalesData[[#This Row],[Profit]]/SalesData[[#This Row],[Sales]],0)</f>
        <v>0.47060604389972849</v>
      </c>
      <c r="T192" s="19">
        <f>YEAR(SalesData[[#This Row],[Order_Date]])</f>
        <v>2025</v>
      </c>
      <c r="U192" s="19" t="str">
        <f>TEXT(SalesData[[#This Row],[Order_Date]],"mmm")</f>
        <v>Jan</v>
      </c>
      <c r="V192" s="19" t="str">
        <f>"Q"&amp;ROUNDUP(MONTH(SalesData[[#This Row],[Order_Date]])/3,0)</f>
        <v>Q1</v>
      </c>
      <c r="W192" s="19" t="str">
        <f>IF(SalesData[[#This Row],[Sales]]&gt;=50000,"High",IF(AND(SalesData[[#This Row],[Sales]]&gt;= 20000, SalesData[[#This Row],[Sales]]&lt; 50000),"Medium","Low"))</f>
        <v>High</v>
      </c>
      <c r="X192" s="19" t="str">
        <f>IF(SalesData[[#This Row],[Profit]]&gt;0,"Profit","Loss")</f>
        <v>Profit</v>
      </c>
      <c r="Y192" s="19" t="str">
        <f>IF(AND(SalesData[[#This Row],[Sales]]&gt;= 50000, SalesData[[#This Row],[Quantity]]&gt;=2),"Yes","No")</f>
        <v>Yes</v>
      </c>
      <c r="Z192" s="19" t="str">
        <f>UPPER(SalesData[[#This Row],[Customer_Name]])</f>
        <v>ROHAN GUPTA</v>
      </c>
      <c r="AA192" s="19" t="str">
        <f>LOWER(SalesData[[#This Row],[Customer_Name]])</f>
        <v>rohan gupta</v>
      </c>
      <c r="AB192" s="19">
        <f>LEN(SalesData[[#This Row],[Customer_Name]])</f>
        <v>11</v>
      </c>
      <c r="AC192" s="19" t="str">
        <f>LEFT(SalesData[[#This Row],[Order_ID]],3)</f>
        <v>ORD</v>
      </c>
      <c r="AD192" s="19" t="str">
        <f>RIGHT(SalesData[[#This Row],[Order_ID]],4)</f>
        <v>0925</v>
      </c>
      <c r="AE192" s="19" t="str">
        <f>_xlfn.CONCAT(SalesData[[#This Row],[Clean_Customer_Name]],"-",SalesData[[#This Row],[Region]])</f>
        <v>Rohan Gupta-West</v>
      </c>
      <c r="AF192" s="19" t="str">
        <f>MID(SalesData[[#This Row],[Order_ID]],4,4)</f>
        <v>0925</v>
      </c>
      <c r="AG192" s="19" t="e">
        <f ca="1">_xlfn.SINGLE(_xlfn.XLOOKUP(SalesData[[#This Row],[Product]],Product_Master!A:A,Product_Master!B:B,"Not Found"))</f>
        <v>#NAME?</v>
      </c>
      <c r="AH192" s="19" t="str">
        <f>VLOOKUP(SalesData[[#This Row],[Product]],Product_Master!$A$1:$B$21,2,FALSE)</f>
        <v>Sneha</v>
      </c>
      <c r="AI192" s="16"/>
    </row>
    <row r="193" spans="1:35" ht="13.8">
      <c r="A193" s="16" t="s">
        <v>694</v>
      </c>
      <c r="B193" s="17">
        <v>45611</v>
      </c>
      <c r="C193" s="16" t="s">
        <v>144</v>
      </c>
      <c r="D193" s="16" t="s">
        <v>145</v>
      </c>
      <c r="E193" s="16" t="s">
        <v>110</v>
      </c>
      <c r="F193" s="16" t="s">
        <v>111</v>
      </c>
      <c r="G193" s="16" t="s">
        <v>40</v>
      </c>
      <c r="H193" s="16" t="s">
        <v>112</v>
      </c>
      <c r="I193" s="16" t="s">
        <v>56</v>
      </c>
      <c r="J193" s="16" t="s">
        <v>91</v>
      </c>
      <c r="K193" s="18">
        <v>12156.92</v>
      </c>
      <c r="L193" s="18">
        <v>5278.04</v>
      </c>
      <c r="M193" s="19">
        <v>4</v>
      </c>
      <c r="N193" s="20">
        <v>0</v>
      </c>
      <c r="O193" s="19" t="s">
        <v>44</v>
      </c>
      <c r="P193" s="19" t="s">
        <v>58</v>
      </c>
      <c r="Q193" s="19" t="str">
        <f>TRIM(SalesData[[#This Row],[Customer_Name]])</f>
        <v>Rohan Gupta</v>
      </c>
      <c r="R193" s="21">
        <f>SalesData[[#This Row],[Sales]]-SalesData[[#This Row],[Cost]]</f>
        <v>6878.88</v>
      </c>
      <c r="S193" s="22">
        <f>IFERROR(SalesData[[#This Row],[Profit]]/SalesData[[#This Row],[Sales]],0)</f>
        <v>0.56584068991158942</v>
      </c>
      <c r="T193" s="19">
        <f>YEAR(SalesData[[#This Row],[Order_Date]])</f>
        <v>2024</v>
      </c>
      <c r="U193" s="19" t="str">
        <f>TEXT(SalesData[[#This Row],[Order_Date]],"mmm")</f>
        <v>Nov</v>
      </c>
      <c r="V193" s="19" t="str">
        <f>"Q"&amp;ROUNDUP(MONTH(SalesData[[#This Row],[Order_Date]])/3,0)</f>
        <v>Q4</v>
      </c>
      <c r="W193" s="19" t="str">
        <f>IF(SalesData[[#This Row],[Sales]]&gt;=50000,"High",IF(AND(SalesData[[#This Row],[Sales]]&gt;= 20000, SalesData[[#This Row],[Sales]]&lt; 50000),"Medium","Low"))</f>
        <v>Low</v>
      </c>
      <c r="X193" s="19" t="str">
        <f>IF(SalesData[[#This Row],[Profit]]&gt;0,"Profit","Loss")</f>
        <v>Profit</v>
      </c>
      <c r="Y193" s="19" t="str">
        <f>IF(AND(SalesData[[#This Row],[Sales]]&gt;= 50000, SalesData[[#This Row],[Quantity]]&gt;=2),"Yes","No")</f>
        <v>No</v>
      </c>
      <c r="Z193" s="19" t="str">
        <f>UPPER(SalesData[[#This Row],[Customer_Name]])</f>
        <v>ROHAN GUPTA</v>
      </c>
      <c r="AA193" s="19" t="str">
        <f>LOWER(SalesData[[#This Row],[Customer_Name]])</f>
        <v>rohan gupta</v>
      </c>
      <c r="AB193" s="19">
        <f>LEN(SalesData[[#This Row],[Customer_Name]])</f>
        <v>11</v>
      </c>
      <c r="AC193" s="19" t="str">
        <f>LEFT(SalesData[[#This Row],[Order_ID]],3)</f>
        <v>ORD</v>
      </c>
      <c r="AD193" s="19" t="str">
        <f>RIGHT(SalesData[[#This Row],[Order_ID]],4)</f>
        <v>0541</v>
      </c>
      <c r="AE193" s="19" t="str">
        <f>_xlfn.CONCAT(SalesData[[#This Row],[Clean_Customer_Name]],"-",SalesData[[#This Row],[Region]])</f>
        <v>Rohan Gupta-West</v>
      </c>
      <c r="AF193" s="19" t="str">
        <f>MID(SalesData[[#This Row],[Order_ID]],4,4)</f>
        <v>0541</v>
      </c>
      <c r="AG193" s="19" t="e">
        <f ca="1">_xlfn.SINGLE(_xlfn.XLOOKUP(SalesData[[#This Row],[Product]],Product_Master!A:A,Product_Master!B:B,"Not Found"))</f>
        <v>#NAME?</v>
      </c>
      <c r="AH193" s="19" t="str">
        <f>VLOOKUP(SalesData[[#This Row],[Product]],Product_Master!$A$1:$B$21,2,FALSE)</f>
        <v>Vikas</v>
      </c>
      <c r="AI193" s="16"/>
    </row>
    <row r="194" spans="1:35" ht="13.8">
      <c r="A194" s="16" t="s">
        <v>222</v>
      </c>
      <c r="B194" s="17">
        <v>45556</v>
      </c>
      <c r="C194" s="16" t="s">
        <v>144</v>
      </c>
      <c r="D194" s="16" t="s">
        <v>145</v>
      </c>
      <c r="E194" s="16" t="s">
        <v>172</v>
      </c>
      <c r="F194" s="16" t="s">
        <v>173</v>
      </c>
      <c r="G194" s="16" t="s">
        <v>40</v>
      </c>
      <c r="H194" s="16" t="s">
        <v>41</v>
      </c>
      <c r="I194" s="16" t="s">
        <v>53</v>
      </c>
      <c r="J194" s="16" t="s">
        <v>54</v>
      </c>
      <c r="K194" s="18">
        <v>7537.59</v>
      </c>
      <c r="L194" s="18">
        <v>2581.02</v>
      </c>
      <c r="M194" s="19">
        <v>3</v>
      </c>
      <c r="N194" s="20">
        <v>0.1</v>
      </c>
      <c r="O194" s="19" t="s">
        <v>34</v>
      </c>
      <c r="P194" s="19" t="s">
        <v>58</v>
      </c>
      <c r="Q194" s="19" t="str">
        <f>TRIM(SalesData[[#This Row],[Customer_Name]])</f>
        <v>Rohan Gupta</v>
      </c>
      <c r="R194" s="21">
        <f>SalesData[[#This Row],[Sales]]-SalesData[[#This Row],[Cost]]</f>
        <v>4956.57</v>
      </c>
      <c r="S194" s="22">
        <f>IFERROR(SalesData[[#This Row],[Profit]]/SalesData[[#This Row],[Sales]],0)</f>
        <v>0.65758020799751637</v>
      </c>
      <c r="T194" s="19">
        <f>YEAR(SalesData[[#This Row],[Order_Date]])</f>
        <v>2024</v>
      </c>
      <c r="U194" s="19" t="str">
        <f>TEXT(SalesData[[#This Row],[Order_Date]],"mmm")</f>
        <v>Sept</v>
      </c>
      <c r="V194" s="19" t="str">
        <f>"Q"&amp;ROUNDUP(MONTH(SalesData[[#This Row],[Order_Date]])/3,0)</f>
        <v>Q3</v>
      </c>
      <c r="W194" s="19" t="str">
        <f>IF(SalesData[[#This Row],[Sales]]&gt;=50000,"High",IF(AND(SalesData[[#This Row],[Sales]]&gt;= 20000, SalesData[[#This Row],[Sales]]&lt; 50000),"Medium","Low"))</f>
        <v>Low</v>
      </c>
      <c r="X194" s="19" t="str">
        <f>IF(SalesData[[#This Row],[Profit]]&gt;0,"Profit","Loss")</f>
        <v>Profit</v>
      </c>
      <c r="Y194" s="19" t="str">
        <f>IF(AND(SalesData[[#This Row],[Sales]]&gt;= 50000, SalesData[[#This Row],[Quantity]]&gt;=2),"Yes","No")</f>
        <v>No</v>
      </c>
      <c r="Z194" s="19" t="str">
        <f>UPPER(SalesData[[#This Row],[Customer_Name]])</f>
        <v>ROHAN GUPTA</v>
      </c>
      <c r="AA194" s="19" t="str">
        <f>LOWER(SalesData[[#This Row],[Customer_Name]])</f>
        <v>rohan gupta</v>
      </c>
      <c r="AB194" s="19">
        <f>LEN(SalesData[[#This Row],[Customer_Name]])</f>
        <v>11</v>
      </c>
      <c r="AC194" s="19" t="str">
        <f>LEFT(SalesData[[#This Row],[Order_ID]],3)</f>
        <v>ORD</v>
      </c>
      <c r="AD194" s="19" t="str">
        <f>RIGHT(SalesData[[#This Row],[Order_ID]],4)</f>
        <v>0073</v>
      </c>
      <c r="AE194" s="19" t="str">
        <f>_xlfn.CONCAT(SalesData[[#This Row],[Clean_Customer_Name]],"-",SalesData[[#This Row],[Region]])</f>
        <v>Rohan Gupta-Central</v>
      </c>
      <c r="AF194" s="19" t="str">
        <f>MID(SalesData[[#This Row],[Order_ID]],4,4)</f>
        <v>0073</v>
      </c>
      <c r="AG194" s="19" t="e">
        <f ca="1">_xlfn.SINGLE(_xlfn.XLOOKUP(SalesData[[#This Row],[Product]],Product_Master!A:A,Product_Master!B:B,"Not Found"))</f>
        <v>#NAME?</v>
      </c>
      <c r="AH194" s="19" t="str">
        <f>VLOOKUP(SalesData[[#This Row],[Product]],Product_Master!$A$1:$B$21,2,FALSE)</f>
        <v>Pooja</v>
      </c>
      <c r="AI194" s="16"/>
    </row>
    <row r="195" spans="1:35" ht="13.8">
      <c r="A195" s="16" t="s">
        <v>262</v>
      </c>
      <c r="B195" s="17">
        <v>45786</v>
      </c>
      <c r="C195" s="16" t="s">
        <v>144</v>
      </c>
      <c r="D195" s="16" t="s">
        <v>145</v>
      </c>
      <c r="E195" s="16" t="s">
        <v>106</v>
      </c>
      <c r="F195" s="16" t="s">
        <v>107</v>
      </c>
      <c r="G195" s="16" t="s">
        <v>40</v>
      </c>
      <c r="H195" s="16" t="s">
        <v>108</v>
      </c>
      <c r="I195" s="16" t="s">
        <v>53</v>
      </c>
      <c r="J195" s="16" t="s">
        <v>102</v>
      </c>
      <c r="K195" s="18">
        <v>1646.58</v>
      </c>
      <c r="L195" s="18">
        <v>663.21</v>
      </c>
      <c r="M195" s="19">
        <v>1</v>
      </c>
      <c r="N195" s="20">
        <v>0.2</v>
      </c>
      <c r="O195" s="19" t="s">
        <v>44</v>
      </c>
      <c r="P195" s="19" t="s">
        <v>45</v>
      </c>
      <c r="Q195" s="19" t="str">
        <f>TRIM(SalesData[[#This Row],[Customer_Name]])</f>
        <v>Rohan Gupta</v>
      </c>
      <c r="R195" s="21">
        <f>SalesData[[#This Row],[Sales]]-SalesData[[#This Row],[Cost]]</f>
        <v>983.36999999999989</v>
      </c>
      <c r="S195" s="22">
        <f>IFERROR(SalesData[[#This Row],[Profit]]/SalesData[[#This Row],[Sales]],0)</f>
        <v>0.5972196917246656</v>
      </c>
      <c r="T195" s="19">
        <f>YEAR(SalesData[[#This Row],[Order_Date]])</f>
        <v>2025</v>
      </c>
      <c r="U195" s="19" t="str">
        <f>TEXT(SalesData[[#This Row],[Order_Date]],"mmm")</f>
        <v>May</v>
      </c>
      <c r="V195" s="19" t="str">
        <f>"Q"&amp;ROUNDUP(MONTH(SalesData[[#This Row],[Order_Date]])/3,0)</f>
        <v>Q2</v>
      </c>
      <c r="W195" s="19" t="str">
        <f>IF(SalesData[[#This Row],[Sales]]&gt;=50000,"High",IF(AND(SalesData[[#This Row],[Sales]]&gt;= 20000, SalesData[[#This Row],[Sales]]&lt; 50000),"Medium","Low"))</f>
        <v>Low</v>
      </c>
      <c r="X195" s="19" t="str">
        <f>IF(SalesData[[#This Row],[Profit]]&gt;0,"Profit","Loss")</f>
        <v>Profit</v>
      </c>
      <c r="Y195" s="19" t="str">
        <f>IF(AND(SalesData[[#This Row],[Sales]]&gt;= 50000, SalesData[[#This Row],[Quantity]]&gt;=2),"Yes","No")</f>
        <v>No</v>
      </c>
      <c r="Z195" s="19" t="str">
        <f>UPPER(SalesData[[#This Row],[Customer_Name]])</f>
        <v>ROHAN GUPTA</v>
      </c>
      <c r="AA195" s="19" t="str">
        <f>LOWER(SalesData[[#This Row],[Customer_Name]])</f>
        <v>rohan gupta</v>
      </c>
      <c r="AB195" s="19">
        <f>LEN(SalesData[[#This Row],[Customer_Name]])</f>
        <v>11</v>
      </c>
      <c r="AC195" s="19" t="str">
        <f>LEFT(SalesData[[#This Row],[Order_ID]],3)</f>
        <v>ORD</v>
      </c>
      <c r="AD195" s="19" t="str">
        <f>RIGHT(SalesData[[#This Row],[Order_ID]],4)</f>
        <v>0111</v>
      </c>
      <c r="AE195" s="19" t="str">
        <f>_xlfn.CONCAT(SalesData[[#This Row],[Clean_Customer_Name]],"-",SalesData[[#This Row],[Region]])</f>
        <v>Rohan Gupta-Central</v>
      </c>
      <c r="AF195" s="19" t="str">
        <f>MID(SalesData[[#This Row],[Order_ID]],4,4)</f>
        <v>0111</v>
      </c>
      <c r="AG195" s="19" t="e">
        <f ca="1">_xlfn.SINGLE(_xlfn.XLOOKUP(SalesData[[#This Row],[Product]],Product_Master!A:A,Product_Master!B:B,"Not Found"))</f>
        <v>#NAME?</v>
      </c>
      <c r="AH195" s="19" t="str">
        <f>VLOOKUP(SalesData[[#This Row],[Product]],Product_Master!$A$1:$B$21,2,FALSE)</f>
        <v>Aditya</v>
      </c>
      <c r="AI195" s="16"/>
    </row>
    <row r="196" spans="1:35" ht="13.8">
      <c r="A196" s="16" t="s">
        <v>464</v>
      </c>
      <c r="B196" s="17">
        <v>45508</v>
      </c>
      <c r="C196" s="16" t="s">
        <v>144</v>
      </c>
      <c r="D196" s="16" t="s">
        <v>145</v>
      </c>
      <c r="E196" s="16" t="s">
        <v>132</v>
      </c>
      <c r="F196" s="16" t="s">
        <v>133</v>
      </c>
      <c r="G196" s="16" t="s">
        <v>40</v>
      </c>
      <c r="H196" s="16" t="s">
        <v>41</v>
      </c>
      <c r="I196" s="16" t="s">
        <v>53</v>
      </c>
      <c r="J196" s="16" t="s">
        <v>102</v>
      </c>
      <c r="K196" s="18">
        <v>3794.72</v>
      </c>
      <c r="L196" s="18">
        <v>953.72</v>
      </c>
      <c r="M196" s="19">
        <v>4</v>
      </c>
      <c r="N196" s="20">
        <v>0.1</v>
      </c>
      <c r="O196" s="19" t="s">
        <v>34</v>
      </c>
      <c r="P196" s="19" t="s">
        <v>58</v>
      </c>
      <c r="Q196" s="19" t="str">
        <f>TRIM(SalesData[[#This Row],[Customer_Name]])</f>
        <v>Rohan Gupta</v>
      </c>
      <c r="R196" s="21">
        <f>SalesData[[#This Row],[Sales]]-SalesData[[#This Row],[Cost]]</f>
        <v>2841</v>
      </c>
      <c r="S196" s="22">
        <f>IFERROR(SalesData[[#This Row],[Profit]]/SalesData[[#This Row],[Sales]],0)</f>
        <v>0.74867183876544252</v>
      </c>
      <c r="T196" s="19">
        <f>YEAR(SalesData[[#This Row],[Order_Date]])</f>
        <v>2024</v>
      </c>
      <c r="U196" s="19" t="str">
        <f>TEXT(SalesData[[#This Row],[Order_Date]],"mmm")</f>
        <v>Aug</v>
      </c>
      <c r="V196" s="19" t="str">
        <f>"Q"&amp;ROUNDUP(MONTH(SalesData[[#This Row],[Order_Date]])/3,0)</f>
        <v>Q3</v>
      </c>
      <c r="W196" s="19" t="str">
        <f>IF(SalesData[[#This Row],[Sales]]&gt;=50000,"High",IF(AND(SalesData[[#This Row],[Sales]]&gt;= 20000, SalesData[[#This Row],[Sales]]&lt; 50000),"Medium","Low"))</f>
        <v>Low</v>
      </c>
      <c r="X196" s="19" t="str">
        <f>IF(SalesData[[#This Row],[Profit]]&gt;0,"Profit","Loss")</f>
        <v>Profit</v>
      </c>
      <c r="Y196" s="19" t="str">
        <f>IF(AND(SalesData[[#This Row],[Sales]]&gt;= 50000, SalesData[[#This Row],[Quantity]]&gt;=2),"Yes","No")</f>
        <v>No</v>
      </c>
      <c r="Z196" s="19" t="str">
        <f>UPPER(SalesData[[#This Row],[Customer_Name]])</f>
        <v>ROHAN GUPTA</v>
      </c>
      <c r="AA196" s="19" t="str">
        <f>LOWER(SalesData[[#This Row],[Customer_Name]])</f>
        <v>rohan gupta</v>
      </c>
      <c r="AB196" s="19">
        <f>LEN(SalesData[[#This Row],[Customer_Name]])</f>
        <v>11</v>
      </c>
      <c r="AC196" s="19" t="str">
        <f>LEFT(SalesData[[#This Row],[Order_ID]],3)</f>
        <v>ORD</v>
      </c>
      <c r="AD196" s="19" t="str">
        <f>RIGHT(SalesData[[#This Row],[Order_ID]],4)</f>
        <v>0311</v>
      </c>
      <c r="AE196" s="19" t="str">
        <f>_xlfn.CONCAT(SalesData[[#This Row],[Clean_Customer_Name]],"-",SalesData[[#This Row],[Region]])</f>
        <v>Rohan Gupta-Central</v>
      </c>
      <c r="AF196" s="19" t="str">
        <f>MID(SalesData[[#This Row],[Order_ID]],4,4)</f>
        <v>0311</v>
      </c>
      <c r="AG196" s="19" t="e">
        <f ca="1">_xlfn.SINGLE(_xlfn.XLOOKUP(SalesData[[#This Row],[Product]],Product_Master!A:A,Product_Master!B:B,"Not Found"))</f>
        <v>#NAME?</v>
      </c>
      <c r="AH196" s="19" t="str">
        <f>VLOOKUP(SalesData[[#This Row],[Product]],Product_Master!$A$1:$B$21,2,FALSE)</f>
        <v>Kavya</v>
      </c>
      <c r="AI196" s="16"/>
    </row>
    <row r="197" spans="1:35" ht="13.8">
      <c r="A197" s="16" t="s">
        <v>620</v>
      </c>
      <c r="B197" s="17">
        <v>45816</v>
      </c>
      <c r="C197" s="16" t="s">
        <v>144</v>
      </c>
      <c r="D197" s="16" t="s">
        <v>145</v>
      </c>
      <c r="E197" s="16" t="s">
        <v>132</v>
      </c>
      <c r="F197" s="16" t="s">
        <v>133</v>
      </c>
      <c r="G197" s="16" t="s">
        <v>40</v>
      </c>
      <c r="H197" s="16" t="s">
        <v>41</v>
      </c>
      <c r="I197" s="16" t="s">
        <v>42</v>
      </c>
      <c r="J197" s="16" t="s">
        <v>68</v>
      </c>
      <c r="K197" s="18">
        <v>967.81</v>
      </c>
      <c r="L197" s="18">
        <v>466.1</v>
      </c>
      <c r="M197" s="19">
        <v>2</v>
      </c>
      <c r="N197" s="20">
        <v>0.1</v>
      </c>
      <c r="O197" s="19" t="s">
        <v>76</v>
      </c>
      <c r="P197" s="19" t="s">
        <v>58</v>
      </c>
      <c r="Q197" s="19" t="str">
        <f>TRIM(SalesData[[#This Row],[Customer_Name]])</f>
        <v>Rohan Gupta</v>
      </c>
      <c r="R197" s="21">
        <f>SalesData[[#This Row],[Sales]]-SalesData[[#This Row],[Cost]]</f>
        <v>501.70999999999992</v>
      </c>
      <c r="S197" s="22">
        <f>IFERROR(SalesData[[#This Row],[Profit]]/SalesData[[#This Row],[Sales]],0)</f>
        <v>0.51839720606317352</v>
      </c>
      <c r="T197" s="19">
        <f>YEAR(SalesData[[#This Row],[Order_Date]])</f>
        <v>2025</v>
      </c>
      <c r="U197" s="19" t="str">
        <f>TEXT(SalesData[[#This Row],[Order_Date]],"mmm")</f>
        <v>Jun</v>
      </c>
      <c r="V197" s="19" t="str">
        <f>"Q"&amp;ROUNDUP(MONTH(SalesData[[#This Row],[Order_Date]])/3,0)</f>
        <v>Q2</v>
      </c>
      <c r="W197" s="19" t="str">
        <f>IF(SalesData[[#This Row],[Sales]]&gt;=50000,"High",IF(AND(SalesData[[#This Row],[Sales]]&gt;= 20000, SalesData[[#This Row],[Sales]]&lt; 50000),"Medium","Low"))</f>
        <v>Low</v>
      </c>
      <c r="X197" s="19" t="str">
        <f>IF(SalesData[[#This Row],[Profit]]&gt;0,"Profit","Loss")</f>
        <v>Profit</v>
      </c>
      <c r="Y197" s="19" t="str">
        <f>IF(AND(SalesData[[#This Row],[Sales]]&gt;= 50000, SalesData[[#This Row],[Quantity]]&gt;=2),"Yes","No")</f>
        <v>No</v>
      </c>
      <c r="Z197" s="19" t="str">
        <f>UPPER(SalesData[[#This Row],[Customer_Name]])</f>
        <v>ROHAN GUPTA</v>
      </c>
      <c r="AA197" s="19" t="str">
        <f>LOWER(SalesData[[#This Row],[Customer_Name]])</f>
        <v>rohan gupta</v>
      </c>
      <c r="AB197" s="19">
        <f>LEN(SalesData[[#This Row],[Customer_Name]])</f>
        <v>11</v>
      </c>
      <c r="AC197" s="19" t="str">
        <f>LEFT(SalesData[[#This Row],[Order_ID]],3)</f>
        <v>ORD</v>
      </c>
      <c r="AD197" s="19" t="str">
        <f>RIGHT(SalesData[[#This Row],[Order_ID]],4)</f>
        <v>0467</v>
      </c>
      <c r="AE197" s="19" t="str">
        <f>_xlfn.CONCAT(SalesData[[#This Row],[Clean_Customer_Name]],"-",SalesData[[#This Row],[Region]])</f>
        <v>Rohan Gupta-East</v>
      </c>
      <c r="AF197" s="19" t="str">
        <f>MID(SalesData[[#This Row],[Order_ID]],4,4)</f>
        <v>0467</v>
      </c>
      <c r="AG197" s="19" t="e">
        <f ca="1">_xlfn.SINGLE(_xlfn.XLOOKUP(SalesData[[#This Row],[Product]],Product_Master!A:A,Product_Master!B:B,"Not Found"))</f>
        <v>#NAME?</v>
      </c>
      <c r="AH197" s="19" t="str">
        <f>VLOOKUP(SalesData[[#This Row],[Product]],Product_Master!$A$1:$B$21,2,FALSE)</f>
        <v>Kavya</v>
      </c>
      <c r="AI197" s="16"/>
    </row>
    <row r="198" spans="1:35" ht="13.8">
      <c r="A198" s="16" t="s">
        <v>550</v>
      </c>
      <c r="B198" s="17">
        <v>45985</v>
      </c>
      <c r="C198" s="16" t="s">
        <v>144</v>
      </c>
      <c r="D198" s="16" t="s">
        <v>145</v>
      </c>
      <c r="E198" s="16" t="s">
        <v>38</v>
      </c>
      <c r="F198" s="16" t="s">
        <v>39</v>
      </c>
      <c r="G198" s="16" t="s">
        <v>40</v>
      </c>
      <c r="H198" s="16" t="s">
        <v>41</v>
      </c>
      <c r="I198" s="16" t="s">
        <v>84</v>
      </c>
      <c r="J198" s="16" t="s">
        <v>142</v>
      </c>
      <c r="K198" s="18">
        <v>6177.2</v>
      </c>
      <c r="L198" s="18">
        <v>2662.15</v>
      </c>
      <c r="M198" s="19">
        <v>5</v>
      </c>
      <c r="N198" s="20">
        <v>0</v>
      </c>
      <c r="O198" s="19" t="s">
        <v>25</v>
      </c>
      <c r="P198" s="19" t="s">
        <v>77</v>
      </c>
      <c r="Q198" s="19" t="str">
        <f>TRIM(SalesData[[#This Row],[Customer_Name]])</f>
        <v>Rohan Gupta</v>
      </c>
      <c r="R198" s="21">
        <f>SalesData[[#This Row],[Sales]]-SalesData[[#This Row],[Cost]]</f>
        <v>3515.0499999999997</v>
      </c>
      <c r="S198" s="22">
        <f>IFERROR(SalesData[[#This Row],[Profit]]/SalesData[[#This Row],[Sales]],0)</f>
        <v>0.56903613287573651</v>
      </c>
      <c r="T198" s="19">
        <f>YEAR(SalesData[[#This Row],[Order_Date]])</f>
        <v>2025</v>
      </c>
      <c r="U198" s="19" t="str">
        <f>TEXT(SalesData[[#This Row],[Order_Date]],"mmm")</f>
        <v>Nov</v>
      </c>
      <c r="V198" s="19" t="str">
        <f>"Q"&amp;ROUNDUP(MONTH(SalesData[[#This Row],[Order_Date]])/3,0)</f>
        <v>Q4</v>
      </c>
      <c r="W198" s="19" t="str">
        <f>IF(SalesData[[#This Row],[Sales]]&gt;=50000,"High",IF(AND(SalesData[[#This Row],[Sales]]&gt;= 20000, SalesData[[#This Row],[Sales]]&lt; 50000),"Medium","Low"))</f>
        <v>Low</v>
      </c>
      <c r="X198" s="19" t="str">
        <f>IF(SalesData[[#This Row],[Profit]]&gt;0,"Profit","Loss")</f>
        <v>Profit</v>
      </c>
      <c r="Y198" s="19" t="str">
        <f>IF(AND(SalesData[[#This Row],[Sales]]&gt;= 50000, SalesData[[#This Row],[Quantity]]&gt;=2),"Yes","No")</f>
        <v>No</v>
      </c>
      <c r="Z198" s="19" t="str">
        <f>UPPER(SalesData[[#This Row],[Customer_Name]])</f>
        <v>ROHAN GUPTA</v>
      </c>
      <c r="AA198" s="19" t="str">
        <f>LOWER(SalesData[[#This Row],[Customer_Name]])</f>
        <v>rohan gupta</v>
      </c>
      <c r="AB198" s="19">
        <f>LEN(SalesData[[#This Row],[Customer_Name]])</f>
        <v>11</v>
      </c>
      <c r="AC198" s="19" t="str">
        <f>LEFT(SalesData[[#This Row],[Order_ID]],3)</f>
        <v>ORD</v>
      </c>
      <c r="AD198" s="19" t="str">
        <f>RIGHT(SalesData[[#This Row],[Order_ID]],4)</f>
        <v>0397</v>
      </c>
      <c r="AE198" s="19" t="str">
        <f>_xlfn.CONCAT(SalesData[[#This Row],[Clean_Customer_Name]],"-",SalesData[[#This Row],[Region]])</f>
        <v>Rohan Gupta-South</v>
      </c>
      <c r="AF198" s="19" t="str">
        <f>MID(SalesData[[#This Row],[Order_ID]],4,4)</f>
        <v>0397</v>
      </c>
      <c r="AG198" s="19" t="e">
        <f ca="1">_xlfn.SINGLE(_xlfn.XLOOKUP(SalesData[[#This Row],[Product]],Product_Master!A:A,Product_Master!B:B,"Not Found"))</f>
        <v>#NAME?</v>
      </c>
      <c r="AH198" s="19" t="str">
        <f>VLOOKUP(SalesData[[#This Row],[Product]],Product_Master!$A$1:$B$21,2,FALSE)</f>
        <v>Manish</v>
      </c>
      <c r="AI198" s="16"/>
    </row>
    <row r="199" spans="1:35" ht="13.8">
      <c r="A199" s="16" t="s">
        <v>932</v>
      </c>
      <c r="B199" s="17">
        <v>45945</v>
      </c>
      <c r="C199" s="16" t="s">
        <v>144</v>
      </c>
      <c r="D199" s="16" t="s">
        <v>145</v>
      </c>
      <c r="E199" s="16" t="s">
        <v>38</v>
      </c>
      <c r="F199" s="16" t="s">
        <v>39</v>
      </c>
      <c r="G199" s="16" t="s">
        <v>40</v>
      </c>
      <c r="H199" s="16" t="s">
        <v>41</v>
      </c>
      <c r="I199" s="16" t="s">
        <v>84</v>
      </c>
      <c r="J199" s="16" t="s">
        <v>142</v>
      </c>
      <c r="K199" s="18">
        <v>8348.8700000000008</v>
      </c>
      <c r="L199" s="18">
        <v>2654.45</v>
      </c>
      <c r="M199" s="19">
        <v>5</v>
      </c>
      <c r="N199" s="20">
        <v>0.15</v>
      </c>
      <c r="O199" s="19" t="s">
        <v>34</v>
      </c>
      <c r="P199" s="19" t="s">
        <v>58</v>
      </c>
      <c r="Q199" s="19" t="str">
        <f>TRIM(SalesData[[#This Row],[Customer_Name]])</f>
        <v>Rohan Gupta</v>
      </c>
      <c r="R199" s="21">
        <f>SalesData[[#This Row],[Sales]]-SalesData[[#This Row],[Cost]]</f>
        <v>5694.420000000001</v>
      </c>
      <c r="S199" s="22">
        <f>IFERROR(SalesData[[#This Row],[Profit]]/SalesData[[#This Row],[Sales]],0)</f>
        <v>0.68205876962990208</v>
      </c>
      <c r="T199" s="19">
        <f>YEAR(SalesData[[#This Row],[Order_Date]])</f>
        <v>2025</v>
      </c>
      <c r="U199" s="19" t="str">
        <f>TEXT(SalesData[[#This Row],[Order_Date]],"mmm")</f>
        <v>Oct</v>
      </c>
      <c r="V199" s="19" t="str">
        <f>"Q"&amp;ROUNDUP(MONTH(SalesData[[#This Row],[Order_Date]])/3,0)</f>
        <v>Q4</v>
      </c>
      <c r="W199" s="19" t="str">
        <f>IF(SalesData[[#This Row],[Sales]]&gt;=50000,"High",IF(AND(SalesData[[#This Row],[Sales]]&gt;= 20000, SalesData[[#This Row],[Sales]]&lt; 50000),"Medium","Low"))</f>
        <v>Low</v>
      </c>
      <c r="X199" s="19" t="str">
        <f>IF(SalesData[[#This Row],[Profit]]&gt;0,"Profit","Loss")</f>
        <v>Profit</v>
      </c>
      <c r="Y199" s="19" t="str">
        <f>IF(AND(SalesData[[#This Row],[Sales]]&gt;= 50000, SalesData[[#This Row],[Quantity]]&gt;=2),"Yes","No")</f>
        <v>No</v>
      </c>
      <c r="Z199" s="19" t="str">
        <f>UPPER(SalesData[[#This Row],[Customer_Name]])</f>
        <v>ROHAN GUPTA</v>
      </c>
      <c r="AA199" s="19" t="str">
        <f>LOWER(SalesData[[#This Row],[Customer_Name]])</f>
        <v>rohan gupta</v>
      </c>
      <c r="AB199" s="19">
        <f>LEN(SalesData[[#This Row],[Customer_Name]])</f>
        <v>11</v>
      </c>
      <c r="AC199" s="19" t="str">
        <f>LEFT(SalesData[[#This Row],[Order_ID]],3)</f>
        <v>ORD</v>
      </c>
      <c r="AD199" s="19" t="str">
        <f>RIGHT(SalesData[[#This Row],[Order_ID]],4)</f>
        <v>0779</v>
      </c>
      <c r="AE199" s="19" t="str">
        <f>_xlfn.CONCAT(SalesData[[#This Row],[Clean_Customer_Name]],"-",SalesData[[#This Row],[Region]])</f>
        <v>Rohan Gupta-South</v>
      </c>
      <c r="AF199" s="19" t="str">
        <f>MID(SalesData[[#This Row],[Order_ID]],4,4)</f>
        <v>0779</v>
      </c>
      <c r="AG199" s="19" t="e">
        <f ca="1">_xlfn.SINGLE(_xlfn.XLOOKUP(SalesData[[#This Row],[Product]],Product_Master!A:A,Product_Master!B:B,"Not Found"))</f>
        <v>#NAME?</v>
      </c>
      <c r="AH199" s="19" t="str">
        <f>VLOOKUP(SalesData[[#This Row],[Product]],Product_Master!$A$1:$B$21,2,FALSE)</f>
        <v>Manish</v>
      </c>
      <c r="AI199" s="16"/>
    </row>
    <row r="200" spans="1:35" ht="13.8">
      <c r="A200" s="16" t="s">
        <v>711</v>
      </c>
      <c r="B200" s="17">
        <v>45373</v>
      </c>
      <c r="C200" s="16" t="s">
        <v>144</v>
      </c>
      <c r="D200" s="16" t="s">
        <v>145</v>
      </c>
      <c r="E200" s="16" t="s">
        <v>87</v>
      </c>
      <c r="F200" s="16" t="s">
        <v>88</v>
      </c>
      <c r="G200" s="16" t="s">
        <v>89</v>
      </c>
      <c r="H200" s="16" t="s">
        <v>90</v>
      </c>
      <c r="I200" s="16" t="s">
        <v>53</v>
      </c>
      <c r="J200" s="16" t="s">
        <v>102</v>
      </c>
      <c r="K200" s="18">
        <v>7127.94</v>
      </c>
      <c r="L200" s="18">
        <v>7633.48</v>
      </c>
      <c r="M200" s="19">
        <v>4</v>
      </c>
      <c r="N200" s="20">
        <v>0.2</v>
      </c>
      <c r="O200" s="19" t="s">
        <v>136</v>
      </c>
      <c r="P200" s="19" t="s">
        <v>77</v>
      </c>
      <c r="Q200" s="19" t="str">
        <f>TRIM(SalesData[[#This Row],[Customer_Name]])</f>
        <v>Rohan Gupta</v>
      </c>
      <c r="R200" s="21">
        <f>SalesData[[#This Row],[Sales]]-SalesData[[#This Row],[Cost]]</f>
        <v>-505.53999999999996</v>
      </c>
      <c r="S200" s="22">
        <f>IFERROR(SalesData[[#This Row],[Profit]]/SalesData[[#This Row],[Sales]],0)</f>
        <v>-7.0923717090772373E-2</v>
      </c>
      <c r="T200" s="19">
        <f>YEAR(SalesData[[#This Row],[Order_Date]])</f>
        <v>2024</v>
      </c>
      <c r="U200" s="19" t="str">
        <f>TEXT(SalesData[[#This Row],[Order_Date]],"mmm")</f>
        <v>Mar</v>
      </c>
      <c r="V200" s="19" t="str">
        <f>"Q"&amp;ROUNDUP(MONTH(SalesData[[#This Row],[Order_Date]])/3,0)</f>
        <v>Q1</v>
      </c>
      <c r="W200" s="19" t="str">
        <f>IF(SalesData[[#This Row],[Sales]]&gt;=50000,"High",IF(AND(SalesData[[#This Row],[Sales]]&gt;= 20000, SalesData[[#This Row],[Sales]]&lt; 50000),"Medium","Low"))</f>
        <v>Low</v>
      </c>
      <c r="X200" s="19" t="str">
        <f>IF(SalesData[[#This Row],[Profit]]&gt;0,"Profit","Loss")</f>
        <v>Loss</v>
      </c>
      <c r="Y200" s="19" t="str">
        <f>IF(AND(SalesData[[#This Row],[Sales]]&gt;= 50000, SalesData[[#This Row],[Quantity]]&gt;=2),"Yes","No")</f>
        <v>No</v>
      </c>
      <c r="Z200" s="19" t="str">
        <f>UPPER(SalesData[[#This Row],[Customer_Name]])</f>
        <v>ROHAN GUPTA</v>
      </c>
      <c r="AA200" s="19" t="str">
        <f>LOWER(SalesData[[#This Row],[Customer_Name]])</f>
        <v>rohan gupta</v>
      </c>
      <c r="AB200" s="19">
        <f>LEN(SalesData[[#This Row],[Customer_Name]])</f>
        <v>11</v>
      </c>
      <c r="AC200" s="19" t="str">
        <f>LEFT(SalesData[[#This Row],[Order_ID]],3)</f>
        <v>ORD</v>
      </c>
      <c r="AD200" s="19" t="str">
        <f>RIGHT(SalesData[[#This Row],[Order_ID]],4)</f>
        <v>0558</v>
      </c>
      <c r="AE200" s="19" t="str">
        <f>_xlfn.CONCAT(SalesData[[#This Row],[Clean_Customer_Name]],"-",SalesData[[#This Row],[Region]])</f>
        <v>Rohan Gupta-Central</v>
      </c>
      <c r="AF200" s="19" t="str">
        <f>MID(SalesData[[#This Row],[Order_ID]],4,4)</f>
        <v>0558</v>
      </c>
      <c r="AG200" s="19" t="e">
        <f ca="1">_xlfn.SINGLE(_xlfn.XLOOKUP(SalesData[[#This Row],[Product]],Product_Master!A:A,Product_Master!B:B,"Not Found"))</f>
        <v>#NAME?</v>
      </c>
      <c r="AH200" s="19" t="str">
        <f>VLOOKUP(SalesData[[#This Row],[Product]],Product_Master!$A$1:$B$21,2,FALSE)</f>
        <v>Rahul</v>
      </c>
      <c r="AI200" s="16"/>
    </row>
    <row r="201" spans="1:35" ht="13.8">
      <c r="A201" s="16" t="s">
        <v>1138</v>
      </c>
      <c r="B201" s="17">
        <v>45806</v>
      </c>
      <c r="C201" s="16" t="s">
        <v>144</v>
      </c>
      <c r="D201" s="16" t="s">
        <v>145</v>
      </c>
      <c r="E201" s="16" t="s">
        <v>87</v>
      </c>
      <c r="F201" s="16" t="s">
        <v>88</v>
      </c>
      <c r="G201" s="16" t="s">
        <v>89</v>
      </c>
      <c r="H201" s="16" t="s">
        <v>90</v>
      </c>
      <c r="I201" s="16" t="s">
        <v>23</v>
      </c>
      <c r="J201" s="16" t="s">
        <v>75</v>
      </c>
      <c r="K201" s="18">
        <v>4610.6099999999997</v>
      </c>
      <c r="L201" s="18">
        <v>1782.24</v>
      </c>
      <c r="M201" s="19">
        <v>1</v>
      </c>
      <c r="N201" s="20">
        <v>0.05</v>
      </c>
      <c r="O201" s="19" t="s">
        <v>76</v>
      </c>
      <c r="P201" s="19" t="s">
        <v>58</v>
      </c>
      <c r="Q201" s="19" t="str">
        <f>TRIM(SalesData[[#This Row],[Customer_Name]])</f>
        <v>Rohan Gupta</v>
      </c>
      <c r="R201" s="21">
        <f>SalesData[[#This Row],[Sales]]-SalesData[[#This Row],[Cost]]</f>
        <v>2828.37</v>
      </c>
      <c r="S201" s="22">
        <f>IFERROR(SalesData[[#This Row],[Profit]]/SalesData[[#This Row],[Sales]],0)</f>
        <v>0.61344811207193839</v>
      </c>
      <c r="T201" s="19">
        <f>YEAR(SalesData[[#This Row],[Order_Date]])</f>
        <v>2025</v>
      </c>
      <c r="U201" s="19" t="str">
        <f>TEXT(SalesData[[#This Row],[Order_Date]],"mmm")</f>
        <v>May</v>
      </c>
      <c r="V201" s="19" t="str">
        <f>"Q"&amp;ROUNDUP(MONTH(SalesData[[#This Row],[Order_Date]])/3,0)</f>
        <v>Q2</v>
      </c>
      <c r="W201" s="19" t="str">
        <f>IF(SalesData[[#This Row],[Sales]]&gt;=50000,"High",IF(AND(SalesData[[#This Row],[Sales]]&gt;= 20000, SalesData[[#This Row],[Sales]]&lt; 50000),"Medium","Low"))</f>
        <v>Low</v>
      </c>
      <c r="X201" s="19" t="str">
        <f>IF(SalesData[[#This Row],[Profit]]&gt;0,"Profit","Loss")</f>
        <v>Profit</v>
      </c>
      <c r="Y201" s="19" t="str">
        <f>IF(AND(SalesData[[#This Row],[Sales]]&gt;= 50000, SalesData[[#This Row],[Quantity]]&gt;=2),"Yes","No")</f>
        <v>No</v>
      </c>
      <c r="Z201" s="19" t="str">
        <f>UPPER(SalesData[[#This Row],[Customer_Name]])</f>
        <v>ROHAN GUPTA</v>
      </c>
      <c r="AA201" s="19" t="str">
        <f>LOWER(SalesData[[#This Row],[Customer_Name]])</f>
        <v>rohan gupta</v>
      </c>
      <c r="AB201" s="19">
        <f>LEN(SalesData[[#This Row],[Customer_Name]])</f>
        <v>11</v>
      </c>
      <c r="AC201" s="19" t="str">
        <f>LEFT(SalesData[[#This Row],[Order_ID]],3)</f>
        <v>ORD</v>
      </c>
      <c r="AD201" s="19" t="str">
        <f>RIGHT(SalesData[[#This Row],[Order_ID]],4)</f>
        <v>0985</v>
      </c>
      <c r="AE201" s="19" t="str">
        <f>_xlfn.CONCAT(SalesData[[#This Row],[Clean_Customer_Name]],"-",SalesData[[#This Row],[Region]])</f>
        <v>Rohan Gupta-North</v>
      </c>
      <c r="AF201" s="19" t="str">
        <f>MID(SalesData[[#This Row],[Order_ID]],4,4)</f>
        <v>0985</v>
      </c>
      <c r="AG201" s="19" t="e">
        <f ca="1">_xlfn.SINGLE(_xlfn.XLOOKUP(SalesData[[#This Row],[Product]],Product_Master!A:A,Product_Master!B:B,"Not Found"))</f>
        <v>#NAME?</v>
      </c>
      <c r="AH201" s="19" t="str">
        <f>VLOOKUP(SalesData[[#This Row],[Product]],Product_Master!$A$1:$B$21,2,FALSE)</f>
        <v>Rahul</v>
      </c>
      <c r="AI201" s="16"/>
    </row>
    <row r="202" spans="1:35" ht="13.8">
      <c r="A202" s="16" t="s">
        <v>413</v>
      </c>
      <c r="B202" s="17">
        <v>45674</v>
      </c>
      <c r="C202" s="16" t="s">
        <v>144</v>
      </c>
      <c r="D202" s="16" t="s">
        <v>145</v>
      </c>
      <c r="E202" s="16" t="s">
        <v>182</v>
      </c>
      <c r="F202" s="16" t="s">
        <v>183</v>
      </c>
      <c r="G202" s="16" t="s">
        <v>89</v>
      </c>
      <c r="H202" s="16" t="s">
        <v>90</v>
      </c>
      <c r="I202" s="16" t="s">
        <v>56</v>
      </c>
      <c r="J202" s="16" t="s">
        <v>191</v>
      </c>
      <c r="K202" s="18">
        <v>9259.18</v>
      </c>
      <c r="L202" s="18">
        <v>6141.4</v>
      </c>
      <c r="M202" s="19">
        <v>1</v>
      </c>
      <c r="N202" s="20">
        <v>0.2</v>
      </c>
      <c r="O202" s="19" t="s">
        <v>136</v>
      </c>
      <c r="P202" s="19" t="s">
        <v>98</v>
      </c>
      <c r="Q202" s="19" t="str">
        <f>TRIM(SalesData[[#This Row],[Customer_Name]])</f>
        <v>Rohan Gupta</v>
      </c>
      <c r="R202" s="21">
        <f>SalesData[[#This Row],[Sales]]-SalesData[[#This Row],[Cost]]</f>
        <v>3117.7800000000007</v>
      </c>
      <c r="S202" s="22">
        <f>IFERROR(SalesData[[#This Row],[Profit]]/SalesData[[#This Row],[Sales]],0)</f>
        <v>0.33672312234992735</v>
      </c>
      <c r="T202" s="19">
        <f>YEAR(SalesData[[#This Row],[Order_Date]])</f>
        <v>2025</v>
      </c>
      <c r="U202" s="19" t="str">
        <f>TEXT(SalesData[[#This Row],[Order_Date]],"mmm")</f>
        <v>Jan</v>
      </c>
      <c r="V202" s="19" t="str">
        <f>"Q"&amp;ROUNDUP(MONTH(SalesData[[#This Row],[Order_Date]])/3,0)</f>
        <v>Q1</v>
      </c>
      <c r="W202" s="19" t="str">
        <f>IF(SalesData[[#This Row],[Sales]]&gt;=50000,"High",IF(AND(SalesData[[#This Row],[Sales]]&gt;= 20000, SalesData[[#This Row],[Sales]]&lt; 50000),"Medium","Low"))</f>
        <v>Low</v>
      </c>
      <c r="X202" s="19" t="str">
        <f>IF(SalesData[[#This Row],[Profit]]&gt;0,"Profit","Loss")</f>
        <v>Profit</v>
      </c>
      <c r="Y202" s="19" t="str">
        <f>IF(AND(SalesData[[#This Row],[Sales]]&gt;= 50000, SalesData[[#This Row],[Quantity]]&gt;=2),"Yes","No")</f>
        <v>No</v>
      </c>
      <c r="Z202" s="19" t="str">
        <f>UPPER(SalesData[[#This Row],[Customer_Name]])</f>
        <v>ROHAN GUPTA</v>
      </c>
      <c r="AA202" s="19" t="str">
        <f>LOWER(SalesData[[#This Row],[Customer_Name]])</f>
        <v>rohan gupta</v>
      </c>
      <c r="AB202" s="19">
        <f>LEN(SalesData[[#This Row],[Customer_Name]])</f>
        <v>11</v>
      </c>
      <c r="AC202" s="19" t="str">
        <f>LEFT(SalesData[[#This Row],[Order_ID]],3)</f>
        <v>ORD</v>
      </c>
      <c r="AD202" s="19" t="str">
        <f>RIGHT(SalesData[[#This Row],[Order_ID]],4)</f>
        <v>0260</v>
      </c>
      <c r="AE202" s="19" t="str">
        <f>_xlfn.CONCAT(SalesData[[#This Row],[Clean_Customer_Name]],"-",SalesData[[#This Row],[Region]])</f>
        <v>Rohan Gupta-West</v>
      </c>
      <c r="AF202" s="19" t="str">
        <f>MID(SalesData[[#This Row],[Order_ID]],4,4)</f>
        <v>0260</v>
      </c>
      <c r="AG202" s="19" t="e">
        <f ca="1">_xlfn.SINGLE(_xlfn.XLOOKUP(SalesData[[#This Row],[Product]],Product_Master!A:A,Product_Master!B:B,"Not Found"))</f>
        <v>#NAME?</v>
      </c>
      <c r="AH202" s="19" t="str">
        <f>VLOOKUP(SalesData[[#This Row],[Product]],Product_Master!$A$1:$B$21,2,FALSE)</f>
        <v>Priya</v>
      </c>
      <c r="AI202" s="16"/>
    </row>
    <row r="203" spans="1:35" ht="13.8">
      <c r="A203" s="16" t="s">
        <v>507</v>
      </c>
      <c r="B203" s="17">
        <v>45937</v>
      </c>
      <c r="C203" s="16" t="s">
        <v>144</v>
      </c>
      <c r="D203" s="16" t="s">
        <v>145</v>
      </c>
      <c r="E203" s="16" t="s">
        <v>182</v>
      </c>
      <c r="F203" s="16" t="s">
        <v>183</v>
      </c>
      <c r="G203" s="16" t="s">
        <v>89</v>
      </c>
      <c r="H203" s="16" t="s">
        <v>90</v>
      </c>
      <c r="I203" s="16" t="s">
        <v>84</v>
      </c>
      <c r="J203" s="16" t="s">
        <v>85</v>
      </c>
      <c r="K203" s="18">
        <v>62652.87</v>
      </c>
      <c r="L203" s="18">
        <v>31769.1</v>
      </c>
      <c r="M203" s="19">
        <v>5</v>
      </c>
      <c r="N203" s="20">
        <v>0.1</v>
      </c>
      <c r="O203" s="19" t="s">
        <v>136</v>
      </c>
      <c r="P203" s="19" t="s">
        <v>98</v>
      </c>
      <c r="Q203" s="19" t="str">
        <f>TRIM(SalesData[[#This Row],[Customer_Name]])</f>
        <v>Rohan Gupta</v>
      </c>
      <c r="R203" s="21">
        <f>SalesData[[#This Row],[Sales]]-SalesData[[#This Row],[Cost]]</f>
        <v>30883.770000000004</v>
      </c>
      <c r="S203" s="22">
        <f>IFERROR(SalesData[[#This Row],[Profit]]/SalesData[[#This Row],[Sales]],0)</f>
        <v>0.49293464130214631</v>
      </c>
      <c r="T203" s="19">
        <f>YEAR(SalesData[[#This Row],[Order_Date]])</f>
        <v>2025</v>
      </c>
      <c r="U203" s="19" t="str">
        <f>TEXT(SalesData[[#This Row],[Order_Date]],"mmm")</f>
        <v>Oct</v>
      </c>
      <c r="V203" s="19" t="str">
        <f>"Q"&amp;ROUNDUP(MONTH(SalesData[[#This Row],[Order_Date]])/3,0)</f>
        <v>Q4</v>
      </c>
      <c r="W203" s="19" t="str">
        <f>IF(SalesData[[#This Row],[Sales]]&gt;=50000,"High",IF(AND(SalesData[[#This Row],[Sales]]&gt;= 20000, SalesData[[#This Row],[Sales]]&lt; 50000),"Medium","Low"))</f>
        <v>High</v>
      </c>
      <c r="X203" s="19" t="str">
        <f>IF(SalesData[[#This Row],[Profit]]&gt;0,"Profit","Loss")</f>
        <v>Profit</v>
      </c>
      <c r="Y203" s="19" t="str">
        <f>IF(AND(SalesData[[#This Row],[Sales]]&gt;= 50000, SalesData[[#This Row],[Quantity]]&gt;=2),"Yes","No")</f>
        <v>Yes</v>
      </c>
      <c r="Z203" s="19" t="str">
        <f>UPPER(SalesData[[#This Row],[Customer_Name]])</f>
        <v>ROHAN GUPTA</v>
      </c>
      <c r="AA203" s="19" t="str">
        <f>LOWER(SalesData[[#This Row],[Customer_Name]])</f>
        <v>rohan gupta</v>
      </c>
      <c r="AB203" s="19">
        <f>LEN(SalesData[[#This Row],[Customer_Name]])</f>
        <v>11</v>
      </c>
      <c r="AC203" s="19" t="str">
        <f>LEFT(SalesData[[#This Row],[Order_ID]],3)</f>
        <v>ORD</v>
      </c>
      <c r="AD203" s="19" t="str">
        <f>RIGHT(SalesData[[#This Row],[Order_ID]],4)</f>
        <v>0354</v>
      </c>
      <c r="AE203" s="19" t="str">
        <f>_xlfn.CONCAT(SalesData[[#This Row],[Clean_Customer_Name]],"-",SalesData[[#This Row],[Region]])</f>
        <v>Rohan Gupta-South</v>
      </c>
      <c r="AF203" s="19" t="str">
        <f>MID(SalesData[[#This Row],[Order_ID]],4,4)</f>
        <v>0354</v>
      </c>
      <c r="AG203" s="19" t="e">
        <f ca="1">_xlfn.SINGLE(_xlfn.XLOOKUP(SalesData[[#This Row],[Product]],Product_Master!A:A,Product_Master!B:B,"Not Found"))</f>
        <v>#NAME?</v>
      </c>
      <c r="AH203" s="19" t="str">
        <f>VLOOKUP(SalesData[[#This Row],[Product]],Product_Master!$A$1:$B$21,2,FALSE)</f>
        <v>Priya</v>
      </c>
      <c r="AI203" s="16"/>
    </row>
    <row r="204" spans="1:35" ht="13.8">
      <c r="A204" s="16" t="s">
        <v>642</v>
      </c>
      <c r="B204" s="17">
        <v>45808</v>
      </c>
      <c r="C204" s="16" t="s">
        <v>144</v>
      </c>
      <c r="D204" s="16" t="s">
        <v>145</v>
      </c>
      <c r="E204" s="16" t="s">
        <v>182</v>
      </c>
      <c r="F204" s="16" t="s">
        <v>183</v>
      </c>
      <c r="G204" s="16" t="s">
        <v>89</v>
      </c>
      <c r="H204" s="16" t="s">
        <v>90</v>
      </c>
      <c r="I204" s="16" t="s">
        <v>53</v>
      </c>
      <c r="J204" s="16" t="s">
        <v>102</v>
      </c>
      <c r="K204" s="18">
        <v>42286.86</v>
      </c>
      <c r="L204" s="18">
        <v>25567.279999999999</v>
      </c>
      <c r="M204" s="19">
        <v>4</v>
      </c>
      <c r="N204" s="20">
        <v>0.05</v>
      </c>
      <c r="O204" s="19" t="s">
        <v>136</v>
      </c>
      <c r="P204" s="19" t="s">
        <v>58</v>
      </c>
      <c r="Q204" s="19" t="str">
        <f>TRIM(SalesData[[#This Row],[Customer_Name]])</f>
        <v>Rohan Gupta</v>
      </c>
      <c r="R204" s="21">
        <f>SalesData[[#This Row],[Sales]]-SalesData[[#This Row],[Cost]]</f>
        <v>16719.580000000002</v>
      </c>
      <c r="S204" s="22">
        <f>IFERROR(SalesData[[#This Row],[Profit]]/SalesData[[#This Row],[Sales]],0)</f>
        <v>0.39538476018318697</v>
      </c>
      <c r="T204" s="19">
        <f>YEAR(SalesData[[#This Row],[Order_Date]])</f>
        <v>2025</v>
      </c>
      <c r="U204" s="19" t="str">
        <f>TEXT(SalesData[[#This Row],[Order_Date]],"mmm")</f>
        <v>May</v>
      </c>
      <c r="V204" s="19" t="str">
        <f>"Q"&amp;ROUNDUP(MONTH(SalesData[[#This Row],[Order_Date]])/3,0)</f>
        <v>Q2</v>
      </c>
      <c r="W204" s="19" t="str">
        <f>IF(SalesData[[#This Row],[Sales]]&gt;=50000,"High",IF(AND(SalesData[[#This Row],[Sales]]&gt;= 20000, SalesData[[#This Row],[Sales]]&lt; 50000),"Medium","Low"))</f>
        <v>Medium</v>
      </c>
      <c r="X204" s="19" t="str">
        <f>IF(SalesData[[#This Row],[Profit]]&gt;0,"Profit","Loss")</f>
        <v>Profit</v>
      </c>
      <c r="Y204" s="19" t="str">
        <f>IF(AND(SalesData[[#This Row],[Sales]]&gt;= 50000, SalesData[[#This Row],[Quantity]]&gt;=2),"Yes","No")</f>
        <v>No</v>
      </c>
      <c r="Z204" s="19" t="str">
        <f>UPPER(SalesData[[#This Row],[Customer_Name]])</f>
        <v>ROHAN GUPTA</v>
      </c>
      <c r="AA204" s="19" t="str">
        <f>LOWER(SalesData[[#This Row],[Customer_Name]])</f>
        <v>rohan gupta</v>
      </c>
      <c r="AB204" s="19">
        <f>LEN(SalesData[[#This Row],[Customer_Name]])</f>
        <v>11</v>
      </c>
      <c r="AC204" s="19" t="str">
        <f>LEFT(SalesData[[#This Row],[Order_ID]],3)</f>
        <v>ORD</v>
      </c>
      <c r="AD204" s="19" t="str">
        <f>RIGHT(SalesData[[#This Row],[Order_ID]],4)</f>
        <v>0489</v>
      </c>
      <c r="AE204" s="19" t="str">
        <f>_xlfn.CONCAT(SalesData[[#This Row],[Clean_Customer_Name]],"-",SalesData[[#This Row],[Region]])</f>
        <v>Rohan Gupta-Central</v>
      </c>
      <c r="AF204" s="19" t="str">
        <f>MID(SalesData[[#This Row],[Order_ID]],4,4)</f>
        <v>0489</v>
      </c>
      <c r="AG204" s="19" t="e">
        <f ca="1">_xlfn.SINGLE(_xlfn.XLOOKUP(SalesData[[#This Row],[Product]],Product_Master!A:A,Product_Master!B:B,"Not Found"))</f>
        <v>#NAME?</v>
      </c>
      <c r="AH204" s="19" t="str">
        <f>VLOOKUP(SalesData[[#This Row],[Product]],Product_Master!$A$1:$B$21,2,FALSE)</f>
        <v>Priya</v>
      </c>
      <c r="AI204" s="16"/>
    </row>
    <row r="205" spans="1:35" ht="13.8">
      <c r="A205" s="16" t="s">
        <v>785</v>
      </c>
      <c r="B205" s="17">
        <v>45854</v>
      </c>
      <c r="C205" s="16" t="s">
        <v>144</v>
      </c>
      <c r="D205" s="16" t="s">
        <v>145</v>
      </c>
      <c r="E205" s="16" t="s">
        <v>187</v>
      </c>
      <c r="F205" s="16" t="s">
        <v>188</v>
      </c>
      <c r="G205" s="16" t="s">
        <v>89</v>
      </c>
      <c r="H205" s="16" t="s">
        <v>189</v>
      </c>
      <c r="I205" s="16" t="s">
        <v>84</v>
      </c>
      <c r="J205" s="16" t="s">
        <v>134</v>
      </c>
      <c r="K205" s="18">
        <v>34052.449999999997</v>
      </c>
      <c r="L205" s="18">
        <v>15744.48</v>
      </c>
      <c r="M205" s="19">
        <v>3</v>
      </c>
      <c r="N205" s="20">
        <v>0.1</v>
      </c>
      <c r="O205" s="19" t="s">
        <v>34</v>
      </c>
      <c r="P205" s="19" t="s">
        <v>58</v>
      </c>
      <c r="Q205" s="19" t="str">
        <f>TRIM(SalesData[[#This Row],[Customer_Name]])</f>
        <v>Rohan Gupta</v>
      </c>
      <c r="R205" s="21">
        <f>SalesData[[#This Row],[Sales]]-SalesData[[#This Row],[Cost]]</f>
        <v>18307.969999999998</v>
      </c>
      <c r="S205" s="22">
        <f>IFERROR(SalesData[[#This Row],[Profit]]/SalesData[[#This Row],[Sales]],0)</f>
        <v>0.53764031662919998</v>
      </c>
      <c r="T205" s="19">
        <f>YEAR(SalesData[[#This Row],[Order_Date]])</f>
        <v>2025</v>
      </c>
      <c r="U205" s="19" t="str">
        <f>TEXT(SalesData[[#This Row],[Order_Date]],"mmm")</f>
        <v>Jul</v>
      </c>
      <c r="V205" s="19" t="str">
        <f>"Q"&amp;ROUNDUP(MONTH(SalesData[[#This Row],[Order_Date]])/3,0)</f>
        <v>Q3</v>
      </c>
      <c r="W205" s="19" t="str">
        <f>IF(SalesData[[#This Row],[Sales]]&gt;=50000,"High",IF(AND(SalesData[[#This Row],[Sales]]&gt;= 20000, SalesData[[#This Row],[Sales]]&lt; 50000),"Medium","Low"))</f>
        <v>Medium</v>
      </c>
      <c r="X205" s="19" t="str">
        <f>IF(SalesData[[#This Row],[Profit]]&gt;0,"Profit","Loss")</f>
        <v>Profit</v>
      </c>
      <c r="Y205" s="19" t="str">
        <f>IF(AND(SalesData[[#This Row],[Sales]]&gt;= 50000, SalesData[[#This Row],[Quantity]]&gt;=2),"Yes","No")</f>
        <v>No</v>
      </c>
      <c r="Z205" s="19" t="str">
        <f>UPPER(SalesData[[#This Row],[Customer_Name]])</f>
        <v>ROHAN GUPTA</v>
      </c>
      <c r="AA205" s="19" t="str">
        <f>LOWER(SalesData[[#This Row],[Customer_Name]])</f>
        <v>rohan gupta</v>
      </c>
      <c r="AB205" s="19">
        <f>LEN(SalesData[[#This Row],[Customer_Name]])</f>
        <v>11</v>
      </c>
      <c r="AC205" s="19" t="str">
        <f>LEFT(SalesData[[#This Row],[Order_ID]],3)</f>
        <v>ORD</v>
      </c>
      <c r="AD205" s="19" t="str">
        <f>RIGHT(SalesData[[#This Row],[Order_ID]],4)</f>
        <v>0632</v>
      </c>
      <c r="AE205" s="19" t="str">
        <f>_xlfn.CONCAT(SalesData[[#This Row],[Clean_Customer_Name]],"-",SalesData[[#This Row],[Region]])</f>
        <v>Rohan Gupta-South</v>
      </c>
      <c r="AF205" s="19" t="str">
        <f>MID(SalesData[[#This Row],[Order_ID]],4,4)</f>
        <v>0632</v>
      </c>
      <c r="AG205" s="19" t="e">
        <f ca="1">_xlfn.SINGLE(_xlfn.XLOOKUP(SalesData[[#This Row],[Product]],Product_Master!A:A,Product_Master!B:B,"Not Found"))</f>
        <v>#NAME?</v>
      </c>
      <c r="AH205" s="19" t="str">
        <f>VLOOKUP(SalesData[[#This Row],[Product]],Product_Master!$A$1:$B$21,2,FALSE)</f>
        <v>Amit</v>
      </c>
      <c r="AI205" s="16"/>
    </row>
    <row r="206" spans="1:35" ht="13.8">
      <c r="A206" s="16" t="s">
        <v>776</v>
      </c>
      <c r="B206" s="17">
        <v>45631</v>
      </c>
      <c r="C206" s="16" t="s">
        <v>144</v>
      </c>
      <c r="D206" s="16" t="s">
        <v>145</v>
      </c>
      <c r="E206" s="16" t="s">
        <v>95</v>
      </c>
      <c r="F206" s="16" t="s">
        <v>96</v>
      </c>
      <c r="G206" s="16" t="s">
        <v>89</v>
      </c>
      <c r="H206" s="16" t="s">
        <v>97</v>
      </c>
      <c r="I206" s="16" t="s">
        <v>42</v>
      </c>
      <c r="J206" s="16" t="s">
        <v>68</v>
      </c>
      <c r="K206" s="18">
        <v>14035.41</v>
      </c>
      <c r="L206" s="18">
        <v>9589.0499999999993</v>
      </c>
      <c r="M206" s="19">
        <v>3</v>
      </c>
      <c r="N206" s="20">
        <v>0</v>
      </c>
      <c r="O206" s="19" t="s">
        <v>44</v>
      </c>
      <c r="P206" s="19" t="s">
        <v>26</v>
      </c>
      <c r="Q206" s="19" t="str">
        <f>TRIM(SalesData[[#This Row],[Customer_Name]])</f>
        <v>Rohan Gupta</v>
      </c>
      <c r="R206" s="21">
        <f>SalesData[[#This Row],[Sales]]-SalesData[[#This Row],[Cost]]</f>
        <v>4446.3600000000006</v>
      </c>
      <c r="S206" s="22">
        <f>IFERROR(SalesData[[#This Row],[Profit]]/SalesData[[#This Row],[Sales]],0)</f>
        <v>0.31679587557470718</v>
      </c>
      <c r="T206" s="19">
        <f>YEAR(SalesData[[#This Row],[Order_Date]])</f>
        <v>2024</v>
      </c>
      <c r="U206" s="19" t="str">
        <f>TEXT(SalesData[[#This Row],[Order_Date]],"mmm")</f>
        <v>Dec</v>
      </c>
      <c r="V206" s="19" t="str">
        <f>"Q"&amp;ROUNDUP(MONTH(SalesData[[#This Row],[Order_Date]])/3,0)</f>
        <v>Q4</v>
      </c>
      <c r="W206" s="19" t="str">
        <f>IF(SalesData[[#This Row],[Sales]]&gt;=50000,"High",IF(AND(SalesData[[#This Row],[Sales]]&gt;= 20000, SalesData[[#This Row],[Sales]]&lt; 50000),"Medium","Low"))</f>
        <v>Low</v>
      </c>
      <c r="X206" s="19" t="str">
        <f>IF(SalesData[[#This Row],[Profit]]&gt;0,"Profit","Loss")</f>
        <v>Profit</v>
      </c>
      <c r="Y206" s="19" t="str">
        <f>IF(AND(SalesData[[#This Row],[Sales]]&gt;= 50000, SalesData[[#This Row],[Quantity]]&gt;=2),"Yes","No")</f>
        <v>No</v>
      </c>
      <c r="Z206" s="19" t="str">
        <f>UPPER(SalesData[[#This Row],[Customer_Name]])</f>
        <v>ROHAN GUPTA</v>
      </c>
      <c r="AA206" s="19" t="str">
        <f>LOWER(SalesData[[#This Row],[Customer_Name]])</f>
        <v>rohan gupta</v>
      </c>
      <c r="AB206" s="19">
        <f>LEN(SalesData[[#This Row],[Customer_Name]])</f>
        <v>11</v>
      </c>
      <c r="AC206" s="19" t="str">
        <f>LEFT(SalesData[[#This Row],[Order_ID]],3)</f>
        <v>ORD</v>
      </c>
      <c r="AD206" s="19" t="str">
        <f>RIGHT(SalesData[[#This Row],[Order_ID]],4)</f>
        <v>0623</v>
      </c>
      <c r="AE206" s="19" t="str">
        <f>_xlfn.CONCAT(SalesData[[#This Row],[Clean_Customer_Name]],"-",SalesData[[#This Row],[Region]])</f>
        <v>Rohan Gupta-East</v>
      </c>
      <c r="AF206" s="19" t="str">
        <f>MID(SalesData[[#This Row],[Order_ID]],4,4)</f>
        <v>0623</v>
      </c>
      <c r="AG206" s="19" t="e">
        <f ca="1">_xlfn.SINGLE(_xlfn.XLOOKUP(SalesData[[#This Row],[Product]],Product_Master!A:A,Product_Master!B:B,"Not Found"))</f>
        <v>#NAME?</v>
      </c>
      <c r="AH206" s="19" t="str">
        <f>VLOOKUP(SalesData[[#This Row],[Product]],Product_Master!$A$1:$B$21,2,FALSE)</f>
        <v>Neha</v>
      </c>
      <c r="AI206" s="16"/>
    </row>
    <row r="207" spans="1:35" ht="13.8">
      <c r="A207" s="16" t="s">
        <v>828</v>
      </c>
      <c r="B207" s="17">
        <v>45400</v>
      </c>
      <c r="C207" s="16" t="s">
        <v>144</v>
      </c>
      <c r="D207" s="16" t="s">
        <v>145</v>
      </c>
      <c r="E207" s="16" t="s">
        <v>193</v>
      </c>
      <c r="F207" s="16" t="s">
        <v>194</v>
      </c>
      <c r="G207" s="16" t="s">
        <v>89</v>
      </c>
      <c r="H207" s="16" t="s">
        <v>90</v>
      </c>
      <c r="I207" s="16" t="s">
        <v>42</v>
      </c>
      <c r="J207" s="16" t="s">
        <v>68</v>
      </c>
      <c r="K207" s="18">
        <v>2895.76</v>
      </c>
      <c r="L207" s="18">
        <v>2086.16</v>
      </c>
      <c r="M207" s="19">
        <v>4</v>
      </c>
      <c r="N207" s="20">
        <v>0</v>
      </c>
      <c r="O207" s="19" t="s">
        <v>25</v>
      </c>
      <c r="P207" s="19" t="s">
        <v>45</v>
      </c>
      <c r="Q207" s="19" t="str">
        <f>TRIM(SalesData[[#This Row],[Customer_Name]])</f>
        <v>Rohan Gupta</v>
      </c>
      <c r="R207" s="21">
        <f>SalesData[[#This Row],[Sales]]-SalesData[[#This Row],[Cost]]</f>
        <v>809.60000000000036</v>
      </c>
      <c r="S207" s="22">
        <f>IFERROR(SalesData[[#This Row],[Profit]]/SalesData[[#This Row],[Sales]],0)</f>
        <v>0.27958118076083666</v>
      </c>
      <c r="T207" s="19">
        <f>YEAR(SalesData[[#This Row],[Order_Date]])</f>
        <v>2024</v>
      </c>
      <c r="U207" s="19" t="str">
        <f>TEXT(SalesData[[#This Row],[Order_Date]],"mmm")</f>
        <v>Apr</v>
      </c>
      <c r="V207" s="19" t="str">
        <f>"Q"&amp;ROUNDUP(MONTH(SalesData[[#This Row],[Order_Date]])/3,0)</f>
        <v>Q2</v>
      </c>
      <c r="W207" s="19" t="str">
        <f>IF(SalesData[[#This Row],[Sales]]&gt;=50000,"High",IF(AND(SalesData[[#This Row],[Sales]]&gt;= 20000, SalesData[[#This Row],[Sales]]&lt; 50000),"Medium","Low"))</f>
        <v>Low</v>
      </c>
      <c r="X207" s="19" t="str">
        <f>IF(SalesData[[#This Row],[Profit]]&gt;0,"Profit","Loss")</f>
        <v>Profit</v>
      </c>
      <c r="Y207" s="19" t="str">
        <f>IF(AND(SalesData[[#This Row],[Sales]]&gt;= 50000, SalesData[[#This Row],[Quantity]]&gt;=2),"Yes","No")</f>
        <v>No</v>
      </c>
      <c r="Z207" s="19" t="str">
        <f>UPPER(SalesData[[#This Row],[Customer_Name]])</f>
        <v>ROHAN GUPTA</v>
      </c>
      <c r="AA207" s="19" t="str">
        <f>LOWER(SalesData[[#This Row],[Customer_Name]])</f>
        <v>rohan gupta</v>
      </c>
      <c r="AB207" s="19">
        <f>LEN(SalesData[[#This Row],[Customer_Name]])</f>
        <v>11</v>
      </c>
      <c r="AC207" s="19" t="str">
        <f>LEFT(SalesData[[#This Row],[Order_ID]],3)</f>
        <v>ORD</v>
      </c>
      <c r="AD207" s="19" t="str">
        <f>RIGHT(SalesData[[#This Row],[Order_ID]],4)</f>
        <v>0675</v>
      </c>
      <c r="AE207" s="19" t="str">
        <f>_xlfn.CONCAT(SalesData[[#This Row],[Clean_Customer_Name]],"-",SalesData[[#This Row],[Region]])</f>
        <v>Rohan Gupta-East</v>
      </c>
      <c r="AF207" s="19" t="str">
        <f>MID(SalesData[[#This Row],[Order_ID]],4,4)</f>
        <v>0675</v>
      </c>
      <c r="AG207" s="19" t="e">
        <f ca="1">_xlfn.SINGLE(_xlfn.XLOOKUP(SalesData[[#This Row],[Product]],Product_Master!A:A,Product_Master!B:B,"Not Found"))</f>
        <v>#NAME?</v>
      </c>
      <c r="AH207" s="19" t="str">
        <f>VLOOKUP(SalesData[[#This Row],[Product]],Product_Master!$A$1:$B$21,2,FALSE)</f>
        <v>Simran</v>
      </c>
      <c r="AI207" s="16"/>
    </row>
    <row r="208" spans="1:35" ht="13.8">
      <c r="A208" s="16" t="s">
        <v>209</v>
      </c>
      <c r="B208" s="17">
        <v>45597</v>
      </c>
      <c r="C208" s="16" t="s">
        <v>197</v>
      </c>
      <c r="D208" s="16" t="s">
        <v>198</v>
      </c>
      <c r="E208" s="16" t="s">
        <v>30</v>
      </c>
      <c r="F208" s="16" t="s">
        <v>31</v>
      </c>
      <c r="G208" s="16" t="s">
        <v>21</v>
      </c>
      <c r="H208" s="16" t="s">
        <v>32</v>
      </c>
      <c r="I208" s="16" t="s">
        <v>84</v>
      </c>
      <c r="J208" s="16" t="s">
        <v>134</v>
      </c>
      <c r="K208" s="18">
        <v>219220.3</v>
      </c>
      <c r="L208" s="18">
        <v>205572.4</v>
      </c>
      <c r="M208" s="19">
        <v>4</v>
      </c>
      <c r="N208" s="20">
        <v>0.15</v>
      </c>
      <c r="O208" s="19" t="s">
        <v>34</v>
      </c>
      <c r="P208" s="19" t="s">
        <v>58</v>
      </c>
      <c r="Q208" s="19" t="str">
        <f>TRIM(SalesData[[#This Row],[Customer_Name]])</f>
        <v>Ritika Das</v>
      </c>
      <c r="R208" s="21">
        <f>SalesData[[#This Row],[Sales]]-SalesData[[#This Row],[Cost]]</f>
        <v>13647.899999999994</v>
      </c>
      <c r="S208" s="22">
        <f>IFERROR(SalesData[[#This Row],[Profit]]/SalesData[[#This Row],[Sales]],0)</f>
        <v>6.2256551970780054E-2</v>
      </c>
      <c r="T208" s="19">
        <f>YEAR(SalesData[[#This Row],[Order_Date]])</f>
        <v>2024</v>
      </c>
      <c r="U208" s="19" t="str">
        <f>TEXT(SalesData[[#This Row],[Order_Date]],"mmm")</f>
        <v>Nov</v>
      </c>
      <c r="V208" s="19" t="str">
        <f>"Q"&amp;ROUNDUP(MONTH(SalesData[[#This Row],[Order_Date]])/3,0)</f>
        <v>Q4</v>
      </c>
      <c r="W208" s="19" t="str">
        <f>IF(SalesData[[#This Row],[Sales]]&gt;=50000,"High",IF(AND(SalesData[[#This Row],[Sales]]&gt;= 20000, SalesData[[#This Row],[Sales]]&lt; 50000),"Medium","Low"))</f>
        <v>High</v>
      </c>
      <c r="X208" s="19" t="str">
        <f>IF(SalesData[[#This Row],[Profit]]&gt;0,"Profit","Loss")</f>
        <v>Profit</v>
      </c>
      <c r="Y208" s="19" t="str">
        <f>IF(AND(SalesData[[#This Row],[Sales]]&gt;= 50000, SalesData[[#This Row],[Quantity]]&gt;=2),"Yes","No")</f>
        <v>Yes</v>
      </c>
      <c r="Z208" s="19" t="str">
        <f>UPPER(SalesData[[#This Row],[Customer_Name]])</f>
        <v>RITIKA DAS</v>
      </c>
      <c r="AA208" s="19" t="str">
        <f>LOWER(SalesData[[#This Row],[Customer_Name]])</f>
        <v>ritika das</v>
      </c>
      <c r="AB208" s="19">
        <f>LEN(SalesData[[#This Row],[Customer_Name]])</f>
        <v>10</v>
      </c>
      <c r="AC208" s="19" t="str">
        <f>LEFT(SalesData[[#This Row],[Order_ID]],3)</f>
        <v>ORD</v>
      </c>
      <c r="AD208" s="19" t="str">
        <f>RIGHT(SalesData[[#This Row],[Order_ID]],4)</f>
        <v>0060</v>
      </c>
      <c r="AE208" s="19" t="str">
        <f>_xlfn.CONCAT(SalesData[[#This Row],[Clean_Customer_Name]],"-",SalesData[[#This Row],[Region]])</f>
        <v>Ritika Das-South</v>
      </c>
      <c r="AF208" s="19" t="str">
        <f>MID(SalesData[[#This Row],[Order_ID]],4,4)</f>
        <v>0060</v>
      </c>
      <c r="AG208" s="19" t="e">
        <f ca="1">_xlfn.SINGLE(_xlfn.XLOOKUP(SalesData[[#This Row],[Product]],Product_Master!A:A,Product_Master!B:B,"Not Found"))</f>
        <v>#NAME?</v>
      </c>
      <c r="AH208" s="19" t="str">
        <f>VLOOKUP(SalesData[[#This Row],[Product]],Product_Master!$A$1:$B$21,2,FALSE)</f>
        <v>Rahul</v>
      </c>
      <c r="AI208" s="16"/>
    </row>
    <row r="209" spans="1:35" ht="13.8">
      <c r="A209" s="16" t="s">
        <v>592</v>
      </c>
      <c r="B209" s="17">
        <v>45341</v>
      </c>
      <c r="C209" s="16" t="s">
        <v>197</v>
      </c>
      <c r="D209" s="16" t="s">
        <v>198</v>
      </c>
      <c r="E209" s="16" t="s">
        <v>30</v>
      </c>
      <c r="F209" s="16" t="s">
        <v>31</v>
      </c>
      <c r="G209" s="16" t="s">
        <v>21</v>
      </c>
      <c r="H209" s="16" t="s">
        <v>32</v>
      </c>
      <c r="I209" s="16" t="s">
        <v>56</v>
      </c>
      <c r="J209" s="16" t="s">
        <v>57</v>
      </c>
      <c r="K209" s="18">
        <v>268550.23</v>
      </c>
      <c r="L209" s="18">
        <v>260894.8</v>
      </c>
      <c r="M209" s="19">
        <v>5</v>
      </c>
      <c r="N209" s="20">
        <v>0.15</v>
      </c>
      <c r="O209" s="19" t="s">
        <v>34</v>
      </c>
      <c r="P209" s="19" t="s">
        <v>58</v>
      </c>
      <c r="Q209" s="19" t="str">
        <f>TRIM(SalesData[[#This Row],[Customer_Name]])</f>
        <v>Ritika Das</v>
      </c>
      <c r="R209" s="21">
        <f>SalesData[[#This Row],[Sales]]-SalesData[[#This Row],[Cost]]</f>
        <v>7655.429999999993</v>
      </c>
      <c r="S209" s="22">
        <f>IFERROR(SalesData[[#This Row],[Profit]]/SalesData[[#This Row],[Sales]],0)</f>
        <v>2.8506510681446794E-2</v>
      </c>
      <c r="T209" s="19">
        <f>YEAR(SalesData[[#This Row],[Order_Date]])</f>
        <v>2024</v>
      </c>
      <c r="U209" s="19" t="str">
        <f>TEXT(SalesData[[#This Row],[Order_Date]],"mmm")</f>
        <v>Feb</v>
      </c>
      <c r="V209" s="19" t="str">
        <f>"Q"&amp;ROUNDUP(MONTH(SalesData[[#This Row],[Order_Date]])/3,0)</f>
        <v>Q1</v>
      </c>
      <c r="W209" s="19" t="str">
        <f>IF(SalesData[[#This Row],[Sales]]&gt;=50000,"High",IF(AND(SalesData[[#This Row],[Sales]]&gt;= 20000, SalesData[[#This Row],[Sales]]&lt; 50000),"Medium","Low"))</f>
        <v>High</v>
      </c>
      <c r="X209" s="19" t="str">
        <f>IF(SalesData[[#This Row],[Profit]]&gt;0,"Profit","Loss")</f>
        <v>Profit</v>
      </c>
      <c r="Y209" s="19" t="str">
        <f>IF(AND(SalesData[[#This Row],[Sales]]&gt;= 50000, SalesData[[#This Row],[Quantity]]&gt;=2),"Yes","No")</f>
        <v>Yes</v>
      </c>
      <c r="Z209" s="19" t="str">
        <f>UPPER(SalesData[[#This Row],[Customer_Name]])</f>
        <v>RITIKA DAS</v>
      </c>
      <c r="AA209" s="19" t="str">
        <f>LOWER(SalesData[[#This Row],[Customer_Name]])</f>
        <v>ritika das</v>
      </c>
      <c r="AB209" s="19">
        <f>LEN(SalesData[[#This Row],[Customer_Name]])</f>
        <v>10</v>
      </c>
      <c r="AC209" s="19" t="str">
        <f>LEFT(SalesData[[#This Row],[Order_ID]],3)</f>
        <v>ORD</v>
      </c>
      <c r="AD209" s="19" t="str">
        <f>RIGHT(SalesData[[#This Row],[Order_ID]],4)</f>
        <v>0439</v>
      </c>
      <c r="AE209" s="19" t="str">
        <f>_xlfn.CONCAT(SalesData[[#This Row],[Clean_Customer_Name]],"-",SalesData[[#This Row],[Region]])</f>
        <v>Ritika Das-West</v>
      </c>
      <c r="AF209" s="19" t="str">
        <f>MID(SalesData[[#This Row],[Order_ID]],4,4)</f>
        <v>0439</v>
      </c>
      <c r="AG209" s="19" t="e">
        <f ca="1">_xlfn.SINGLE(_xlfn.XLOOKUP(SalesData[[#This Row],[Product]],Product_Master!A:A,Product_Master!B:B,"Not Found"))</f>
        <v>#NAME?</v>
      </c>
      <c r="AH209" s="19" t="str">
        <f>VLOOKUP(SalesData[[#This Row],[Product]],Product_Master!$A$1:$B$21,2,FALSE)</f>
        <v>Rahul</v>
      </c>
      <c r="AI209" s="16"/>
    </row>
    <row r="210" spans="1:35" ht="13.8">
      <c r="A210" s="16" t="s">
        <v>791</v>
      </c>
      <c r="B210" s="17">
        <v>45778</v>
      </c>
      <c r="C210" s="16" t="s">
        <v>197</v>
      </c>
      <c r="D210" s="16" t="s">
        <v>198</v>
      </c>
      <c r="E210" s="16" t="s">
        <v>30</v>
      </c>
      <c r="F210" s="16" t="s">
        <v>31</v>
      </c>
      <c r="G210" s="16" t="s">
        <v>21</v>
      </c>
      <c r="H210" s="16" t="s">
        <v>32</v>
      </c>
      <c r="I210" s="16" t="s">
        <v>23</v>
      </c>
      <c r="J210" s="16" t="s">
        <v>33</v>
      </c>
      <c r="K210" s="18">
        <v>55997.14</v>
      </c>
      <c r="L210" s="18">
        <v>46573.83</v>
      </c>
      <c r="M210" s="19">
        <v>1</v>
      </c>
      <c r="N210" s="20">
        <v>0.05</v>
      </c>
      <c r="O210" s="19" t="s">
        <v>44</v>
      </c>
      <c r="P210" s="19" t="s">
        <v>77</v>
      </c>
      <c r="Q210" s="19" t="str">
        <f>TRIM(SalesData[[#This Row],[Customer_Name]])</f>
        <v>Ritika Das</v>
      </c>
      <c r="R210" s="21">
        <f>SalesData[[#This Row],[Sales]]-SalesData[[#This Row],[Cost]]</f>
        <v>9423.3099999999977</v>
      </c>
      <c r="S210" s="22">
        <f>IFERROR(SalesData[[#This Row],[Profit]]/SalesData[[#This Row],[Sales]],0)</f>
        <v>0.16828198725863497</v>
      </c>
      <c r="T210" s="19">
        <f>YEAR(SalesData[[#This Row],[Order_Date]])</f>
        <v>2025</v>
      </c>
      <c r="U210" s="19" t="str">
        <f>TEXT(SalesData[[#This Row],[Order_Date]],"mmm")</f>
        <v>May</v>
      </c>
      <c r="V210" s="19" t="str">
        <f>"Q"&amp;ROUNDUP(MONTH(SalesData[[#This Row],[Order_Date]])/3,0)</f>
        <v>Q2</v>
      </c>
      <c r="W210" s="19" t="str">
        <f>IF(SalesData[[#This Row],[Sales]]&gt;=50000,"High",IF(AND(SalesData[[#This Row],[Sales]]&gt;= 20000, SalesData[[#This Row],[Sales]]&lt; 50000),"Medium","Low"))</f>
        <v>High</v>
      </c>
      <c r="X210" s="19" t="str">
        <f>IF(SalesData[[#This Row],[Profit]]&gt;0,"Profit","Loss")</f>
        <v>Profit</v>
      </c>
      <c r="Y210" s="19" t="str">
        <f>IF(AND(SalesData[[#This Row],[Sales]]&gt;= 50000, SalesData[[#This Row],[Quantity]]&gt;=2),"Yes","No")</f>
        <v>No</v>
      </c>
      <c r="Z210" s="19" t="str">
        <f>UPPER(SalesData[[#This Row],[Customer_Name]])</f>
        <v>RITIKA DAS</v>
      </c>
      <c r="AA210" s="19" t="str">
        <f>LOWER(SalesData[[#This Row],[Customer_Name]])</f>
        <v>ritika das</v>
      </c>
      <c r="AB210" s="19">
        <f>LEN(SalesData[[#This Row],[Customer_Name]])</f>
        <v>10</v>
      </c>
      <c r="AC210" s="19" t="str">
        <f>LEFT(SalesData[[#This Row],[Order_ID]],3)</f>
        <v>ORD</v>
      </c>
      <c r="AD210" s="19" t="str">
        <f>RIGHT(SalesData[[#This Row],[Order_ID]],4)</f>
        <v>0638</v>
      </c>
      <c r="AE210" s="19" t="str">
        <f>_xlfn.CONCAT(SalesData[[#This Row],[Clean_Customer_Name]],"-",SalesData[[#This Row],[Region]])</f>
        <v>Ritika Das-North</v>
      </c>
      <c r="AF210" s="19" t="str">
        <f>MID(SalesData[[#This Row],[Order_ID]],4,4)</f>
        <v>0638</v>
      </c>
      <c r="AG210" s="19" t="e">
        <f ca="1">_xlfn.SINGLE(_xlfn.XLOOKUP(SalesData[[#This Row],[Product]],Product_Master!A:A,Product_Master!B:B,"Not Found"))</f>
        <v>#NAME?</v>
      </c>
      <c r="AH210" s="19" t="str">
        <f>VLOOKUP(SalesData[[#This Row],[Product]],Product_Master!$A$1:$B$21,2,FALSE)</f>
        <v>Rahul</v>
      </c>
      <c r="AI210" s="16"/>
    </row>
    <row r="211" spans="1:35" ht="13.8">
      <c r="A211" s="16" t="s">
        <v>611</v>
      </c>
      <c r="B211" s="17">
        <v>45959</v>
      </c>
      <c r="C211" s="16" t="s">
        <v>197</v>
      </c>
      <c r="D211" s="16" t="s">
        <v>198</v>
      </c>
      <c r="E211" s="16" t="s">
        <v>81</v>
      </c>
      <c r="F211" s="16" t="s">
        <v>82</v>
      </c>
      <c r="G211" s="16" t="s">
        <v>21</v>
      </c>
      <c r="H211" s="16" t="s">
        <v>83</v>
      </c>
      <c r="I211" s="16" t="s">
        <v>84</v>
      </c>
      <c r="J211" s="16" t="s">
        <v>142</v>
      </c>
      <c r="K211" s="18">
        <v>42764.02</v>
      </c>
      <c r="L211" s="18">
        <v>34706.26</v>
      </c>
      <c r="M211" s="19">
        <v>2</v>
      </c>
      <c r="N211" s="20">
        <v>0</v>
      </c>
      <c r="O211" s="19" t="s">
        <v>76</v>
      </c>
      <c r="P211" s="19" t="s">
        <v>58</v>
      </c>
      <c r="Q211" s="19" t="str">
        <f>TRIM(SalesData[[#This Row],[Customer_Name]])</f>
        <v>Ritika Das</v>
      </c>
      <c r="R211" s="21">
        <f>SalesData[[#This Row],[Sales]]-SalesData[[#This Row],[Cost]]</f>
        <v>8057.7599999999948</v>
      </c>
      <c r="S211" s="22">
        <f>IFERROR(SalesData[[#This Row],[Profit]]/SalesData[[#This Row],[Sales]],0)</f>
        <v>0.18842381983733042</v>
      </c>
      <c r="T211" s="19">
        <f>YEAR(SalesData[[#This Row],[Order_Date]])</f>
        <v>2025</v>
      </c>
      <c r="U211" s="19" t="str">
        <f>TEXT(SalesData[[#This Row],[Order_Date]],"mmm")</f>
        <v>Oct</v>
      </c>
      <c r="V211" s="19" t="str">
        <f>"Q"&amp;ROUNDUP(MONTH(SalesData[[#This Row],[Order_Date]])/3,0)</f>
        <v>Q4</v>
      </c>
      <c r="W211" s="19" t="str">
        <f>IF(SalesData[[#This Row],[Sales]]&gt;=50000,"High",IF(AND(SalesData[[#This Row],[Sales]]&gt;= 20000, SalesData[[#This Row],[Sales]]&lt; 50000),"Medium","Low"))</f>
        <v>Medium</v>
      </c>
      <c r="X211" s="19" t="str">
        <f>IF(SalesData[[#This Row],[Profit]]&gt;0,"Profit","Loss")</f>
        <v>Profit</v>
      </c>
      <c r="Y211" s="19" t="str">
        <f>IF(AND(SalesData[[#This Row],[Sales]]&gt;= 50000, SalesData[[#This Row],[Quantity]]&gt;=2),"Yes","No")</f>
        <v>No</v>
      </c>
      <c r="Z211" s="19" t="str">
        <f>UPPER(SalesData[[#This Row],[Customer_Name]])</f>
        <v>RITIKA DAS</v>
      </c>
      <c r="AA211" s="19" t="str">
        <f>LOWER(SalesData[[#This Row],[Customer_Name]])</f>
        <v>ritika das</v>
      </c>
      <c r="AB211" s="19">
        <f>LEN(SalesData[[#This Row],[Customer_Name]])</f>
        <v>10</v>
      </c>
      <c r="AC211" s="19" t="str">
        <f>LEFT(SalesData[[#This Row],[Order_ID]],3)</f>
        <v>ORD</v>
      </c>
      <c r="AD211" s="19" t="str">
        <f>RIGHT(SalesData[[#This Row],[Order_ID]],4)</f>
        <v>0458</v>
      </c>
      <c r="AE211" s="19" t="str">
        <f>_xlfn.CONCAT(SalesData[[#This Row],[Clean_Customer_Name]],"-",SalesData[[#This Row],[Region]])</f>
        <v>Ritika Das-South</v>
      </c>
      <c r="AF211" s="19" t="str">
        <f>MID(SalesData[[#This Row],[Order_ID]],4,4)</f>
        <v>0458</v>
      </c>
      <c r="AG211" s="19" t="e">
        <f ca="1">_xlfn.SINGLE(_xlfn.XLOOKUP(SalesData[[#This Row],[Product]],Product_Master!A:A,Product_Master!B:B,"Not Found"))</f>
        <v>#NAME?</v>
      </c>
      <c r="AH211" s="19" t="str">
        <f>VLOOKUP(SalesData[[#This Row],[Product]],Product_Master!$A$1:$B$21,2,FALSE)</f>
        <v>Priya</v>
      </c>
      <c r="AI211" s="16"/>
    </row>
    <row r="212" spans="1:35" ht="13.8">
      <c r="A212" s="16" t="s">
        <v>469</v>
      </c>
      <c r="B212" s="17">
        <v>45899</v>
      </c>
      <c r="C212" s="16" t="s">
        <v>197</v>
      </c>
      <c r="D212" s="16" t="s">
        <v>198</v>
      </c>
      <c r="E212" s="16" t="s">
        <v>62</v>
      </c>
      <c r="F212" s="16" t="s">
        <v>63</v>
      </c>
      <c r="G212" s="16" t="s">
        <v>21</v>
      </c>
      <c r="H212" s="16" t="s">
        <v>64</v>
      </c>
      <c r="I212" s="16" t="s">
        <v>23</v>
      </c>
      <c r="J212" s="16" t="s">
        <v>75</v>
      </c>
      <c r="K212" s="18">
        <v>8023.36</v>
      </c>
      <c r="L212" s="18">
        <v>3614</v>
      </c>
      <c r="M212" s="19">
        <v>2</v>
      </c>
      <c r="N212" s="20">
        <v>0</v>
      </c>
      <c r="O212" s="19" t="s">
        <v>44</v>
      </c>
      <c r="P212" s="19" t="s">
        <v>58</v>
      </c>
      <c r="Q212" s="19" t="str">
        <f>TRIM(SalesData[[#This Row],[Customer_Name]])</f>
        <v>Ritika Das</v>
      </c>
      <c r="R212" s="21">
        <f>SalesData[[#This Row],[Sales]]-SalesData[[#This Row],[Cost]]</f>
        <v>4409.3599999999997</v>
      </c>
      <c r="S212" s="22">
        <f>IFERROR(SalesData[[#This Row],[Profit]]/SalesData[[#This Row],[Sales]],0)</f>
        <v>0.54956526941331307</v>
      </c>
      <c r="T212" s="19">
        <f>YEAR(SalesData[[#This Row],[Order_Date]])</f>
        <v>2025</v>
      </c>
      <c r="U212" s="19" t="str">
        <f>TEXT(SalesData[[#This Row],[Order_Date]],"mmm")</f>
        <v>Aug</v>
      </c>
      <c r="V212" s="19" t="str">
        <f>"Q"&amp;ROUNDUP(MONTH(SalesData[[#This Row],[Order_Date]])/3,0)</f>
        <v>Q3</v>
      </c>
      <c r="W212" s="19" t="str">
        <f>IF(SalesData[[#This Row],[Sales]]&gt;=50000,"High",IF(AND(SalesData[[#This Row],[Sales]]&gt;= 20000, SalesData[[#This Row],[Sales]]&lt; 50000),"Medium","Low"))</f>
        <v>Low</v>
      </c>
      <c r="X212" s="19" t="str">
        <f>IF(SalesData[[#This Row],[Profit]]&gt;0,"Profit","Loss")</f>
        <v>Profit</v>
      </c>
      <c r="Y212" s="19" t="str">
        <f>IF(AND(SalesData[[#This Row],[Sales]]&gt;= 50000, SalesData[[#This Row],[Quantity]]&gt;=2),"Yes","No")</f>
        <v>No</v>
      </c>
      <c r="Z212" s="19" t="str">
        <f>UPPER(SalesData[[#This Row],[Customer_Name]])</f>
        <v>RITIKA DAS</v>
      </c>
      <c r="AA212" s="19" t="str">
        <f>LOWER(SalesData[[#This Row],[Customer_Name]])</f>
        <v>ritika das</v>
      </c>
      <c r="AB212" s="19">
        <f>LEN(SalesData[[#This Row],[Customer_Name]])</f>
        <v>10</v>
      </c>
      <c r="AC212" s="19" t="str">
        <f>LEFT(SalesData[[#This Row],[Order_ID]],3)</f>
        <v>ORD</v>
      </c>
      <c r="AD212" s="19" t="str">
        <f>RIGHT(SalesData[[#This Row],[Order_ID]],4)</f>
        <v>0316</v>
      </c>
      <c r="AE212" s="19" t="str">
        <f>_xlfn.CONCAT(SalesData[[#This Row],[Clean_Customer_Name]],"-",SalesData[[#This Row],[Region]])</f>
        <v>Ritika Das-North</v>
      </c>
      <c r="AF212" s="19" t="str">
        <f>MID(SalesData[[#This Row],[Order_ID]],4,4)</f>
        <v>0316</v>
      </c>
      <c r="AG212" s="19" t="e">
        <f ca="1">_xlfn.SINGLE(_xlfn.XLOOKUP(SalesData[[#This Row],[Product]],Product_Master!A:A,Product_Master!B:B,"Not Found"))</f>
        <v>#NAME?</v>
      </c>
      <c r="AH212" s="19" t="str">
        <f>VLOOKUP(SalesData[[#This Row],[Product]],Product_Master!$A$1:$B$21,2,FALSE)</f>
        <v>Amit</v>
      </c>
      <c r="AI212" s="16"/>
    </row>
    <row r="213" spans="1:35" ht="13.8">
      <c r="A213" s="16" t="s">
        <v>562</v>
      </c>
      <c r="B213" s="17">
        <v>45921</v>
      </c>
      <c r="C213" s="16" t="s">
        <v>197</v>
      </c>
      <c r="D213" s="16" t="s">
        <v>198</v>
      </c>
      <c r="E213" s="16" t="s">
        <v>62</v>
      </c>
      <c r="F213" s="16" t="s">
        <v>63</v>
      </c>
      <c r="G213" s="16" t="s">
        <v>21</v>
      </c>
      <c r="H213" s="16" t="s">
        <v>64</v>
      </c>
      <c r="I213" s="16" t="s">
        <v>23</v>
      </c>
      <c r="J213" s="16" t="s">
        <v>75</v>
      </c>
      <c r="K213" s="18">
        <v>13004.39</v>
      </c>
      <c r="L213" s="18">
        <v>7392.24</v>
      </c>
      <c r="M213" s="19">
        <v>4</v>
      </c>
      <c r="N213" s="20">
        <v>0.15</v>
      </c>
      <c r="O213" s="19" t="s">
        <v>136</v>
      </c>
      <c r="P213" s="19" t="s">
        <v>58</v>
      </c>
      <c r="Q213" s="19" t="str">
        <f>TRIM(SalesData[[#This Row],[Customer_Name]])</f>
        <v>Ritika Das</v>
      </c>
      <c r="R213" s="21">
        <f>SalesData[[#This Row],[Sales]]-SalesData[[#This Row],[Cost]]</f>
        <v>5612.15</v>
      </c>
      <c r="S213" s="22">
        <f>IFERROR(SalesData[[#This Row],[Profit]]/SalesData[[#This Row],[Sales]],0)</f>
        <v>0.43155811229900054</v>
      </c>
      <c r="T213" s="19">
        <f>YEAR(SalesData[[#This Row],[Order_Date]])</f>
        <v>2025</v>
      </c>
      <c r="U213" s="19" t="str">
        <f>TEXT(SalesData[[#This Row],[Order_Date]],"mmm")</f>
        <v>Sept</v>
      </c>
      <c r="V213" s="19" t="str">
        <f>"Q"&amp;ROUNDUP(MONTH(SalesData[[#This Row],[Order_Date]])/3,0)</f>
        <v>Q3</v>
      </c>
      <c r="W213" s="19" t="str">
        <f>IF(SalesData[[#This Row],[Sales]]&gt;=50000,"High",IF(AND(SalesData[[#This Row],[Sales]]&gt;= 20000, SalesData[[#This Row],[Sales]]&lt; 50000),"Medium","Low"))</f>
        <v>Low</v>
      </c>
      <c r="X213" s="19" t="str">
        <f>IF(SalesData[[#This Row],[Profit]]&gt;0,"Profit","Loss")</f>
        <v>Profit</v>
      </c>
      <c r="Y213" s="19" t="str">
        <f>IF(AND(SalesData[[#This Row],[Sales]]&gt;= 50000, SalesData[[#This Row],[Quantity]]&gt;=2),"Yes","No")</f>
        <v>No</v>
      </c>
      <c r="Z213" s="19" t="str">
        <f>UPPER(SalesData[[#This Row],[Customer_Name]])</f>
        <v>RITIKA DAS</v>
      </c>
      <c r="AA213" s="19" t="str">
        <f>LOWER(SalesData[[#This Row],[Customer_Name]])</f>
        <v>ritika das</v>
      </c>
      <c r="AB213" s="19">
        <f>LEN(SalesData[[#This Row],[Customer_Name]])</f>
        <v>10</v>
      </c>
      <c r="AC213" s="19" t="str">
        <f>LEFT(SalesData[[#This Row],[Order_ID]],3)</f>
        <v>ORD</v>
      </c>
      <c r="AD213" s="19" t="str">
        <f>RIGHT(SalesData[[#This Row],[Order_ID]],4)</f>
        <v>0409</v>
      </c>
      <c r="AE213" s="19" t="str">
        <f>_xlfn.CONCAT(SalesData[[#This Row],[Clean_Customer_Name]],"-",SalesData[[#This Row],[Region]])</f>
        <v>Ritika Das-North</v>
      </c>
      <c r="AF213" s="19" t="str">
        <f>MID(SalesData[[#This Row],[Order_ID]],4,4)</f>
        <v>0409</v>
      </c>
      <c r="AG213" s="19" t="e">
        <f ca="1">_xlfn.SINGLE(_xlfn.XLOOKUP(SalesData[[#This Row],[Product]],Product_Master!A:A,Product_Master!B:B,"Not Found"))</f>
        <v>#NAME?</v>
      </c>
      <c r="AH213" s="19" t="str">
        <f>VLOOKUP(SalesData[[#This Row],[Product]],Product_Master!$A$1:$B$21,2,FALSE)</f>
        <v>Amit</v>
      </c>
      <c r="AI213" s="16"/>
    </row>
    <row r="214" spans="1:35" ht="13.8">
      <c r="A214" s="16" t="s">
        <v>809</v>
      </c>
      <c r="B214" s="17">
        <v>45940</v>
      </c>
      <c r="C214" s="16" t="s">
        <v>197</v>
      </c>
      <c r="D214" s="16" t="s">
        <v>198</v>
      </c>
      <c r="E214" s="16" t="s">
        <v>62</v>
      </c>
      <c r="F214" s="16" t="s">
        <v>63</v>
      </c>
      <c r="G214" s="16" t="s">
        <v>21</v>
      </c>
      <c r="H214" s="16" t="s">
        <v>64</v>
      </c>
      <c r="I214" s="16" t="s">
        <v>42</v>
      </c>
      <c r="J214" s="16" t="s">
        <v>68</v>
      </c>
      <c r="K214" s="18">
        <v>17086.25</v>
      </c>
      <c r="L214" s="18">
        <v>9536.6</v>
      </c>
      <c r="M214" s="19">
        <v>5</v>
      </c>
      <c r="N214" s="20">
        <v>0</v>
      </c>
      <c r="O214" s="19" t="s">
        <v>44</v>
      </c>
      <c r="P214" s="19" t="s">
        <v>58</v>
      </c>
      <c r="Q214" s="19" t="str">
        <f>TRIM(SalesData[[#This Row],[Customer_Name]])</f>
        <v>Ritika Das</v>
      </c>
      <c r="R214" s="21">
        <f>SalesData[[#This Row],[Sales]]-SalesData[[#This Row],[Cost]]</f>
        <v>7549.65</v>
      </c>
      <c r="S214" s="22">
        <f>IFERROR(SalesData[[#This Row],[Profit]]/SalesData[[#This Row],[Sales]],0)</f>
        <v>0.44185529299875631</v>
      </c>
      <c r="T214" s="19">
        <f>YEAR(SalesData[[#This Row],[Order_Date]])</f>
        <v>2025</v>
      </c>
      <c r="U214" s="19" t="str">
        <f>TEXT(SalesData[[#This Row],[Order_Date]],"mmm")</f>
        <v>Oct</v>
      </c>
      <c r="V214" s="19" t="str">
        <f>"Q"&amp;ROUNDUP(MONTH(SalesData[[#This Row],[Order_Date]])/3,0)</f>
        <v>Q4</v>
      </c>
      <c r="W214" s="19" t="str">
        <f>IF(SalesData[[#This Row],[Sales]]&gt;=50000,"High",IF(AND(SalesData[[#This Row],[Sales]]&gt;= 20000, SalesData[[#This Row],[Sales]]&lt; 50000),"Medium","Low"))</f>
        <v>Low</v>
      </c>
      <c r="X214" s="19" t="str">
        <f>IF(SalesData[[#This Row],[Profit]]&gt;0,"Profit","Loss")</f>
        <v>Profit</v>
      </c>
      <c r="Y214" s="19" t="str">
        <f>IF(AND(SalesData[[#This Row],[Sales]]&gt;= 50000, SalesData[[#This Row],[Quantity]]&gt;=2),"Yes","No")</f>
        <v>No</v>
      </c>
      <c r="Z214" s="19" t="str">
        <f>UPPER(SalesData[[#This Row],[Customer_Name]])</f>
        <v>RITIKA DAS</v>
      </c>
      <c r="AA214" s="19" t="str">
        <f>LOWER(SalesData[[#This Row],[Customer_Name]])</f>
        <v>ritika das</v>
      </c>
      <c r="AB214" s="19">
        <f>LEN(SalesData[[#This Row],[Customer_Name]])</f>
        <v>10</v>
      </c>
      <c r="AC214" s="19" t="str">
        <f>LEFT(SalesData[[#This Row],[Order_ID]],3)</f>
        <v>ORD</v>
      </c>
      <c r="AD214" s="19" t="str">
        <f>RIGHT(SalesData[[#This Row],[Order_ID]],4)</f>
        <v>0656</v>
      </c>
      <c r="AE214" s="19" t="str">
        <f>_xlfn.CONCAT(SalesData[[#This Row],[Clean_Customer_Name]],"-",SalesData[[#This Row],[Region]])</f>
        <v>Ritika Das-East</v>
      </c>
      <c r="AF214" s="19" t="str">
        <f>MID(SalesData[[#This Row],[Order_ID]],4,4)</f>
        <v>0656</v>
      </c>
      <c r="AG214" s="19" t="e">
        <f ca="1">_xlfn.SINGLE(_xlfn.XLOOKUP(SalesData[[#This Row],[Product]],Product_Master!A:A,Product_Master!B:B,"Not Found"))</f>
        <v>#NAME?</v>
      </c>
      <c r="AH214" s="19" t="str">
        <f>VLOOKUP(SalesData[[#This Row],[Product]],Product_Master!$A$1:$B$21,2,FALSE)</f>
        <v>Amit</v>
      </c>
      <c r="AI214" s="16"/>
    </row>
    <row r="215" spans="1:35" ht="13.8">
      <c r="A215" s="16" t="s">
        <v>215</v>
      </c>
      <c r="B215" s="17">
        <v>45515</v>
      </c>
      <c r="C215" s="16" t="s">
        <v>197</v>
      </c>
      <c r="D215" s="16" t="s">
        <v>198</v>
      </c>
      <c r="E215" s="16" t="s">
        <v>19</v>
      </c>
      <c r="F215" s="16" t="s">
        <v>20</v>
      </c>
      <c r="G215" s="16" t="s">
        <v>21</v>
      </c>
      <c r="H215" s="16" t="s">
        <v>22</v>
      </c>
      <c r="I215" s="16" t="s">
        <v>42</v>
      </c>
      <c r="J215" s="16" t="s">
        <v>43</v>
      </c>
      <c r="K215" s="18">
        <v>29204.18</v>
      </c>
      <c r="L215" s="18">
        <v>12478.72</v>
      </c>
      <c r="M215" s="19">
        <v>4</v>
      </c>
      <c r="N215" s="20">
        <v>0.05</v>
      </c>
      <c r="O215" s="19" t="s">
        <v>34</v>
      </c>
      <c r="P215" s="19" t="s">
        <v>58</v>
      </c>
      <c r="Q215" s="19" t="str">
        <f>TRIM(SalesData[[#This Row],[Customer_Name]])</f>
        <v>Ritika Das</v>
      </c>
      <c r="R215" s="21">
        <f>SalesData[[#This Row],[Sales]]-SalesData[[#This Row],[Cost]]</f>
        <v>16725.46</v>
      </c>
      <c r="S215" s="22">
        <f>IFERROR(SalesData[[#This Row],[Profit]]/SalesData[[#This Row],[Sales]],0)</f>
        <v>0.57270774252178969</v>
      </c>
      <c r="T215" s="19">
        <f>YEAR(SalesData[[#This Row],[Order_Date]])</f>
        <v>2024</v>
      </c>
      <c r="U215" s="19" t="str">
        <f>TEXT(SalesData[[#This Row],[Order_Date]],"mmm")</f>
        <v>Aug</v>
      </c>
      <c r="V215" s="19" t="str">
        <f>"Q"&amp;ROUNDUP(MONTH(SalesData[[#This Row],[Order_Date]])/3,0)</f>
        <v>Q3</v>
      </c>
      <c r="W215" s="19" t="str">
        <f>IF(SalesData[[#This Row],[Sales]]&gt;=50000,"High",IF(AND(SalesData[[#This Row],[Sales]]&gt;= 20000, SalesData[[#This Row],[Sales]]&lt; 50000),"Medium","Low"))</f>
        <v>Medium</v>
      </c>
      <c r="X215" s="19" t="str">
        <f>IF(SalesData[[#This Row],[Profit]]&gt;0,"Profit","Loss")</f>
        <v>Profit</v>
      </c>
      <c r="Y215" s="19" t="str">
        <f>IF(AND(SalesData[[#This Row],[Sales]]&gt;= 50000, SalesData[[#This Row],[Quantity]]&gt;=2),"Yes","No")</f>
        <v>No</v>
      </c>
      <c r="Z215" s="19" t="str">
        <f>UPPER(SalesData[[#This Row],[Customer_Name]])</f>
        <v>RITIKA DAS</v>
      </c>
      <c r="AA215" s="19" t="str">
        <f>LOWER(SalesData[[#This Row],[Customer_Name]])</f>
        <v>ritika das</v>
      </c>
      <c r="AB215" s="19">
        <f>LEN(SalesData[[#This Row],[Customer_Name]])</f>
        <v>10</v>
      </c>
      <c r="AC215" s="19" t="str">
        <f>LEFT(SalesData[[#This Row],[Order_ID]],3)</f>
        <v>ORD</v>
      </c>
      <c r="AD215" s="19" t="str">
        <f>RIGHT(SalesData[[#This Row],[Order_ID]],4)</f>
        <v>0066</v>
      </c>
      <c r="AE215" s="19" t="str">
        <f>_xlfn.CONCAT(SalesData[[#This Row],[Clean_Customer_Name]],"-",SalesData[[#This Row],[Region]])</f>
        <v>Ritika Das-East</v>
      </c>
      <c r="AF215" s="19" t="str">
        <f>MID(SalesData[[#This Row],[Order_ID]],4,4)</f>
        <v>0066</v>
      </c>
      <c r="AG215" s="19" t="e">
        <f ca="1">_xlfn.SINGLE(_xlfn.XLOOKUP(SalesData[[#This Row],[Product]],Product_Master!A:A,Product_Master!B:B,"Not Found"))</f>
        <v>#NAME?</v>
      </c>
      <c r="AH215" s="19" t="str">
        <f>VLOOKUP(SalesData[[#This Row],[Product]],Product_Master!$A$1:$B$21,2,FALSE)</f>
        <v>Neha</v>
      </c>
      <c r="AI215" s="16"/>
    </row>
    <row r="216" spans="1:35" ht="13.8">
      <c r="A216" s="16" t="s">
        <v>273</v>
      </c>
      <c r="B216" s="17">
        <v>45532</v>
      </c>
      <c r="C216" s="16" t="s">
        <v>197</v>
      </c>
      <c r="D216" s="16" t="s">
        <v>198</v>
      </c>
      <c r="E216" s="16" t="s">
        <v>19</v>
      </c>
      <c r="F216" s="16" t="s">
        <v>20</v>
      </c>
      <c r="G216" s="16" t="s">
        <v>21</v>
      </c>
      <c r="H216" s="16" t="s">
        <v>22</v>
      </c>
      <c r="I216" s="16" t="s">
        <v>23</v>
      </c>
      <c r="J216" s="16" t="s">
        <v>33</v>
      </c>
      <c r="K216" s="18">
        <v>23674.2</v>
      </c>
      <c r="L216" s="18">
        <v>13907</v>
      </c>
      <c r="M216" s="19">
        <v>5</v>
      </c>
      <c r="N216" s="20">
        <v>0.2</v>
      </c>
      <c r="O216" s="19" t="s">
        <v>136</v>
      </c>
      <c r="P216" s="19" t="s">
        <v>58</v>
      </c>
      <c r="Q216" s="19" t="str">
        <f>TRIM(SalesData[[#This Row],[Customer_Name]])</f>
        <v>Ritika Das</v>
      </c>
      <c r="R216" s="21">
        <f>SalesData[[#This Row],[Sales]]-SalesData[[#This Row],[Cost]]</f>
        <v>9767.2000000000007</v>
      </c>
      <c r="S216" s="22">
        <f>IFERROR(SalesData[[#This Row],[Profit]]/SalesData[[#This Row],[Sales]],0)</f>
        <v>0.41256726732054305</v>
      </c>
      <c r="T216" s="19">
        <f>YEAR(SalesData[[#This Row],[Order_Date]])</f>
        <v>2024</v>
      </c>
      <c r="U216" s="19" t="str">
        <f>TEXT(SalesData[[#This Row],[Order_Date]],"mmm")</f>
        <v>Aug</v>
      </c>
      <c r="V216" s="19" t="str">
        <f>"Q"&amp;ROUNDUP(MONTH(SalesData[[#This Row],[Order_Date]])/3,0)</f>
        <v>Q3</v>
      </c>
      <c r="W216" s="19" t="str">
        <f>IF(SalesData[[#This Row],[Sales]]&gt;=50000,"High",IF(AND(SalesData[[#This Row],[Sales]]&gt;= 20000, SalesData[[#This Row],[Sales]]&lt; 50000),"Medium","Low"))</f>
        <v>Medium</v>
      </c>
      <c r="X216" s="19" t="str">
        <f>IF(SalesData[[#This Row],[Profit]]&gt;0,"Profit","Loss")</f>
        <v>Profit</v>
      </c>
      <c r="Y216" s="19" t="str">
        <f>IF(AND(SalesData[[#This Row],[Sales]]&gt;= 50000, SalesData[[#This Row],[Quantity]]&gt;=2),"Yes","No")</f>
        <v>No</v>
      </c>
      <c r="Z216" s="19" t="str">
        <f>UPPER(SalesData[[#This Row],[Customer_Name]])</f>
        <v>RITIKA DAS</v>
      </c>
      <c r="AA216" s="19" t="str">
        <f>LOWER(SalesData[[#This Row],[Customer_Name]])</f>
        <v>ritika das</v>
      </c>
      <c r="AB216" s="19">
        <f>LEN(SalesData[[#This Row],[Customer_Name]])</f>
        <v>10</v>
      </c>
      <c r="AC216" s="19" t="str">
        <f>LEFT(SalesData[[#This Row],[Order_ID]],3)</f>
        <v>ORD</v>
      </c>
      <c r="AD216" s="19" t="str">
        <f>RIGHT(SalesData[[#This Row],[Order_ID]],4)</f>
        <v>0120</v>
      </c>
      <c r="AE216" s="19" t="str">
        <f>_xlfn.CONCAT(SalesData[[#This Row],[Clean_Customer_Name]],"-",SalesData[[#This Row],[Region]])</f>
        <v>Ritika Das-North</v>
      </c>
      <c r="AF216" s="19" t="str">
        <f>MID(SalesData[[#This Row],[Order_ID]],4,4)</f>
        <v>0120</v>
      </c>
      <c r="AG216" s="19" t="e">
        <f ca="1">_xlfn.SINGLE(_xlfn.XLOOKUP(SalesData[[#This Row],[Product]],Product_Master!A:A,Product_Master!B:B,"Not Found"))</f>
        <v>#NAME?</v>
      </c>
      <c r="AH216" s="19" t="str">
        <f>VLOOKUP(SalesData[[#This Row],[Product]],Product_Master!$A$1:$B$21,2,FALSE)</f>
        <v>Neha</v>
      </c>
      <c r="AI216" s="16"/>
    </row>
    <row r="217" spans="1:35" ht="13.8">
      <c r="A217" s="16" t="s">
        <v>541</v>
      </c>
      <c r="B217" s="17">
        <v>45525</v>
      </c>
      <c r="C217" s="16" t="s">
        <v>197</v>
      </c>
      <c r="D217" s="16" t="s">
        <v>198</v>
      </c>
      <c r="E217" s="16" t="s">
        <v>19</v>
      </c>
      <c r="F217" s="16" t="s">
        <v>20</v>
      </c>
      <c r="G217" s="16" t="s">
        <v>21</v>
      </c>
      <c r="H217" s="16" t="s">
        <v>22</v>
      </c>
      <c r="I217" s="16" t="s">
        <v>53</v>
      </c>
      <c r="J217" s="16" t="s">
        <v>102</v>
      </c>
      <c r="K217" s="18">
        <v>13598.28</v>
      </c>
      <c r="L217" s="18">
        <v>5760.58</v>
      </c>
      <c r="M217" s="19">
        <v>2</v>
      </c>
      <c r="N217" s="20">
        <v>0.1</v>
      </c>
      <c r="O217" s="19" t="s">
        <v>44</v>
      </c>
      <c r="P217" s="19" t="s">
        <v>26</v>
      </c>
      <c r="Q217" s="19" t="str">
        <f>TRIM(SalesData[[#This Row],[Customer_Name]])</f>
        <v>Ritika Das</v>
      </c>
      <c r="R217" s="21">
        <f>SalesData[[#This Row],[Sales]]-SalesData[[#This Row],[Cost]]</f>
        <v>7837.7000000000007</v>
      </c>
      <c r="S217" s="22">
        <f>IFERROR(SalesData[[#This Row],[Profit]]/SalesData[[#This Row],[Sales]],0)</f>
        <v>0.5763743649932197</v>
      </c>
      <c r="T217" s="19">
        <f>YEAR(SalesData[[#This Row],[Order_Date]])</f>
        <v>2024</v>
      </c>
      <c r="U217" s="19" t="str">
        <f>TEXT(SalesData[[#This Row],[Order_Date]],"mmm")</f>
        <v>Aug</v>
      </c>
      <c r="V217" s="19" t="str">
        <f>"Q"&amp;ROUNDUP(MONTH(SalesData[[#This Row],[Order_Date]])/3,0)</f>
        <v>Q3</v>
      </c>
      <c r="W217" s="19" t="str">
        <f>IF(SalesData[[#This Row],[Sales]]&gt;=50000,"High",IF(AND(SalesData[[#This Row],[Sales]]&gt;= 20000, SalesData[[#This Row],[Sales]]&lt; 50000),"Medium","Low"))</f>
        <v>Low</v>
      </c>
      <c r="X217" s="19" t="str">
        <f>IF(SalesData[[#This Row],[Profit]]&gt;0,"Profit","Loss")</f>
        <v>Profit</v>
      </c>
      <c r="Y217" s="19" t="str">
        <f>IF(AND(SalesData[[#This Row],[Sales]]&gt;= 50000, SalesData[[#This Row],[Quantity]]&gt;=2),"Yes","No")</f>
        <v>No</v>
      </c>
      <c r="Z217" s="19" t="str">
        <f>UPPER(SalesData[[#This Row],[Customer_Name]])</f>
        <v>RITIKA DAS</v>
      </c>
      <c r="AA217" s="19" t="str">
        <f>LOWER(SalesData[[#This Row],[Customer_Name]])</f>
        <v>ritika das</v>
      </c>
      <c r="AB217" s="19">
        <f>LEN(SalesData[[#This Row],[Customer_Name]])</f>
        <v>10</v>
      </c>
      <c r="AC217" s="19" t="str">
        <f>LEFT(SalesData[[#This Row],[Order_ID]],3)</f>
        <v>ORD</v>
      </c>
      <c r="AD217" s="19" t="str">
        <f>RIGHT(SalesData[[#This Row],[Order_ID]],4)</f>
        <v>0388</v>
      </c>
      <c r="AE217" s="19" t="str">
        <f>_xlfn.CONCAT(SalesData[[#This Row],[Clean_Customer_Name]],"-",SalesData[[#This Row],[Region]])</f>
        <v>Ritika Das-Central</v>
      </c>
      <c r="AF217" s="19" t="str">
        <f>MID(SalesData[[#This Row],[Order_ID]],4,4)</f>
        <v>0388</v>
      </c>
      <c r="AG217" s="19" t="e">
        <f ca="1">_xlfn.SINGLE(_xlfn.XLOOKUP(SalesData[[#This Row],[Product]],Product_Master!A:A,Product_Master!B:B,"Not Found"))</f>
        <v>#NAME?</v>
      </c>
      <c r="AH217" s="19" t="str">
        <f>VLOOKUP(SalesData[[#This Row],[Product]],Product_Master!$A$1:$B$21,2,FALSE)</f>
        <v>Neha</v>
      </c>
      <c r="AI217" s="16"/>
    </row>
    <row r="218" spans="1:35" ht="13.8">
      <c r="A218" s="16" t="s">
        <v>661</v>
      </c>
      <c r="B218" s="17">
        <v>45361</v>
      </c>
      <c r="C218" s="16" t="s">
        <v>197</v>
      </c>
      <c r="D218" s="16" t="s">
        <v>198</v>
      </c>
      <c r="E218" s="16" t="s">
        <v>19</v>
      </c>
      <c r="F218" s="16" t="s">
        <v>20</v>
      </c>
      <c r="G218" s="16" t="s">
        <v>21</v>
      </c>
      <c r="H218" s="16" t="s">
        <v>22</v>
      </c>
      <c r="I218" s="16" t="s">
        <v>84</v>
      </c>
      <c r="J218" s="16" t="s">
        <v>142</v>
      </c>
      <c r="K218" s="18">
        <v>34075.660000000003</v>
      </c>
      <c r="L218" s="18">
        <v>12320.8</v>
      </c>
      <c r="M218" s="19">
        <v>4</v>
      </c>
      <c r="N218" s="20">
        <v>0.05</v>
      </c>
      <c r="O218" s="19" t="s">
        <v>44</v>
      </c>
      <c r="P218" s="19" t="s">
        <v>26</v>
      </c>
      <c r="Q218" s="19" t="str">
        <f>TRIM(SalesData[[#This Row],[Customer_Name]])</f>
        <v>Ritika Das</v>
      </c>
      <c r="R218" s="21">
        <f>SalesData[[#This Row],[Sales]]-SalesData[[#This Row],[Cost]]</f>
        <v>21754.860000000004</v>
      </c>
      <c r="S218" s="22">
        <f>IFERROR(SalesData[[#This Row],[Profit]]/SalesData[[#This Row],[Sales]],0)</f>
        <v>0.63842813316015012</v>
      </c>
      <c r="T218" s="19">
        <f>YEAR(SalesData[[#This Row],[Order_Date]])</f>
        <v>2024</v>
      </c>
      <c r="U218" s="19" t="str">
        <f>TEXT(SalesData[[#This Row],[Order_Date]],"mmm")</f>
        <v>Mar</v>
      </c>
      <c r="V218" s="19" t="str">
        <f>"Q"&amp;ROUNDUP(MONTH(SalesData[[#This Row],[Order_Date]])/3,0)</f>
        <v>Q1</v>
      </c>
      <c r="W218" s="19" t="str">
        <f>IF(SalesData[[#This Row],[Sales]]&gt;=50000,"High",IF(AND(SalesData[[#This Row],[Sales]]&gt;= 20000, SalesData[[#This Row],[Sales]]&lt; 50000),"Medium","Low"))</f>
        <v>Medium</v>
      </c>
      <c r="X218" s="19" t="str">
        <f>IF(SalesData[[#This Row],[Profit]]&gt;0,"Profit","Loss")</f>
        <v>Profit</v>
      </c>
      <c r="Y218" s="19" t="str">
        <f>IF(AND(SalesData[[#This Row],[Sales]]&gt;= 50000, SalesData[[#This Row],[Quantity]]&gt;=2),"Yes","No")</f>
        <v>No</v>
      </c>
      <c r="Z218" s="19" t="str">
        <f>UPPER(SalesData[[#This Row],[Customer_Name]])</f>
        <v>RITIKA DAS</v>
      </c>
      <c r="AA218" s="19" t="str">
        <f>LOWER(SalesData[[#This Row],[Customer_Name]])</f>
        <v>ritika das</v>
      </c>
      <c r="AB218" s="19">
        <f>LEN(SalesData[[#This Row],[Customer_Name]])</f>
        <v>10</v>
      </c>
      <c r="AC218" s="19" t="str">
        <f>LEFT(SalesData[[#This Row],[Order_ID]],3)</f>
        <v>ORD</v>
      </c>
      <c r="AD218" s="19" t="str">
        <f>RIGHT(SalesData[[#This Row],[Order_ID]],4)</f>
        <v>0508</v>
      </c>
      <c r="AE218" s="19" t="str">
        <f>_xlfn.CONCAT(SalesData[[#This Row],[Clean_Customer_Name]],"-",SalesData[[#This Row],[Region]])</f>
        <v>Ritika Das-South</v>
      </c>
      <c r="AF218" s="19" t="str">
        <f>MID(SalesData[[#This Row],[Order_ID]],4,4)</f>
        <v>0508</v>
      </c>
      <c r="AG218" s="19" t="e">
        <f ca="1">_xlfn.SINGLE(_xlfn.XLOOKUP(SalesData[[#This Row],[Product]],Product_Master!A:A,Product_Master!B:B,"Not Found"))</f>
        <v>#NAME?</v>
      </c>
      <c r="AH218" s="19" t="str">
        <f>VLOOKUP(SalesData[[#This Row],[Product]],Product_Master!$A$1:$B$21,2,FALSE)</f>
        <v>Neha</v>
      </c>
      <c r="AI218" s="16"/>
    </row>
    <row r="219" spans="1:35" ht="13.8">
      <c r="A219" s="16" t="s">
        <v>901</v>
      </c>
      <c r="B219" s="17">
        <v>45336</v>
      </c>
      <c r="C219" s="16" t="s">
        <v>197</v>
      </c>
      <c r="D219" s="16" t="s">
        <v>198</v>
      </c>
      <c r="E219" s="16" t="s">
        <v>19</v>
      </c>
      <c r="F219" s="16" t="s">
        <v>20</v>
      </c>
      <c r="G219" s="16" t="s">
        <v>21</v>
      </c>
      <c r="H219" s="16" t="s">
        <v>22</v>
      </c>
      <c r="I219" s="16" t="s">
        <v>84</v>
      </c>
      <c r="J219" s="16" t="s">
        <v>142</v>
      </c>
      <c r="K219" s="18">
        <v>3417.94</v>
      </c>
      <c r="L219" s="18">
        <v>2880.99</v>
      </c>
      <c r="M219" s="19">
        <v>1</v>
      </c>
      <c r="N219" s="20">
        <v>0</v>
      </c>
      <c r="O219" s="19" t="s">
        <v>25</v>
      </c>
      <c r="P219" s="19" t="s">
        <v>58</v>
      </c>
      <c r="Q219" s="19" t="str">
        <f>TRIM(SalesData[[#This Row],[Customer_Name]])</f>
        <v>Ritika Das</v>
      </c>
      <c r="R219" s="21">
        <f>SalesData[[#This Row],[Sales]]-SalesData[[#This Row],[Cost]]</f>
        <v>536.95000000000027</v>
      </c>
      <c r="S219" s="22">
        <f>IFERROR(SalesData[[#This Row],[Profit]]/SalesData[[#This Row],[Sales]],0)</f>
        <v>0.15709754998624911</v>
      </c>
      <c r="T219" s="19">
        <f>YEAR(SalesData[[#This Row],[Order_Date]])</f>
        <v>2024</v>
      </c>
      <c r="U219" s="19" t="str">
        <f>TEXT(SalesData[[#This Row],[Order_Date]],"mmm")</f>
        <v>Feb</v>
      </c>
      <c r="V219" s="19" t="str">
        <f>"Q"&amp;ROUNDUP(MONTH(SalesData[[#This Row],[Order_Date]])/3,0)</f>
        <v>Q1</v>
      </c>
      <c r="W219" s="19" t="str">
        <f>IF(SalesData[[#This Row],[Sales]]&gt;=50000,"High",IF(AND(SalesData[[#This Row],[Sales]]&gt;= 20000, SalesData[[#This Row],[Sales]]&lt; 50000),"Medium","Low"))</f>
        <v>Low</v>
      </c>
      <c r="X219" s="19" t="str">
        <f>IF(SalesData[[#This Row],[Profit]]&gt;0,"Profit","Loss")</f>
        <v>Profit</v>
      </c>
      <c r="Y219" s="19" t="str">
        <f>IF(AND(SalesData[[#This Row],[Sales]]&gt;= 50000, SalesData[[#This Row],[Quantity]]&gt;=2),"Yes","No")</f>
        <v>No</v>
      </c>
      <c r="Z219" s="19" t="str">
        <f>UPPER(SalesData[[#This Row],[Customer_Name]])</f>
        <v>RITIKA DAS</v>
      </c>
      <c r="AA219" s="19" t="str">
        <f>LOWER(SalesData[[#This Row],[Customer_Name]])</f>
        <v>ritika das</v>
      </c>
      <c r="AB219" s="19">
        <f>LEN(SalesData[[#This Row],[Customer_Name]])</f>
        <v>10</v>
      </c>
      <c r="AC219" s="19" t="str">
        <f>LEFT(SalesData[[#This Row],[Order_ID]],3)</f>
        <v>ORD</v>
      </c>
      <c r="AD219" s="19" t="str">
        <f>RIGHT(SalesData[[#This Row],[Order_ID]],4)</f>
        <v>0748</v>
      </c>
      <c r="AE219" s="19" t="str">
        <f>_xlfn.CONCAT(SalesData[[#This Row],[Clean_Customer_Name]],"-",SalesData[[#This Row],[Region]])</f>
        <v>Ritika Das-South</v>
      </c>
      <c r="AF219" s="19" t="str">
        <f>MID(SalesData[[#This Row],[Order_ID]],4,4)</f>
        <v>0748</v>
      </c>
      <c r="AG219" s="19" t="e">
        <f ca="1">_xlfn.SINGLE(_xlfn.XLOOKUP(SalesData[[#This Row],[Product]],Product_Master!A:A,Product_Master!B:B,"Not Found"))</f>
        <v>#NAME?</v>
      </c>
      <c r="AH219" s="19" t="str">
        <f>VLOOKUP(SalesData[[#This Row],[Product]],Product_Master!$A$1:$B$21,2,FALSE)</f>
        <v>Neha</v>
      </c>
      <c r="AI219" s="16"/>
    </row>
    <row r="220" spans="1:35" ht="13.8">
      <c r="A220" s="16" t="s">
        <v>908</v>
      </c>
      <c r="B220" s="17">
        <v>45582</v>
      </c>
      <c r="C220" s="16" t="s">
        <v>197</v>
      </c>
      <c r="D220" s="16" t="s">
        <v>198</v>
      </c>
      <c r="E220" s="16" t="s">
        <v>19</v>
      </c>
      <c r="F220" s="16" t="s">
        <v>20</v>
      </c>
      <c r="G220" s="16" t="s">
        <v>21</v>
      </c>
      <c r="H220" s="16" t="s">
        <v>22</v>
      </c>
      <c r="I220" s="16" t="s">
        <v>56</v>
      </c>
      <c r="J220" s="16" t="s">
        <v>91</v>
      </c>
      <c r="K220" s="18">
        <v>17407.05</v>
      </c>
      <c r="L220" s="18">
        <v>12240.92</v>
      </c>
      <c r="M220" s="19">
        <v>4</v>
      </c>
      <c r="N220" s="20">
        <v>0.15</v>
      </c>
      <c r="O220" s="19" t="s">
        <v>76</v>
      </c>
      <c r="P220" s="19" t="s">
        <v>26</v>
      </c>
      <c r="Q220" s="19" t="str">
        <f>TRIM(SalesData[[#This Row],[Customer_Name]])</f>
        <v>Ritika Das</v>
      </c>
      <c r="R220" s="21">
        <f>SalesData[[#This Row],[Sales]]-SalesData[[#This Row],[Cost]]</f>
        <v>5166.1299999999992</v>
      </c>
      <c r="S220" s="22">
        <f>IFERROR(SalesData[[#This Row],[Profit]]/SalesData[[#This Row],[Sales]],0)</f>
        <v>0.29678377439026138</v>
      </c>
      <c r="T220" s="19">
        <f>YEAR(SalesData[[#This Row],[Order_Date]])</f>
        <v>2024</v>
      </c>
      <c r="U220" s="19" t="str">
        <f>TEXT(SalesData[[#This Row],[Order_Date]],"mmm")</f>
        <v>Oct</v>
      </c>
      <c r="V220" s="19" t="str">
        <f>"Q"&amp;ROUNDUP(MONTH(SalesData[[#This Row],[Order_Date]])/3,0)</f>
        <v>Q4</v>
      </c>
      <c r="W220" s="19" t="str">
        <f>IF(SalesData[[#This Row],[Sales]]&gt;=50000,"High",IF(AND(SalesData[[#This Row],[Sales]]&gt;= 20000, SalesData[[#This Row],[Sales]]&lt; 50000),"Medium","Low"))</f>
        <v>Low</v>
      </c>
      <c r="X220" s="19" t="str">
        <f>IF(SalesData[[#This Row],[Profit]]&gt;0,"Profit","Loss")</f>
        <v>Profit</v>
      </c>
      <c r="Y220" s="19" t="str">
        <f>IF(AND(SalesData[[#This Row],[Sales]]&gt;= 50000, SalesData[[#This Row],[Quantity]]&gt;=2),"Yes","No")</f>
        <v>No</v>
      </c>
      <c r="Z220" s="19" t="str">
        <f>UPPER(SalesData[[#This Row],[Customer_Name]])</f>
        <v>RITIKA DAS</v>
      </c>
      <c r="AA220" s="19" t="str">
        <f>LOWER(SalesData[[#This Row],[Customer_Name]])</f>
        <v>ritika das</v>
      </c>
      <c r="AB220" s="19">
        <f>LEN(SalesData[[#This Row],[Customer_Name]])</f>
        <v>10</v>
      </c>
      <c r="AC220" s="19" t="str">
        <f>LEFT(SalesData[[#This Row],[Order_ID]],3)</f>
        <v>ORD</v>
      </c>
      <c r="AD220" s="19" t="str">
        <f>RIGHT(SalesData[[#This Row],[Order_ID]],4)</f>
        <v>0755</v>
      </c>
      <c r="AE220" s="19" t="str">
        <f>_xlfn.CONCAT(SalesData[[#This Row],[Clean_Customer_Name]],"-",SalesData[[#This Row],[Region]])</f>
        <v>Ritika Das-West</v>
      </c>
      <c r="AF220" s="19" t="str">
        <f>MID(SalesData[[#This Row],[Order_ID]],4,4)</f>
        <v>0755</v>
      </c>
      <c r="AG220" s="19" t="e">
        <f ca="1">_xlfn.SINGLE(_xlfn.XLOOKUP(SalesData[[#This Row],[Product]],Product_Master!A:A,Product_Master!B:B,"Not Found"))</f>
        <v>#NAME?</v>
      </c>
      <c r="AH220" s="19" t="str">
        <f>VLOOKUP(SalesData[[#This Row],[Product]],Product_Master!$A$1:$B$21,2,FALSE)</f>
        <v>Neha</v>
      </c>
      <c r="AI220" s="16"/>
    </row>
    <row r="221" spans="1:35" ht="13.8">
      <c r="A221" s="16" t="s">
        <v>966</v>
      </c>
      <c r="B221" s="17">
        <v>45443</v>
      </c>
      <c r="C221" s="16" t="s">
        <v>197</v>
      </c>
      <c r="D221" s="16" t="s">
        <v>198</v>
      </c>
      <c r="E221" s="16" t="s">
        <v>19</v>
      </c>
      <c r="F221" s="16" t="s">
        <v>20</v>
      </c>
      <c r="G221" s="16" t="s">
        <v>21</v>
      </c>
      <c r="H221" s="16" t="s">
        <v>22</v>
      </c>
      <c r="I221" s="16" t="s">
        <v>53</v>
      </c>
      <c r="J221" s="16" t="s">
        <v>102</v>
      </c>
      <c r="K221" s="18">
        <v>4058.15</v>
      </c>
      <c r="L221" s="18">
        <v>2909.76</v>
      </c>
      <c r="M221" s="19">
        <v>1</v>
      </c>
      <c r="N221" s="20">
        <v>0.1</v>
      </c>
      <c r="O221" s="19" t="s">
        <v>76</v>
      </c>
      <c r="P221" s="19" t="s">
        <v>58</v>
      </c>
      <c r="Q221" s="19" t="str">
        <f>TRIM(SalesData[[#This Row],[Customer_Name]])</f>
        <v>Ritika Das</v>
      </c>
      <c r="R221" s="21">
        <f>SalesData[[#This Row],[Sales]]-SalesData[[#This Row],[Cost]]</f>
        <v>1148.3899999999999</v>
      </c>
      <c r="S221" s="22">
        <f>IFERROR(SalesData[[#This Row],[Profit]]/SalesData[[#This Row],[Sales]],0)</f>
        <v>0.28298362554365902</v>
      </c>
      <c r="T221" s="19">
        <f>YEAR(SalesData[[#This Row],[Order_Date]])</f>
        <v>2024</v>
      </c>
      <c r="U221" s="19" t="str">
        <f>TEXT(SalesData[[#This Row],[Order_Date]],"mmm")</f>
        <v>May</v>
      </c>
      <c r="V221" s="19" t="str">
        <f>"Q"&amp;ROUNDUP(MONTH(SalesData[[#This Row],[Order_Date]])/3,0)</f>
        <v>Q2</v>
      </c>
      <c r="W221" s="19" t="str">
        <f>IF(SalesData[[#This Row],[Sales]]&gt;=50000,"High",IF(AND(SalesData[[#This Row],[Sales]]&gt;= 20000, SalesData[[#This Row],[Sales]]&lt; 50000),"Medium","Low"))</f>
        <v>Low</v>
      </c>
      <c r="X221" s="19" t="str">
        <f>IF(SalesData[[#This Row],[Profit]]&gt;0,"Profit","Loss")</f>
        <v>Profit</v>
      </c>
      <c r="Y221" s="19" t="str">
        <f>IF(AND(SalesData[[#This Row],[Sales]]&gt;= 50000, SalesData[[#This Row],[Quantity]]&gt;=2),"Yes","No")</f>
        <v>No</v>
      </c>
      <c r="Z221" s="19" t="str">
        <f>UPPER(SalesData[[#This Row],[Customer_Name]])</f>
        <v>RITIKA DAS</v>
      </c>
      <c r="AA221" s="19" t="str">
        <f>LOWER(SalesData[[#This Row],[Customer_Name]])</f>
        <v>ritika das</v>
      </c>
      <c r="AB221" s="19">
        <f>LEN(SalesData[[#This Row],[Customer_Name]])</f>
        <v>10</v>
      </c>
      <c r="AC221" s="19" t="str">
        <f>LEFT(SalesData[[#This Row],[Order_ID]],3)</f>
        <v>ORD</v>
      </c>
      <c r="AD221" s="19" t="str">
        <f>RIGHT(SalesData[[#This Row],[Order_ID]],4)</f>
        <v>0813</v>
      </c>
      <c r="AE221" s="19" t="str">
        <f>_xlfn.CONCAT(SalesData[[#This Row],[Clean_Customer_Name]],"-",SalesData[[#This Row],[Region]])</f>
        <v>Ritika Das-Central</v>
      </c>
      <c r="AF221" s="19" t="str">
        <f>MID(SalesData[[#This Row],[Order_ID]],4,4)</f>
        <v>0813</v>
      </c>
      <c r="AG221" s="19" t="e">
        <f ca="1">_xlfn.SINGLE(_xlfn.XLOOKUP(SalesData[[#This Row],[Product]],Product_Master!A:A,Product_Master!B:B,"Not Found"))</f>
        <v>#NAME?</v>
      </c>
      <c r="AH221" s="19" t="str">
        <f>VLOOKUP(SalesData[[#This Row],[Product]],Product_Master!$A$1:$B$21,2,FALSE)</f>
        <v>Neha</v>
      </c>
      <c r="AI221" s="16"/>
    </row>
    <row r="222" spans="1:35" ht="13.8">
      <c r="A222" s="16" t="s">
        <v>556</v>
      </c>
      <c r="B222" s="17">
        <v>45556</v>
      </c>
      <c r="C222" s="16" t="s">
        <v>197</v>
      </c>
      <c r="D222" s="16" t="s">
        <v>198</v>
      </c>
      <c r="E222" s="16" t="s">
        <v>152</v>
      </c>
      <c r="F222" s="16" t="s">
        <v>153</v>
      </c>
      <c r="G222" s="16" t="s">
        <v>21</v>
      </c>
      <c r="H222" s="16" t="s">
        <v>32</v>
      </c>
      <c r="I222" s="16" t="s">
        <v>42</v>
      </c>
      <c r="J222" s="16" t="s">
        <v>162</v>
      </c>
      <c r="K222" s="18">
        <v>46119.6</v>
      </c>
      <c r="L222" s="18">
        <v>42103.35</v>
      </c>
      <c r="M222" s="19">
        <v>5</v>
      </c>
      <c r="N222" s="20">
        <v>0.1</v>
      </c>
      <c r="O222" s="19" t="s">
        <v>25</v>
      </c>
      <c r="P222" s="19" t="s">
        <v>58</v>
      </c>
      <c r="Q222" s="19" t="str">
        <f>TRIM(SalesData[[#This Row],[Customer_Name]])</f>
        <v>Ritika Das</v>
      </c>
      <c r="R222" s="21">
        <f>SalesData[[#This Row],[Sales]]-SalesData[[#This Row],[Cost]]</f>
        <v>4016.25</v>
      </c>
      <c r="S222" s="22">
        <f>IFERROR(SalesData[[#This Row],[Profit]]/SalesData[[#This Row],[Sales]],0)</f>
        <v>8.7083365857466247E-2</v>
      </c>
      <c r="T222" s="19">
        <f>YEAR(SalesData[[#This Row],[Order_Date]])</f>
        <v>2024</v>
      </c>
      <c r="U222" s="19" t="str">
        <f>TEXT(SalesData[[#This Row],[Order_Date]],"mmm")</f>
        <v>Sept</v>
      </c>
      <c r="V222" s="19" t="str">
        <f>"Q"&amp;ROUNDUP(MONTH(SalesData[[#This Row],[Order_Date]])/3,0)</f>
        <v>Q3</v>
      </c>
      <c r="W222" s="19" t="str">
        <f>IF(SalesData[[#This Row],[Sales]]&gt;=50000,"High",IF(AND(SalesData[[#This Row],[Sales]]&gt;= 20000, SalesData[[#This Row],[Sales]]&lt; 50000),"Medium","Low"))</f>
        <v>Medium</v>
      </c>
      <c r="X222" s="19" t="str">
        <f>IF(SalesData[[#This Row],[Profit]]&gt;0,"Profit","Loss")</f>
        <v>Profit</v>
      </c>
      <c r="Y222" s="19" t="str">
        <f>IF(AND(SalesData[[#This Row],[Sales]]&gt;= 50000, SalesData[[#This Row],[Quantity]]&gt;=2),"Yes","No")</f>
        <v>No</v>
      </c>
      <c r="Z222" s="19" t="str">
        <f>UPPER(SalesData[[#This Row],[Customer_Name]])</f>
        <v>RITIKA DAS</v>
      </c>
      <c r="AA222" s="19" t="str">
        <f>LOWER(SalesData[[#This Row],[Customer_Name]])</f>
        <v>ritika das</v>
      </c>
      <c r="AB222" s="19">
        <f>LEN(SalesData[[#This Row],[Customer_Name]])</f>
        <v>10</v>
      </c>
      <c r="AC222" s="19" t="str">
        <f>LEFT(SalesData[[#This Row],[Order_ID]],3)</f>
        <v>ORD</v>
      </c>
      <c r="AD222" s="19" t="str">
        <f>RIGHT(SalesData[[#This Row],[Order_ID]],4)</f>
        <v>0403</v>
      </c>
      <c r="AE222" s="19" t="str">
        <f>_xlfn.CONCAT(SalesData[[#This Row],[Clean_Customer_Name]],"-",SalesData[[#This Row],[Region]])</f>
        <v>Ritika Das-East</v>
      </c>
      <c r="AF222" s="19" t="str">
        <f>MID(SalesData[[#This Row],[Order_ID]],4,4)</f>
        <v>0403</v>
      </c>
      <c r="AG222" s="19" t="e">
        <f ca="1">_xlfn.SINGLE(_xlfn.XLOOKUP(SalesData[[#This Row],[Product]],Product_Master!A:A,Product_Master!B:B,"Not Found"))</f>
        <v>#NAME?</v>
      </c>
      <c r="AH222" s="19" t="str">
        <f>VLOOKUP(SalesData[[#This Row],[Product]],Product_Master!$A$1:$B$21,2,FALSE)</f>
        <v>Simran</v>
      </c>
      <c r="AI222" s="16"/>
    </row>
    <row r="223" spans="1:35" ht="13.8">
      <c r="A223" s="16" t="s">
        <v>583</v>
      </c>
      <c r="B223" s="17">
        <v>45795</v>
      </c>
      <c r="C223" s="16" t="s">
        <v>197</v>
      </c>
      <c r="D223" s="16" t="s">
        <v>198</v>
      </c>
      <c r="E223" s="16" t="s">
        <v>117</v>
      </c>
      <c r="F223" s="16" t="s">
        <v>118</v>
      </c>
      <c r="G223" s="16" t="s">
        <v>51</v>
      </c>
      <c r="H223" s="16" t="s">
        <v>119</v>
      </c>
      <c r="I223" s="16" t="s">
        <v>23</v>
      </c>
      <c r="J223" s="16" t="s">
        <v>33</v>
      </c>
      <c r="K223" s="18">
        <v>32466.18</v>
      </c>
      <c r="L223" s="18">
        <v>12800.4</v>
      </c>
      <c r="M223" s="19">
        <v>3</v>
      </c>
      <c r="N223" s="20">
        <v>0</v>
      </c>
      <c r="O223" s="19" t="s">
        <v>34</v>
      </c>
      <c r="P223" s="19" t="s">
        <v>58</v>
      </c>
      <c r="Q223" s="19" t="str">
        <f>TRIM(SalesData[[#This Row],[Customer_Name]])</f>
        <v>Ritika Das</v>
      </c>
      <c r="R223" s="21">
        <f>SalesData[[#This Row],[Sales]]-SalesData[[#This Row],[Cost]]</f>
        <v>19665.78</v>
      </c>
      <c r="S223" s="22">
        <f>IFERROR(SalesData[[#This Row],[Profit]]/SalesData[[#This Row],[Sales]],0)</f>
        <v>0.60573125634121416</v>
      </c>
      <c r="T223" s="19">
        <f>YEAR(SalesData[[#This Row],[Order_Date]])</f>
        <v>2025</v>
      </c>
      <c r="U223" s="19" t="str">
        <f>TEXT(SalesData[[#This Row],[Order_Date]],"mmm")</f>
        <v>May</v>
      </c>
      <c r="V223" s="19" t="str">
        <f>"Q"&amp;ROUNDUP(MONTH(SalesData[[#This Row],[Order_Date]])/3,0)</f>
        <v>Q2</v>
      </c>
      <c r="W223" s="19" t="str">
        <f>IF(SalesData[[#This Row],[Sales]]&gt;=50000,"High",IF(AND(SalesData[[#This Row],[Sales]]&gt;= 20000, SalesData[[#This Row],[Sales]]&lt; 50000),"Medium","Low"))</f>
        <v>Medium</v>
      </c>
      <c r="X223" s="19" t="str">
        <f>IF(SalesData[[#This Row],[Profit]]&gt;0,"Profit","Loss")</f>
        <v>Profit</v>
      </c>
      <c r="Y223" s="19" t="str">
        <f>IF(AND(SalesData[[#This Row],[Sales]]&gt;= 50000, SalesData[[#This Row],[Quantity]]&gt;=2),"Yes","No")</f>
        <v>No</v>
      </c>
      <c r="Z223" s="19" t="str">
        <f>UPPER(SalesData[[#This Row],[Customer_Name]])</f>
        <v>RITIKA DAS</v>
      </c>
      <c r="AA223" s="19" t="str">
        <f>LOWER(SalesData[[#This Row],[Customer_Name]])</f>
        <v>ritika das</v>
      </c>
      <c r="AB223" s="19">
        <f>LEN(SalesData[[#This Row],[Customer_Name]])</f>
        <v>10</v>
      </c>
      <c r="AC223" s="19" t="str">
        <f>LEFT(SalesData[[#This Row],[Order_ID]],3)</f>
        <v>ORD</v>
      </c>
      <c r="AD223" s="19" t="str">
        <f>RIGHT(SalesData[[#This Row],[Order_ID]],4)</f>
        <v>0430</v>
      </c>
      <c r="AE223" s="19" t="str">
        <f>_xlfn.CONCAT(SalesData[[#This Row],[Clean_Customer_Name]],"-",SalesData[[#This Row],[Region]])</f>
        <v>Ritika Das-North</v>
      </c>
      <c r="AF223" s="19" t="str">
        <f>MID(SalesData[[#This Row],[Order_ID]],4,4)</f>
        <v>0430</v>
      </c>
      <c r="AG223" s="19" t="e">
        <f ca="1">_xlfn.SINGLE(_xlfn.XLOOKUP(SalesData[[#This Row],[Product]],Product_Master!A:A,Product_Master!B:B,"Not Found"))</f>
        <v>#NAME?</v>
      </c>
      <c r="AH223" s="19" t="str">
        <f>VLOOKUP(SalesData[[#This Row],[Product]],Product_Master!$A$1:$B$21,2,FALSE)</f>
        <v>Karan</v>
      </c>
      <c r="AI223" s="16"/>
    </row>
    <row r="224" spans="1:35" ht="13.8">
      <c r="A224" s="16" t="s">
        <v>637</v>
      </c>
      <c r="B224" s="17">
        <v>45457</v>
      </c>
      <c r="C224" s="16" t="s">
        <v>197</v>
      </c>
      <c r="D224" s="16" t="s">
        <v>198</v>
      </c>
      <c r="E224" s="16" t="s">
        <v>49</v>
      </c>
      <c r="F224" s="16" t="s">
        <v>50</v>
      </c>
      <c r="G224" s="16" t="s">
        <v>51</v>
      </c>
      <c r="H224" s="16" t="s">
        <v>52</v>
      </c>
      <c r="I224" s="16" t="s">
        <v>42</v>
      </c>
      <c r="J224" s="16" t="s">
        <v>43</v>
      </c>
      <c r="K224" s="18">
        <v>26490.720000000001</v>
      </c>
      <c r="L224" s="18">
        <v>25325.68</v>
      </c>
      <c r="M224" s="19">
        <v>4</v>
      </c>
      <c r="N224" s="20">
        <v>0.2</v>
      </c>
      <c r="O224" s="19" t="s">
        <v>34</v>
      </c>
      <c r="P224" s="19" t="s">
        <v>58</v>
      </c>
      <c r="Q224" s="19" t="str">
        <f>TRIM(SalesData[[#This Row],[Customer_Name]])</f>
        <v>Ritika Das</v>
      </c>
      <c r="R224" s="21">
        <f>SalesData[[#This Row],[Sales]]-SalesData[[#This Row],[Cost]]</f>
        <v>1165.0400000000009</v>
      </c>
      <c r="S224" s="22">
        <f>IFERROR(SalesData[[#This Row],[Profit]]/SalesData[[#This Row],[Sales]],0)</f>
        <v>4.3979174593971049E-2</v>
      </c>
      <c r="T224" s="19">
        <f>YEAR(SalesData[[#This Row],[Order_Date]])</f>
        <v>2024</v>
      </c>
      <c r="U224" s="19" t="str">
        <f>TEXT(SalesData[[#This Row],[Order_Date]],"mmm")</f>
        <v>Jun</v>
      </c>
      <c r="V224" s="19" t="str">
        <f>"Q"&amp;ROUNDUP(MONTH(SalesData[[#This Row],[Order_Date]])/3,0)</f>
        <v>Q2</v>
      </c>
      <c r="W224" s="19" t="str">
        <f>IF(SalesData[[#This Row],[Sales]]&gt;=50000,"High",IF(AND(SalesData[[#This Row],[Sales]]&gt;= 20000, SalesData[[#This Row],[Sales]]&lt; 50000),"Medium","Low"))</f>
        <v>Medium</v>
      </c>
      <c r="X224" s="19" t="str">
        <f>IF(SalesData[[#This Row],[Profit]]&gt;0,"Profit","Loss")</f>
        <v>Profit</v>
      </c>
      <c r="Y224" s="19" t="str">
        <f>IF(AND(SalesData[[#This Row],[Sales]]&gt;= 50000, SalesData[[#This Row],[Quantity]]&gt;=2),"Yes","No")</f>
        <v>No</v>
      </c>
      <c r="Z224" s="19" t="str">
        <f>UPPER(SalesData[[#This Row],[Customer_Name]])</f>
        <v>RITIKA DAS</v>
      </c>
      <c r="AA224" s="19" t="str">
        <f>LOWER(SalesData[[#This Row],[Customer_Name]])</f>
        <v>ritika das</v>
      </c>
      <c r="AB224" s="19">
        <f>LEN(SalesData[[#This Row],[Customer_Name]])</f>
        <v>10</v>
      </c>
      <c r="AC224" s="19" t="str">
        <f>LEFT(SalesData[[#This Row],[Order_ID]],3)</f>
        <v>ORD</v>
      </c>
      <c r="AD224" s="19" t="str">
        <f>RIGHT(SalesData[[#This Row],[Order_ID]],4)</f>
        <v>0484</v>
      </c>
      <c r="AE224" s="19" t="str">
        <f>_xlfn.CONCAT(SalesData[[#This Row],[Clean_Customer_Name]],"-",SalesData[[#This Row],[Region]])</f>
        <v>Ritika Das-East</v>
      </c>
      <c r="AF224" s="19" t="str">
        <f>MID(SalesData[[#This Row],[Order_ID]],4,4)</f>
        <v>0484</v>
      </c>
      <c r="AG224" s="19" t="e">
        <f ca="1">_xlfn.SINGLE(_xlfn.XLOOKUP(SalesData[[#This Row],[Product]],Product_Master!A:A,Product_Master!B:B,"Not Found"))</f>
        <v>#NAME?</v>
      </c>
      <c r="AH224" s="19" t="str">
        <f>VLOOKUP(SalesData[[#This Row],[Product]],Product_Master!$A$1:$B$21,2,FALSE)</f>
        <v>Rohan</v>
      </c>
      <c r="AI224" s="16"/>
    </row>
    <row r="225" spans="1:35" ht="13.8">
      <c r="A225" s="16" t="s">
        <v>210</v>
      </c>
      <c r="B225" s="17">
        <v>45738</v>
      </c>
      <c r="C225" s="16" t="s">
        <v>197</v>
      </c>
      <c r="D225" s="16" t="s">
        <v>198</v>
      </c>
      <c r="E225" s="16" t="s">
        <v>72</v>
      </c>
      <c r="F225" s="16" t="s">
        <v>73</v>
      </c>
      <c r="G225" s="16" t="s">
        <v>51</v>
      </c>
      <c r="H225" s="16" t="s">
        <v>74</v>
      </c>
      <c r="I225" s="16" t="s">
        <v>84</v>
      </c>
      <c r="J225" s="16" t="s">
        <v>142</v>
      </c>
      <c r="K225" s="18">
        <v>21540.5</v>
      </c>
      <c r="L225" s="18">
        <v>14492.88</v>
      </c>
      <c r="M225" s="19">
        <v>4</v>
      </c>
      <c r="N225" s="20">
        <v>0.15</v>
      </c>
      <c r="O225" s="19" t="s">
        <v>76</v>
      </c>
      <c r="P225" s="19" t="s">
        <v>98</v>
      </c>
      <c r="Q225" s="19" t="str">
        <f>TRIM(SalesData[[#This Row],[Customer_Name]])</f>
        <v>Ritika Das</v>
      </c>
      <c r="R225" s="21">
        <f>SalesData[[#This Row],[Sales]]-SalesData[[#This Row],[Cost]]</f>
        <v>7047.6200000000008</v>
      </c>
      <c r="S225" s="22">
        <f>IFERROR(SalesData[[#This Row],[Profit]]/SalesData[[#This Row],[Sales]],0)</f>
        <v>0.32717996332489963</v>
      </c>
      <c r="T225" s="19">
        <f>YEAR(SalesData[[#This Row],[Order_Date]])</f>
        <v>2025</v>
      </c>
      <c r="U225" s="19" t="str">
        <f>TEXT(SalesData[[#This Row],[Order_Date]],"mmm")</f>
        <v>Mar</v>
      </c>
      <c r="V225" s="19" t="str">
        <f>"Q"&amp;ROUNDUP(MONTH(SalesData[[#This Row],[Order_Date]])/3,0)</f>
        <v>Q1</v>
      </c>
      <c r="W225" s="19" t="str">
        <f>IF(SalesData[[#This Row],[Sales]]&gt;=50000,"High",IF(AND(SalesData[[#This Row],[Sales]]&gt;= 20000, SalesData[[#This Row],[Sales]]&lt; 50000),"Medium","Low"))</f>
        <v>Medium</v>
      </c>
      <c r="X225" s="19" t="str">
        <f>IF(SalesData[[#This Row],[Profit]]&gt;0,"Profit","Loss")</f>
        <v>Profit</v>
      </c>
      <c r="Y225" s="19" t="str">
        <f>IF(AND(SalesData[[#This Row],[Sales]]&gt;= 50000, SalesData[[#This Row],[Quantity]]&gt;=2),"Yes","No")</f>
        <v>No</v>
      </c>
      <c r="Z225" s="19" t="str">
        <f>UPPER(SalesData[[#This Row],[Customer_Name]])</f>
        <v>RITIKA DAS</v>
      </c>
      <c r="AA225" s="19" t="str">
        <f>LOWER(SalesData[[#This Row],[Customer_Name]])</f>
        <v>ritika das</v>
      </c>
      <c r="AB225" s="19">
        <f>LEN(SalesData[[#This Row],[Customer_Name]])</f>
        <v>10</v>
      </c>
      <c r="AC225" s="19" t="str">
        <f>LEFT(SalesData[[#This Row],[Order_ID]],3)</f>
        <v>ORD</v>
      </c>
      <c r="AD225" s="19" t="str">
        <f>RIGHT(SalesData[[#This Row],[Order_ID]],4)</f>
        <v>0061</v>
      </c>
      <c r="AE225" s="19" t="str">
        <f>_xlfn.CONCAT(SalesData[[#This Row],[Clean_Customer_Name]],"-",SalesData[[#This Row],[Region]])</f>
        <v>Ritika Das-South</v>
      </c>
      <c r="AF225" s="19" t="str">
        <f>MID(SalesData[[#This Row],[Order_ID]],4,4)</f>
        <v>0061</v>
      </c>
      <c r="AG225" s="19" t="e">
        <f ca="1">_xlfn.SINGLE(_xlfn.XLOOKUP(SalesData[[#This Row],[Product]],Product_Master!A:A,Product_Master!B:B,"Not Found"))</f>
        <v>#NAME?</v>
      </c>
      <c r="AH225" s="19" t="str">
        <f>VLOOKUP(SalesData[[#This Row],[Product]],Product_Master!$A$1:$B$21,2,FALSE)</f>
        <v>Anjali</v>
      </c>
      <c r="AI225" s="16"/>
    </row>
    <row r="226" spans="1:35" ht="13.8">
      <c r="A226" s="16" t="s">
        <v>890</v>
      </c>
      <c r="B226" s="17">
        <v>45414</v>
      </c>
      <c r="C226" s="16" t="s">
        <v>197</v>
      </c>
      <c r="D226" s="16" t="s">
        <v>198</v>
      </c>
      <c r="E226" s="16" t="s">
        <v>72</v>
      </c>
      <c r="F226" s="16" t="s">
        <v>73</v>
      </c>
      <c r="G226" s="16" t="s">
        <v>51</v>
      </c>
      <c r="H226" s="16" t="s">
        <v>74</v>
      </c>
      <c r="I226" s="16" t="s">
        <v>23</v>
      </c>
      <c r="J226" s="16" t="s">
        <v>24</v>
      </c>
      <c r="K226" s="18">
        <v>23610.84</v>
      </c>
      <c r="L226" s="18">
        <v>11983.32</v>
      </c>
      <c r="M226" s="19">
        <v>3</v>
      </c>
      <c r="N226" s="20">
        <v>0.2</v>
      </c>
      <c r="O226" s="19" t="s">
        <v>44</v>
      </c>
      <c r="P226" s="19" t="s">
        <v>98</v>
      </c>
      <c r="Q226" s="19" t="str">
        <f>TRIM(SalesData[[#This Row],[Customer_Name]])</f>
        <v>Ritika Das</v>
      </c>
      <c r="R226" s="21">
        <f>SalesData[[#This Row],[Sales]]-SalesData[[#This Row],[Cost]]</f>
        <v>11627.52</v>
      </c>
      <c r="S226" s="22">
        <f>IFERROR(SalesData[[#This Row],[Profit]]/SalesData[[#This Row],[Sales]],0)</f>
        <v>0.49246532524891112</v>
      </c>
      <c r="T226" s="19">
        <f>YEAR(SalesData[[#This Row],[Order_Date]])</f>
        <v>2024</v>
      </c>
      <c r="U226" s="19" t="str">
        <f>TEXT(SalesData[[#This Row],[Order_Date]],"mmm")</f>
        <v>May</v>
      </c>
      <c r="V226" s="19" t="str">
        <f>"Q"&amp;ROUNDUP(MONTH(SalesData[[#This Row],[Order_Date]])/3,0)</f>
        <v>Q2</v>
      </c>
      <c r="W226" s="19" t="str">
        <f>IF(SalesData[[#This Row],[Sales]]&gt;=50000,"High",IF(AND(SalesData[[#This Row],[Sales]]&gt;= 20000, SalesData[[#This Row],[Sales]]&lt; 50000),"Medium","Low"))</f>
        <v>Medium</v>
      </c>
      <c r="X226" s="19" t="str">
        <f>IF(SalesData[[#This Row],[Profit]]&gt;0,"Profit","Loss")</f>
        <v>Profit</v>
      </c>
      <c r="Y226" s="19" t="str">
        <f>IF(AND(SalesData[[#This Row],[Sales]]&gt;= 50000, SalesData[[#This Row],[Quantity]]&gt;=2),"Yes","No")</f>
        <v>No</v>
      </c>
      <c r="Z226" s="19" t="str">
        <f>UPPER(SalesData[[#This Row],[Customer_Name]])</f>
        <v>RITIKA DAS</v>
      </c>
      <c r="AA226" s="19" t="str">
        <f>LOWER(SalesData[[#This Row],[Customer_Name]])</f>
        <v>ritika das</v>
      </c>
      <c r="AB226" s="19">
        <f>LEN(SalesData[[#This Row],[Customer_Name]])</f>
        <v>10</v>
      </c>
      <c r="AC226" s="19" t="str">
        <f>LEFT(SalesData[[#This Row],[Order_ID]],3)</f>
        <v>ORD</v>
      </c>
      <c r="AD226" s="19" t="str">
        <f>RIGHT(SalesData[[#This Row],[Order_ID]],4)</f>
        <v>0737</v>
      </c>
      <c r="AE226" s="19" t="str">
        <f>_xlfn.CONCAT(SalesData[[#This Row],[Clean_Customer_Name]],"-",SalesData[[#This Row],[Region]])</f>
        <v>Ritika Das-North</v>
      </c>
      <c r="AF226" s="19" t="str">
        <f>MID(SalesData[[#This Row],[Order_ID]],4,4)</f>
        <v>0737</v>
      </c>
      <c r="AG226" s="19" t="e">
        <f ca="1">_xlfn.SINGLE(_xlfn.XLOOKUP(SalesData[[#This Row],[Product]],Product_Master!A:A,Product_Master!B:B,"Not Found"))</f>
        <v>#NAME?</v>
      </c>
      <c r="AH226" s="19" t="str">
        <f>VLOOKUP(SalesData[[#This Row],[Product]],Product_Master!$A$1:$B$21,2,FALSE)</f>
        <v>Anjali</v>
      </c>
      <c r="AI226" s="16"/>
    </row>
    <row r="227" spans="1:35" ht="13.8">
      <c r="A227" s="16" t="s">
        <v>997</v>
      </c>
      <c r="B227" s="17">
        <v>45655</v>
      </c>
      <c r="C227" s="16" t="s">
        <v>197</v>
      </c>
      <c r="D227" s="16" t="s">
        <v>198</v>
      </c>
      <c r="E227" s="16" t="s">
        <v>175</v>
      </c>
      <c r="F227" s="16" t="s">
        <v>176</v>
      </c>
      <c r="G227" s="16" t="s">
        <v>51</v>
      </c>
      <c r="H227" s="16" t="s">
        <v>177</v>
      </c>
      <c r="I227" s="16" t="s">
        <v>84</v>
      </c>
      <c r="J227" s="16" t="s">
        <v>134</v>
      </c>
      <c r="K227" s="18">
        <v>24474.73</v>
      </c>
      <c r="L227" s="18">
        <v>16864.3</v>
      </c>
      <c r="M227" s="19">
        <v>1</v>
      </c>
      <c r="N227" s="20">
        <v>0.05</v>
      </c>
      <c r="O227" s="19" t="s">
        <v>34</v>
      </c>
      <c r="P227" s="19" t="s">
        <v>58</v>
      </c>
      <c r="Q227" s="19" t="str">
        <f>TRIM(SalesData[[#This Row],[Customer_Name]])</f>
        <v>Ritika Das</v>
      </c>
      <c r="R227" s="21">
        <f>SalesData[[#This Row],[Sales]]-SalesData[[#This Row],[Cost]]</f>
        <v>7610.43</v>
      </c>
      <c r="S227" s="22">
        <f>IFERROR(SalesData[[#This Row],[Profit]]/SalesData[[#This Row],[Sales]],0)</f>
        <v>0.31095051916813793</v>
      </c>
      <c r="T227" s="19">
        <f>YEAR(SalesData[[#This Row],[Order_Date]])</f>
        <v>2024</v>
      </c>
      <c r="U227" s="19" t="str">
        <f>TEXT(SalesData[[#This Row],[Order_Date]],"mmm")</f>
        <v>Dec</v>
      </c>
      <c r="V227" s="19" t="str">
        <f>"Q"&amp;ROUNDUP(MONTH(SalesData[[#This Row],[Order_Date]])/3,0)</f>
        <v>Q4</v>
      </c>
      <c r="W227" s="19" t="str">
        <f>IF(SalesData[[#This Row],[Sales]]&gt;=50000,"High",IF(AND(SalesData[[#This Row],[Sales]]&gt;= 20000, SalesData[[#This Row],[Sales]]&lt; 50000),"Medium","Low"))</f>
        <v>Medium</v>
      </c>
      <c r="X227" s="19" t="str">
        <f>IF(SalesData[[#This Row],[Profit]]&gt;0,"Profit","Loss")</f>
        <v>Profit</v>
      </c>
      <c r="Y227" s="19" t="str">
        <f>IF(AND(SalesData[[#This Row],[Sales]]&gt;= 50000, SalesData[[#This Row],[Quantity]]&gt;=2),"Yes","No")</f>
        <v>No</v>
      </c>
      <c r="Z227" s="19" t="str">
        <f>UPPER(SalesData[[#This Row],[Customer_Name]])</f>
        <v>RITIKA DAS</v>
      </c>
      <c r="AA227" s="19" t="str">
        <f>LOWER(SalesData[[#This Row],[Customer_Name]])</f>
        <v>ritika das</v>
      </c>
      <c r="AB227" s="19">
        <f>LEN(SalesData[[#This Row],[Customer_Name]])</f>
        <v>10</v>
      </c>
      <c r="AC227" s="19" t="str">
        <f>LEFT(SalesData[[#This Row],[Order_ID]],3)</f>
        <v>ORD</v>
      </c>
      <c r="AD227" s="19" t="str">
        <f>RIGHT(SalesData[[#This Row],[Order_ID]],4)</f>
        <v>0844</v>
      </c>
      <c r="AE227" s="19" t="str">
        <f>_xlfn.CONCAT(SalesData[[#This Row],[Clean_Customer_Name]],"-",SalesData[[#This Row],[Region]])</f>
        <v>Ritika Das-South</v>
      </c>
      <c r="AF227" s="19" t="str">
        <f>MID(SalesData[[#This Row],[Order_ID]],4,4)</f>
        <v>0844</v>
      </c>
      <c r="AG227" s="19" t="e">
        <f ca="1">_xlfn.SINGLE(_xlfn.XLOOKUP(SalesData[[#This Row],[Product]],Product_Master!A:A,Product_Master!B:B,"Not Found"))</f>
        <v>#NAME?</v>
      </c>
      <c r="AH227" s="19" t="str">
        <f>VLOOKUP(SalesData[[#This Row],[Product]],Product_Master!$A$1:$B$21,2,FALSE)</f>
        <v>Arjun</v>
      </c>
      <c r="AI227" s="16"/>
    </row>
    <row r="228" spans="1:35" ht="13.8">
      <c r="A228" s="16" t="s">
        <v>357</v>
      </c>
      <c r="B228" s="17">
        <v>45315</v>
      </c>
      <c r="C228" s="16" t="s">
        <v>197</v>
      </c>
      <c r="D228" s="16" t="s">
        <v>198</v>
      </c>
      <c r="E228" s="16" t="s">
        <v>123</v>
      </c>
      <c r="F228" s="16" t="s">
        <v>124</v>
      </c>
      <c r="G228" s="16" t="s">
        <v>51</v>
      </c>
      <c r="H228" s="16" t="s">
        <v>125</v>
      </c>
      <c r="I228" s="16" t="s">
        <v>56</v>
      </c>
      <c r="J228" s="16" t="s">
        <v>191</v>
      </c>
      <c r="K228" s="18">
        <v>27718.27</v>
      </c>
      <c r="L228" s="18">
        <v>19602.84</v>
      </c>
      <c r="M228" s="19">
        <v>1</v>
      </c>
      <c r="N228" s="20">
        <v>0.05</v>
      </c>
      <c r="O228" s="19" t="s">
        <v>76</v>
      </c>
      <c r="P228" s="19" t="s">
        <v>77</v>
      </c>
      <c r="Q228" s="19" t="str">
        <f>TRIM(SalesData[[#This Row],[Customer_Name]])</f>
        <v>Ritika Das</v>
      </c>
      <c r="R228" s="21">
        <f>SalesData[[#This Row],[Sales]]-SalesData[[#This Row],[Cost]]</f>
        <v>8115.43</v>
      </c>
      <c r="S228" s="22">
        <f>IFERROR(SalesData[[#This Row],[Profit]]/SalesData[[#This Row],[Sales]],0)</f>
        <v>0.29278270252797162</v>
      </c>
      <c r="T228" s="19">
        <f>YEAR(SalesData[[#This Row],[Order_Date]])</f>
        <v>2024</v>
      </c>
      <c r="U228" s="19" t="str">
        <f>TEXT(SalesData[[#This Row],[Order_Date]],"mmm")</f>
        <v>Jan</v>
      </c>
      <c r="V228" s="19" t="str">
        <f>"Q"&amp;ROUNDUP(MONTH(SalesData[[#This Row],[Order_Date]])/3,0)</f>
        <v>Q1</v>
      </c>
      <c r="W228" s="19" t="str">
        <f>IF(SalesData[[#This Row],[Sales]]&gt;=50000,"High",IF(AND(SalesData[[#This Row],[Sales]]&gt;= 20000, SalesData[[#This Row],[Sales]]&lt; 50000),"Medium","Low"))</f>
        <v>Medium</v>
      </c>
      <c r="X228" s="19" t="str">
        <f>IF(SalesData[[#This Row],[Profit]]&gt;0,"Profit","Loss")</f>
        <v>Profit</v>
      </c>
      <c r="Y228" s="19" t="str">
        <f>IF(AND(SalesData[[#This Row],[Sales]]&gt;= 50000, SalesData[[#This Row],[Quantity]]&gt;=2),"Yes","No")</f>
        <v>No</v>
      </c>
      <c r="Z228" s="19" t="str">
        <f>UPPER(SalesData[[#This Row],[Customer_Name]])</f>
        <v>RITIKA DAS</v>
      </c>
      <c r="AA228" s="19" t="str">
        <f>LOWER(SalesData[[#This Row],[Customer_Name]])</f>
        <v>ritika das</v>
      </c>
      <c r="AB228" s="19">
        <f>LEN(SalesData[[#This Row],[Customer_Name]])</f>
        <v>10</v>
      </c>
      <c r="AC228" s="19" t="str">
        <f>LEFT(SalesData[[#This Row],[Order_ID]],3)</f>
        <v>ORD</v>
      </c>
      <c r="AD228" s="19" t="str">
        <f>RIGHT(SalesData[[#This Row],[Order_ID]],4)</f>
        <v>0204</v>
      </c>
      <c r="AE228" s="19" t="str">
        <f>_xlfn.CONCAT(SalesData[[#This Row],[Clean_Customer_Name]],"-",SalesData[[#This Row],[Region]])</f>
        <v>Ritika Das-West</v>
      </c>
      <c r="AF228" s="19" t="str">
        <f>MID(SalesData[[#This Row],[Order_ID]],4,4)</f>
        <v>0204</v>
      </c>
      <c r="AG228" s="19" t="e">
        <f ca="1">_xlfn.SINGLE(_xlfn.XLOOKUP(SalesData[[#This Row],[Product]],Product_Master!A:A,Product_Master!B:B,"Not Found"))</f>
        <v>#NAME?</v>
      </c>
      <c r="AH228" s="19" t="str">
        <f>VLOOKUP(SalesData[[#This Row],[Product]],Product_Master!$A$1:$B$21,2,FALSE)</f>
        <v>Sneha</v>
      </c>
      <c r="AI228" s="16"/>
    </row>
    <row r="229" spans="1:35" ht="13.8">
      <c r="A229" s="16" t="s">
        <v>533</v>
      </c>
      <c r="B229" s="17">
        <v>45696</v>
      </c>
      <c r="C229" s="16" t="s">
        <v>197</v>
      </c>
      <c r="D229" s="16" t="s">
        <v>198</v>
      </c>
      <c r="E229" s="16" t="s">
        <v>123</v>
      </c>
      <c r="F229" s="16" t="s">
        <v>124</v>
      </c>
      <c r="G229" s="16" t="s">
        <v>51</v>
      </c>
      <c r="H229" s="16" t="s">
        <v>125</v>
      </c>
      <c r="I229" s="16" t="s">
        <v>23</v>
      </c>
      <c r="J229" s="16" t="s">
        <v>33</v>
      </c>
      <c r="K229" s="18">
        <v>28979.3</v>
      </c>
      <c r="L229" s="18">
        <v>18007.57</v>
      </c>
      <c r="M229" s="19">
        <v>1</v>
      </c>
      <c r="N229" s="20">
        <v>0.2</v>
      </c>
      <c r="O229" s="19" t="s">
        <v>34</v>
      </c>
      <c r="P229" s="19" t="s">
        <v>58</v>
      </c>
      <c r="Q229" s="19" t="str">
        <f>TRIM(SalesData[[#This Row],[Customer_Name]])</f>
        <v>Ritika Das</v>
      </c>
      <c r="R229" s="21">
        <f>SalesData[[#This Row],[Sales]]-SalesData[[#This Row],[Cost]]</f>
        <v>10971.73</v>
      </c>
      <c r="S229" s="22">
        <f>IFERROR(SalesData[[#This Row],[Profit]]/SalesData[[#This Row],[Sales]],0)</f>
        <v>0.3786057634242373</v>
      </c>
      <c r="T229" s="19">
        <f>YEAR(SalesData[[#This Row],[Order_Date]])</f>
        <v>2025</v>
      </c>
      <c r="U229" s="19" t="str">
        <f>TEXT(SalesData[[#This Row],[Order_Date]],"mmm")</f>
        <v>Feb</v>
      </c>
      <c r="V229" s="19" t="str">
        <f>"Q"&amp;ROUNDUP(MONTH(SalesData[[#This Row],[Order_Date]])/3,0)</f>
        <v>Q1</v>
      </c>
      <c r="W229" s="19" t="str">
        <f>IF(SalesData[[#This Row],[Sales]]&gt;=50000,"High",IF(AND(SalesData[[#This Row],[Sales]]&gt;= 20000, SalesData[[#This Row],[Sales]]&lt; 50000),"Medium","Low"))</f>
        <v>Medium</v>
      </c>
      <c r="X229" s="19" t="str">
        <f>IF(SalesData[[#This Row],[Profit]]&gt;0,"Profit","Loss")</f>
        <v>Profit</v>
      </c>
      <c r="Y229" s="19" t="str">
        <f>IF(AND(SalesData[[#This Row],[Sales]]&gt;= 50000, SalesData[[#This Row],[Quantity]]&gt;=2),"Yes","No")</f>
        <v>No</v>
      </c>
      <c r="Z229" s="19" t="str">
        <f>UPPER(SalesData[[#This Row],[Customer_Name]])</f>
        <v>RITIKA DAS</v>
      </c>
      <c r="AA229" s="19" t="str">
        <f>LOWER(SalesData[[#This Row],[Customer_Name]])</f>
        <v>ritika das</v>
      </c>
      <c r="AB229" s="19">
        <f>LEN(SalesData[[#This Row],[Customer_Name]])</f>
        <v>10</v>
      </c>
      <c r="AC229" s="19" t="str">
        <f>LEFT(SalesData[[#This Row],[Order_ID]],3)</f>
        <v>ORD</v>
      </c>
      <c r="AD229" s="19" t="str">
        <f>RIGHT(SalesData[[#This Row],[Order_ID]],4)</f>
        <v>0380</v>
      </c>
      <c r="AE229" s="19" t="str">
        <f>_xlfn.CONCAT(SalesData[[#This Row],[Clean_Customer_Name]],"-",SalesData[[#This Row],[Region]])</f>
        <v>Ritika Das-North</v>
      </c>
      <c r="AF229" s="19" t="str">
        <f>MID(SalesData[[#This Row],[Order_ID]],4,4)</f>
        <v>0380</v>
      </c>
      <c r="AG229" s="19" t="e">
        <f ca="1">_xlfn.SINGLE(_xlfn.XLOOKUP(SalesData[[#This Row],[Product]],Product_Master!A:A,Product_Master!B:B,"Not Found"))</f>
        <v>#NAME?</v>
      </c>
      <c r="AH229" s="19" t="str">
        <f>VLOOKUP(SalesData[[#This Row],[Product]],Product_Master!$A$1:$B$21,2,FALSE)</f>
        <v>Sneha</v>
      </c>
      <c r="AI229" s="16"/>
    </row>
    <row r="230" spans="1:35" ht="13.8">
      <c r="A230" s="16" t="s">
        <v>995</v>
      </c>
      <c r="B230" s="17">
        <v>45506</v>
      </c>
      <c r="C230" s="16" t="s">
        <v>197</v>
      </c>
      <c r="D230" s="16" t="s">
        <v>198</v>
      </c>
      <c r="E230" s="16" t="s">
        <v>123</v>
      </c>
      <c r="F230" s="16" t="s">
        <v>124</v>
      </c>
      <c r="G230" s="16" t="s">
        <v>51</v>
      </c>
      <c r="H230" s="16" t="s">
        <v>125</v>
      </c>
      <c r="I230" s="16" t="s">
        <v>84</v>
      </c>
      <c r="J230" s="16" t="s">
        <v>85</v>
      </c>
      <c r="K230" s="18">
        <v>92175.53</v>
      </c>
      <c r="L230" s="18">
        <v>81846.899999999994</v>
      </c>
      <c r="M230" s="19">
        <v>5</v>
      </c>
      <c r="N230" s="20">
        <v>0.1</v>
      </c>
      <c r="O230" s="19" t="s">
        <v>44</v>
      </c>
      <c r="P230" s="19" t="s">
        <v>58</v>
      </c>
      <c r="Q230" s="19" t="str">
        <f>TRIM(SalesData[[#This Row],[Customer_Name]])</f>
        <v>Ritika Das</v>
      </c>
      <c r="R230" s="21">
        <f>SalesData[[#This Row],[Sales]]-SalesData[[#This Row],[Cost]]</f>
        <v>10328.630000000005</v>
      </c>
      <c r="S230" s="22">
        <f>IFERROR(SalesData[[#This Row],[Profit]]/SalesData[[#This Row],[Sales]],0)</f>
        <v>0.11205392580872607</v>
      </c>
      <c r="T230" s="19">
        <f>YEAR(SalesData[[#This Row],[Order_Date]])</f>
        <v>2024</v>
      </c>
      <c r="U230" s="19" t="str">
        <f>TEXT(SalesData[[#This Row],[Order_Date]],"mmm")</f>
        <v>Aug</v>
      </c>
      <c r="V230" s="19" t="str">
        <f>"Q"&amp;ROUNDUP(MONTH(SalesData[[#This Row],[Order_Date]])/3,0)</f>
        <v>Q3</v>
      </c>
      <c r="W230" s="19" t="str">
        <f>IF(SalesData[[#This Row],[Sales]]&gt;=50000,"High",IF(AND(SalesData[[#This Row],[Sales]]&gt;= 20000, SalesData[[#This Row],[Sales]]&lt; 50000),"Medium","Low"))</f>
        <v>High</v>
      </c>
      <c r="X230" s="19" t="str">
        <f>IF(SalesData[[#This Row],[Profit]]&gt;0,"Profit","Loss")</f>
        <v>Profit</v>
      </c>
      <c r="Y230" s="19" t="str">
        <f>IF(AND(SalesData[[#This Row],[Sales]]&gt;= 50000, SalesData[[#This Row],[Quantity]]&gt;=2),"Yes","No")</f>
        <v>Yes</v>
      </c>
      <c r="Z230" s="19" t="str">
        <f>UPPER(SalesData[[#This Row],[Customer_Name]])</f>
        <v>RITIKA DAS</v>
      </c>
      <c r="AA230" s="19" t="str">
        <f>LOWER(SalesData[[#This Row],[Customer_Name]])</f>
        <v>ritika das</v>
      </c>
      <c r="AB230" s="19">
        <f>LEN(SalesData[[#This Row],[Customer_Name]])</f>
        <v>10</v>
      </c>
      <c r="AC230" s="19" t="str">
        <f>LEFT(SalesData[[#This Row],[Order_ID]],3)</f>
        <v>ORD</v>
      </c>
      <c r="AD230" s="19" t="str">
        <f>RIGHT(SalesData[[#This Row],[Order_ID]],4)</f>
        <v>0842</v>
      </c>
      <c r="AE230" s="19" t="str">
        <f>_xlfn.CONCAT(SalesData[[#This Row],[Clean_Customer_Name]],"-",SalesData[[#This Row],[Region]])</f>
        <v>Ritika Das-South</v>
      </c>
      <c r="AF230" s="19" t="str">
        <f>MID(SalesData[[#This Row],[Order_ID]],4,4)</f>
        <v>0842</v>
      </c>
      <c r="AG230" s="19" t="e">
        <f ca="1">_xlfn.SINGLE(_xlfn.XLOOKUP(SalesData[[#This Row],[Product]],Product_Master!A:A,Product_Master!B:B,"Not Found"))</f>
        <v>#NAME?</v>
      </c>
      <c r="AH230" s="19" t="str">
        <f>VLOOKUP(SalesData[[#This Row],[Product]],Product_Master!$A$1:$B$21,2,FALSE)</f>
        <v>Sneha</v>
      </c>
      <c r="AI230" s="16"/>
    </row>
    <row r="231" spans="1:35" ht="13.8">
      <c r="A231" s="16" t="s">
        <v>663</v>
      </c>
      <c r="B231" s="17">
        <v>45515</v>
      </c>
      <c r="C231" s="16" t="s">
        <v>197</v>
      </c>
      <c r="D231" s="16" t="s">
        <v>198</v>
      </c>
      <c r="E231" s="16" t="s">
        <v>110</v>
      </c>
      <c r="F231" s="16" t="s">
        <v>111</v>
      </c>
      <c r="G231" s="16" t="s">
        <v>40</v>
      </c>
      <c r="H231" s="16" t="s">
        <v>112</v>
      </c>
      <c r="I231" s="16" t="s">
        <v>84</v>
      </c>
      <c r="J231" s="16" t="s">
        <v>134</v>
      </c>
      <c r="K231" s="18">
        <v>22831.63</v>
      </c>
      <c r="L231" s="18">
        <v>5722.9</v>
      </c>
      <c r="M231" s="19">
        <v>5</v>
      </c>
      <c r="N231" s="20">
        <v>0.05</v>
      </c>
      <c r="O231" s="19" t="s">
        <v>136</v>
      </c>
      <c r="P231" s="19" t="s">
        <v>58</v>
      </c>
      <c r="Q231" s="19" t="str">
        <f>TRIM(SalesData[[#This Row],[Customer_Name]])</f>
        <v>Ritika Das</v>
      </c>
      <c r="R231" s="21">
        <f>SalesData[[#This Row],[Sales]]-SalesData[[#This Row],[Cost]]</f>
        <v>17108.730000000003</v>
      </c>
      <c r="S231" s="22">
        <f>IFERROR(SalesData[[#This Row],[Profit]]/SalesData[[#This Row],[Sales]],0)</f>
        <v>0.74934334517509271</v>
      </c>
      <c r="T231" s="19">
        <f>YEAR(SalesData[[#This Row],[Order_Date]])</f>
        <v>2024</v>
      </c>
      <c r="U231" s="19" t="str">
        <f>TEXT(SalesData[[#This Row],[Order_Date]],"mmm")</f>
        <v>Aug</v>
      </c>
      <c r="V231" s="19" t="str">
        <f>"Q"&amp;ROUNDUP(MONTH(SalesData[[#This Row],[Order_Date]])/3,0)</f>
        <v>Q3</v>
      </c>
      <c r="W231" s="19" t="str">
        <f>IF(SalesData[[#This Row],[Sales]]&gt;=50000,"High",IF(AND(SalesData[[#This Row],[Sales]]&gt;= 20000, SalesData[[#This Row],[Sales]]&lt; 50000),"Medium","Low"))</f>
        <v>Medium</v>
      </c>
      <c r="X231" s="19" t="str">
        <f>IF(SalesData[[#This Row],[Profit]]&gt;0,"Profit","Loss")</f>
        <v>Profit</v>
      </c>
      <c r="Y231" s="19" t="str">
        <f>IF(AND(SalesData[[#This Row],[Sales]]&gt;= 50000, SalesData[[#This Row],[Quantity]]&gt;=2),"Yes","No")</f>
        <v>No</v>
      </c>
      <c r="Z231" s="19" t="str">
        <f>UPPER(SalesData[[#This Row],[Customer_Name]])</f>
        <v>RITIKA DAS</v>
      </c>
      <c r="AA231" s="19" t="str">
        <f>LOWER(SalesData[[#This Row],[Customer_Name]])</f>
        <v>ritika das</v>
      </c>
      <c r="AB231" s="19">
        <f>LEN(SalesData[[#This Row],[Customer_Name]])</f>
        <v>10</v>
      </c>
      <c r="AC231" s="19" t="str">
        <f>LEFT(SalesData[[#This Row],[Order_ID]],3)</f>
        <v>ORD</v>
      </c>
      <c r="AD231" s="19" t="str">
        <f>RIGHT(SalesData[[#This Row],[Order_ID]],4)</f>
        <v>0510</v>
      </c>
      <c r="AE231" s="19" t="str">
        <f>_xlfn.CONCAT(SalesData[[#This Row],[Clean_Customer_Name]],"-",SalesData[[#This Row],[Region]])</f>
        <v>Ritika Das-South</v>
      </c>
      <c r="AF231" s="19" t="str">
        <f>MID(SalesData[[#This Row],[Order_ID]],4,4)</f>
        <v>0510</v>
      </c>
      <c r="AG231" s="19" t="e">
        <f ca="1">_xlfn.SINGLE(_xlfn.XLOOKUP(SalesData[[#This Row],[Product]],Product_Master!A:A,Product_Master!B:B,"Not Found"))</f>
        <v>#NAME?</v>
      </c>
      <c r="AH231" s="19" t="str">
        <f>VLOOKUP(SalesData[[#This Row],[Product]],Product_Master!$A$1:$B$21,2,FALSE)</f>
        <v>Vikas</v>
      </c>
      <c r="AI231" s="16"/>
    </row>
    <row r="232" spans="1:35" ht="13.8">
      <c r="A232" s="16" t="s">
        <v>1045</v>
      </c>
      <c r="B232" s="17">
        <v>45579</v>
      </c>
      <c r="C232" s="16" t="s">
        <v>197</v>
      </c>
      <c r="D232" s="16" t="s">
        <v>198</v>
      </c>
      <c r="E232" s="16" t="s">
        <v>172</v>
      </c>
      <c r="F232" s="16" t="s">
        <v>173</v>
      </c>
      <c r="G232" s="16" t="s">
        <v>40</v>
      </c>
      <c r="H232" s="16" t="s">
        <v>41</v>
      </c>
      <c r="I232" s="16" t="s">
        <v>23</v>
      </c>
      <c r="J232" s="16" t="s">
        <v>24</v>
      </c>
      <c r="K232" s="18">
        <v>11868.35</v>
      </c>
      <c r="L232" s="18">
        <v>3891.24</v>
      </c>
      <c r="M232" s="19">
        <v>4</v>
      </c>
      <c r="N232" s="20">
        <v>0.05</v>
      </c>
      <c r="O232" s="19" t="s">
        <v>25</v>
      </c>
      <c r="P232" s="19" t="s">
        <v>58</v>
      </c>
      <c r="Q232" s="19" t="str">
        <f>TRIM(SalesData[[#This Row],[Customer_Name]])</f>
        <v>Ritika Das</v>
      </c>
      <c r="R232" s="21">
        <f>SalesData[[#This Row],[Sales]]-SalesData[[#This Row],[Cost]]</f>
        <v>7977.1100000000006</v>
      </c>
      <c r="S232" s="22">
        <f>IFERROR(SalesData[[#This Row],[Profit]]/SalesData[[#This Row],[Sales]],0)</f>
        <v>0.67213302607354863</v>
      </c>
      <c r="T232" s="19">
        <f>YEAR(SalesData[[#This Row],[Order_Date]])</f>
        <v>2024</v>
      </c>
      <c r="U232" s="19" t="str">
        <f>TEXT(SalesData[[#This Row],[Order_Date]],"mmm")</f>
        <v>Oct</v>
      </c>
      <c r="V232" s="19" t="str">
        <f>"Q"&amp;ROUNDUP(MONTH(SalesData[[#This Row],[Order_Date]])/3,0)</f>
        <v>Q4</v>
      </c>
      <c r="W232" s="19" t="str">
        <f>IF(SalesData[[#This Row],[Sales]]&gt;=50000,"High",IF(AND(SalesData[[#This Row],[Sales]]&gt;= 20000, SalesData[[#This Row],[Sales]]&lt; 50000),"Medium","Low"))</f>
        <v>Low</v>
      </c>
      <c r="X232" s="19" t="str">
        <f>IF(SalesData[[#This Row],[Profit]]&gt;0,"Profit","Loss")</f>
        <v>Profit</v>
      </c>
      <c r="Y232" s="19" t="str">
        <f>IF(AND(SalesData[[#This Row],[Sales]]&gt;= 50000, SalesData[[#This Row],[Quantity]]&gt;=2),"Yes","No")</f>
        <v>No</v>
      </c>
      <c r="Z232" s="19" t="str">
        <f>UPPER(SalesData[[#This Row],[Customer_Name]])</f>
        <v>RITIKA DAS</v>
      </c>
      <c r="AA232" s="19" t="str">
        <f>LOWER(SalesData[[#This Row],[Customer_Name]])</f>
        <v>ritika das</v>
      </c>
      <c r="AB232" s="19">
        <f>LEN(SalesData[[#This Row],[Customer_Name]])</f>
        <v>10</v>
      </c>
      <c r="AC232" s="19" t="str">
        <f>LEFT(SalesData[[#This Row],[Order_ID]],3)</f>
        <v>ORD</v>
      </c>
      <c r="AD232" s="19" t="str">
        <f>RIGHT(SalesData[[#This Row],[Order_ID]],4)</f>
        <v>0892</v>
      </c>
      <c r="AE232" s="19" t="str">
        <f>_xlfn.CONCAT(SalesData[[#This Row],[Clean_Customer_Name]],"-",SalesData[[#This Row],[Region]])</f>
        <v>Ritika Das-North</v>
      </c>
      <c r="AF232" s="19" t="str">
        <f>MID(SalesData[[#This Row],[Order_ID]],4,4)</f>
        <v>0892</v>
      </c>
      <c r="AG232" s="19" t="e">
        <f ca="1">_xlfn.SINGLE(_xlfn.XLOOKUP(SalesData[[#This Row],[Product]],Product_Master!A:A,Product_Master!B:B,"Not Found"))</f>
        <v>#NAME?</v>
      </c>
      <c r="AH232" s="19" t="str">
        <f>VLOOKUP(SalesData[[#This Row],[Product]],Product_Master!$A$1:$B$21,2,FALSE)</f>
        <v>Pooja</v>
      </c>
      <c r="AI232" s="16"/>
    </row>
    <row r="233" spans="1:35" ht="13.8">
      <c r="A233" s="16" t="s">
        <v>1050</v>
      </c>
      <c r="B233" s="17">
        <v>45336</v>
      </c>
      <c r="C233" s="16" t="s">
        <v>197</v>
      </c>
      <c r="D233" s="16" t="s">
        <v>198</v>
      </c>
      <c r="E233" s="16" t="s">
        <v>172</v>
      </c>
      <c r="F233" s="16" t="s">
        <v>173</v>
      </c>
      <c r="G233" s="16" t="s">
        <v>40</v>
      </c>
      <c r="H233" s="16" t="s">
        <v>41</v>
      </c>
      <c r="I233" s="16" t="s">
        <v>56</v>
      </c>
      <c r="J233" s="16" t="s">
        <v>57</v>
      </c>
      <c r="K233" s="18">
        <v>6009.33</v>
      </c>
      <c r="L233" s="18">
        <v>1636.9</v>
      </c>
      <c r="M233" s="19">
        <v>2</v>
      </c>
      <c r="N233" s="20">
        <v>0.2</v>
      </c>
      <c r="O233" s="19" t="s">
        <v>136</v>
      </c>
      <c r="P233" s="19" t="s">
        <v>77</v>
      </c>
      <c r="Q233" s="19" t="str">
        <f>TRIM(SalesData[[#This Row],[Customer_Name]])</f>
        <v>Ritika Das</v>
      </c>
      <c r="R233" s="21">
        <f>SalesData[[#This Row],[Sales]]-SalesData[[#This Row],[Cost]]</f>
        <v>4372.43</v>
      </c>
      <c r="S233" s="22">
        <f>IFERROR(SalesData[[#This Row],[Profit]]/SalesData[[#This Row],[Sales]],0)</f>
        <v>0.72760690459668553</v>
      </c>
      <c r="T233" s="19">
        <f>YEAR(SalesData[[#This Row],[Order_Date]])</f>
        <v>2024</v>
      </c>
      <c r="U233" s="19" t="str">
        <f>TEXT(SalesData[[#This Row],[Order_Date]],"mmm")</f>
        <v>Feb</v>
      </c>
      <c r="V233" s="19" t="str">
        <f>"Q"&amp;ROUNDUP(MONTH(SalesData[[#This Row],[Order_Date]])/3,0)</f>
        <v>Q1</v>
      </c>
      <c r="W233" s="19" t="str">
        <f>IF(SalesData[[#This Row],[Sales]]&gt;=50000,"High",IF(AND(SalesData[[#This Row],[Sales]]&gt;= 20000, SalesData[[#This Row],[Sales]]&lt; 50000),"Medium","Low"))</f>
        <v>Low</v>
      </c>
      <c r="X233" s="19" t="str">
        <f>IF(SalesData[[#This Row],[Profit]]&gt;0,"Profit","Loss")</f>
        <v>Profit</v>
      </c>
      <c r="Y233" s="19" t="str">
        <f>IF(AND(SalesData[[#This Row],[Sales]]&gt;= 50000, SalesData[[#This Row],[Quantity]]&gt;=2),"Yes","No")</f>
        <v>No</v>
      </c>
      <c r="Z233" s="19" t="str">
        <f>UPPER(SalesData[[#This Row],[Customer_Name]])</f>
        <v>RITIKA DAS</v>
      </c>
      <c r="AA233" s="19" t="str">
        <f>LOWER(SalesData[[#This Row],[Customer_Name]])</f>
        <v>ritika das</v>
      </c>
      <c r="AB233" s="19">
        <f>LEN(SalesData[[#This Row],[Customer_Name]])</f>
        <v>10</v>
      </c>
      <c r="AC233" s="19" t="str">
        <f>LEFT(SalesData[[#This Row],[Order_ID]],3)</f>
        <v>ORD</v>
      </c>
      <c r="AD233" s="19" t="str">
        <f>RIGHT(SalesData[[#This Row],[Order_ID]],4)</f>
        <v>0897</v>
      </c>
      <c r="AE233" s="19" t="str">
        <f>_xlfn.CONCAT(SalesData[[#This Row],[Clean_Customer_Name]],"-",SalesData[[#This Row],[Region]])</f>
        <v>Ritika Das-West</v>
      </c>
      <c r="AF233" s="19" t="str">
        <f>MID(SalesData[[#This Row],[Order_ID]],4,4)</f>
        <v>0897</v>
      </c>
      <c r="AG233" s="19" t="e">
        <f ca="1">_xlfn.SINGLE(_xlfn.XLOOKUP(SalesData[[#This Row],[Product]],Product_Master!A:A,Product_Master!B:B,"Not Found"))</f>
        <v>#NAME?</v>
      </c>
      <c r="AH233" s="19" t="str">
        <f>VLOOKUP(SalesData[[#This Row],[Product]],Product_Master!$A$1:$B$21,2,FALSE)</f>
        <v>Pooja</v>
      </c>
      <c r="AI233" s="16"/>
    </row>
    <row r="234" spans="1:35" ht="13.8">
      <c r="A234" s="16" t="s">
        <v>196</v>
      </c>
      <c r="B234" s="17">
        <v>45443</v>
      </c>
      <c r="C234" s="16" t="s">
        <v>197</v>
      </c>
      <c r="D234" s="16" t="s">
        <v>198</v>
      </c>
      <c r="E234" s="16" t="s">
        <v>106</v>
      </c>
      <c r="F234" s="16" t="s">
        <v>107</v>
      </c>
      <c r="G234" s="16" t="s">
        <v>40</v>
      </c>
      <c r="H234" s="16" t="s">
        <v>108</v>
      </c>
      <c r="I234" s="16" t="s">
        <v>84</v>
      </c>
      <c r="J234" s="16" t="s">
        <v>85</v>
      </c>
      <c r="K234" s="18">
        <v>2692.97</v>
      </c>
      <c r="L234" s="18">
        <v>754.97</v>
      </c>
      <c r="M234" s="19">
        <v>1</v>
      </c>
      <c r="N234" s="20">
        <v>0</v>
      </c>
      <c r="O234" s="19" t="s">
        <v>136</v>
      </c>
      <c r="P234" s="19" t="s">
        <v>58</v>
      </c>
      <c r="Q234" s="19" t="str">
        <f>TRIM(SalesData[[#This Row],[Customer_Name]])</f>
        <v>Ritika Das</v>
      </c>
      <c r="R234" s="21">
        <f>SalesData[[#This Row],[Sales]]-SalesData[[#This Row],[Cost]]</f>
        <v>1937.9999999999998</v>
      </c>
      <c r="S234" s="22">
        <f>IFERROR(SalesData[[#This Row],[Profit]]/SalesData[[#This Row],[Sales]],0)</f>
        <v>0.7196515371504324</v>
      </c>
      <c r="T234" s="19">
        <f>YEAR(SalesData[[#This Row],[Order_Date]])</f>
        <v>2024</v>
      </c>
      <c r="U234" s="19" t="str">
        <f>TEXT(SalesData[[#This Row],[Order_Date]],"mmm")</f>
        <v>May</v>
      </c>
      <c r="V234" s="19" t="str">
        <f>"Q"&amp;ROUNDUP(MONTH(SalesData[[#This Row],[Order_Date]])/3,0)</f>
        <v>Q2</v>
      </c>
      <c r="W234" s="19" t="str">
        <f>IF(SalesData[[#This Row],[Sales]]&gt;=50000,"High",IF(AND(SalesData[[#This Row],[Sales]]&gt;= 20000, SalesData[[#This Row],[Sales]]&lt; 50000),"Medium","Low"))</f>
        <v>Low</v>
      </c>
      <c r="X234" s="19" t="str">
        <f>IF(SalesData[[#This Row],[Profit]]&gt;0,"Profit","Loss")</f>
        <v>Profit</v>
      </c>
      <c r="Y234" s="19" t="str">
        <f>IF(AND(SalesData[[#This Row],[Sales]]&gt;= 50000, SalesData[[#This Row],[Quantity]]&gt;=2),"Yes","No")</f>
        <v>No</v>
      </c>
      <c r="Z234" s="19" t="str">
        <f>UPPER(SalesData[[#This Row],[Customer_Name]])</f>
        <v>RITIKA DAS</v>
      </c>
      <c r="AA234" s="19" t="str">
        <f>LOWER(SalesData[[#This Row],[Customer_Name]])</f>
        <v>ritika das</v>
      </c>
      <c r="AB234" s="19">
        <f>LEN(SalesData[[#This Row],[Customer_Name]])</f>
        <v>10</v>
      </c>
      <c r="AC234" s="19" t="str">
        <f>LEFT(SalesData[[#This Row],[Order_ID]],3)</f>
        <v>ORD</v>
      </c>
      <c r="AD234" s="19" t="str">
        <f>RIGHT(SalesData[[#This Row],[Order_ID]],4)</f>
        <v>0053</v>
      </c>
      <c r="AE234" s="19" t="str">
        <f>_xlfn.CONCAT(SalesData[[#This Row],[Clean_Customer_Name]],"-",SalesData[[#This Row],[Region]])</f>
        <v>Ritika Das-South</v>
      </c>
      <c r="AF234" s="19" t="str">
        <f>MID(SalesData[[#This Row],[Order_ID]],4,4)</f>
        <v>0053</v>
      </c>
      <c r="AG234" s="19" t="e">
        <f ca="1">_xlfn.SINGLE(_xlfn.XLOOKUP(SalesData[[#This Row],[Product]],Product_Master!A:A,Product_Master!B:B,"Not Found"))</f>
        <v>#NAME?</v>
      </c>
      <c r="AH234" s="19" t="str">
        <f>VLOOKUP(SalesData[[#This Row],[Product]],Product_Master!$A$1:$B$21,2,FALSE)</f>
        <v>Aditya</v>
      </c>
      <c r="AI234" s="16"/>
    </row>
    <row r="235" spans="1:35" ht="13.8">
      <c r="A235" s="16" t="s">
        <v>476</v>
      </c>
      <c r="B235" s="17">
        <v>45538</v>
      </c>
      <c r="C235" s="16" t="s">
        <v>197</v>
      </c>
      <c r="D235" s="16" t="s">
        <v>198</v>
      </c>
      <c r="E235" s="16" t="s">
        <v>106</v>
      </c>
      <c r="F235" s="16" t="s">
        <v>107</v>
      </c>
      <c r="G235" s="16" t="s">
        <v>40</v>
      </c>
      <c r="H235" s="16" t="s">
        <v>108</v>
      </c>
      <c r="I235" s="16" t="s">
        <v>23</v>
      </c>
      <c r="J235" s="16" t="s">
        <v>33</v>
      </c>
      <c r="K235" s="18">
        <v>3824.92</v>
      </c>
      <c r="L235" s="18">
        <v>2877.32</v>
      </c>
      <c r="M235" s="19">
        <v>4</v>
      </c>
      <c r="N235" s="20">
        <v>0</v>
      </c>
      <c r="O235" s="19" t="s">
        <v>44</v>
      </c>
      <c r="P235" s="19" t="s">
        <v>77</v>
      </c>
      <c r="Q235" s="19" t="str">
        <f>TRIM(SalesData[[#This Row],[Customer_Name]])</f>
        <v>Ritika Das</v>
      </c>
      <c r="R235" s="21">
        <f>SalesData[[#This Row],[Sales]]-SalesData[[#This Row],[Cost]]</f>
        <v>947.59999999999991</v>
      </c>
      <c r="S235" s="22">
        <f>IFERROR(SalesData[[#This Row],[Profit]]/SalesData[[#This Row],[Sales]],0)</f>
        <v>0.2477437436599981</v>
      </c>
      <c r="T235" s="19">
        <f>YEAR(SalesData[[#This Row],[Order_Date]])</f>
        <v>2024</v>
      </c>
      <c r="U235" s="19" t="str">
        <f>TEXT(SalesData[[#This Row],[Order_Date]],"mmm")</f>
        <v>Sept</v>
      </c>
      <c r="V235" s="19" t="str">
        <f>"Q"&amp;ROUNDUP(MONTH(SalesData[[#This Row],[Order_Date]])/3,0)</f>
        <v>Q3</v>
      </c>
      <c r="W235" s="19" t="str">
        <f>IF(SalesData[[#This Row],[Sales]]&gt;=50000,"High",IF(AND(SalesData[[#This Row],[Sales]]&gt;= 20000, SalesData[[#This Row],[Sales]]&lt; 50000),"Medium","Low"))</f>
        <v>Low</v>
      </c>
      <c r="X235" s="19" t="str">
        <f>IF(SalesData[[#This Row],[Profit]]&gt;0,"Profit","Loss")</f>
        <v>Profit</v>
      </c>
      <c r="Y235" s="19" t="str">
        <f>IF(AND(SalesData[[#This Row],[Sales]]&gt;= 50000, SalesData[[#This Row],[Quantity]]&gt;=2),"Yes","No")</f>
        <v>No</v>
      </c>
      <c r="Z235" s="19" t="str">
        <f>UPPER(SalesData[[#This Row],[Customer_Name]])</f>
        <v>RITIKA DAS</v>
      </c>
      <c r="AA235" s="19" t="str">
        <f>LOWER(SalesData[[#This Row],[Customer_Name]])</f>
        <v>ritika das</v>
      </c>
      <c r="AB235" s="19">
        <f>LEN(SalesData[[#This Row],[Customer_Name]])</f>
        <v>10</v>
      </c>
      <c r="AC235" s="19" t="str">
        <f>LEFT(SalesData[[#This Row],[Order_ID]],3)</f>
        <v>ORD</v>
      </c>
      <c r="AD235" s="19" t="str">
        <f>RIGHT(SalesData[[#This Row],[Order_ID]],4)</f>
        <v>0323</v>
      </c>
      <c r="AE235" s="19" t="str">
        <f>_xlfn.CONCAT(SalesData[[#This Row],[Clean_Customer_Name]],"-",SalesData[[#This Row],[Region]])</f>
        <v>Ritika Das-North</v>
      </c>
      <c r="AF235" s="19" t="str">
        <f>MID(SalesData[[#This Row],[Order_ID]],4,4)</f>
        <v>0323</v>
      </c>
      <c r="AG235" s="19" t="e">
        <f ca="1">_xlfn.SINGLE(_xlfn.XLOOKUP(SalesData[[#This Row],[Product]],Product_Master!A:A,Product_Master!B:B,"Not Found"))</f>
        <v>#NAME?</v>
      </c>
      <c r="AH235" s="19" t="str">
        <f>VLOOKUP(SalesData[[#This Row],[Product]],Product_Master!$A$1:$B$21,2,FALSE)</f>
        <v>Aditya</v>
      </c>
      <c r="AI235" s="16"/>
    </row>
    <row r="236" spans="1:35" ht="13.8">
      <c r="A236" s="16" t="s">
        <v>728</v>
      </c>
      <c r="B236" s="17">
        <v>45877</v>
      </c>
      <c r="C236" s="16" t="s">
        <v>197</v>
      </c>
      <c r="D236" s="16" t="s">
        <v>198</v>
      </c>
      <c r="E236" s="16" t="s">
        <v>106</v>
      </c>
      <c r="F236" s="16" t="s">
        <v>107</v>
      </c>
      <c r="G236" s="16" t="s">
        <v>40</v>
      </c>
      <c r="H236" s="16" t="s">
        <v>108</v>
      </c>
      <c r="I236" s="16" t="s">
        <v>42</v>
      </c>
      <c r="J236" s="16" t="s">
        <v>68</v>
      </c>
      <c r="K236" s="18">
        <v>4789.71</v>
      </c>
      <c r="L236" s="18">
        <v>1417.12</v>
      </c>
      <c r="M236" s="19">
        <v>2</v>
      </c>
      <c r="N236" s="20">
        <v>0.2</v>
      </c>
      <c r="O236" s="19" t="s">
        <v>76</v>
      </c>
      <c r="P236" s="19" t="s">
        <v>58</v>
      </c>
      <c r="Q236" s="19" t="str">
        <f>TRIM(SalesData[[#This Row],[Customer_Name]])</f>
        <v>Ritika Das</v>
      </c>
      <c r="R236" s="21">
        <f>SalesData[[#This Row],[Sales]]-SalesData[[#This Row],[Cost]]</f>
        <v>3372.59</v>
      </c>
      <c r="S236" s="22">
        <f>IFERROR(SalesData[[#This Row],[Profit]]/SalesData[[#This Row],[Sales]],0)</f>
        <v>0.70413240050023906</v>
      </c>
      <c r="T236" s="19">
        <f>YEAR(SalesData[[#This Row],[Order_Date]])</f>
        <v>2025</v>
      </c>
      <c r="U236" s="19" t="str">
        <f>TEXT(SalesData[[#This Row],[Order_Date]],"mmm")</f>
        <v>Aug</v>
      </c>
      <c r="V236" s="19" t="str">
        <f>"Q"&amp;ROUNDUP(MONTH(SalesData[[#This Row],[Order_Date]])/3,0)</f>
        <v>Q3</v>
      </c>
      <c r="W236" s="19" t="str">
        <f>IF(SalesData[[#This Row],[Sales]]&gt;=50000,"High",IF(AND(SalesData[[#This Row],[Sales]]&gt;= 20000, SalesData[[#This Row],[Sales]]&lt; 50000),"Medium","Low"))</f>
        <v>Low</v>
      </c>
      <c r="X236" s="19" t="str">
        <f>IF(SalesData[[#This Row],[Profit]]&gt;0,"Profit","Loss")</f>
        <v>Profit</v>
      </c>
      <c r="Y236" s="19" t="str">
        <f>IF(AND(SalesData[[#This Row],[Sales]]&gt;= 50000, SalesData[[#This Row],[Quantity]]&gt;=2),"Yes","No")</f>
        <v>No</v>
      </c>
      <c r="Z236" s="19" t="str">
        <f>UPPER(SalesData[[#This Row],[Customer_Name]])</f>
        <v>RITIKA DAS</v>
      </c>
      <c r="AA236" s="19" t="str">
        <f>LOWER(SalesData[[#This Row],[Customer_Name]])</f>
        <v>ritika das</v>
      </c>
      <c r="AB236" s="19">
        <f>LEN(SalesData[[#This Row],[Customer_Name]])</f>
        <v>10</v>
      </c>
      <c r="AC236" s="19" t="str">
        <f>LEFT(SalesData[[#This Row],[Order_ID]],3)</f>
        <v>ORD</v>
      </c>
      <c r="AD236" s="19" t="str">
        <f>RIGHT(SalesData[[#This Row],[Order_ID]],4)</f>
        <v>0575</v>
      </c>
      <c r="AE236" s="19" t="str">
        <f>_xlfn.CONCAT(SalesData[[#This Row],[Clean_Customer_Name]],"-",SalesData[[#This Row],[Region]])</f>
        <v>Ritika Das-East</v>
      </c>
      <c r="AF236" s="19" t="str">
        <f>MID(SalesData[[#This Row],[Order_ID]],4,4)</f>
        <v>0575</v>
      </c>
      <c r="AG236" s="19" t="e">
        <f ca="1">_xlfn.SINGLE(_xlfn.XLOOKUP(SalesData[[#This Row],[Product]],Product_Master!A:A,Product_Master!B:B,"Not Found"))</f>
        <v>#NAME?</v>
      </c>
      <c r="AH236" s="19" t="str">
        <f>VLOOKUP(SalesData[[#This Row],[Product]],Product_Master!$A$1:$B$21,2,FALSE)</f>
        <v>Aditya</v>
      </c>
      <c r="AI236" s="16"/>
    </row>
    <row r="237" spans="1:35" ht="13.8">
      <c r="A237" s="16" t="s">
        <v>835</v>
      </c>
      <c r="B237" s="17">
        <v>45845</v>
      </c>
      <c r="C237" s="16" t="s">
        <v>197</v>
      </c>
      <c r="D237" s="16" t="s">
        <v>198</v>
      </c>
      <c r="E237" s="16" t="s">
        <v>106</v>
      </c>
      <c r="F237" s="16" t="s">
        <v>107</v>
      </c>
      <c r="G237" s="16" t="s">
        <v>40</v>
      </c>
      <c r="H237" s="16" t="s">
        <v>108</v>
      </c>
      <c r="I237" s="16" t="s">
        <v>23</v>
      </c>
      <c r="J237" s="16" t="s">
        <v>33</v>
      </c>
      <c r="K237" s="18">
        <v>7453.4</v>
      </c>
      <c r="L237" s="18">
        <v>2099.88</v>
      </c>
      <c r="M237" s="19">
        <v>3</v>
      </c>
      <c r="N237" s="20">
        <v>0.15</v>
      </c>
      <c r="O237" s="19" t="s">
        <v>25</v>
      </c>
      <c r="P237" s="19" t="s">
        <v>58</v>
      </c>
      <c r="Q237" s="19" t="str">
        <f>TRIM(SalesData[[#This Row],[Customer_Name]])</f>
        <v>Ritika Das</v>
      </c>
      <c r="R237" s="21">
        <f>SalesData[[#This Row],[Sales]]-SalesData[[#This Row],[Cost]]</f>
        <v>5353.5199999999995</v>
      </c>
      <c r="S237" s="22">
        <f>IFERROR(SalesData[[#This Row],[Profit]]/SalesData[[#This Row],[Sales]],0)</f>
        <v>0.7182654895752274</v>
      </c>
      <c r="T237" s="19">
        <f>YEAR(SalesData[[#This Row],[Order_Date]])</f>
        <v>2025</v>
      </c>
      <c r="U237" s="19" t="str">
        <f>TEXT(SalesData[[#This Row],[Order_Date]],"mmm")</f>
        <v>Jul</v>
      </c>
      <c r="V237" s="19" t="str">
        <f>"Q"&amp;ROUNDUP(MONTH(SalesData[[#This Row],[Order_Date]])/3,0)</f>
        <v>Q3</v>
      </c>
      <c r="W237" s="19" t="str">
        <f>IF(SalesData[[#This Row],[Sales]]&gt;=50000,"High",IF(AND(SalesData[[#This Row],[Sales]]&gt;= 20000, SalesData[[#This Row],[Sales]]&lt; 50000),"Medium","Low"))</f>
        <v>Low</v>
      </c>
      <c r="X237" s="19" t="str">
        <f>IF(SalesData[[#This Row],[Profit]]&gt;0,"Profit","Loss")</f>
        <v>Profit</v>
      </c>
      <c r="Y237" s="19" t="str">
        <f>IF(AND(SalesData[[#This Row],[Sales]]&gt;= 50000, SalesData[[#This Row],[Quantity]]&gt;=2),"Yes","No")</f>
        <v>No</v>
      </c>
      <c r="Z237" s="19" t="str">
        <f>UPPER(SalesData[[#This Row],[Customer_Name]])</f>
        <v>RITIKA DAS</v>
      </c>
      <c r="AA237" s="19" t="str">
        <f>LOWER(SalesData[[#This Row],[Customer_Name]])</f>
        <v>ritika das</v>
      </c>
      <c r="AB237" s="19">
        <f>LEN(SalesData[[#This Row],[Customer_Name]])</f>
        <v>10</v>
      </c>
      <c r="AC237" s="19" t="str">
        <f>LEFT(SalesData[[#This Row],[Order_ID]],3)</f>
        <v>ORD</v>
      </c>
      <c r="AD237" s="19" t="str">
        <f>RIGHT(SalesData[[#This Row],[Order_ID]],4)</f>
        <v>0682</v>
      </c>
      <c r="AE237" s="19" t="str">
        <f>_xlfn.CONCAT(SalesData[[#This Row],[Clean_Customer_Name]],"-",SalesData[[#This Row],[Region]])</f>
        <v>Ritika Das-North</v>
      </c>
      <c r="AF237" s="19" t="str">
        <f>MID(SalesData[[#This Row],[Order_ID]],4,4)</f>
        <v>0682</v>
      </c>
      <c r="AG237" s="19" t="e">
        <f ca="1">_xlfn.SINGLE(_xlfn.XLOOKUP(SalesData[[#This Row],[Product]],Product_Master!A:A,Product_Master!B:B,"Not Found"))</f>
        <v>#NAME?</v>
      </c>
      <c r="AH237" s="19" t="str">
        <f>VLOOKUP(SalesData[[#This Row],[Product]],Product_Master!$A$1:$B$21,2,FALSE)</f>
        <v>Aditya</v>
      </c>
      <c r="AI237" s="16"/>
    </row>
    <row r="238" spans="1:35" ht="13.8">
      <c r="A238" s="16" t="s">
        <v>810</v>
      </c>
      <c r="B238" s="17">
        <v>45772</v>
      </c>
      <c r="C238" s="16" t="s">
        <v>197</v>
      </c>
      <c r="D238" s="16" t="s">
        <v>198</v>
      </c>
      <c r="E238" s="16" t="s">
        <v>38</v>
      </c>
      <c r="F238" s="16" t="s">
        <v>39</v>
      </c>
      <c r="G238" s="16" t="s">
        <v>40</v>
      </c>
      <c r="H238" s="16" t="s">
        <v>41</v>
      </c>
      <c r="I238" s="16" t="s">
        <v>56</v>
      </c>
      <c r="J238" s="16" t="s">
        <v>57</v>
      </c>
      <c r="K238" s="18">
        <v>5731.34</v>
      </c>
      <c r="L238" s="18">
        <v>2616.9</v>
      </c>
      <c r="M238" s="19">
        <v>5</v>
      </c>
      <c r="N238" s="20">
        <v>0.1</v>
      </c>
      <c r="O238" s="19" t="s">
        <v>44</v>
      </c>
      <c r="P238" s="19" t="s">
        <v>58</v>
      </c>
      <c r="Q238" s="19" t="str">
        <f>TRIM(SalesData[[#This Row],[Customer_Name]])</f>
        <v>Ritika Das</v>
      </c>
      <c r="R238" s="21">
        <f>SalesData[[#This Row],[Sales]]-SalesData[[#This Row],[Cost]]</f>
        <v>3114.44</v>
      </c>
      <c r="S238" s="22">
        <f>IFERROR(SalesData[[#This Row],[Profit]]/SalesData[[#This Row],[Sales]],0)</f>
        <v>0.54340520715923324</v>
      </c>
      <c r="T238" s="19">
        <f>YEAR(SalesData[[#This Row],[Order_Date]])</f>
        <v>2025</v>
      </c>
      <c r="U238" s="19" t="str">
        <f>TEXT(SalesData[[#This Row],[Order_Date]],"mmm")</f>
        <v>Apr</v>
      </c>
      <c r="V238" s="19" t="str">
        <f>"Q"&amp;ROUNDUP(MONTH(SalesData[[#This Row],[Order_Date]])/3,0)</f>
        <v>Q2</v>
      </c>
      <c r="W238" s="19" t="str">
        <f>IF(SalesData[[#This Row],[Sales]]&gt;=50000,"High",IF(AND(SalesData[[#This Row],[Sales]]&gt;= 20000, SalesData[[#This Row],[Sales]]&lt; 50000),"Medium","Low"))</f>
        <v>Low</v>
      </c>
      <c r="X238" s="19" t="str">
        <f>IF(SalesData[[#This Row],[Profit]]&gt;0,"Profit","Loss")</f>
        <v>Profit</v>
      </c>
      <c r="Y238" s="19" t="str">
        <f>IF(AND(SalesData[[#This Row],[Sales]]&gt;= 50000, SalesData[[#This Row],[Quantity]]&gt;=2),"Yes","No")</f>
        <v>No</v>
      </c>
      <c r="Z238" s="19" t="str">
        <f>UPPER(SalesData[[#This Row],[Customer_Name]])</f>
        <v>RITIKA DAS</v>
      </c>
      <c r="AA238" s="19" t="str">
        <f>LOWER(SalesData[[#This Row],[Customer_Name]])</f>
        <v>ritika das</v>
      </c>
      <c r="AB238" s="19">
        <f>LEN(SalesData[[#This Row],[Customer_Name]])</f>
        <v>10</v>
      </c>
      <c r="AC238" s="19" t="str">
        <f>LEFT(SalesData[[#This Row],[Order_ID]],3)</f>
        <v>ORD</v>
      </c>
      <c r="AD238" s="19" t="str">
        <f>RIGHT(SalesData[[#This Row],[Order_ID]],4)</f>
        <v>0657</v>
      </c>
      <c r="AE238" s="19" t="str">
        <f>_xlfn.CONCAT(SalesData[[#This Row],[Clean_Customer_Name]],"-",SalesData[[#This Row],[Region]])</f>
        <v>Ritika Das-West</v>
      </c>
      <c r="AF238" s="19" t="str">
        <f>MID(SalesData[[#This Row],[Order_ID]],4,4)</f>
        <v>0657</v>
      </c>
      <c r="AG238" s="19" t="e">
        <f ca="1">_xlfn.SINGLE(_xlfn.XLOOKUP(SalesData[[#This Row],[Product]],Product_Master!A:A,Product_Master!B:B,"Not Found"))</f>
        <v>#NAME?</v>
      </c>
      <c r="AH238" s="19" t="str">
        <f>VLOOKUP(SalesData[[#This Row],[Product]],Product_Master!$A$1:$B$21,2,FALSE)</f>
        <v>Manish</v>
      </c>
      <c r="AI238" s="16"/>
    </row>
    <row r="239" spans="1:35" ht="13.8">
      <c r="A239" s="16" t="s">
        <v>1104</v>
      </c>
      <c r="B239" s="17">
        <v>45376</v>
      </c>
      <c r="C239" s="16" t="s">
        <v>197</v>
      </c>
      <c r="D239" s="16" t="s">
        <v>198</v>
      </c>
      <c r="E239" s="16" t="s">
        <v>38</v>
      </c>
      <c r="F239" s="16" t="s">
        <v>39</v>
      </c>
      <c r="G239" s="16" t="s">
        <v>40</v>
      </c>
      <c r="H239" s="16" t="s">
        <v>41</v>
      </c>
      <c r="I239" s="16" t="s">
        <v>23</v>
      </c>
      <c r="J239" s="16" t="s">
        <v>33</v>
      </c>
      <c r="K239" s="18">
        <v>7402.35</v>
      </c>
      <c r="L239" s="18">
        <v>2578.5</v>
      </c>
      <c r="M239" s="19">
        <v>5</v>
      </c>
      <c r="N239" s="20">
        <v>0.15</v>
      </c>
      <c r="O239" s="19" t="s">
        <v>76</v>
      </c>
      <c r="P239" s="19" t="s">
        <v>98</v>
      </c>
      <c r="Q239" s="19" t="str">
        <f>TRIM(SalesData[[#This Row],[Customer_Name]])</f>
        <v>Ritika Das</v>
      </c>
      <c r="R239" s="21">
        <f>SalesData[[#This Row],[Sales]]-SalesData[[#This Row],[Cost]]</f>
        <v>4823.8500000000004</v>
      </c>
      <c r="S239" s="22">
        <f>IFERROR(SalesData[[#This Row],[Profit]]/SalesData[[#This Row],[Sales]],0)</f>
        <v>0.65166467405621187</v>
      </c>
      <c r="T239" s="19">
        <f>YEAR(SalesData[[#This Row],[Order_Date]])</f>
        <v>2024</v>
      </c>
      <c r="U239" s="19" t="str">
        <f>TEXT(SalesData[[#This Row],[Order_Date]],"mmm")</f>
        <v>Mar</v>
      </c>
      <c r="V239" s="19" t="str">
        <f>"Q"&amp;ROUNDUP(MONTH(SalesData[[#This Row],[Order_Date]])/3,0)</f>
        <v>Q1</v>
      </c>
      <c r="W239" s="19" t="str">
        <f>IF(SalesData[[#This Row],[Sales]]&gt;=50000,"High",IF(AND(SalesData[[#This Row],[Sales]]&gt;= 20000, SalesData[[#This Row],[Sales]]&lt; 50000),"Medium","Low"))</f>
        <v>Low</v>
      </c>
      <c r="X239" s="19" t="str">
        <f>IF(SalesData[[#This Row],[Profit]]&gt;0,"Profit","Loss")</f>
        <v>Profit</v>
      </c>
      <c r="Y239" s="19" t="str">
        <f>IF(AND(SalesData[[#This Row],[Sales]]&gt;= 50000, SalesData[[#This Row],[Quantity]]&gt;=2),"Yes","No")</f>
        <v>No</v>
      </c>
      <c r="Z239" s="19" t="str">
        <f>UPPER(SalesData[[#This Row],[Customer_Name]])</f>
        <v>RITIKA DAS</v>
      </c>
      <c r="AA239" s="19" t="str">
        <f>LOWER(SalesData[[#This Row],[Customer_Name]])</f>
        <v>ritika das</v>
      </c>
      <c r="AB239" s="19">
        <f>LEN(SalesData[[#This Row],[Customer_Name]])</f>
        <v>10</v>
      </c>
      <c r="AC239" s="19" t="str">
        <f>LEFT(SalesData[[#This Row],[Order_ID]],3)</f>
        <v>ORD</v>
      </c>
      <c r="AD239" s="19" t="str">
        <f>RIGHT(SalesData[[#This Row],[Order_ID]],4)</f>
        <v>0951</v>
      </c>
      <c r="AE239" s="19" t="str">
        <f>_xlfn.CONCAT(SalesData[[#This Row],[Clean_Customer_Name]],"-",SalesData[[#This Row],[Region]])</f>
        <v>Ritika Das-North</v>
      </c>
      <c r="AF239" s="19" t="str">
        <f>MID(SalesData[[#This Row],[Order_ID]],4,4)</f>
        <v>0951</v>
      </c>
      <c r="AG239" s="19" t="e">
        <f ca="1">_xlfn.SINGLE(_xlfn.XLOOKUP(SalesData[[#This Row],[Product]],Product_Master!A:A,Product_Master!B:B,"Not Found"))</f>
        <v>#NAME?</v>
      </c>
      <c r="AH239" s="19" t="str">
        <f>VLOOKUP(SalesData[[#This Row],[Product]],Product_Master!$A$1:$B$21,2,FALSE)</f>
        <v>Manish</v>
      </c>
      <c r="AI239" s="16"/>
    </row>
    <row r="240" spans="1:35" ht="13.8">
      <c r="A240" s="16" t="s">
        <v>748</v>
      </c>
      <c r="B240" s="17">
        <v>45459</v>
      </c>
      <c r="C240" s="16" t="s">
        <v>197</v>
      </c>
      <c r="D240" s="16" t="s">
        <v>198</v>
      </c>
      <c r="E240" s="16" t="s">
        <v>87</v>
      </c>
      <c r="F240" s="16" t="s">
        <v>88</v>
      </c>
      <c r="G240" s="16" t="s">
        <v>89</v>
      </c>
      <c r="H240" s="16" t="s">
        <v>90</v>
      </c>
      <c r="I240" s="16" t="s">
        <v>23</v>
      </c>
      <c r="J240" s="16" t="s">
        <v>75</v>
      </c>
      <c r="K240" s="18">
        <v>6879.04</v>
      </c>
      <c r="L240" s="18">
        <v>3402.92</v>
      </c>
      <c r="M240" s="19">
        <v>2</v>
      </c>
      <c r="N240" s="20">
        <v>0</v>
      </c>
      <c r="O240" s="19" t="s">
        <v>44</v>
      </c>
      <c r="P240" s="19" t="s">
        <v>26</v>
      </c>
      <c r="Q240" s="19" t="str">
        <f>TRIM(SalesData[[#This Row],[Customer_Name]])</f>
        <v>Ritika Das</v>
      </c>
      <c r="R240" s="21">
        <f>SalesData[[#This Row],[Sales]]-SalesData[[#This Row],[Cost]]</f>
        <v>3476.12</v>
      </c>
      <c r="S240" s="22">
        <f>IFERROR(SalesData[[#This Row],[Profit]]/SalesData[[#This Row],[Sales]],0)</f>
        <v>0.50532050983858212</v>
      </c>
      <c r="T240" s="19">
        <f>YEAR(SalesData[[#This Row],[Order_Date]])</f>
        <v>2024</v>
      </c>
      <c r="U240" s="19" t="str">
        <f>TEXT(SalesData[[#This Row],[Order_Date]],"mmm")</f>
        <v>Jun</v>
      </c>
      <c r="V240" s="19" t="str">
        <f>"Q"&amp;ROUNDUP(MONTH(SalesData[[#This Row],[Order_Date]])/3,0)</f>
        <v>Q2</v>
      </c>
      <c r="W240" s="19" t="str">
        <f>IF(SalesData[[#This Row],[Sales]]&gt;=50000,"High",IF(AND(SalesData[[#This Row],[Sales]]&gt;= 20000, SalesData[[#This Row],[Sales]]&lt; 50000),"Medium","Low"))</f>
        <v>Low</v>
      </c>
      <c r="X240" s="19" t="str">
        <f>IF(SalesData[[#This Row],[Profit]]&gt;0,"Profit","Loss")</f>
        <v>Profit</v>
      </c>
      <c r="Y240" s="19" t="str">
        <f>IF(AND(SalesData[[#This Row],[Sales]]&gt;= 50000, SalesData[[#This Row],[Quantity]]&gt;=2),"Yes","No")</f>
        <v>No</v>
      </c>
      <c r="Z240" s="19" t="str">
        <f>UPPER(SalesData[[#This Row],[Customer_Name]])</f>
        <v>RITIKA DAS</v>
      </c>
      <c r="AA240" s="19" t="str">
        <f>LOWER(SalesData[[#This Row],[Customer_Name]])</f>
        <v>ritika das</v>
      </c>
      <c r="AB240" s="19">
        <f>LEN(SalesData[[#This Row],[Customer_Name]])</f>
        <v>10</v>
      </c>
      <c r="AC240" s="19" t="str">
        <f>LEFT(SalesData[[#This Row],[Order_ID]],3)</f>
        <v>ORD</v>
      </c>
      <c r="AD240" s="19" t="str">
        <f>RIGHT(SalesData[[#This Row],[Order_ID]],4)</f>
        <v>0595</v>
      </c>
      <c r="AE240" s="19" t="str">
        <f>_xlfn.CONCAT(SalesData[[#This Row],[Clean_Customer_Name]],"-",SalesData[[#This Row],[Region]])</f>
        <v>Ritika Das-North</v>
      </c>
      <c r="AF240" s="19" t="str">
        <f>MID(SalesData[[#This Row],[Order_ID]],4,4)</f>
        <v>0595</v>
      </c>
      <c r="AG240" s="19" t="e">
        <f ca="1">_xlfn.SINGLE(_xlfn.XLOOKUP(SalesData[[#This Row],[Product]],Product_Master!A:A,Product_Master!B:B,"Not Found"))</f>
        <v>#NAME?</v>
      </c>
      <c r="AH240" s="19" t="str">
        <f>VLOOKUP(SalesData[[#This Row],[Product]],Product_Master!$A$1:$B$21,2,FALSE)</f>
        <v>Rahul</v>
      </c>
      <c r="AI240" s="16"/>
    </row>
    <row r="241" spans="1:35" ht="13.8">
      <c r="A241" s="16" t="s">
        <v>914</v>
      </c>
      <c r="B241" s="17">
        <v>45935</v>
      </c>
      <c r="C241" s="16" t="s">
        <v>197</v>
      </c>
      <c r="D241" s="16" t="s">
        <v>198</v>
      </c>
      <c r="E241" s="16" t="s">
        <v>87</v>
      </c>
      <c r="F241" s="16" t="s">
        <v>88</v>
      </c>
      <c r="G241" s="16" t="s">
        <v>89</v>
      </c>
      <c r="H241" s="16" t="s">
        <v>90</v>
      </c>
      <c r="I241" s="16" t="s">
        <v>84</v>
      </c>
      <c r="J241" s="16" t="s">
        <v>85</v>
      </c>
      <c r="K241" s="18">
        <v>9172.98</v>
      </c>
      <c r="L241" s="18">
        <v>3261.4</v>
      </c>
      <c r="M241" s="19">
        <v>2</v>
      </c>
      <c r="N241" s="20">
        <v>0</v>
      </c>
      <c r="O241" s="19" t="s">
        <v>136</v>
      </c>
      <c r="P241" s="19" t="s">
        <v>58</v>
      </c>
      <c r="Q241" s="19" t="str">
        <f>TRIM(SalesData[[#This Row],[Customer_Name]])</f>
        <v>Ritika Das</v>
      </c>
      <c r="R241" s="21">
        <f>SalesData[[#This Row],[Sales]]-SalesData[[#This Row],[Cost]]</f>
        <v>5911.58</v>
      </c>
      <c r="S241" s="22">
        <f>IFERROR(SalesData[[#This Row],[Profit]]/SalesData[[#This Row],[Sales]],0)</f>
        <v>0.64445578209044396</v>
      </c>
      <c r="T241" s="19">
        <f>YEAR(SalesData[[#This Row],[Order_Date]])</f>
        <v>2025</v>
      </c>
      <c r="U241" s="19" t="str">
        <f>TEXT(SalesData[[#This Row],[Order_Date]],"mmm")</f>
        <v>Oct</v>
      </c>
      <c r="V241" s="19" t="str">
        <f>"Q"&amp;ROUNDUP(MONTH(SalesData[[#This Row],[Order_Date]])/3,0)</f>
        <v>Q4</v>
      </c>
      <c r="W241" s="19" t="str">
        <f>IF(SalesData[[#This Row],[Sales]]&gt;=50000,"High",IF(AND(SalesData[[#This Row],[Sales]]&gt;= 20000, SalesData[[#This Row],[Sales]]&lt; 50000),"Medium","Low"))</f>
        <v>Low</v>
      </c>
      <c r="X241" s="19" t="str">
        <f>IF(SalesData[[#This Row],[Profit]]&gt;0,"Profit","Loss")</f>
        <v>Profit</v>
      </c>
      <c r="Y241" s="19" t="str">
        <f>IF(AND(SalesData[[#This Row],[Sales]]&gt;= 50000, SalesData[[#This Row],[Quantity]]&gt;=2),"Yes","No")</f>
        <v>No</v>
      </c>
      <c r="Z241" s="19" t="str">
        <f>UPPER(SalesData[[#This Row],[Customer_Name]])</f>
        <v>RITIKA DAS</v>
      </c>
      <c r="AA241" s="19" t="str">
        <f>LOWER(SalesData[[#This Row],[Customer_Name]])</f>
        <v>ritika das</v>
      </c>
      <c r="AB241" s="19">
        <f>LEN(SalesData[[#This Row],[Customer_Name]])</f>
        <v>10</v>
      </c>
      <c r="AC241" s="19" t="str">
        <f>LEFT(SalesData[[#This Row],[Order_ID]],3)</f>
        <v>ORD</v>
      </c>
      <c r="AD241" s="19" t="str">
        <f>RIGHT(SalesData[[#This Row],[Order_ID]],4)</f>
        <v>0761</v>
      </c>
      <c r="AE241" s="19" t="str">
        <f>_xlfn.CONCAT(SalesData[[#This Row],[Clean_Customer_Name]],"-",SalesData[[#This Row],[Region]])</f>
        <v>Ritika Das-South</v>
      </c>
      <c r="AF241" s="19" t="str">
        <f>MID(SalesData[[#This Row],[Order_ID]],4,4)</f>
        <v>0761</v>
      </c>
      <c r="AG241" s="19" t="e">
        <f ca="1">_xlfn.SINGLE(_xlfn.XLOOKUP(SalesData[[#This Row],[Product]],Product_Master!A:A,Product_Master!B:B,"Not Found"))</f>
        <v>#NAME?</v>
      </c>
      <c r="AH241" s="19" t="str">
        <f>VLOOKUP(SalesData[[#This Row],[Product]],Product_Master!$A$1:$B$21,2,FALSE)</f>
        <v>Rahul</v>
      </c>
      <c r="AI241" s="16"/>
    </row>
    <row r="242" spans="1:35" ht="13.8">
      <c r="A242" s="16" t="s">
        <v>987</v>
      </c>
      <c r="B242" s="17">
        <v>45752</v>
      </c>
      <c r="C242" s="16" t="s">
        <v>197</v>
      </c>
      <c r="D242" s="16" t="s">
        <v>198</v>
      </c>
      <c r="E242" s="16" t="s">
        <v>87</v>
      </c>
      <c r="F242" s="16" t="s">
        <v>88</v>
      </c>
      <c r="G242" s="16" t="s">
        <v>89</v>
      </c>
      <c r="H242" s="16" t="s">
        <v>90</v>
      </c>
      <c r="I242" s="16" t="s">
        <v>23</v>
      </c>
      <c r="J242" s="16" t="s">
        <v>24</v>
      </c>
      <c r="K242" s="18">
        <v>12933.56</v>
      </c>
      <c r="L242" s="18">
        <v>8536.75</v>
      </c>
      <c r="M242" s="19">
        <v>5</v>
      </c>
      <c r="N242" s="20">
        <v>0.15</v>
      </c>
      <c r="O242" s="19" t="s">
        <v>25</v>
      </c>
      <c r="P242" s="19" t="s">
        <v>77</v>
      </c>
      <c r="Q242" s="19" t="str">
        <f>TRIM(SalesData[[#This Row],[Customer_Name]])</f>
        <v>Ritika Das</v>
      </c>
      <c r="R242" s="21">
        <f>SalesData[[#This Row],[Sales]]-SalesData[[#This Row],[Cost]]</f>
        <v>4396.8099999999995</v>
      </c>
      <c r="S242" s="22">
        <f>IFERROR(SalesData[[#This Row],[Profit]]/SalesData[[#This Row],[Sales]],0)</f>
        <v>0.33995357813316673</v>
      </c>
      <c r="T242" s="19">
        <f>YEAR(SalesData[[#This Row],[Order_Date]])</f>
        <v>2025</v>
      </c>
      <c r="U242" s="19" t="str">
        <f>TEXT(SalesData[[#This Row],[Order_Date]],"mmm")</f>
        <v>Apr</v>
      </c>
      <c r="V242" s="19" t="str">
        <f>"Q"&amp;ROUNDUP(MONTH(SalesData[[#This Row],[Order_Date]])/3,0)</f>
        <v>Q2</v>
      </c>
      <c r="W242" s="19" t="str">
        <f>IF(SalesData[[#This Row],[Sales]]&gt;=50000,"High",IF(AND(SalesData[[#This Row],[Sales]]&gt;= 20000, SalesData[[#This Row],[Sales]]&lt; 50000),"Medium","Low"))</f>
        <v>Low</v>
      </c>
      <c r="X242" s="19" t="str">
        <f>IF(SalesData[[#This Row],[Profit]]&gt;0,"Profit","Loss")</f>
        <v>Profit</v>
      </c>
      <c r="Y242" s="19" t="str">
        <f>IF(AND(SalesData[[#This Row],[Sales]]&gt;= 50000, SalesData[[#This Row],[Quantity]]&gt;=2),"Yes","No")</f>
        <v>No</v>
      </c>
      <c r="Z242" s="19" t="str">
        <f>UPPER(SalesData[[#This Row],[Customer_Name]])</f>
        <v>RITIKA DAS</v>
      </c>
      <c r="AA242" s="19" t="str">
        <f>LOWER(SalesData[[#This Row],[Customer_Name]])</f>
        <v>ritika das</v>
      </c>
      <c r="AB242" s="19">
        <f>LEN(SalesData[[#This Row],[Customer_Name]])</f>
        <v>10</v>
      </c>
      <c r="AC242" s="19" t="str">
        <f>LEFT(SalesData[[#This Row],[Order_ID]],3)</f>
        <v>ORD</v>
      </c>
      <c r="AD242" s="19" t="str">
        <f>RIGHT(SalesData[[#This Row],[Order_ID]],4)</f>
        <v>0834</v>
      </c>
      <c r="AE242" s="19" t="str">
        <f>_xlfn.CONCAT(SalesData[[#This Row],[Clean_Customer_Name]],"-",SalesData[[#This Row],[Region]])</f>
        <v>Ritika Das-North</v>
      </c>
      <c r="AF242" s="19" t="str">
        <f>MID(SalesData[[#This Row],[Order_ID]],4,4)</f>
        <v>0834</v>
      </c>
      <c r="AG242" s="19" t="e">
        <f ca="1">_xlfn.SINGLE(_xlfn.XLOOKUP(SalesData[[#This Row],[Product]],Product_Master!A:A,Product_Master!B:B,"Not Found"))</f>
        <v>#NAME?</v>
      </c>
      <c r="AH242" s="19" t="str">
        <f>VLOOKUP(SalesData[[#This Row],[Product]],Product_Master!$A$1:$B$21,2,FALSE)</f>
        <v>Rahul</v>
      </c>
      <c r="AI242" s="16"/>
    </row>
    <row r="243" spans="1:35" ht="13.8">
      <c r="A243" s="16" t="s">
        <v>1141</v>
      </c>
      <c r="B243" s="17">
        <v>45395</v>
      </c>
      <c r="C243" s="16" t="s">
        <v>197</v>
      </c>
      <c r="D243" s="16" t="s">
        <v>198</v>
      </c>
      <c r="E243" s="16" t="s">
        <v>87</v>
      </c>
      <c r="F243" s="16" t="s">
        <v>88</v>
      </c>
      <c r="G243" s="16" t="s">
        <v>89</v>
      </c>
      <c r="H243" s="16" t="s">
        <v>90</v>
      </c>
      <c r="I243" s="16" t="s">
        <v>42</v>
      </c>
      <c r="J243" s="16" t="s">
        <v>68</v>
      </c>
      <c r="K243" s="18">
        <v>4635.2700000000004</v>
      </c>
      <c r="L243" s="18">
        <v>1641.98</v>
      </c>
      <c r="M243" s="19">
        <v>1</v>
      </c>
      <c r="N243" s="20">
        <v>0</v>
      </c>
      <c r="O243" s="19" t="s">
        <v>34</v>
      </c>
      <c r="P243" s="19" t="s">
        <v>58</v>
      </c>
      <c r="Q243" s="19" t="str">
        <f>TRIM(SalesData[[#This Row],[Customer_Name]])</f>
        <v>Ritika Das</v>
      </c>
      <c r="R243" s="21">
        <f>SalesData[[#This Row],[Sales]]-SalesData[[#This Row],[Cost]]</f>
        <v>2993.2900000000004</v>
      </c>
      <c r="S243" s="22">
        <f>IFERROR(SalesData[[#This Row],[Profit]]/SalesData[[#This Row],[Sales]],0)</f>
        <v>0.64576389293396075</v>
      </c>
      <c r="T243" s="19">
        <f>YEAR(SalesData[[#This Row],[Order_Date]])</f>
        <v>2024</v>
      </c>
      <c r="U243" s="19" t="str">
        <f>TEXT(SalesData[[#This Row],[Order_Date]],"mmm")</f>
        <v>Apr</v>
      </c>
      <c r="V243" s="19" t="str">
        <f>"Q"&amp;ROUNDUP(MONTH(SalesData[[#This Row],[Order_Date]])/3,0)</f>
        <v>Q2</v>
      </c>
      <c r="W243" s="19" t="str">
        <f>IF(SalesData[[#This Row],[Sales]]&gt;=50000,"High",IF(AND(SalesData[[#This Row],[Sales]]&gt;= 20000, SalesData[[#This Row],[Sales]]&lt; 50000),"Medium","Low"))</f>
        <v>Low</v>
      </c>
      <c r="X243" s="19" t="str">
        <f>IF(SalesData[[#This Row],[Profit]]&gt;0,"Profit","Loss")</f>
        <v>Profit</v>
      </c>
      <c r="Y243" s="19" t="str">
        <f>IF(AND(SalesData[[#This Row],[Sales]]&gt;= 50000, SalesData[[#This Row],[Quantity]]&gt;=2),"Yes","No")</f>
        <v>No</v>
      </c>
      <c r="Z243" s="19" t="str">
        <f>UPPER(SalesData[[#This Row],[Customer_Name]])</f>
        <v>RITIKA DAS</v>
      </c>
      <c r="AA243" s="19" t="str">
        <f>LOWER(SalesData[[#This Row],[Customer_Name]])</f>
        <v>ritika das</v>
      </c>
      <c r="AB243" s="19">
        <f>LEN(SalesData[[#This Row],[Customer_Name]])</f>
        <v>10</v>
      </c>
      <c r="AC243" s="19" t="str">
        <f>LEFT(SalesData[[#This Row],[Order_ID]],3)</f>
        <v>ORD</v>
      </c>
      <c r="AD243" s="19" t="str">
        <f>RIGHT(SalesData[[#This Row],[Order_ID]],4)</f>
        <v>0988</v>
      </c>
      <c r="AE243" s="19" t="str">
        <f>_xlfn.CONCAT(SalesData[[#This Row],[Clean_Customer_Name]],"-",SalesData[[#This Row],[Region]])</f>
        <v>Ritika Das-East</v>
      </c>
      <c r="AF243" s="19" t="str">
        <f>MID(SalesData[[#This Row],[Order_ID]],4,4)</f>
        <v>0988</v>
      </c>
      <c r="AG243" s="19" t="e">
        <f ca="1">_xlfn.SINGLE(_xlfn.XLOOKUP(SalesData[[#This Row],[Product]],Product_Master!A:A,Product_Master!B:B,"Not Found"))</f>
        <v>#NAME?</v>
      </c>
      <c r="AH243" s="19" t="str">
        <f>VLOOKUP(SalesData[[#This Row],[Product]],Product_Master!$A$1:$B$21,2,FALSE)</f>
        <v>Rahul</v>
      </c>
      <c r="AI243" s="16"/>
    </row>
    <row r="244" spans="1:35" ht="13.8">
      <c r="A244" s="16" t="s">
        <v>780</v>
      </c>
      <c r="B244" s="17">
        <v>45486</v>
      </c>
      <c r="C244" s="16" t="s">
        <v>197</v>
      </c>
      <c r="D244" s="16" t="s">
        <v>198</v>
      </c>
      <c r="E244" s="16" t="s">
        <v>182</v>
      </c>
      <c r="F244" s="16" t="s">
        <v>183</v>
      </c>
      <c r="G244" s="16" t="s">
        <v>89</v>
      </c>
      <c r="H244" s="16" t="s">
        <v>90</v>
      </c>
      <c r="I244" s="16" t="s">
        <v>23</v>
      </c>
      <c r="J244" s="16" t="s">
        <v>75</v>
      </c>
      <c r="K244" s="18">
        <v>28925.21</v>
      </c>
      <c r="L244" s="18">
        <v>19525.080000000002</v>
      </c>
      <c r="M244" s="19">
        <v>3</v>
      </c>
      <c r="N244" s="20">
        <v>0.2</v>
      </c>
      <c r="O244" s="19" t="s">
        <v>44</v>
      </c>
      <c r="P244" s="19" t="s">
        <v>77</v>
      </c>
      <c r="Q244" s="19" t="str">
        <f>TRIM(SalesData[[#This Row],[Customer_Name]])</f>
        <v>Ritika Das</v>
      </c>
      <c r="R244" s="21">
        <f>SalesData[[#This Row],[Sales]]-SalesData[[#This Row],[Cost]]</f>
        <v>9400.1299999999974</v>
      </c>
      <c r="S244" s="22">
        <f>IFERROR(SalesData[[#This Row],[Profit]]/SalesData[[#This Row],[Sales]],0)</f>
        <v>0.32498052736695765</v>
      </c>
      <c r="T244" s="19">
        <f>YEAR(SalesData[[#This Row],[Order_Date]])</f>
        <v>2024</v>
      </c>
      <c r="U244" s="19" t="str">
        <f>TEXT(SalesData[[#This Row],[Order_Date]],"mmm")</f>
        <v>Jul</v>
      </c>
      <c r="V244" s="19" t="str">
        <f>"Q"&amp;ROUNDUP(MONTH(SalesData[[#This Row],[Order_Date]])/3,0)</f>
        <v>Q3</v>
      </c>
      <c r="W244" s="19" t="str">
        <f>IF(SalesData[[#This Row],[Sales]]&gt;=50000,"High",IF(AND(SalesData[[#This Row],[Sales]]&gt;= 20000, SalesData[[#This Row],[Sales]]&lt; 50000),"Medium","Low"))</f>
        <v>Medium</v>
      </c>
      <c r="X244" s="19" t="str">
        <f>IF(SalesData[[#This Row],[Profit]]&gt;0,"Profit","Loss")</f>
        <v>Profit</v>
      </c>
      <c r="Y244" s="19" t="str">
        <f>IF(AND(SalesData[[#This Row],[Sales]]&gt;= 50000, SalesData[[#This Row],[Quantity]]&gt;=2),"Yes","No")</f>
        <v>No</v>
      </c>
      <c r="Z244" s="19" t="str">
        <f>UPPER(SalesData[[#This Row],[Customer_Name]])</f>
        <v>RITIKA DAS</v>
      </c>
      <c r="AA244" s="19" t="str">
        <f>LOWER(SalesData[[#This Row],[Customer_Name]])</f>
        <v>ritika das</v>
      </c>
      <c r="AB244" s="19">
        <f>LEN(SalesData[[#This Row],[Customer_Name]])</f>
        <v>10</v>
      </c>
      <c r="AC244" s="19" t="str">
        <f>LEFT(SalesData[[#This Row],[Order_ID]],3)</f>
        <v>ORD</v>
      </c>
      <c r="AD244" s="19" t="str">
        <f>RIGHT(SalesData[[#This Row],[Order_ID]],4)</f>
        <v>0627</v>
      </c>
      <c r="AE244" s="19" t="str">
        <f>_xlfn.CONCAT(SalesData[[#This Row],[Clean_Customer_Name]],"-",SalesData[[#This Row],[Region]])</f>
        <v>Ritika Das-North</v>
      </c>
      <c r="AF244" s="19" t="str">
        <f>MID(SalesData[[#This Row],[Order_ID]],4,4)</f>
        <v>0627</v>
      </c>
      <c r="AG244" s="19" t="e">
        <f ca="1">_xlfn.SINGLE(_xlfn.XLOOKUP(SalesData[[#This Row],[Product]],Product_Master!A:A,Product_Master!B:B,"Not Found"))</f>
        <v>#NAME?</v>
      </c>
      <c r="AH244" s="19" t="str">
        <f>VLOOKUP(SalesData[[#This Row],[Product]],Product_Master!$A$1:$B$21,2,FALSE)</f>
        <v>Priya</v>
      </c>
      <c r="AI244" s="16"/>
    </row>
    <row r="245" spans="1:35" ht="13.8">
      <c r="A245" s="16" t="s">
        <v>859</v>
      </c>
      <c r="B245" s="17">
        <v>45727</v>
      </c>
      <c r="C245" s="16" t="s">
        <v>197</v>
      </c>
      <c r="D245" s="16" t="s">
        <v>198</v>
      </c>
      <c r="E245" s="16" t="s">
        <v>182</v>
      </c>
      <c r="F245" s="16" t="s">
        <v>183</v>
      </c>
      <c r="G245" s="16" t="s">
        <v>89</v>
      </c>
      <c r="H245" s="16" t="s">
        <v>90</v>
      </c>
      <c r="I245" s="16" t="s">
        <v>23</v>
      </c>
      <c r="J245" s="16" t="s">
        <v>24</v>
      </c>
      <c r="K245" s="18">
        <v>63073.7</v>
      </c>
      <c r="L245" s="18">
        <v>29365.9</v>
      </c>
      <c r="M245" s="19">
        <v>5</v>
      </c>
      <c r="N245" s="20">
        <v>0</v>
      </c>
      <c r="O245" s="19" t="s">
        <v>136</v>
      </c>
      <c r="P245" s="19" t="s">
        <v>98</v>
      </c>
      <c r="Q245" s="19" t="str">
        <f>TRIM(SalesData[[#This Row],[Customer_Name]])</f>
        <v>Ritika Das</v>
      </c>
      <c r="R245" s="21">
        <f>SalesData[[#This Row],[Sales]]-SalesData[[#This Row],[Cost]]</f>
        <v>33707.799999999996</v>
      </c>
      <c r="S245" s="22">
        <f>IFERROR(SalesData[[#This Row],[Profit]]/SalesData[[#This Row],[Sales]],0)</f>
        <v>0.53441925874017215</v>
      </c>
      <c r="T245" s="19">
        <f>YEAR(SalesData[[#This Row],[Order_Date]])</f>
        <v>2025</v>
      </c>
      <c r="U245" s="19" t="str">
        <f>TEXT(SalesData[[#This Row],[Order_Date]],"mmm")</f>
        <v>Mar</v>
      </c>
      <c r="V245" s="19" t="str">
        <f>"Q"&amp;ROUNDUP(MONTH(SalesData[[#This Row],[Order_Date]])/3,0)</f>
        <v>Q1</v>
      </c>
      <c r="W245" s="19" t="str">
        <f>IF(SalesData[[#This Row],[Sales]]&gt;=50000,"High",IF(AND(SalesData[[#This Row],[Sales]]&gt;= 20000, SalesData[[#This Row],[Sales]]&lt; 50000),"Medium","Low"))</f>
        <v>High</v>
      </c>
      <c r="X245" s="19" t="str">
        <f>IF(SalesData[[#This Row],[Profit]]&gt;0,"Profit","Loss")</f>
        <v>Profit</v>
      </c>
      <c r="Y245" s="19" t="str">
        <f>IF(AND(SalesData[[#This Row],[Sales]]&gt;= 50000, SalesData[[#This Row],[Quantity]]&gt;=2),"Yes","No")</f>
        <v>Yes</v>
      </c>
      <c r="Z245" s="19" t="str">
        <f>UPPER(SalesData[[#This Row],[Customer_Name]])</f>
        <v>RITIKA DAS</v>
      </c>
      <c r="AA245" s="19" t="str">
        <f>LOWER(SalesData[[#This Row],[Customer_Name]])</f>
        <v>ritika das</v>
      </c>
      <c r="AB245" s="19">
        <f>LEN(SalesData[[#This Row],[Customer_Name]])</f>
        <v>10</v>
      </c>
      <c r="AC245" s="19" t="str">
        <f>LEFT(SalesData[[#This Row],[Order_ID]],3)</f>
        <v>ORD</v>
      </c>
      <c r="AD245" s="19" t="str">
        <f>RIGHT(SalesData[[#This Row],[Order_ID]],4)</f>
        <v>0706</v>
      </c>
      <c r="AE245" s="19" t="str">
        <f>_xlfn.CONCAT(SalesData[[#This Row],[Clean_Customer_Name]],"-",SalesData[[#This Row],[Region]])</f>
        <v>Ritika Das-North</v>
      </c>
      <c r="AF245" s="19" t="str">
        <f>MID(SalesData[[#This Row],[Order_ID]],4,4)</f>
        <v>0706</v>
      </c>
      <c r="AG245" s="19" t="e">
        <f ca="1">_xlfn.SINGLE(_xlfn.XLOOKUP(SalesData[[#This Row],[Product]],Product_Master!A:A,Product_Master!B:B,"Not Found"))</f>
        <v>#NAME?</v>
      </c>
      <c r="AH245" s="19" t="str">
        <f>VLOOKUP(SalesData[[#This Row],[Product]],Product_Master!$A$1:$B$21,2,FALSE)</f>
        <v>Priya</v>
      </c>
      <c r="AI245" s="16"/>
    </row>
    <row r="246" spans="1:35" ht="13.8">
      <c r="A246" s="16" t="s">
        <v>886</v>
      </c>
      <c r="B246" s="17">
        <v>45359</v>
      </c>
      <c r="C246" s="16" t="s">
        <v>197</v>
      </c>
      <c r="D246" s="16" t="s">
        <v>198</v>
      </c>
      <c r="E246" s="16" t="s">
        <v>182</v>
      </c>
      <c r="F246" s="16" t="s">
        <v>183</v>
      </c>
      <c r="G246" s="16" t="s">
        <v>89</v>
      </c>
      <c r="H246" s="16" t="s">
        <v>90</v>
      </c>
      <c r="I246" s="16" t="s">
        <v>84</v>
      </c>
      <c r="J246" s="16" t="s">
        <v>134</v>
      </c>
      <c r="K246" s="18">
        <v>31296.58</v>
      </c>
      <c r="L246" s="18">
        <v>31536.7</v>
      </c>
      <c r="M246" s="19">
        <v>5</v>
      </c>
      <c r="N246" s="20">
        <v>0.15</v>
      </c>
      <c r="O246" s="19" t="s">
        <v>44</v>
      </c>
      <c r="P246" s="19" t="s">
        <v>26</v>
      </c>
      <c r="Q246" s="19" t="str">
        <f>TRIM(SalesData[[#This Row],[Customer_Name]])</f>
        <v>Ritika Das</v>
      </c>
      <c r="R246" s="21">
        <f>SalesData[[#This Row],[Sales]]-SalesData[[#This Row],[Cost]]</f>
        <v>-240.11999999999898</v>
      </c>
      <c r="S246" s="22">
        <f>IFERROR(SalesData[[#This Row],[Profit]]/SalesData[[#This Row],[Sales]],0)</f>
        <v>-7.6724038217594057E-3</v>
      </c>
      <c r="T246" s="19">
        <f>YEAR(SalesData[[#This Row],[Order_Date]])</f>
        <v>2024</v>
      </c>
      <c r="U246" s="19" t="str">
        <f>TEXT(SalesData[[#This Row],[Order_Date]],"mmm")</f>
        <v>Mar</v>
      </c>
      <c r="V246" s="19" t="str">
        <f>"Q"&amp;ROUNDUP(MONTH(SalesData[[#This Row],[Order_Date]])/3,0)</f>
        <v>Q1</v>
      </c>
      <c r="W246" s="19" t="str">
        <f>IF(SalesData[[#This Row],[Sales]]&gt;=50000,"High",IF(AND(SalesData[[#This Row],[Sales]]&gt;= 20000, SalesData[[#This Row],[Sales]]&lt; 50000),"Medium","Low"))</f>
        <v>Medium</v>
      </c>
      <c r="X246" s="19" t="str">
        <f>IF(SalesData[[#This Row],[Profit]]&gt;0,"Profit","Loss")</f>
        <v>Loss</v>
      </c>
      <c r="Y246" s="19" t="str">
        <f>IF(AND(SalesData[[#This Row],[Sales]]&gt;= 50000, SalesData[[#This Row],[Quantity]]&gt;=2),"Yes","No")</f>
        <v>No</v>
      </c>
      <c r="Z246" s="19" t="str">
        <f>UPPER(SalesData[[#This Row],[Customer_Name]])</f>
        <v>RITIKA DAS</v>
      </c>
      <c r="AA246" s="19" t="str">
        <f>LOWER(SalesData[[#This Row],[Customer_Name]])</f>
        <v>ritika das</v>
      </c>
      <c r="AB246" s="19">
        <f>LEN(SalesData[[#This Row],[Customer_Name]])</f>
        <v>10</v>
      </c>
      <c r="AC246" s="19" t="str">
        <f>LEFT(SalesData[[#This Row],[Order_ID]],3)</f>
        <v>ORD</v>
      </c>
      <c r="AD246" s="19" t="str">
        <f>RIGHT(SalesData[[#This Row],[Order_ID]],4)</f>
        <v>0733</v>
      </c>
      <c r="AE246" s="19" t="str">
        <f>_xlfn.CONCAT(SalesData[[#This Row],[Clean_Customer_Name]],"-",SalesData[[#This Row],[Region]])</f>
        <v>Ritika Das-South</v>
      </c>
      <c r="AF246" s="19" t="str">
        <f>MID(SalesData[[#This Row],[Order_ID]],4,4)</f>
        <v>0733</v>
      </c>
      <c r="AG246" s="19" t="e">
        <f ca="1">_xlfn.SINGLE(_xlfn.XLOOKUP(SalesData[[#This Row],[Product]],Product_Master!A:A,Product_Master!B:B,"Not Found"))</f>
        <v>#NAME?</v>
      </c>
      <c r="AH246" s="19" t="str">
        <f>VLOOKUP(SalesData[[#This Row],[Product]],Product_Master!$A$1:$B$21,2,FALSE)</f>
        <v>Priya</v>
      </c>
      <c r="AI246" s="16"/>
    </row>
    <row r="247" spans="1:35" ht="13.8">
      <c r="A247" s="16" t="s">
        <v>352</v>
      </c>
      <c r="B247" s="17">
        <v>45949</v>
      </c>
      <c r="C247" s="16" t="s">
        <v>197</v>
      </c>
      <c r="D247" s="16" t="s">
        <v>198</v>
      </c>
      <c r="E247" s="16" t="s">
        <v>187</v>
      </c>
      <c r="F247" s="16" t="s">
        <v>188</v>
      </c>
      <c r="G247" s="16" t="s">
        <v>89</v>
      </c>
      <c r="H247" s="16" t="s">
        <v>189</v>
      </c>
      <c r="I247" s="16" t="s">
        <v>84</v>
      </c>
      <c r="J247" s="16" t="s">
        <v>142</v>
      </c>
      <c r="K247" s="18">
        <v>29743.38</v>
      </c>
      <c r="L247" s="18">
        <v>16443.72</v>
      </c>
      <c r="M247" s="19">
        <v>3</v>
      </c>
      <c r="N247" s="20">
        <v>0.15</v>
      </c>
      <c r="O247" s="19" t="s">
        <v>44</v>
      </c>
      <c r="P247" s="19" t="s">
        <v>98</v>
      </c>
      <c r="Q247" s="19" t="str">
        <f>TRIM(SalesData[[#This Row],[Customer_Name]])</f>
        <v>Ritika Das</v>
      </c>
      <c r="R247" s="21">
        <f>SalesData[[#This Row],[Sales]]-SalesData[[#This Row],[Cost]]</f>
        <v>13299.66</v>
      </c>
      <c r="S247" s="22">
        <f>IFERROR(SalesData[[#This Row],[Profit]]/SalesData[[#This Row],[Sales]],0)</f>
        <v>0.44714689453585971</v>
      </c>
      <c r="T247" s="19">
        <f>YEAR(SalesData[[#This Row],[Order_Date]])</f>
        <v>2025</v>
      </c>
      <c r="U247" s="19" t="str">
        <f>TEXT(SalesData[[#This Row],[Order_Date]],"mmm")</f>
        <v>Oct</v>
      </c>
      <c r="V247" s="19" t="str">
        <f>"Q"&amp;ROUNDUP(MONTH(SalesData[[#This Row],[Order_Date]])/3,0)</f>
        <v>Q4</v>
      </c>
      <c r="W247" s="19" t="str">
        <f>IF(SalesData[[#This Row],[Sales]]&gt;=50000,"High",IF(AND(SalesData[[#This Row],[Sales]]&gt;= 20000, SalesData[[#This Row],[Sales]]&lt; 50000),"Medium","Low"))</f>
        <v>Medium</v>
      </c>
      <c r="X247" s="19" t="str">
        <f>IF(SalesData[[#This Row],[Profit]]&gt;0,"Profit","Loss")</f>
        <v>Profit</v>
      </c>
      <c r="Y247" s="19" t="str">
        <f>IF(AND(SalesData[[#This Row],[Sales]]&gt;= 50000, SalesData[[#This Row],[Quantity]]&gt;=2),"Yes","No")</f>
        <v>No</v>
      </c>
      <c r="Z247" s="19" t="str">
        <f>UPPER(SalesData[[#This Row],[Customer_Name]])</f>
        <v>RITIKA DAS</v>
      </c>
      <c r="AA247" s="19" t="str">
        <f>LOWER(SalesData[[#This Row],[Customer_Name]])</f>
        <v>ritika das</v>
      </c>
      <c r="AB247" s="19">
        <f>LEN(SalesData[[#This Row],[Customer_Name]])</f>
        <v>10</v>
      </c>
      <c r="AC247" s="19" t="str">
        <f>LEFT(SalesData[[#This Row],[Order_ID]],3)</f>
        <v>ORD</v>
      </c>
      <c r="AD247" s="19" t="str">
        <f>RIGHT(SalesData[[#This Row],[Order_ID]],4)</f>
        <v>0199</v>
      </c>
      <c r="AE247" s="19" t="str">
        <f>_xlfn.CONCAT(SalesData[[#This Row],[Clean_Customer_Name]],"-",SalesData[[#This Row],[Region]])</f>
        <v>Ritika Das-South</v>
      </c>
      <c r="AF247" s="19" t="str">
        <f>MID(SalesData[[#This Row],[Order_ID]],4,4)</f>
        <v>0199</v>
      </c>
      <c r="AG247" s="19" t="e">
        <f ca="1">_xlfn.SINGLE(_xlfn.XLOOKUP(SalesData[[#This Row],[Product]],Product_Master!A:A,Product_Master!B:B,"Not Found"))</f>
        <v>#NAME?</v>
      </c>
      <c r="AH247" s="19" t="str">
        <f>VLOOKUP(SalesData[[#This Row],[Product]],Product_Master!$A$1:$B$21,2,FALSE)</f>
        <v>Amit</v>
      </c>
      <c r="AI247" s="16"/>
    </row>
    <row r="248" spans="1:35" ht="13.8">
      <c r="A248" s="16" t="s">
        <v>920</v>
      </c>
      <c r="B248" s="17">
        <v>45452</v>
      </c>
      <c r="C248" s="16" t="s">
        <v>197</v>
      </c>
      <c r="D248" s="16" t="s">
        <v>198</v>
      </c>
      <c r="E248" s="16" t="s">
        <v>187</v>
      </c>
      <c r="F248" s="16" t="s">
        <v>188</v>
      </c>
      <c r="G248" s="16" t="s">
        <v>89</v>
      </c>
      <c r="H248" s="16" t="s">
        <v>189</v>
      </c>
      <c r="I248" s="16" t="s">
        <v>53</v>
      </c>
      <c r="J248" s="16" t="s">
        <v>102</v>
      </c>
      <c r="K248" s="18">
        <v>31846.36</v>
      </c>
      <c r="L248" s="18">
        <v>25056.55</v>
      </c>
      <c r="M248" s="19">
        <v>5</v>
      </c>
      <c r="N248" s="20">
        <v>0.2</v>
      </c>
      <c r="O248" s="19" t="s">
        <v>136</v>
      </c>
      <c r="P248" s="19" t="s">
        <v>77</v>
      </c>
      <c r="Q248" s="19" t="str">
        <f>TRIM(SalesData[[#This Row],[Customer_Name]])</f>
        <v>Ritika Das</v>
      </c>
      <c r="R248" s="21">
        <f>SalesData[[#This Row],[Sales]]-SalesData[[#This Row],[Cost]]</f>
        <v>6789.8100000000013</v>
      </c>
      <c r="S248" s="22">
        <f>IFERROR(SalesData[[#This Row],[Profit]]/SalesData[[#This Row],[Sales]],0)</f>
        <v>0.21320521403388021</v>
      </c>
      <c r="T248" s="19">
        <f>YEAR(SalesData[[#This Row],[Order_Date]])</f>
        <v>2024</v>
      </c>
      <c r="U248" s="19" t="str">
        <f>TEXT(SalesData[[#This Row],[Order_Date]],"mmm")</f>
        <v>Jun</v>
      </c>
      <c r="V248" s="19" t="str">
        <f>"Q"&amp;ROUNDUP(MONTH(SalesData[[#This Row],[Order_Date]])/3,0)</f>
        <v>Q2</v>
      </c>
      <c r="W248" s="19" t="str">
        <f>IF(SalesData[[#This Row],[Sales]]&gt;=50000,"High",IF(AND(SalesData[[#This Row],[Sales]]&gt;= 20000, SalesData[[#This Row],[Sales]]&lt; 50000),"Medium","Low"))</f>
        <v>Medium</v>
      </c>
      <c r="X248" s="19" t="str">
        <f>IF(SalesData[[#This Row],[Profit]]&gt;0,"Profit","Loss")</f>
        <v>Profit</v>
      </c>
      <c r="Y248" s="19" t="str">
        <f>IF(AND(SalesData[[#This Row],[Sales]]&gt;= 50000, SalesData[[#This Row],[Quantity]]&gt;=2),"Yes","No")</f>
        <v>No</v>
      </c>
      <c r="Z248" s="19" t="str">
        <f>UPPER(SalesData[[#This Row],[Customer_Name]])</f>
        <v>RITIKA DAS</v>
      </c>
      <c r="AA248" s="19" t="str">
        <f>LOWER(SalesData[[#This Row],[Customer_Name]])</f>
        <v>ritika das</v>
      </c>
      <c r="AB248" s="19">
        <f>LEN(SalesData[[#This Row],[Customer_Name]])</f>
        <v>10</v>
      </c>
      <c r="AC248" s="19" t="str">
        <f>LEFT(SalesData[[#This Row],[Order_ID]],3)</f>
        <v>ORD</v>
      </c>
      <c r="AD248" s="19" t="str">
        <f>RIGHT(SalesData[[#This Row],[Order_ID]],4)</f>
        <v>0767</v>
      </c>
      <c r="AE248" s="19" t="str">
        <f>_xlfn.CONCAT(SalesData[[#This Row],[Clean_Customer_Name]],"-",SalesData[[#This Row],[Region]])</f>
        <v>Ritika Das-Central</v>
      </c>
      <c r="AF248" s="19" t="str">
        <f>MID(SalesData[[#This Row],[Order_ID]],4,4)</f>
        <v>0767</v>
      </c>
      <c r="AG248" s="19" t="e">
        <f ca="1">_xlfn.SINGLE(_xlfn.XLOOKUP(SalesData[[#This Row],[Product]],Product_Master!A:A,Product_Master!B:B,"Not Found"))</f>
        <v>#NAME?</v>
      </c>
      <c r="AH248" s="19" t="str">
        <f>VLOOKUP(SalesData[[#This Row],[Product]],Product_Master!$A$1:$B$21,2,FALSE)</f>
        <v>Amit</v>
      </c>
      <c r="AI248" s="16"/>
    </row>
    <row r="249" spans="1:35" ht="13.8">
      <c r="A249" s="16" t="s">
        <v>942</v>
      </c>
      <c r="B249" s="17">
        <v>46008</v>
      </c>
      <c r="C249" s="16" t="s">
        <v>197</v>
      </c>
      <c r="D249" s="16" t="s">
        <v>198</v>
      </c>
      <c r="E249" s="16" t="s">
        <v>187</v>
      </c>
      <c r="F249" s="16" t="s">
        <v>188</v>
      </c>
      <c r="G249" s="16" t="s">
        <v>89</v>
      </c>
      <c r="H249" s="16" t="s">
        <v>189</v>
      </c>
      <c r="I249" s="16" t="s">
        <v>84</v>
      </c>
      <c r="J249" s="16" t="s">
        <v>134</v>
      </c>
      <c r="K249" s="18">
        <v>8605.73</v>
      </c>
      <c r="L249" s="18">
        <v>5298.14</v>
      </c>
      <c r="M249" s="19">
        <v>1</v>
      </c>
      <c r="N249" s="20">
        <v>0.05</v>
      </c>
      <c r="O249" s="19" t="s">
        <v>44</v>
      </c>
      <c r="P249" s="19" t="s">
        <v>58</v>
      </c>
      <c r="Q249" s="19" t="str">
        <f>TRIM(SalesData[[#This Row],[Customer_Name]])</f>
        <v>Ritika Das</v>
      </c>
      <c r="R249" s="21">
        <f>SalesData[[#This Row],[Sales]]-SalesData[[#This Row],[Cost]]</f>
        <v>3307.5899999999992</v>
      </c>
      <c r="S249" s="22">
        <f>IFERROR(SalesData[[#This Row],[Profit]]/SalesData[[#This Row],[Sales]],0)</f>
        <v>0.38434740574012888</v>
      </c>
      <c r="T249" s="19">
        <f>YEAR(SalesData[[#This Row],[Order_Date]])</f>
        <v>2025</v>
      </c>
      <c r="U249" s="19" t="str">
        <f>TEXT(SalesData[[#This Row],[Order_Date]],"mmm")</f>
        <v>Dec</v>
      </c>
      <c r="V249" s="19" t="str">
        <f>"Q"&amp;ROUNDUP(MONTH(SalesData[[#This Row],[Order_Date]])/3,0)</f>
        <v>Q4</v>
      </c>
      <c r="W249" s="19" t="str">
        <f>IF(SalesData[[#This Row],[Sales]]&gt;=50000,"High",IF(AND(SalesData[[#This Row],[Sales]]&gt;= 20000, SalesData[[#This Row],[Sales]]&lt; 50000),"Medium","Low"))</f>
        <v>Low</v>
      </c>
      <c r="X249" s="19" t="str">
        <f>IF(SalesData[[#This Row],[Profit]]&gt;0,"Profit","Loss")</f>
        <v>Profit</v>
      </c>
      <c r="Y249" s="19" t="str">
        <f>IF(AND(SalesData[[#This Row],[Sales]]&gt;= 50000, SalesData[[#This Row],[Quantity]]&gt;=2),"Yes","No")</f>
        <v>No</v>
      </c>
      <c r="Z249" s="19" t="str">
        <f>UPPER(SalesData[[#This Row],[Customer_Name]])</f>
        <v>RITIKA DAS</v>
      </c>
      <c r="AA249" s="19" t="str">
        <f>LOWER(SalesData[[#This Row],[Customer_Name]])</f>
        <v>ritika das</v>
      </c>
      <c r="AB249" s="19">
        <f>LEN(SalesData[[#This Row],[Customer_Name]])</f>
        <v>10</v>
      </c>
      <c r="AC249" s="19" t="str">
        <f>LEFT(SalesData[[#This Row],[Order_ID]],3)</f>
        <v>ORD</v>
      </c>
      <c r="AD249" s="19" t="str">
        <f>RIGHT(SalesData[[#This Row],[Order_ID]],4)</f>
        <v>0789</v>
      </c>
      <c r="AE249" s="19" t="str">
        <f>_xlfn.CONCAT(SalesData[[#This Row],[Clean_Customer_Name]],"-",SalesData[[#This Row],[Region]])</f>
        <v>Ritika Das-South</v>
      </c>
      <c r="AF249" s="19" t="str">
        <f>MID(SalesData[[#This Row],[Order_ID]],4,4)</f>
        <v>0789</v>
      </c>
      <c r="AG249" s="19" t="e">
        <f ca="1">_xlfn.SINGLE(_xlfn.XLOOKUP(SalesData[[#This Row],[Product]],Product_Master!A:A,Product_Master!B:B,"Not Found"))</f>
        <v>#NAME?</v>
      </c>
      <c r="AH249" s="19" t="str">
        <f>VLOOKUP(SalesData[[#This Row],[Product]],Product_Master!$A$1:$B$21,2,FALSE)</f>
        <v>Amit</v>
      </c>
      <c r="AI249" s="16"/>
    </row>
    <row r="250" spans="1:35" ht="13.8">
      <c r="A250" s="16" t="s">
        <v>670</v>
      </c>
      <c r="B250" s="17">
        <v>45666</v>
      </c>
      <c r="C250" s="16" t="s">
        <v>197</v>
      </c>
      <c r="D250" s="16" t="s">
        <v>198</v>
      </c>
      <c r="E250" s="16" t="s">
        <v>193</v>
      </c>
      <c r="F250" s="16" t="s">
        <v>194</v>
      </c>
      <c r="G250" s="16" t="s">
        <v>89</v>
      </c>
      <c r="H250" s="16" t="s">
        <v>90</v>
      </c>
      <c r="I250" s="16" t="s">
        <v>84</v>
      </c>
      <c r="J250" s="16" t="s">
        <v>134</v>
      </c>
      <c r="K250" s="18">
        <v>1534.75</v>
      </c>
      <c r="L250" s="18">
        <v>999.76</v>
      </c>
      <c r="M250" s="19">
        <v>2</v>
      </c>
      <c r="N250" s="20">
        <v>0.1</v>
      </c>
      <c r="O250" s="19" t="s">
        <v>44</v>
      </c>
      <c r="P250" s="19" t="s">
        <v>26</v>
      </c>
      <c r="Q250" s="19" t="str">
        <f>TRIM(SalesData[[#This Row],[Customer_Name]])</f>
        <v>Ritika Das</v>
      </c>
      <c r="R250" s="21">
        <f>SalesData[[#This Row],[Sales]]-SalesData[[#This Row],[Cost]]</f>
        <v>534.99</v>
      </c>
      <c r="S250" s="22">
        <f>IFERROR(SalesData[[#This Row],[Profit]]/SalesData[[#This Row],[Sales]],0)</f>
        <v>0.34858446000977361</v>
      </c>
      <c r="T250" s="19">
        <f>YEAR(SalesData[[#This Row],[Order_Date]])</f>
        <v>2025</v>
      </c>
      <c r="U250" s="19" t="str">
        <f>TEXT(SalesData[[#This Row],[Order_Date]],"mmm")</f>
        <v>Jan</v>
      </c>
      <c r="V250" s="19" t="str">
        <f>"Q"&amp;ROUNDUP(MONTH(SalesData[[#This Row],[Order_Date]])/3,0)</f>
        <v>Q1</v>
      </c>
      <c r="W250" s="19" t="str">
        <f>IF(SalesData[[#This Row],[Sales]]&gt;=50000,"High",IF(AND(SalesData[[#This Row],[Sales]]&gt;= 20000, SalesData[[#This Row],[Sales]]&lt; 50000),"Medium","Low"))</f>
        <v>Low</v>
      </c>
      <c r="X250" s="19" t="str">
        <f>IF(SalesData[[#This Row],[Profit]]&gt;0,"Profit","Loss")</f>
        <v>Profit</v>
      </c>
      <c r="Y250" s="19" t="str">
        <f>IF(AND(SalesData[[#This Row],[Sales]]&gt;= 50000, SalesData[[#This Row],[Quantity]]&gt;=2),"Yes","No")</f>
        <v>No</v>
      </c>
      <c r="Z250" s="19" t="str">
        <f>UPPER(SalesData[[#This Row],[Customer_Name]])</f>
        <v>RITIKA DAS</v>
      </c>
      <c r="AA250" s="19" t="str">
        <f>LOWER(SalesData[[#This Row],[Customer_Name]])</f>
        <v>ritika das</v>
      </c>
      <c r="AB250" s="19">
        <f>LEN(SalesData[[#This Row],[Customer_Name]])</f>
        <v>10</v>
      </c>
      <c r="AC250" s="19" t="str">
        <f>LEFT(SalesData[[#This Row],[Order_ID]],3)</f>
        <v>ORD</v>
      </c>
      <c r="AD250" s="19" t="str">
        <f>RIGHT(SalesData[[#This Row],[Order_ID]],4)</f>
        <v>0517</v>
      </c>
      <c r="AE250" s="19" t="str">
        <f>_xlfn.CONCAT(SalesData[[#This Row],[Clean_Customer_Name]],"-",SalesData[[#This Row],[Region]])</f>
        <v>Ritika Das-South</v>
      </c>
      <c r="AF250" s="19" t="str">
        <f>MID(SalesData[[#This Row],[Order_ID]],4,4)</f>
        <v>0517</v>
      </c>
      <c r="AG250" s="19" t="e">
        <f ca="1">_xlfn.SINGLE(_xlfn.XLOOKUP(SalesData[[#This Row],[Product]],Product_Master!A:A,Product_Master!B:B,"Not Found"))</f>
        <v>#NAME?</v>
      </c>
      <c r="AH250" s="19" t="str">
        <f>VLOOKUP(SalesData[[#This Row],[Product]],Product_Master!$A$1:$B$21,2,FALSE)</f>
        <v>Simran</v>
      </c>
      <c r="AI250" s="16"/>
    </row>
    <row r="251" spans="1:35" ht="13.8">
      <c r="A251" s="16" t="s">
        <v>991</v>
      </c>
      <c r="B251" s="17">
        <v>45647</v>
      </c>
      <c r="C251" s="16" t="s">
        <v>197</v>
      </c>
      <c r="D251" s="16" t="s">
        <v>198</v>
      </c>
      <c r="E251" s="16" t="s">
        <v>193</v>
      </c>
      <c r="F251" s="16" t="s">
        <v>194</v>
      </c>
      <c r="G251" s="16" t="s">
        <v>89</v>
      </c>
      <c r="H251" s="16" t="s">
        <v>90</v>
      </c>
      <c r="I251" s="16" t="s">
        <v>42</v>
      </c>
      <c r="J251" s="16" t="s">
        <v>68</v>
      </c>
      <c r="K251" s="18">
        <v>2249.89</v>
      </c>
      <c r="L251" s="18">
        <v>2079</v>
      </c>
      <c r="M251" s="19">
        <v>4</v>
      </c>
      <c r="N251" s="20">
        <v>0.1</v>
      </c>
      <c r="O251" s="19" t="s">
        <v>76</v>
      </c>
      <c r="P251" s="19" t="s">
        <v>98</v>
      </c>
      <c r="Q251" s="19" t="str">
        <f>TRIM(SalesData[[#This Row],[Customer_Name]])</f>
        <v>Ritika Das</v>
      </c>
      <c r="R251" s="21">
        <f>SalesData[[#This Row],[Sales]]-SalesData[[#This Row],[Cost]]</f>
        <v>170.88999999999987</v>
      </c>
      <c r="S251" s="22">
        <f>IFERROR(SalesData[[#This Row],[Profit]]/SalesData[[#This Row],[Sales]],0)</f>
        <v>7.5954824458084561E-2</v>
      </c>
      <c r="T251" s="19">
        <f>YEAR(SalesData[[#This Row],[Order_Date]])</f>
        <v>2024</v>
      </c>
      <c r="U251" s="19" t="str">
        <f>TEXT(SalesData[[#This Row],[Order_Date]],"mmm")</f>
        <v>Dec</v>
      </c>
      <c r="V251" s="19" t="str">
        <f>"Q"&amp;ROUNDUP(MONTH(SalesData[[#This Row],[Order_Date]])/3,0)</f>
        <v>Q4</v>
      </c>
      <c r="W251" s="19" t="str">
        <f>IF(SalesData[[#This Row],[Sales]]&gt;=50000,"High",IF(AND(SalesData[[#This Row],[Sales]]&gt;= 20000, SalesData[[#This Row],[Sales]]&lt; 50000),"Medium","Low"))</f>
        <v>Low</v>
      </c>
      <c r="X251" s="19" t="str">
        <f>IF(SalesData[[#This Row],[Profit]]&gt;0,"Profit","Loss")</f>
        <v>Profit</v>
      </c>
      <c r="Y251" s="19" t="str">
        <f>IF(AND(SalesData[[#This Row],[Sales]]&gt;= 50000, SalesData[[#This Row],[Quantity]]&gt;=2),"Yes","No")</f>
        <v>No</v>
      </c>
      <c r="Z251" s="19" t="str">
        <f>UPPER(SalesData[[#This Row],[Customer_Name]])</f>
        <v>RITIKA DAS</v>
      </c>
      <c r="AA251" s="19" t="str">
        <f>LOWER(SalesData[[#This Row],[Customer_Name]])</f>
        <v>ritika das</v>
      </c>
      <c r="AB251" s="19">
        <f>LEN(SalesData[[#This Row],[Customer_Name]])</f>
        <v>10</v>
      </c>
      <c r="AC251" s="19" t="str">
        <f>LEFT(SalesData[[#This Row],[Order_ID]],3)</f>
        <v>ORD</v>
      </c>
      <c r="AD251" s="19" t="str">
        <f>RIGHT(SalesData[[#This Row],[Order_ID]],4)</f>
        <v>0838</v>
      </c>
      <c r="AE251" s="19" t="str">
        <f>_xlfn.CONCAT(SalesData[[#This Row],[Clean_Customer_Name]],"-",SalesData[[#This Row],[Region]])</f>
        <v>Ritika Das-East</v>
      </c>
      <c r="AF251" s="19" t="str">
        <f>MID(SalesData[[#This Row],[Order_ID]],4,4)</f>
        <v>0838</v>
      </c>
      <c r="AG251" s="19" t="e">
        <f ca="1">_xlfn.SINGLE(_xlfn.XLOOKUP(SalesData[[#This Row],[Product]],Product_Master!A:A,Product_Master!B:B,"Not Found"))</f>
        <v>#NAME?</v>
      </c>
      <c r="AH251" s="19" t="str">
        <f>VLOOKUP(SalesData[[#This Row],[Product]],Product_Master!$A$1:$B$21,2,FALSE)</f>
        <v>Simran</v>
      </c>
      <c r="AI251" s="16"/>
    </row>
    <row r="252" spans="1:35" ht="13.8">
      <c r="A252" s="16" t="s">
        <v>414</v>
      </c>
      <c r="B252" s="17">
        <v>45856</v>
      </c>
      <c r="C252" s="16" t="s">
        <v>140</v>
      </c>
      <c r="D252" s="16" t="s">
        <v>141</v>
      </c>
      <c r="E252" s="16" t="s">
        <v>30</v>
      </c>
      <c r="F252" s="16" t="s">
        <v>31</v>
      </c>
      <c r="G252" s="16" t="s">
        <v>21</v>
      </c>
      <c r="H252" s="16" t="s">
        <v>32</v>
      </c>
      <c r="I252" s="16" t="s">
        <v>56</v>
      </c>
      <c r="J252" s="16" t="s">
        <v>57</v>
      </c>
      <c r="K252" s="18">
        <v>214958.34</v>
      </c>
      <c r="L252" s="18">
        <v>173255.08</v>
      </c>
      <c r="M252" s="19">
        <v>4</v>
      </c>
      <c r="N252" s="20">
        <v>0.1</v>
      </c>
      <c r="O252" s="19" t="s">
        <v>34</v>
      </c>
      <c r="P252" s="19" t="s">
        <v>45</v>
      </c>
      <c r="Q252" s="19" t="str">
        <f>TRIM(SalesData[[#This Row],[Customer_Name]])</f>
        <v>Rahul Sharma</v>
      </c>
      <c r="R252" s="21">
        <f>SalesData[[#This Row],[Sales]]-SalesData[[#This Row],[Cost]]</f>
        <v>41703.260000000009</v>
      </c>
      <c r="S252" s="22">
        <f>IFERROR(SalesData[[#This Row],[Profit]]/SalesData[[#This Row],[Sales]],0)</f>
        <v>0.19400624325625146</v>
      </c>
      <c r="T252" s="19">
        <f>YEAR(SalesData[[#This Row],[Order_Date]])</f>
        <v>2025</v>
      </c>
      <c r="U252" s="19" t="str">
        <f>TEXT(SalesData[[#This Row],[Order_Date]],"mmm")</f>
        <v>Jul</v>
      </c>
      <c r="V252" s="19" t="str">
        <f>"Q"&amp;ROUNDUP(MONTH(SalesData[[#This Row],[Order_Date]])/3,0)</f>
        <v>Q3</v>
      </c>
      <c r="W252" s="19" t="str">
        <f>IF(SalesData[[#This Row],[Sales]]&gt;=50000,"High",IF(AND(SalesData[[#This Row],[Sales]]&gt;= 20000, SalesData[[#This Row],[Sales]]&lt; 50000),"Medium","Low"))</f>
        <v>High</v>
      </c>
      <c r="X252" s="19" t="str">
        <f>IF(SalesData[[#This Row],[Profit]]&gt;0,"Profit","Loss")</f>
        <v>Profit</v>
      </c>
      <c r="Y252" s="19" t="str">
        <f>IF(AND(SalesData[[#This Row],[Sales]]&gt;= 50000, SalesData[[#This Row],[Quantity]]&gt;=2),"Yes","No")</f>
        <v>Yes</v>
      </c>
      <c r="Z252" s="19" t="str">
        <f>UPPER(SalesData[[#This Row],[Customer_Name]])</f>
        <v>RAHUL SHARMA</v>
      </c>
      <c r="AA252" s="19" t="str">
        <f>LOWER(SalesData[[#This Row],[Customer_Name]])</f>
        <v>rahul sharma</v>
      </c>
      <c r="AB252" s="19">
        <f>LEN(SalesData[[#This Row],[Customer_Name]])</f>
        <v>12</v>
      </c>
      <c r="AC252" s="19" t="str">
        <f>LEFT(SalesData[[#This Row],[Order_ID]],3)</f>
        <v>ORD</v>
      </c>
      <c r="AD252" s="19" t="str">
        <f>RIGHT(SalesData[[#This Row],[Order_ID]],4)</f>
        <v>0261</v>
      </c>
      <c r="AE252" s="19" t="str">
        <f>_xlfn.CONCAT(SalesData[[#This Row],[Clean_Customer_Name]],"-",SalesData[[#This Row],[Region]])</f>
        <v>Rahul Sharma-West</v>
      </c>
      <c r="AF252" s="19" t="str">
        <f>MID(SalesData[[#This Row],[Order_ID]],4,4)</f>
        <v>0261</v>
      </c>
      <c r="AG252" s="19" t="e">
        <f ca="1">_xlfn.SINGLE(_xlfn.XLOOKUP(SalesData[[#This Row],[Product]],Product_Master!A:A,Product_Master!B:B,"Not Found"))</f>
        <v>#NAME?</v>
      </c>
      <c r="AH252" s="19" t="str">
        <f>VLOOKUP(SalesData[[#This Row],[Product]],Product_Master!$A$1:$B$21,2,FALSE)</f>
        <v>Rahul</v>
      </c>
      <c r="AI252" s="16"/>
    </row>
    <row r="253" spans="1:35" ht="13.8">
      <c r="A253" s="16" t="s">
        <v>573</v>
      </c>
      <c r="B253" s="17">
        <v>45383</v>
      </c>
      <c r="C253" s="16" t="s">
        <v>140</v>
      </c>
      <c r="D253" s="16" t="s">
        <v>141</v>
      </c>
      <c r="E253" s="16" t="s">
        <v>30</v>
      </c>
      <c r="F253" s="16" t="s">
        <v>31</v>
      </c>
      <c r="G253" s="16" t="s">
        <v>21</v>
      </c>
      <c r="H253" s="16" t="s">
        <v>32</v>
      </c>
      <c r="I253" s="16" t="s">
        <v>42</v>
      </c>
      <c r="J253" s="16" t="s">
        <v>68</v>
      </c>
      <c r="K253" s="18">
        <v>58215.82</v>
      </c>
      <c r="L253" s="18">
        <v>51218.23</v>
      </c>
      <c r="M253" s="19">
        <v>1</v>
      </c>
      <c r="N253" s="20">
        <v>0.05</v>
      </c>
      <c r="O253" s="19" t="s">
        <v>25</v>
      </c>
      <c r="P253" s="19" t="s">
        <v>58</v>
      </c>
      <c r="Q253" s="19" t="str">
        <f>TRIM(SalesData[[#This Row],[Customer_Name]])</f>
        <v>Rahul Sharma</v>
      </c>
      <c r="R253" s="21">
        <f>SalesData[[#This Row],[Sales]]-SalesData[[#This Row],[Cost]]</f>
        <v>6997.5899999999965</v>
      </c>
      <c r="S253" s="22">
        <f>IFERROR(SalesData[[#This Row],[Profit]]/SalesData[[#This Row],[Sales]],0)</f>
        <v>0.12020083200751955</v>
      </c>
      <c r="T253" s="19">
        <f>YEAR(SalesData[[#This Row],[Order_Date]])</f>
        <v>2024</v>
      </c>
      <c r="U253" s="19" t="str">
        <f>TEXT(SalesData[[#This Row],[Order_Date]],"mmm")</f>
        <v>Apr</v>
      </c>
      <c r="V253" s="19" t="str">
        <f>"Q"&amp;ROUNDUP(MONTH(SalesData[[#This Row],[Order_Date]])/3,0)</f>
        <v>Q2</v>
      </c>
      <c r="W253" s="19" t="str">
        <f>IF(SalesData[[#This Row],[Sales]]&gt;=50000,"High",IF(AND(SalesData[[#This Row],[Sales]]&gt;= 20000, SalesData[[#This Row],[Sales]]&lt; 50000),"Medium","Low"))</f>
        <v>High</v>
      </c>
      <c r="X253" s="19" t="str">
        <f>IF(SalesData[[#This Row],[Profit]]&gt;0,"Profit","Loss")</f>
        <v>Profit</v>
      </c>
      <c r="Y253" s="19" t="str">
        <f>IF(AND(SalesData[[#This Row],[Sales]]&gt;= 50000, SalesData[[#This Row],[Quantity]]&gt;=2),"Yes","No")</f>
        <v>No</v>
      </c>
      <c r="Z253" s="19" t="str">
        <f>UPPER(SalesData[[#This Row],[Customer_Name]])</f>
        <v>RAHUL SHARMA</v>
      </c>
      <c r="AA253" s="19" t="str">
        <f>LOWER(SalesData[[#This Row],[Customer_Name]])</f>
        <v>rahul sharma</v>
      </c>
      <c r="AB253" s="19">
        <f>LEN(SalesData[[#This Row],[Customer_Name]])</f>
        <v>12</v>
      </c>
      <c r="AC253" s="19" t="str">
        <f>LEFT(SalesData[[#This Row],[Order_ID]],3)</f>
        <v>ORD</v>
      </c>
      <c r="AD253" s="19" t="str">
        <f>RIGHT(SalesData[[#This Row],[Order_ID]],4)</f>
        <v>0420</v>
      </c>
      <c r="AE253" s="19" t="str">
        <f>_xlfn.CONCAT(SalesData[[#This Row],[Clean_Customer_Name]],"-",SalesData[[#This Row],[Region]])</f>
        <v>Rahul Sharma-East</v>
      </c>
      <c r="AF253" s="19" t="str">
        <f>MID(SalesData[[#This Row],[Order_ID]],4,4)</f>
        <v>0420</v>
      </c>
      <c r="AG253" s="19" t="e">
        <f ca="1">_xlfn.SINGLE(_xlfn.XLOOKUP(SalesData[[#This Row],[Product]],Product_Master!A:A,Product_Master!B:B,"Not Found"))</f>
        <v>#NAME?</v>
      </c>
      <c r="AH253" s="19" t="str">
        <f>VLOOKUP(SalesData[[#This Row],[Product]],Product_Master!$A$1:$B$21,2,FALSE)</f>
        <v>Rahul</v>
      </c>
      <c r="AI253" s="16"/>
    </row>
    <row r="254" spans="1:35" ht="13.8">
      <c r="A254" s="16" t="s">
        <v>687</v>
      </c>
      <c r="B254" s="17">
        <v>45431</v>
      </c>
      <c r="C254" s="16" t="s">
        <v>140</v>
      </c>
      <c r="D254" s="16" t="s">
        <v>141</v>
      </c>
      <c r="E254" s="16" t="s">
        <v>30</v>
      </c>
      <c r="F254" s="16" t="s">
        <v>31</v>
      </c>
      <c r="G254" s="16" t="s">
        <v>21</v>
      </c>
      <c r="H254" s="16" t="s">
        <v>32</v>
      </c>
      <c r="I254" s="16" t="s">
        <v>56</v>
      </c>
      <c r="J254" s="16" t="s">
        <v>57</v>
      </c>
      <c r="K254" s="18">
        <v>152425</v>
      </c>
      <c r="L254" s="18">
        <v>137858.76</v>
      </c>
      <c r="M254" s="19">
        <v>3</v>
      </c>
      <c r="N254" s="20">
        <v>0.15</v>
      </c>
      <c r="O254" s="19" t="s">
        <v>136</v>
      </c>
      <c r="P254" s="19" t="s">
        <v>45</v>
      </c>
      <c r="Q254" s="19" t="str">
        <f>TRIM(SalesData[[#This Row],[Customer_Name]])</f>
        <v>Rahul Sharma</v>
      </c>
      <c r="R254" s="21">
        <f>SalesData[[#This Row],[Sales]]-SalesData[[#This Row],[Cost]]</f>
        <v>14566.239999999991</v>
      </c>
      <c r="S254" s="22">
        <f>IFERROR(SalesData[[#This Row],[Profit]]/SalesData[[#This Row],[Sales]],0)</f>
        <v>9.5563326226012726E-2</v>
      </c>
      <c r="T254" s="19">
        <f>YEAR(SalesData[[#This Row],[Order_Date]])</f>
        <v>2024</v>
      </c>
      <c r="U254" s="19" t="str">
        <f>TEXT(SalesData[[#This Row],[Order_Date]],"mmm")</f>
        <v>May</v>
      </c>
      <c r="V254" s="19" t="str">
        <f>"Q"&amp;ROUNDUP(MONTH(SalesData[[#This Row],[Order_Date]])/3,0)</f>
        <v>Q2</v>
      </c>
      <c r="W254" s="19" t="str">
        <f>IF(SalesData[[#This Row],[Sales]]&gt;=50000,"High",IF(AND(SalesData[[#This Row],[Sales]]&gt;= 20000, SalesData[[#This Row],[Sales]]&lt; 50000),"Medium","Low"))</f>
        <v>High</v>
      </c>
      <c r="X254" s="19" t="str">
        <f>IF(SalesData[[#This Row],[Profit]]&gt;0,"Profit","Loss")</f>
        <v>Profit</v>
      </c>
      <c r="Y254" s="19" t="str">
        <f>IF(AND(SalesData[[#This Row],[Sales]]&gt;= 50000, SalesData[[#This Row],[Quantity]]&gt;=2),"Yes","No")</f>
        <v>Yes</v>
      </c>
      <c r="Z254" s="19" t="str">
        <f>UPPER(SalesData[[#This Row],[Customer_Name]])</f>
        <v>RAHUL SHARMA</v>
      </c>
      <c r="AA254" s="19" t="str">
        <f>LOWER(SalesData[[#This Row],[Customer_Name]])</f>
        <v>rahul sharma</v>
      </c>
      <c r="AB254" s="19">
        <f>LEN(SalesData[[#This Row],[Customer_Name]])</f>
        <v>12</v>
      </c>
      <c r="AC254" s="19" t="str">
        <f>LEFT(SalesData[[#This Row],[Order_ID]],3)</f>
        <v>ORD</v>
      </c>
      <c r="AD254" s="19" t="str">
        <f>RIGHT(SalesData[[#This Row],[Order_ID]],4)</f>
        <v>0534</v>
      </c>
      <c r="AE254" s="19" t="str">
        <f>_xlfn.CONCAT(SalesData[[#This Row],[Clean_Customer_Name]],"-",SalesData[[#This Row],[Region]])</f>
        <v>Rahul Sharma-West</v>
      </c>
      <c r="AF254" s="19" t="str">
        <f>MID(SalesData[[#This Row],[Order_ID]],4,4)</f>
        <v>0534</v>
      </c>
      <c r="AG254" s="19" t="e">
        <f ca="1">_xlfn.SINGLE(_xlfn.XLOOKUP(SalesData[[#This Row],[Product]],Product_Master!A:A,Product_Master!B:B,"Not Found"))</f>
        <v>#NAME?</v>
      </c>
      <c r="AH254" s="19" t="str">
        <f>VLOOKUP(SalesData[[#This Row],[Product]],Product_Master!$A$1:$B$21,2,FALSE)</f>
        <v>Rahul</v>
      </c>
      <c r="AI254" s="16"/>
    </row>
    <row r="255" spans="1:35" ht="13.8">
      <c r="A255" s="16" t="s">
        <v>1041</v>
      </c>
      <c r="B255" s="17">
        <v>45469</v>
      </c>
      <c r="C255" s="16" t="s">
        <v>140</v>
      </c>
      <c r="D255" s="16" t="s">
        <v>141</v>
      </c>
      <c r="E255" s="16" t="s">
        <v>30</v>
      </c>
      <c r="F255" s="16" t="s">
        <v>31</v>
      </c>
      <c r="G255" s="16" t="s">
        <v>21</v>
      </c>
      <c r="H255" s="16" t="s">
        <v>32</v>
      </c>
      <c r="I255" s="16" t="s">
        <v>42</v>
      </c>
      <c r="J255" s="16" t="s">
        <v>68</v>
      </c>
      <c r="K255" s="18">
        <v>209401.07</v>
      </c>
      <c r="L255" s="18">
        <v>194142.36</v>
      </c>
      <c r="M255" s="19">
        <v>4</v>
      </c>
      <c r="N255" s="20">
        <v>0.15</v>
      </c>
      <c r="O255" s="19" t="s">
        <v>136</v>
      </c>
      <c r="P255" s="19" t="s">
        <v>58</v>
      </c>
      <c r="Q255" s="19" t="str">
        <f>TRIM(SalesData[[#This Row],[Customer_Name]])</f>
        <v>Rahul Sharma</v>
      </c>
      <c r="R255" s="21">
        <f>SalesData[[#This Row],[Sales]]-SalesData[[#This Row],[Cost]]</f>
        <v>15258.710000000021</v>
      </c>
      <c r="S255" s="22">
        <f>IFERROR(SalesData[[#This Row],[Profit]]/SalesData[[#This Row],[Sales]],0)</f>
        <v>7.2868347807391917E-2</v>
      </c>
      <c r="T255" s="19">
        <f>YEAR(SalesData[[#This Row],[Order_Date]])</f>
        <v>2024</v>
      </c>
      <c r="U255" s="19" t="str">
        <f>TEXT(SalesData[[#This Row],[Order_Date]],"mmm")</f>
        <v>Jun</v>
      </c>
      <c r="V255" s="19" t="str">
        <f>"Q"&amp;ROUNDUP(MONTH(SalesData[[#This Row],[Order_Date]])/3,0)</f>
        <v>Q2</v>
      </c>
      <c r="W255" s="19" t="str">
        <f>IF(SalesData[[#This Row],[Sales]]&gt;=50000,"High",IF(AND(SalesData[[#This Row],[Sales]]&gt;= 20000, SalesData[[#This Row],[Sales]]&lt; 50000),"Medium","Low"))</f>
        <v>High</v>
      </c>
      <c r="X255" s="19" t="str">
        <f>IF(SalesData[[#This Row],[Profit]]&gt;0,"Profit","Loss")</f>
        <v>Profit</v>
      </c>
      <c r="Y255" s="19" t="str">
        <f>IF(AND(SalesData[[#This Row],[Sales]]&gt;= 50000, SalesData[[#This Row],[Quantity]]&gt;=2),"Yes","No")</f>
        <v>Yes</v>
      </c>
      <c r="Z255" s="19" t="str">
        <f>UPPER(SalesData[[#This Row],[Customer_Name]])</f>
        <v>RAHUL SHARMA</v>
      </c>
      <c r="AA255" s="19" t="str">
        <f>LOWER(SalesData[[#This Row],[Customer_Name]])</f>
        <v>rahul sharma</v>
      </c>
      <c r="AB255" s="19">
        <f>LEN(SalesData[[#This Row],[Customer_Name]])</f>
        <v>12</v>
      </c>
      <c r="AC255" s="19" t="str">
        <f>LEFT(SalesData[[#This Row],[Order_ID]],3)</f>
        <v>ORD</v>
      </c>
      <c r="AD255" s="19" t="str">
        <f>RIGHT(SalesData[[#This Row],[Order_ID]],4)</f>
        <v>0888</v>
      </c>
      <c r="AE255" s="19" t="str">
        <f>_xlfn.CONCAT(SalesData[[#This Row],[Clean_Customer_Name]],"-",SalesData[[#This Row],[Region]])</f>
        <v>Rahul Sharma-East</v>
      </c>
      <c r="AF255" s="19" t="str">
        <f>MID(SalesData[[#This Row],[Order_ID]],4,4)</f>
        <v>0888</v>
      </c>
      <c r="AG255" s="19" t="e">
        <f ca="1">_xlfn.SINGLE(_xlfn.XLOOKUP(SalesData[[#This Row],[Product]],Product_Master!A:A,Product_Master!B:B,"Not Found"))</f>
        <v>#NAME?</v>
      </c>
      <c r="AH255" s="19" t="str">
        <f>VLOOKUP(SalesData[[#This Row],[Product]],Product_Master!$A$1:$B$21,2,FALSE)</f>
        <v>Rahul</v>
      </c>
      <c r="AI255" s="16"/>
    </row>
    <row r="256" spans="1:35" ht="13.8">
      <c r="A256" s="16" t="s">
        <v>684</v>
      </c>
      <c r="B256" s="17">
        <v>45657</v>
      </c>
      <c r="C256" s="16" t="s">
        <v>140</v>
      </c>
      <c r="D256" s="16" t="s">
        <v>141</v>
      </c>
      <c r="E256" s="16" t="s">
        <v>81</v>
      </c>
      <c r="F256" s="16" t="s">
        <v>82</v>
      </c>
      <c r="G256" s="16" t="s">
        <v>21</v>
      </c>
      <c r="H256" s="16" t="s">
        <v>83</v>
      </c>
      <c r="I256" s="16" t="s">
        <v>42</v>
      </c>
      <c r="J256" s="16" t="s">
        <v>68</v>
      </c>
      <c r="K256" s="18">
        <v>65023.56</v>
      </c>
      <c r="L256" s="18">
        <v>57933.81</v>
      </c>
      <c r="M256" s="19">
        <v>3</v>
      </c>
      <c r="N256" s="20">
        <v>0.2</v>
      </c>
      <c r="O256" s="19" t="s">
        <v>44</v>
      </c>
      <c r="P256" s="19" t="s">
        <v>98</v>
      </c>
      <c r="Q256" s="19" t="str">
        <f>TRIM(SalesData[[#This Row],[Customer_Name]])</f>
        <v>Rahul Sharma</v>
      </c>
      <c r="R256" s="21">
        <f>SalesData[[#This Row],[Sales]]-SalesData[[#This Row],[Cost]]</f>
        <v>7089.75</v>
      </c>
      <c r="S256" s="22">
        <f>IFERROR(SalesData[[#This Row],[Profit]]/SalesData[[#This Row],[Sales]],0)</f>
        <v>0.10903355645246124</v>
      </c>
      <c r="T256" s="19">
        <f>YEAR(SalesData[[#This Row],[Order_Date]])</f>
        <v>2024</v>
      </c>
      <c r="U256" s="19" t="str">
        <f>TEXT(SalesData[[#This Row],[Order_Date]],"mmm")</f>
        <v>Dec</v>
      </c>
      <c r="V256" s="19" t="str">
        <f>"Q"&amp;ROUNDUP(MONTH(SalesData[[#This Row],[Order_Date]])/3,0)</f>
        <v>Q4</v>
      </c>
      <c r="W256" s="19" t="str">
        <f>IF(SalesData[[#This Row],[Sales]]&gt;=50000,"High",IF(AND(SalesData[[#This Row],[Sales]]&gt;= 20000, SalesData[[#This Row],[Sales]]&lt; 50000),"Medium","Low"))</f>
        <v>High</v>
      </c>
      <c r="X256" s="19" t="str">
        <f>IF(SalesData[[#This Row],[Profit]]&gt;0,"Profit","Loss")</f>
        <v>Profit</v>
      </c>
      <c r="Y256" s="19" t="str">
        <f>IF(AND(SalesData[[#This Row],[Sales]]&gt;= 50000, SalesData[[#This Row],[Quantity]]&gt;=2),"Yes","No")</f>
        <v>Yes</v>
      </c>
      <c r="Z256" s="19" t="str">
        <f>UPPER(SalesData[[#This Row],[Customer_Name]])</f>
        <v>RAHUL SHARMA</v>
      </c>
      <c r="AA256" s="19" t="str">
        <f>LOWER(SalesData[[#This Row],[Customer_Name]])</f>
        <v>rahul sharma</v>
      </c>
      <c r="AB256" s="19">
        <f>LEN(SalesData[[#This Row],[Customer_Name]])</f>
        <v>12</v>
      </c>
      <c r="AC256" s="19" t="str">
        <f>LEFT(SalesData[[#This Row],[Order_ID]],3)</f>
        <v>ORD</v>
      </c>
      <c r="AD256" s="19" t="str">
        <f>RIGHT(SalesData[[#This Row],[Order_ID]],4)</f>
        <v>0531</v>
      </c>
      <c r="AE256" s="19" t="str">
        <f>_xlfn.CONCAT(SalesData[[#This Row],[Clean_Customer_Name]],"-",SalesData[[#This Row],[Region]])</f>
        <v>Rahul Sharma-East</v>
      </c>
      <c r="AF256" s="19" t="str">
        <f>MID(SalesData[[#This Row],[Order_ID]],4,4)</f>
        <v>0531</v>
      </c>
      <c r="AG256" s="19" t="e">
        <f ca="1">_xlfn.SINGLE(_xlfn.XLOOKUP(SalesData[[#This Row],[Product]],Product_Master!A:A,Product_Master!B:B,"Not Found"))</f>
        <v>#NAME?</v>
      </c>
      <c r="AH256" s="19" t="str">
        <f>VLOOKUP(SalesData[[#This Row],[Product]],Product_Master!$A$1:$B$21,2,FALSE)</f>
        <v>Priya</v>
      </c>
      <c r="AI256" s="16"/>
    </row>
    <row r="257" spans="1:35" ht="13.8">
      <c r="A257" s="16" t="s">
        <v>718</v>
      </c>
      <c r="B257" s="17">
        <v>45902</v>
      </c>
      <c r="C257" s="16" t="s">
        <v>140</v>
      </c>
      <c r="D257" s="16" t="s">
        <v>141</v>
      </c>
      <c r="E257" s="16" t="s">
        <v>81</v>
      </c>
      <c r="F257" s="16" t="s">
        <v>82</v>
      </c>
      <c r="G257" s="16" t="s">
        <v>21</v>
      </c>
      <c r="H257" s="16" t="s">
        <v>83</v>
      </c>
      <c r="I257" s="16" t="s">
        <v>84</v>
      </c>
      <c r="J257" s="16" t="s">
        <v>142</v>
      </c>
      <c r="K257" s="18">
        <v>31412.01</v>
      </c>
      <c r="L257" s="18">
        <v>18063.39</v>
      </c>
      <c r="M257" s="19">
        <v>1</v>
      </c>
      <c r="N257" s="20">
        <v>0.1</v>
      </c>
      <c r="O257" s="19" t="s">
        <v>25</v>
      </c>
      <c r="P257" s="19" t="s">
        <v>45</v>
      </c>
      <c r="Q257" s="19" t="str">
        <f>TRIM(SalesData[[#This Row],[Customer_Name]])</f>
        <v>Rahul Sharma</v>
      </c>
      <c r="R257" s="21">
        <f>SalesData[[#This Row],[Sales]]-SalesData[[#This Row],[Cost]]</f>
        <v>13348.619999999999</v>
      </c>
      <c r="S257" s="22">
        <f>IFERROR(SalesData[[#This Row],[Profit]]/SalesData[[#This Row],[Sales]],0)</f>
        <v>0.42495274896448842</v>
      </c>
      <c r="T257" s="19">
        <f>YEAR(SalesData[[#This Row],[Order_Date]])</f>
        <v>2025</v>
      </c>
      <c r="U257" s="19" t="str">
        <f>TEXT(SalesData[[#This Row],[Order_Date]],"mmm")</f>
        <v>Sept</v>
      </c>
      <c r="V257" s="19" t="str">
        <f>"Q"&amp;ROUNDUP(MONTH(SalesData[[#This Row],[Order_Date]])/3,0)</f>
        <v>Q3</v>
      </c>
      <c r="W257" s="19" t="str">
        <f>IF(SalesData[[#This Row],[Sales]]&gt;=50000,"High",IF(AND(SalesData[[#This Row],[Sales]]&gt;= 20000, SalesData[[#This Row],[Sales]]&lt; 50000),"Medium","Low"))</f>
        <v>Medium</v>
      </c>
      <c r="X257" s="19" t="str">
        <f>IF(SalesData[[#This Row],[Profit]]&gt;0,"Profit","Loss")</f>
        <v>Profit</v>
      </c>
      <c r="Y257" s="19" t="str">
        <f>IF(AND(SalesData[[#This Row],[Sales]]&gt;= 50000, SalesData[[#This Row],[Quantity]]&gt;=2),"Yes","No")</f>
        <v>No</v>
      </c>
      <c r="Z257" s="19" t="str">
        <f>UPPER(SalesData[[#This Row],[Customer_Name]])</f>
        <v>RAHUL SHARMA</v>
      </c>
      <c r="AA257" s="19" t="str">
        <f>LOWER(SalesData[[#This Row],[Customer_Name]])</f>
        <v>rahul sharma</v>
      </c>
      <c r="AB257" s="19">
        <f>LEN(SalesData[[#This Row],[Customer_Name]])</f>
        <v>12</v>
      </c>
      <c r="AC257" s="19" t="str">
        <f>LEFT(SalesData[[#This Row],[Order_ID]],3)</f>
        <v>ORD</v>
      </c>
      <c r="AD257" s="19" t="str">
        <f>RIGHT(SalesData[[#This Row],[Order_ID]],4)</f>
        <v>0565</v>
      </c>
      <c r="AE257" s="19" t="str">
        <f>_xlfn.CONCAT(SalesData[[#This Row],[Clean_Customer_Name]],"-",SalesData[[#This Row],[Region]])</f>
        <v>Rahul Sharma-South</v>
      </c>
      <c r="AF257" s="19" t="str">
        <f>MID(SalesData[[#This Row],[Order_ID]],4,4)</f>
        <v>0565</v>
      </c>
      <c r="AG257" s="19" t="e">
        <f ca="1">_xlfn.SINGLE(_xlfn.XLOOKUP(SalesData[[#This Row],[Product]],Product_Master!A:A,Product_Master!B:B,"Not Found"))</f>
        <v>#NAME?</v>
      </c>
      <c r="AH257" s="19" t="str">
        <f>VLOOKUP(SalesData[[#This Row],[Product]],Product_Master!$A$1:$B$21,2,FALSE)</f>
        <v>Priya</v>
      </c>
      <c r="AI257" s="16"/>
    </row>
    <row r="258" spans="1:35" ht="13.8">
      <c r="A258" s="16" t="s">
        <v>1037</v>
      </c>
      <c r="B258" s="17">
        <v>45571</v>
      </c>
      <c r="C258" s="16" t="s">
        <v>140</v>
      </c>
      <c r="D258" s="16" t="s">
        <v>141</v>
      </c>
      <c r="E258" s="16" t="s">
        <v>81</v>
      </c>
      <c r="F258" s="16" t="s">
        <v>82</v>
      </c>
      <c r="G258" s="16" t="s">
        <v>21</v>
      </c>
      <c r="H258" s="16" t="s">
        <v>83</v>
      </c>
      <c r="I258" s="16" t="s">
        <v>56</v>
      </c>
      <c r="J258" s="16" t="s">
        <v>191</v>
      </c>
      <c r="K258" s="18">
        <v>136130.26999999999</v>
      </c>
      <c r="L258" s="18">
        <v>85516</v>
      </c>
      <c r="M258" s="19">
        <v>5</v>
      </c>
      <c r="N258" s="20">
        <v>0.1</v>
      </c>
      <c r="O258" s="19" t="s">
        <v>76</v>
      </c>
      <c r="P258" s="19" t="s">
        <v>45</v>
      </c>
      <c r="Q258" s="19" t="str">
        <f>TRIM(SalesData[[#This Row],[Customer_Name]])</f>
        <v>Rahul Sharma</v>
      </c>
      <c r="R258" s="21">
        <f>SalesData[[#This Row],[Sales]]-SalesData[[#This Row],[Cost]]</f>
        <v>50614.26999999999</v>
      </c>
      <c r="S258" s="22">
        <f>IFERROR(SalesData[[#This Row],[Profit]]/SalesData[[#This Row],[Sales]],0)</f>
        <v>0.37180760752182446</v>
      </c>
      <c r="T258" s="19">
        <f>YEAR(SalesData[[#This Row],[Order_Date]])</f>
        <v>2024</v>
      </c>
      <c r="U258" s="19" t="str">
        <f>TEXT(SalesData[[#This Row],[Order_Date]],"mmm")</f>
        <v>Oct</v>
      </c>
      <c r="V258" s="19" t="str">
        <f>"Q"&amp;ROUNDUP(MONTH(SalesData[[#This Row],[Order_Date]])/3,0)</f>
        <v>Q4</v>
      </c>
      <c r="W258" s="19" t="str">
        <f>IF(SalesData[[#This Row],[Sales]]&gt;=50000,"High",IF(AND(SalesData[[#This Row],[Sales]]&gt;= 20000, SalesData[[#This Row],[Sales]]&lt; 50000),"Medium","Low"))</f>
        <v>High</v>
      </c>
      <c r="X258" s="19" t="str">
        <f>IF(SalesData[[#This Row],[Profit]]&gt;0,"Profit","Loss")</f>
        <v>Profit</v>
      </c>
      <c r="Y258" s="19" t="str">
        <f>IF(AND(SalesData[[#This Row],[Sales]]&gt;= 50000, SalesData[[#This Row],[Quantity]]&gt;=2),"Yes","No")</f>
        <v>Yes</v>
      </c>
      <c r="Z258" s="19" t="str">
        <f>UPPER(SalesData[[#This Row],[Customer_Name]])</f>
        <v>RAHUL SHARMA</v>
      </c>
      <c r="AA258" s="19" t="str">
        <f>LOWER(SalesData[[#This Row],[Customer_Name]])</f>
        <v>rahul sharma</v>
      </c>
      <c r="AB258" s="19">
        <f>LEN(SalesData[[#This Row],[Customer_Name]])</f>
        <v>12</v>
      </c>
      <c r="AC258" s="19" t="str">
        <f>LEFT(SalesData[[#This Row],[Order_ID]],3)</f>
        <v>ORD</v>
      </c>
      <c r="AD258" s="19" t="str">
        <f>RIGHT(SalesData[[#This Row],[Order_ID]],4)</f>
        <v>0884</v>
      </c>
      <c r="AE258" s="19" t="str">
        <f>_xlfn.CONCAT(SalesData[[#This Row],[Clean_Customer_Name]],"-",SalesData[[#This Row],[Region]])</f>
        <v>Rahul Sharma-West</v>
      </c>
      <c r="AF258" s="19" t="str">
        <f>MID(SalesData[[#This Row],[Order_ID]],4,4)</f>
        <v>0884</v>
      </c>
      <c r="AG258" s="19" t="e">
        <f ca="1">_xlfn.SINGLE(_xlfn.XLOOKUP(SalesData[[#This Row],[Product]],Product_Master!A:A,Product_Master!B:B,"Not Found"))</f>
        <v>#NAME?</v>
      </c>
      <c r="AH258" s="19" t="str">
        <f>VLOOKUP(SalesData[[#This Row],[Product]],Product_Master!$A$1:$B$21,2,FALSE)</f>
        <v>Priya</v>
      </c>
      <c r="AI258" s="16"/>
    </row>
    <row r="259" spans="1:35" ht="13.8">
      <c r="A259" s="16" t="s">
        <v>224</v>
      </c>
      <c r="B259" s="17">
        <v>45518</v>
      </c>
      <c r="C259" s="16" t="s">
        <v>140</v>
      </c>
      <c r="D259" s="16" t="s">
        <v>141</v>
      </c>
      <c r="E259" s="16" t="s">
        <v>62</v>
      </c>
      <c r="F259" s="16" t="s">
        <v>63</v>
      </c>
      <c r="G259" s="16" t="s">
        <v>21</v>
      </c>
      <c r="H259" s="16" t="s">
        <v>64</v>
      </c>
      <c r="I259" s="16" t="s">
        <v>84</v>
      </c>
      <c r="J259" s="16" t="s">
        <v>142</v>
      </c>
      <c r="K259" s="18">
        <v>10844.9</v>
      </c>
      <c r="L259" s="18">
        <v>7476.16</v>
      </c>
      <c r="M259" s="19">
        <v>4</v>
      </c>
      <c r="N259" s="20">
        <v>0.2</v>
      </c>
      <c r="O259" s="19" t="s">
        <v>44</v>
      </c>
      <c r="P259" s="19" t="s">
        <v>98</v>
      </c>
      <c r="Q259" s="19" t="str">
        <f>TRIM(SalesData[[#This Row],[Customer_Name]])</f>
        <v>Rahul Sharma</v>
      </c>
      <c r="R259" s="21">
        <f>SalesData[[#This Row],[Sales]]-SalesData[[#This Row],[Cost]]</f>
        <v>3368.74</v>
      </c>
      <c r="S259" s="22">
        <f>IFERROR(SalesData[[#This Row],[Profit]]/SalesData[[#This Row],[Sales]],0)</f>
        <v>0.31062895923429445</v>
      </c>
      <c r="T259" s="19">
        <f>YEAR(SalesData[[#This Row],[Order_Date]])</f>
        <v>2024</v>
      </c>
      <c r="U259" s="19" t="str">
        <f>TEXT(SalesData[[#This Row],[Order_Date]],"mmm")</f>
        <v>Aug</v>
      </c>
      <c r="V259" s="19" t="str">
        <f>"Q"&amp;ROUNDUP(MONTH(SalesData[[#This Row],[Order_Date]])/3,0)</f>
        <v>Q3</v>
      </c>
      <c r="W259" s="19" t="str">
        <f>IF(SalesData[[#This Row],[Sales]]&gt;=50000,"High",IF(AND(SalesData[[#This Row],[Sales]]&gt;= 20000, SalesData[[#This Row],[Sales]]&lt; 50000),"Medium","Low"))</f>
        <v>Low</v>
      </c>
      <c r="X259" s="19" t="str">
        <f>IF(SalesData[[#This Row],[Profit]]&gt;0,"Profit","Loss")</f>
        <v>Profit</v>
      </c>
      <c r="Y259" s="19" t="str">
        <f>IF(AND(SalesData[[#This Row],[Sales]]&gt;= 50000, SalesData[[#This Row],[Quantity]]&gt;=2),"Yes","No")</f>
        <v>No</v>
      </c>
      <c r="Z259" s="19" t="str">
        <f>UPPER(SalesData[[#This Row],[Customer_Name]])</f>
        <v>RAHUL SHARMA</v>
      </c>
      <c r="AA259" s="19" t="str">
        <f>LOWER(SalesData[[#This Row],[Customer_Name]])</f>
        <v>rahul sharma</v>
      </c>
      <c r="AB259" s="19">
        <f>LEN(SalesData[[#This Row],[Customer_Name]])</f>
        <v>12</v>
      </c>
      <c r="AC259" s="19" t="str">
        <f>LEFT(SalesData[[#This Row],[Order_ID]],3)</f>
        <v>ORD</v>
      </c>
      <c r="AD259" s="19" t="str">
        <f>RIGHT(SalesData[[#This Row],[Order_ID]],4)</f>
        <v>0075</v>
      </c>
      <c r="AE259" s="19" t="str">
        <f>_xlfn.CONCAT(SalesData[[#This Row],[Clean_Customer_Name]],"-",SalesData[[#This Row],[Region]])</f>
        <v>Rahul Sharma-South</v>
      </c>
      <c r="AF259" s="19" t="str">
        <f>MID(SalesData[[#This Row],[Order_ID]],4,4)</f>
        <v>0075</v>
      </c>
      <c r="AG259" s="19" t="e">
        <f ca="1">_xlfn.SINGLE(_xlfn.XLOOKUP(SalesData[[#This Row],[Product]],Product_Master!A:A,Product_Master!B:B,"Not Found"))</f>
        <v>#NAME?</v>
      </c>
      <c r="AH259" s="19" t="str">
        <f>VLOOKUP(SalesData[[#This Row],[Product]],Product_Master!$A$1:$B$21,2,FALSE)</f>
        <v>Amit</v>
      </c>
      <c r="AI259" s="16"/>
    </row>
    <row r="260" spans="1:35" ht="13.8">
      <c r="A260" s="16" t="s">
        <v>351</v>
      </c>
      <c r="B260" s="17">
        <v>45948</v>
      </c>
      <c r="C260" s="16" t="s">
        <v>140</v>
      </c>
      <c r="D260" s="16" t="s">
        <v>141</v>
      </c>
      <c r="E260" s="16" t="s">
        <v>62</v>
      </c>
      <c r="F260" s="16" t="s">
        <v>63</v>
      </c>
      <c r="G260" s="16" t="s">
        <v>21</v>
      </c>
      <c r="H260" s="16" t="s">
        <v>64</v>
      </c>
      <c r="I260" s="16" t="s">
        <v>23</v>
      </c>
      <c r="J260" s="16" t="s">
        <v>24</v>
      </c>
      <c r="K260" s="18">
        <v>11845.04</v>
      </c>
      <c r="L260" s="18">
        <v>8576.4</v>
      </c>
      <c r="M260" s="19">
        <v>5</v>
      </c>
      <c r="N260" s="20">
        <v>0.2</v>
      </c>
      <c r="O260" s="19" t="s">
        <v>136</v>
      </c>
      <c r="P260" s="19" t="s">
        <v>58</v>
      </c>
      <c r="Q260" s="19" t="str">
        <f>TRIM(SalesData[[#This Row],[Customer_Name]])</f>
        <v>Rahul Sharma</v>
      </c>
      <c r="R260" s="21">
        <f>SalesData[[#This Row],[Sales]]-SalesData[[#This Row],[Cost]]</f>
        <v>3268.6400000000012</v>
      </c>
      <c r="S260" s="22">
        <f>IFERROR(SalesData[[#This Row],[Profit]]/SalesData[[#This Row],[Sales]],0)</f>
        <v>0.27595010232130923</v>
      </c>
      <c r="T260" s="19">
        <f>YEAR(SalesData[[#This Row],[Order_Date]])</f>
        <v>2025</v>
      </c>
      <c r="U260" s="19" t="str">
        <f>TEXT(SalesData[[#This Row],[Order_Date]],"mmm")</f>
        <v>Oct</v>
      </c>
      <c r="V260" s="19" t="str">
        <f>"Q"&amp;ROUNDUP(MONTH(SalesData[[#This Row],[Order_Date]])/3,0)</f>
        <v>Q4</v>
      </c>
      <c r="W260" s="19" t="str">
        <f>IF(SalesData[[#This Row],[Sales]]&gt;=50000,"High",IF(AND(SalesData[[#This Row],[Sales]]&gt;= 20000, SalesData[[#This Row],[Sales]]&lt; 50000),"Medium","Low"))</f>
        <v>Low</v>
      </c>
      <c r="X260" s="19" t="str">
        <f>IF(SalesData[[#This Row],[Profit]]&gt;0,"Profit","Loss")</f>
        <v>Profit</v>
      </c>
      <c r="Y260" s="19" t="str">
        <f>IF(AND(SalesData[[#This Row],[Sales]]&gt;= 50000, SalesData[[#This Row],[Quantity]]&gt;=2),"Yes","No")</f>
        <v>No</v>
      </c>
      <c r="Z260" s="19" t="str">
        <f>UPPER(SalesData[[#This Row],[Customer_Name]])</f>
        <v>RAHUL SHARMA</v>
      </c>
      <c r="AA260" s="19" t="str">
        <f>LOWER(SalesData[[#This Row],[Customer_Name]])</f>
        <v>rahul sharma</v>
      </c>
      <c r="AB260" s="19">
        <f>LEN(SalesData[[#This Row],[Customer_Name]])</f>
        <v>12</v>
      </c>
      <c r="AC260" s="19" t="str">
        <f>LEFT(SalesData[[#This Row],[Order_ID]],3)</f>
        <v>ORD</v>
      </c>
      <c r="AD260" s="19" t="str">
        <f>RIGHT(SalesData[[#This Row],[Order_ID]],4)</f>
        <v>0198</v>
      </c>
      <c r="AE260" s="19" t="str">
        <f>_xlfn.CONCAT(SalesData[[#This Row],[Clean_Customer_Name]],"-",SalesData[[#This Row],[Region]])</f>
        <v>Rahul Sharma-North</v>
      </c>
      <c r="AF260" s="19" t="str">
        <f>MID(SalesData[[#This Row],[Order_ID]],4,4)</f>
        <v>0198</v>
      </c>
      <c r="AG260" s="19" t="e">
        <f ca="1">_xlfn.SINGLE(_xlfn.XLOOKUP(SalesData[[#This Row],[Product]],Product_Master!A:A,Product_Master!B:B,"Not Found"))</f>
        <v>#NAME?</v>
      </c>
      <c r="AH260" s="19" t="str">
        <f>VLOOKUP(SalesData[[#This Row],[Product]],Product_Master!$A$1:$B$21,2,FALSE)</f>
        <v>Amit</v>
      </c>
      <c r="AI260" s="16"/>
    </row>
    <row r="261" spans="1:35" ht="13.8">
      <c r="A261" s="16" t="s">
        <v>882</v>
      </c>
      <c r="B261" s="17">
        <v>45748</v>
      </c>
      <c r="C261" s="16" t="s">
        <v>140</v>
      </c>
      <c r="D261" s="16" t="s">
        <v>141</v>
      </c>
      <c r="E261" s="16" t="s">
        <v>62</v>
      </c>
      <c r="F261" s="16" t="s">
        <v>63</v>
      </c>
      <c r="G261" s="16" t="s">
        <v>21</v>
      </c>
      <c r="H261" s="16" t="s">
        <v>64</v>
      </c>
      <c r="I261" s="16" t="s">
        <v>56</v>
      </c>
      <c r="J261" s="16" t="s">
        <v>57</v>
      </c>
      <c r="K261" s="18">
        <v>3216.91</v>
      </c>
      <c r="L261" s="18">
        <v>1971.3</v>
      </c>
      <c r="M261" s="19">
        <v>1</v>
      </c>
      <c r="N261" s="20">
        <v>0.15</v>
      </c>
      <c r="O261" s="19" t="s">
        <v>44</v>
      </c>
      <c r="P261" s="19" t="s">
        <v>58</v>
      </c>
      <c r="Q261" s="19" t="str">
        <f>TRIM(SalesData[[#This Row],[Customer_Name]])</f>
        <v>Rahul Sharma</v>
      </c>
      <c r="R261" s="21">
        <f>SalesData[[#This Row],[Sales]]-SalesData[[#This Row],[Cost]]</f>
        <v>1245.6099999999999</v>
      </c>
      <c r="S261" s="22">
        <f>IFERROR(SalesData[[#This Row],[Profit]]/SalesData[[#This Row],[Sales]],0)</f>
        <v>0.38720697812497085</v>
      </c>
      <c r="T261" s="19">
        <f>YEAR(SalesData[[#This Row],[Order_Date]])</f>
        <v>2025</v>
      </c>
      <c r="U261" s="19" t="str">
        <f>TEXT(SalesData[[#This Row],[Order_Date]],"mmm")</f>
        <v>Apr</v>
      </c>
      <c r="V261" s="19" t="str">
        <f>"Q"&amp;ROUNDUP(MONTH(SalesData[[#This Row],[Order_Date]])/3,0)</f>
        <v>Q2</v>
      </c>
      <c r="W261" s="19" t="str">
        <f>IF(SalesData[[#This Row],[Sales]]&gt;=50000,"High",IF(AND(SalesData[[#This Row],[Sales]]&gt;= 20000, SalesData[[#This Row],[Sales]]&lt; 50000),"Medium","Low"))</f>
        <v>Low</v>
      </c>
      <c r="X261" s="19" t="str">
        <f>IF(SalesData[[#This Row],[Profit]]&gt;0,"Profit","Loss")</f>
        <v>Profit</v>
      </c>
      <c r="Y261" s="19" t="str">
        <f>IF(AND(SalesData[[#This Row],[Sales]]&gt;= 50000, SalesData[[#This Row],[Quantity]]&gt;=2),"Yes","No")</f>
        <v>No</v>
      </c>
      <c r="Z261" s="19" t="str">
        <f>UPPER(SalesData[[#This Row],[Customer_Name]])</f>
        <v>RAHUL SHARMA</v>
      </c>
      <c r="AA261" s="19" t="str">
        <f>LOWER(SalesData[[#This Row],[Customer_Name]])</f>
        <v>rahul sharma</v>
      </c>
      <c r="AB261" s="19">
        <f>LEN(SalesData[[#This Row],[Customer_Name]])</f>
        <v>12</v>
      </c>
      <c r="AC261" s="19" t="str">
        <f>LEFT(SalesData[[#This Row],[Order_ID]],3)</f>
        <v>ORD</v>
      </c>
      <c r="AD261" s="19" t="str">
        <f>RIGHT(SalesData[[#This Row],[Order_ID]],4)</f>
        <v>0729</v>
      </c>
      <c r="AE261" s="19" t="str">
        <f>_xlfn.CONCAT(SalesData[[#This Row],[Clean_Customer_Name]],"-",SalesData[[#This Row],[Region]])</f>
        <v>Rahul Sharma-West</v>
      </c>
      <c r="AF261" s="19" t="str">
        <f>MID(SalesData[[#This Row],[Order_ID]],4,4)</f>
        <v>0729</v>
      </c>
      <c r="AG261" s="19" t="e">
        <f ca="1">_xlfn.SINGLE(_xlfn.XLOOKUP(SalesData[[#This Row],[Product]],Product_Master!A:A,Product_Master!B:B,"Not Found"))</f>
        <v>#NAME?</v>
      </c>
      <c r="AH261" s="19" t="str">
        <f>VLOOKUP(SalesData[[#This Row],[Product]],Product_Master!$A$1:$B$21,2,FALSE)</f>
        <v>Amit</v>
      </c>
      <c r="AI261" s="16"/>
    </row>
    <row r="262" spans="1:35" ht="13.8">
      <c r="A262" s="16" t="s">
        <v>696</v>
      </c>
      <c r="B262" s="17">
        <v>45546</v>
      </c>
      <c r="C262" s="16" t="s">
        <v>140</v>
      </c>
      <c r="D262" s="16" t="s">
        <v>141</v>
      </c>
      <c r="E262" s="16" t="s">
        <v>19</v>
      </c>
      <c r="F262" s="16" t="s">
        <v>20</v>
      </c>
      <c r="G262" s="16" t="s">
        <v>21</v>
      </c>
      <c r="H262" s="16" t="s">
        <v>22</v>
      </c>
      <c r="I262" s="16" t="s">
        <v>53</v>
      </c>
      <c r="J262" s="16" t="s">
        <v>54</v>
      </c>
      <c r="K262" s="18">
        <v>23433.200000000001</v>
      </c>
      <c r="L262" s="18">
        <v>12650.96</v>
      </c>
      <c r="M262" s="19">
        <v>4</v>
      </c>
      <c r="N262" s="20">
        <v>0</v>
      </c>
      <c r="O262" s="19" t="s">
        <v>76</v>
      </c>
      <c r="P262" s="19" t="s">
        <v>98</v>
      </c>
      <c r="Q262" s="19" t="str">
        <f>TRIM(SalesData[[#This Row],[Customer_Name]])</f>
        <v>Rahul Sharma</v>
      </c>
      <c r="R262" s="21">
        <f>SalesData[[#This Row],[Sales]]-SalesData[[#This Row],[Cost]]</f>
        <v>10782.240000000002</v>
      </c>
      <c r="S262" s="22">
        <f>IFERROR(SalesData[[#This Row],[Profit]]/SalesData[[#This Row],[Sales]],0)</f>
        <v>0.46012665790417023</v>
      </c>
      <c r="T262" s="19">
        <f>YEAR(SalesData[[#This Row],[Order_Date]])</f>
        <v>2024</v>
      </c>
      <c r="U262" s="19" t="str">
        <f>TEXT(SalesData[[#This Row],[Order_Date]],"mmm")</f>
        <v>Sept</v>
      </c>
      <c r="V262" s="19" t="str">
        <f>"Q"&amp;ROUNDUP(MONTH(SalesData[[#This Row],[Order_Date]])/3,0)</f>
        <v>Q3</v>
      </c>
      <c r="W262" s="19" t="str">
        <f>IF(SalesData[[#This Row],[Sales]]&gt;=50000,"High",IF(AND(SalesData[[#This Row],[Sales]]&gt;= 20000, SalesData[[#This Row],[Sales]]&lt; 50000),"Medium","Low"))</f>
        <v>Medium</v>
      </c>
      <c r="X262" s="19" t="str">
        <f>IF(SalesData[[#This Row],[Profit]]&gt;0,"Profit","Loss")</f>
        <v>Profit</v>
      </c>
      <c r="Y262" s="19" t="str">
        <f>IF(AND(SalesData[[#This Row],[Sales]]&gt;= 50000, SalesData[[#This Row],[Quantity]]&gt;=2),"Yes","No")</f>
        <v>No</v>
      </c>
      <c r="Z262" s="19" t="str">
        <f>UPPER(SalesData[[#This Row],[Customer_Name]])</f>
        <v>RAHUL SHARMA</v>
      </c>
      <c r="AA262" s="19" t="str">
        <f>LOWER(SalesData[[#This Row],[Customer_Name]])</f>
        <v>rahul sharma</v>
      </c>
      <c r="AB262" s="19">
        <f>LEN(SalesData[[#This Row],[Customer_Name]])</f>
        <v>12</v>
      </c>
      <c r="AC262" s="19" t="str">
        <f>LEFT(SalesData[[#This Row],[Order_ID]],3)</f>
        <v>ORD</v>
      </c>
      <c r="AD262" s="19" t="str">
        <f>RIGHT(SalesData[[#This Row],[Order_ID]],4)</f>
        <v>0543</v>
      </c>
      <c r="AE262" s="19" t="str">
        <f>_xlfn.CONCAT(SalesData[[#This Row],[Clean_Customer_Name]],"-",SalesData[[#This Row],[Region]])</f>
        <v>Rahul Sharma-Central</v>
      </c>
      <c r="AF262" s="19" t="str">
        <f>MID(SalesData[[#This Row],[Order_ID]],4,4)</f>
        <v>0543</v>
      </c>
      <c r="AG262" s="19" t="e">
        <f ca="1">_xlfn.SINGLE(_xlfn.XLOOKUP(SalesData[[#This Row],[Product]],Product_Master!A:A,Product_Master!B:B,"Not Found"))</f>
        <v>#NAME?</v>
      </c>
      <c r="AH262" s="19" t="str">
        <f>VLOOKUP(SalesData[[#This Row],[Product]],Product_Master!$A$1:$B$21,2,FALSE)</f>
        <v>Neha</v>
      </c>
      <c r="AI262" s="16"/>
    </row>
    <row r="263" spans="1:35" ht="13.8">
      <c r="A263" s="16" t="s">
        <v>988</v>
      </c>
      <c r="B263" s="17">
        <v>46022</v>
      </c>
      <c r="C263" s="16" t="s">
        <v>140</v>
      </c>
      <c r="D263" s="16" t="s">
        <v>141</v>
      </c>
      <c r="E263" s="16" t="s">
        <v>19</v>
      </c>
      <c r="F263" s="16" t="s">
        <v>20</v>
      </c>
      <c r="G263" s="16" t="s">
        <v>21</v>
      </c>
      <c r="H263" s="16" t="s">
        <v>22</v>
      </c>
      <c r="I263" s="16" t="s">
        <v>42</v>
      </c>
      <c r="J263" s="16" t="s">
        <v>68</v>
      </c>
      <c r="K263" s="18">
        <v>26067.84</v>
      </c>
      <c r="L263" s="18">
        <v>13150.76</v>
      </c>
      <c r="M263" s="19">
        <v>4</v>
      </c>
      <c r="N263" s="20">
        <v>0.2</v>
      </c>
      <c r="O263" s="19" t="s">
        <v>34</v>
      </c>
      <c r="P263" s="19" t="s">
        <v>45</v>
      </c>
      <c r="Q263" s="19" t="str">
        <f>TRIM(SalesData[[#This Row],[Customer_Name]])</f>
        <v>Rahul Sharma</v>
      </c>
      <c r="R263" s="21">
        <f>SalesData[[#This Row],[Sales]]-SalesData[[#This Row],[Cost]]</f>
        <v>12917.08</v>
      </c>
      <c r="S263" s="22">
        <f>IFERROR(SalesData[[#This Row],[Profit]]/SalesData[[#This Row],[Sales]],0)</f>
        <v>0.49551784881294347</v>
      </c>
      <c r="T263" s="19">
        <f>YEAR(SalesData[[#This Row],[Order_Date]])</f>
        <v>2025</v>
      </c>
      <c r="U263" s="19" t="str">
        <f>TEXT(SalesData[[#This Row],[Order_Date]],"mmm")</f>
        <v>Dec</v>
      </c>
      <c r="V263" s="19" t="str">
        <f>"Q"&amp;ROUNDUP(MONTH(SalesData[[#This Row],[Order_Date]])/3,0)</f>
        <v>Q4</v>
      </c>
      <c r="W263" s="19" t="str">
        <f>IF(SalesData[[#This Row],[Sales]]&gt;=50000,"High",IF(AND(SalesData[[#This Row],[Sales]]&gt;= 20000, SalesData[[#This Row],[Sales]]&lt; 50000),"Medium","Low"))</f>
        <v>Medium</v>
      </c>
      <c r="X263" s="19" t="str">
        <f>IF(SalesData[[#This Row],[Profit]]&gt;0,"Profit","Loss")</f>
        <v>Profit</v>
      </c>
      <c r="Y263" s="19" t="str">
        <f>IF(AND(SalesData[[#This Row],[Sales]]&gt;= 50000, SalesData[[#This Row],[Quantity]]&gt;=2),"Yes","No")</f>
        <v>No</v>
      </c>
      <c r="Z263" s="19" t="str">
        <f>UPPER(SalesData[[#This Row],[Customer_Name]])</f>
        <v>RAHUL SHARMA</v>
      </c>
      <c r="AA263" s="19" t="str">
        <f>LOWER(SalesData[[#This Row],[Customer_Name]])</f>
        <v>rahul sharma</v>
      </c>
      <c r="AB263" s="19">
        <f>LEN(SalesData[[#This Row],[Customer_Name]])</f>
        <v>12</v>
      </c>
      <c r="AC263" s="19" t="str">
        <f>LEFT(SalesData[[#This Row],[Order_ID]],3)</f>
        <v>ORD</v>
      </c>
      <c r="AD263" s="19" t="str">
        <f>RIGHT(SalesData[[#This Row],[Order_ID]],4)</f>
        <v>0835</v>
      </c>
      <c r="AE263" s="19" t="str">
        <f>_xlfn.CONCAT(SalesData[[#This Row],[Clean_Customer_Name]],"-",SalesData[[#This Row],[Region]])</f>
        <v>Rahul Sharma-East</v>
      </c>
      <c r="AF263" s="19" t="str">
        <f>MID(SalesData[[#This Row],[Order_ID]],4,4)</f>
        <v>0835</v>
      </c>
      <c r="AG263" s="19" t="e">
        <f ca="1">_xlfn.SINGLE(_xlfn.XLOOKUP(SalesData[[#This Row],[Product]],Product_Master!A:A,Product_Master!B:B,"Not Found"))</f>
        <v>#NAME?</v>
      </c>
      <c r="AH263" s="19" t="str">
        <f>VLOOKUP(SalesData[[#This Row],[Product]],Product_Master!$A$1:$B$21,2,FALSE)</f>
        <v>Neha</v>
      </c>
      <c r="AI263" s="16"/>
    </row>
    <row r="264" spans="1:35" ht="13.8">
      <c r="A264" s="16" t="s">
        <v>889</v>
      </c>
      <c r="B264" s="17">
        <v>45599</v>
      </c>
      <c r="C264" s="16" t="s">
        <v>140</v>
      </c>
      <c r="D264" s="16" t="s">
        <v>141</v>
      </c>
      <c r="E264" s="16" t="s">
        <v>152</v>
      </c>
      <c r="F264" s="16" t="s">
        <v>153</v>
      </c>
      <c r="G264" s="16" t="s">
        <v>21</v>
      </c>
      <c r="H264" s="16" t="s">
        <v>32</v>
      </c>
      <c r="I264" s="16" t="s">
        <v>84</v>
      </c>
      <c r="J264" s="16" t="s">
        <v>142</v>
      </c>
      <c r="K264" s="18">
        <v>49132.91</v>
      </c>
      <c r="L264" s="18">
        <v>29594.720000000001</v>
      </c>
      <c r="M264" s="19">
        <v>4</v>
      </c>
      <c r="N264" s="20">
        <v>0.1</v>
      </c>
      <c r="O264" s="19" t="s">
        <v>136</v>
      </c>
      <c r="P264" s="19" t="s">
        <v>58</v>
      </c>
      <c r="Q264" s="19" t="str">
        <f>TRIM(SalesData[[#This Row],[Customer_Name]])</f>
        <v>Rahul Sharma</v>
      </c>
      <c r="R264" s="21">
        <f>SalesData[[#This Row],[Sales]]-SalesData[[#This Row],[Cost]]</f>
        <v>19538.190000000002</v>
      </c>
      <c r="S264" s="22">
        <f>IFERROR(SalesData[[#This Row],[Profit]]/SalesData[[#This Row],[Sales]],0)</f>
        <v>0.39765993913244707</v>
      </c>
      <c r="T264" s="19">
        <f>YEAR(SalesData[[#This Row],[Order_Date]])</f>
        <v>2024</v>
      </c>
      <c r="U264" s="19" t="str">
        <f>TEXT(SalesData[[#This Row],[Order_Date]],"mmm")</f>
        <v>Nov</v>
      </c>
      <c r="V264" s="19" t="str">
        <f>"Q"&amp;ROUNDUP(MONTH(SalesData[[#This Row],[Order_Date]])/3,0)</f>
        <v>Q4</v>
      </c>
      <c r="W264" s="19" t="str">
        <f>IF(SalesData[[#This Row],[Sales]]&gt;=50000,"High",IF(AND(SalesData[[#This Row],[Sales]]&gt;= 20000, SalesData[[#This Row],[Sales]]&lt; 50000),"Medium","Low"))</f>
        <v>Medium</v>
      </c>
      <c r="X264" s="19" t="str">
        <f>IF(SalesData[[#This Row],[Profit]]&gt;0,"Profit","Loss")</f>
        <v>Profit</v>
      </c>
      <c r="Y264" s="19" t="str">
        <f>IF(AND(SalesData[[#This Row],[Sales]]&gt;= 50000, SalesData[[#This Row],[Quantity]]&gt;=2),"Yes","No")</f>
        <v>No</v>
      </c>
      <c r="Z264" s="19" t="str">
        <f>UPPER(SalesData[[#This Row],[Customer_Name]])</f>
        <v>RAHUL SHARMA</v>
      </c>
      <c r="AA264" s="19" t="str">
        <f>LOWER(SalesData[[#This Row],[Customer_Name]])</f>
        <v>rahul sharma</v>
      </c>
      <c r="AB264" s="19">
        <f>LEN(SalesData[[#This Row],[Customer_Name]])</f>
        <v>12</v>
      </c>
      <c r="AC264" s="19" t="str">
        <f>LEFT(SalesData[[#This Row],[Order_ID]],3)</f>
        <v>ORD</v>
      </c>
      <c r="AD264" s="19" t="str">
        <f>RIGHT(SalesData[[#This Row],[Order_ID]],4)</f>
        <v>0736</v>
      </c>
      <c r="AE264" s="19" t="str">
        <f>_xlfn.CONCAT(SalesData[[#This Row],[Clean_Customer_Name]],"-",SalesData[[#This Row],[Region]])</f>
        <v>Rahul Sharma-South</v>
      </c>
      <c r="AF264" s="19" t="str">
        <f>MID(SalesData[[#This Row],[Order_ID]],4,4)</f>
        <v>0736</v>
      </c>
      <c r="AG264" s="19" t="e">
        <f ca="1">_xlfn.SINGLE(_xlfn.XLOOKUP(SalesData[[#This Row],[Product]],Product_Master!A:A,Product_Master!B:B,"Not Found"))</f>
        <v>#NAME?</v>
      </c>
      <c r="AH264" s="19" t="str">
        <f>VLOOKUP(SalesData[[#This Row],[Product]],Product_Master!$A$1:$B$21,2,FALSE)</f>
        <v>Simran</v>
      </c>
      <c r="AI264" s="16"/>
    </row>
    <row r="265" spans="1:35" ht="13.8">
      <c r="A265" s="16" t="s">
        <v>280</v>
      </c>
      <c r="B265" s="17">
        <v>45345</v>
      </c>
      <c r="C265" s="16" t="s">
        <v>140</v>
      </c>
      <c r="D265" s="16" t="s">
        <v>141</v>
      </c>
      <c r="E265" s="16" t="s">
        <v>117</v>
      </c>
      <c r="F265" s="16" t="s">
        <v>118</v>
      </c>
      <c r="G265" s="16" t="s">
        <v>51</v>
      </c>
      <c r="H265" s="16" t="s">
        <v>119</v>
      </c>
      <c r="I265" s="16" t="s">
        <v>84</v>
      </c>
      <c r="J265" s="16" t="s">
        <v>142</v>
      </c>
      <c r="K265" s="18">
        <v>16350.94</v>
      </c>
      <c r="L265" s="18">
        <v>9435.1</v>
      </c>
      <c r="M265" s="19">
        <v>2</v>
      </c>
      <c r="N265" s="20">
        <v>0</v>
      </c>
      <c r="O265" s="19" t="s">
        <v>136</v>
      </c>
      <c r="P265" s="19" t="s">
        <v>98</v>
      </c>
      <c r="Q265" s="19" t="str">
        <f>TRIM(SalesData[[#This Row],[Customer_Name]])</f>
        <v>Rahul Sharma</v>
      </c>
      <c r="R265" s="21">
        <f>SalesData[[#This Row],[Sales]]-SalesData[[#This Row],[Cost]]</f>
        <v>6915.84</v>
      </c>
      <c r="S265" s="22">
        <f>IFERROR(SalesData[[#This Row],[Profit]]/SalesData[[#This Row],[Sales]],0)</f>
        <v>0.42296283883373065</v>
      </c>
      <c r="T265" s="19">
        <f>YEAR(SalesData[[#This Row],[Order_Date]])</f>
        <v>2024</v>
      </c>
      <c r="U265" s="19" t="str">
        <f>TEXT(SalesData[[#This Row],[Order_Date]],"mmm")</f>
        <v>Feb</v>
      </c>
      <c r="V265" s="19" t="str">
        <f>"Q"&amp;ROUNDUP(MONTH(SalesData[[#This Row],[Order_Date]])/3,0)</f>
        <v>Q1</v>
      </c>
      <c r="W265" s="19" t="str">
        <f>IF(SalesData[[#This Row],[Sales]]&gt;=50000,"High",IF(AND(SalesData[[#This Row],[Sales]]&gt;= 20000, SalesData[[#This Row],[Sales]]&lt; 50000),"Medium","Low"))</f>
        <v>Low</v>
      </c>
      <c r="X265" s="19" t="str">
        <f>IF(SalesData[[#This Row],[Profit]]&gt;0,"Profit","Loss")</f>
        <v>Profit</v>
      </c>
      <c r="Y265" s="19" t="str">
        <f>IF(AND(SalesData[[#This Row],[Sales]]&gt;= 50000, SalesData[[#This Row],[Quantity]]&gt;=2),"Yes","No")</f>
        <v>No</v>
      </c>
      <c r="Z265" s="19" t="str">
        <f>UPPER(SalesData[[#This Row],[Customer_Name]])</f>
        <v>RAHUL SHARMA</v>
      </c>
      <c r="AA265" s="19" t="str">
        <f>LOWER(SalesData[[#This Row],[Customer_Name]])</f>
        <v>rahul sharma</v>
      </c>
      <c r="AB265" s="19">
        <f>LEN(SalesData[[#This Row],[Customer_Name]])</f>
        <v>12</v>
      </c>
      <c r="AC265" s="19" t="str">
        <f>LEFT(SalesData[[#This Row],[Order_ID]],3)</f>
        <v>ORD</v>
      </c>
      <c r="AD265" s="19" t="str">
        <f>RIGHT(SalesData[[#This Row],[Order_ID]],4)</f>
        <v>0127</v>
      </c>
      <c r="AE265" s="19" t="str">
        <f>_xlfn.CONCAT(SalesData[[#This Row],[Clean_Customer_Name]],"-",SalesData[[#This Row],[Region]])</f>
        <v>Rahul Sharma-South</v>
      </c>
      <c r="AF265" s="19" t="str">
        <f>MID(SalesData[[#This Row],[Order_ID]],4,4)</f>
        <v>0127</v>
      </c>
      <c r="AG265" s="19" t="e">
        <f ca="1">_xlfn.SINGLE(_xlfn.XLOOKUP(SalesData[[#This Row],[Product]],Product_Master!A:A,Product_Master!B:B,"Not Found"))</f>
        <v>#NAME?</v>
      </c>
      <c r="AH265" s="19" t="str">
        <f>VLOOKUP(SalesData[[#This Row],[Product]],Product_Master!$A$1:$B$21,2,FALSE)</f>
        <v>Karan</v>
      </c>
      <c r="AI265" s="16"/>
    </row>
    <row r="266" spans="1:35" ht="13.8">
      <c r="A266" s="16" t="s">
        <v>487</v>
      </c>
      <c r="B266" s="17">
        <v>45775</v>
      </c>
      <c r="C266" s="16" t="s">
        <v>140</v>
      </c>
      <c r="D266" s="16" t="s">
        <v>141</v>
      </c>
      <c r="E266" s="16" t="s">
        <v>72</v>
      </c>
      <c r="F266" s="16" t="s">
        <v>73</v>
      </c>
      <c r="G266" s="16" t="s">
        <v>51</v>
      </c>
      <c r="H266" s="16" t="s">
        <v>74</v>
      </c>
      <c r="I266" s="16" t="s">
        <v>23</v>
      </c>
      <c r="J266" s="16" t="s">
        <v>24</v>
      </c>
      <c r="K266" s="18">
        <v>15925.41</v>
      </c>
      <c r="L266" s="18">
        <v>11719.14</v>
      </c>
      <c r="M266" s="19">
        <v>3</v>
      </c>
      <c r="N266" s="20">
        <v>0</v>
      </c>
      <c r="O266" s="19" t="s">
        <v>34</v>
      </c>
      <c r="P266" s="19" t="s">
        <v>26</v>
      </c>
      <c r="Q266" s="19" t="str">
        <f>TRIM(SalesData[[#This Row],[Customer_Name]])</f>
        <v>Rahul Sharma</v>
      </c>
      <c r="R266" s="21">
        <f>SalesData[[#This Row],[Sales]]-SalesData[[#This Row],[Cost]]</f>
        <v>4206.2700000000004</v>
      </c>
      <c r="S266" s="22">
        <f>IFERROR(SalesData[[#This Row],[Profit]]/SalesData[[#This Row],[Sales]],0)</f>
        <v>0.26412318426966719</v>
      </c>
      <c r="T266" s="19">
        <f>YEAR(SalesData[[#This Row],[Order_Date]])</f>
        <v>2025</v>
      </c>
      <c r="U266" s="19" t="str">
        <f>TEXT(SalesData[[#This Row],[Order_Date]],"mmm")</f>
        <v>Apr</v>
      </c>
      <c r="V266" s="19" t="str">
        <f>"Q"&amp;ROUNDUP(MONTH(SalesData[[#This Row],[Order_Date]])/3,0)</f>
        <v>Q2</v>
      </c>
      <c r="W266" s="19" t="str">
        <f>IF(SalesData[[#This Row],[Sales]]&gt;=50000,"High",IF(AND(SalesData[[#This Row],[Sales]]&gt;= 20000, SalesData[[#This Row],[Sales]]&lt; 50000),"Medium","Low"))</f>
        <v>Low</v>
      </c>
      <c r="X266" s="19" t="str">
        <f>IF(SalesData[[#This Row],[Profit]]&gt;0,"Profit","Loss")</f>
        <v>Profit</v>
      </c>
      <c r="Y266" s="19" t="str">
        <f>IF(AND(SalesData[[#This Row],[Sales]]&gt;= 50000, SalesData[[#This Row],[Quantity]]&gt;=2),"Yes","No")</f>
        <v>No</v>
      </c>
      <c r="Z266" s="19" t="str">
        <f>UPPER(SalesData[[#This Row],[Customer_Name]])</f>
        <v>RAHUL SHARMA</v>
      </c>
      <c r="AA266" s="19" t="str">
        <f>LOWER(SalesData[[#This Row],[Customer_Name]])</f>
        <v>rahul sharma</v>
      </c>
      <c r="AB266" s="19">
        <f>LEN(SalesData[[#This Row],[Customer_Name]])</f>
        <v>12</v>
      </c>
      <c r="AC266" s="19" t="str">
        <f>LEFT(SalesData[[#This Row],[Order_ID]],3)</f>
        <v>ORD</v>
      </c>
      <c r="AD266" s="19" t="str">
        <f>RIGHT(SalesData[[#This Row],[Order_ID]],4)</f>
        <v>0334</v>
      </c>
      <c r="AE266" s="19" t="str">
        <f>_xlfn.CONCAT(SalesData[[#This Row],[Clean_Customer_Name]],"-",SalesData[[#This Row],[Region]])</f>
        <v>Rahul Sharma-North</v>
      </c>
      <c r="AF266" s="19" t="str">
        <f>MID(SalesData[[#This Row],[Order_ID]],4,4)</f>
        <v>0334</v>
      </c>
      <c r="AG266" s="19" t="e">
        <f ca="1">_xlfn.SINGLE(_xlfn.XLOOKUP(SalesData[[#This Row],[Product]],Product_Master!A:A,Product_Master!B:B,"Not Found"))</f>
        <v>#NAME?</v>
      </c>
      <c r="AH266" s="19" t="str">
        <f>VLOOKUP(SalesData[[#This Row],[Product]],Product_Master!$A$1:$B$21,2,FALSE)</f>
        <v>Anjali</v>
      </c>
      <c r="AI266" s="16"/>
    </row>
    <row r="267" spans="1:35" ht="13.8">
      <c r="A267" s="16" t="s">
        <v>1066</v>
      </c>
      <c r="B267" s="17">
        <v>45527</v>
      </c>
      <c r="C267" s="16" t="s">
        <v>140</v>
      </c>
      <c r="D267" s="16" t="s">
        <v>141</v>
      </c>
      <c r="E267" s="16" t="s">
        <v>72</v>
      </c>
      <c r="F267" s="16" t="s">
        <v>73</v>
      </c>
      <c r="G267" s="16" t="s">
        <v>51</v>
      </c>
      <c r="H267" s="16" t="s">
        <v>74</v>
      </c>
      <c r="I267" s="16" t="s">
        <v>42</v>
      </c>
      <c r="J267" s="16" t="s">
        <v>162</v>
      </c>
      <c r="K267" s="18">
        <v>20877.8</v>
      </c>
      <c r="L267" s="18">
        <v>16396.560000000001</v>
      </c>
      <c r="M267" s="19">
        <v>4</v>
      </c>
      <c r="N267" s="20">
        <v>0.1</v>
      </c>
      <c r="O267" s="19" t="s">
        <v>136</v>
      </c>
      <c r="P267" s="19" t="s">
        <v>58</v>
      </c>
      <c r="Q267" s="19" t="str">
        <f>TRIM(SalesData[[#This Row],[Customer_Name]])</f>
        <v>Rahul Sharma</v>
      </c>
      <c r="R267" s="21">
        <f>SalesData[[#This Row],[Sales]]-SalesData[[#This Row],[Cost]]</f>
        <v>4481.239999999998</v>
      </c>
      <c r="S267" s="22">
        <f>IFERROR(SalesData[[#This Row],[Profit]]/SalesData[[#This Row],[Sales]],0)</f>
        <v>0.21464138941842523</v>
      </c>
      <c r="T267" s="19">
        <f>YEAR(SalesData[[#This Row],[Order_Date]])</f>
        <v>2024</v>
      </c>
      <c r="U267" s="19" t="str">
        <f>TEXT(SalesData[[#This Row],[Order_Date]],"mmm")</f>
        <v>Aug</v>
      </c>
      <c r="V267" s="19" t="str">
        <f>"Q"&amp;ROUNDUP(MONTH(SalesData[[#This Row],[Order_Date]])/3,0)</f>
        <v>Q3</v>
      </c>
      <c r="W267" s="19" t="str">
        <f>IF(SalesData[[#This Row],[Sales]]&gt;=50000,"High",IF(AND(SalesData[[#This Row],[Sales]]&gt;= 20000, SalesData[[#This Row],[Sales]]&lt; 50000),"Medium","Low"))</f>
        <v>Medium</v>
      </c>
      <c r="X267" s="19" t="str">
        <f>IF(SalesData[[#This Row],[Profit]]&gt;0,"Profit","Loss")</f>
        <v>Profit</v>
      </c>
      <c r="Y267" s="19" t="str">
        <f>IF(AND(SalesData[[#This Row],[Sales]]&gt;= 50000, SalesData[[#This Row],[Quantity]]&gt;=2),"Yes","No")</f>
        <v>No</v>
      </c>
      <c r="Z267" s="19" t="str">
        <f>UPPER(SalesData[[#This Row],[Customer_Name]])</f>
        <v>RAHUL SHARMA</v>
      </c>
      <c r="AA267" s="19" t="str">
        <f>LOWER(SalesData[[#This Row],[Customer_Name]])</f>
        <v>rahul sharma</v>
      </c>
      <c r="AB267" s="19">
        <f>LEN(SalesData[[#This Row],[Customer_Name]])</f>
        <v>12</v>
      </c>
      <c r="AC267" s="19" t="str">
        <f>LEFT(SalesData[[#This Row],[Order_ID]],3)</f>
        <v>ORD</v>
      </c>
      <c r="AD267" s="19" t="str">
        <f>RIGHT(SalesData[[#This Row],[Order_ID]],4)</f>
        <v>0913</v>
      </c>
      <c r="AE267" s="19" t="str">
        <f>_xlfn.CONCAT(SalesData[[#This Row],[Clean_Customer_Name]],"-",SalesData[[#This Row],[Region]])</f>
        <v>Rahul Sharma-East</v>
      </c>
      <c r="AF267" s="19" t="str">
        <f>MID(SalesData[[#This Row],[Order_ID]],4,4)</f>
        <v>0913</v>
      </c>
      <c r="AG267" s="19" t="e">
        <f ca="1">_xlfn.SINGLE(_xlfn.XLOOKUP(SalesData[[#This Row],[Product]],Product_Master!A:A,Product_Master!B:B,"Not Found"))</f>
        <v>#NAME?</v>
      </c>
      <c r="AH267" s="19" t="str">
        <f>VLOOKUP(SalesData[[#This Row],[Product]],Product_Master!$A$1:$B$21,2,FALSE)</f>
        <v>Anjali</v>
      </c>
      <c r="AI267" s="16"/>
    </row>
    <row r="268" spans="1:35" ht="13.8">
      <c r="A268" s="16" t="s">
        <v>424</v>
      </c>
      <c r="B268" s="17">
        <v>45753</v>
      </c>
      <c r="C268" s="16" t="s">
        <v>140</v>
      </c>
      <c r="D268" s="16" t="s">
        <v>141</v>
      </c>
      <c r="E268" s="16" t="s">
        <v>175</v>
      </c>
      <c r="F268" s="16" t="s">
        <v>176</v>
      </c>
      <c r="G268" s="16" t="s">
        <v>51</v>
      </c>
      <c r="H268" s="16" t="s">
        <v>177</v>
      </c>
      <c r="I268" s="16" t="s">
        <v>53</v>
      </c>
      <c r="J268" s="16" t="s">
        <v>54</v>
      </c>
      <c r="K268" s="18">
        <v>87403.02</v>
      </c>
      <c r="L268" s="18">
        <v>60520.160000000003</v>
      </c>
      <c r="M268" s="19">
        <v>4</v>
      </c>
      <c r="N268" s="20">
        <v>0.15</v>
      </c>
      <c r="O268" s="19" t="s">
        <v>136</v>
      </c>
      <c r="P268" s="19" t="s">
        <v>58</v>
      </c>
      <c r="Q268" s="19" t="str">
        <f>TRIM(SalesData[[#This Row],[Customer_Name]])</f>
        <v>Rahul Sharma</v>
      </c>
      <c r="R268" s="21">
        <f>SalesData[[#This Row],[Sales]]-SalesData[[#This Row],[Cost]]</f>
        <v>26882.86</v>
      </c>
      <c r="S268" s="22">
        <f>IFERROR(SalesData[[#This Row],[Profit]]/SalesData[[#This Row],[Sales]],0)</f>
        <v>0.30757358269771456</v>
      </c>
      <c r="T268" s="19">
        <f>YEAR(SalesData[[#This Row],[Order_Date]])</f>
        <v>2025</v>
      </c>
      <c r="U268" s="19" t="str">
        <f>TEXT(SalesData[[#This Row],[Order_Date]],"mmm")</f>
        <v>Apr</v>
      </c>
      <c r="V268" s="19" t="str">
        <f>"Q"&amp;ROUNDUP(MONTH(SalesData[[#This Row],[Order_Date]])/3,0)</f>
        <v>Q2</v>
      </c>
      <c r="W268" s="19" t="str">
        <f>IF(SalesData[[#This Row],[Sales]]&gt;=50000,"High",IF(AND(SalesData[[#This Row],[Sales]]&gt;= 20000, SalesData[[#This Row],[Sales]]&lt; 50000),"Medium","Low"))</f>
        <v>High</v>
      </c>
      <c r="X268" s="19" t="str">
        <f>IF(SalesData[[#This Row],[Profit]]&gt;0,"Profit","Loss")</f>
        <v>Profit</v>
      </c>
      <c r="Y268" s="19" t="str">
        <f>IF(AND(SalesData[[#This Row],[Sales]]&gt;= 50000, SalesData[[#This Row],[Quantity]]&gt;=2),"Yes","No")</f>
        <v>Yes</v>
      </c>
      <c r="Z268" s="19" t="str">
        <f>UPPER(SalesData[[#This Row],[Customer_Name]])</f>
        <v>RAHUL SHARMA</v>
      </c>
      <c r="AA268" s="19" t="str">
        <f>LOWER(SalesData[[#This Row],[Customer_Name]])</f>
        <v>rahul sharma</v>
      </c>
      <c r="AB268" s="19">
        <f>LEN(SalesData[[#This Row],[Customer_Name]])</f>
        <v>12</v>
      </c>
      <c r="AC268" s="19" t="str">
        <f>LEFT(SalesData[[#This Row],[Order_ID]],3)</f>
        <v>ORD</v>
      </c>
      <c r="AD268" s="19" t="str">
        <f>RIGHT(SalesData[[#This Row],[Order_ID]],4)</f>
        <v>0271</v>
      </c>
      <c r="AE268" s="19" t="str">
        <f>_xlfn.CONCAT(SalesData[[#This Row],[Clean_Customer_Name]],"-",SalesData[[#This Row],[Region]])</f>
        <v>Rahul Sharma-Central</v>
      </c>
      <c r="AF268" s="19" t="str">
        <f>MID(SalesData[[#This Row],[Order_ID]],4,4)</f>
        <v>0271</v>
      </c>
      <c r="AG268" s="19" t="e">
        <f ca="1">_xlfn.SINGLE(_xlfn.XLOOKUP(SalesData[[#This Row],[Product]],Product_Master!A:A,Product_Master!B:B,"Not Found"))</f>
        <v>#NAME?</v>
      </c>
      <c r="AH268" s="19" t="str">
        <f>VLOOKUP(SalesData[[#This Row],[Product]],Product_Master!$A$1:$B$21,2,FALSE)</f>
        <v>Arjun</v>
      </c>
      <c r="AI268" s="16"/>
    </row>
    <row r="269" spans="1:35" ht="13.8">
      <c r="A269" s="16" t="s">
        <v>521</v>
      </c>
      <c r="B269" s="17">
        <v>45547</v>
      </c>
      <c r="C269" s="16" t="s">
        <v>140</v>
      </c>
      <c r="D269" s="16" t="s">
        <v>141</v>
      </c>
      <c r="E269" s="16" t="s">
        <v>175</v>
      </c>
      <c r="F269" s="16" t="s">
        <v>176</v>
      </c>
      <c r="G269" s="16" t="s">
        <v>51</v>
      </c>
      <c r="H269" s="16" t="s">
        <v>177</v>
      </c>
      <c r="I269" s="16" t="s">
        <v>84</v>
      </c>
      <c r="J269" s="16" t="s">
        <v>85</v>
      </c>
      <c r="K269" s="18">
        <v>29001.24</v>
      </c>
      <c r="L269" s="18">
        <v>15521.54</v>
      </c>
      <c r="M269" s="19">
        <v>1</v>
      </c>
      <c r="N269" s="20">
        <v>0</v>
      </c>
      <c r="O269" s="19" t="s">
        <v>25</v>
      </c>
      <c r="P269" s="19" t="s">
        <v>26</v>
      </c>
      <c r="Q269" s="19" t="str">
        <f>TRIM(SalesData[[#This Row],[Customer_Name]])</f>
        <v>Rahul Sharma</v>
      </c>
      <c r="R269" s="21">
        <f>SalesData[[#This Row],[Sales]]-SalesData[[#This Row],[Cost]]</f>
        <v>13479.7</v>
      </c>
      <c r="S269" s="22">
        <f>IFERROR(SalesData[[#This Row],[Profit]]/SalesData[[#This Row],[Sales]],0)</f>
        <v>0.46479736728498505</v>
      </c>
      <c r="T269" s="19">
        <f>YEAR(SalesData[[#This Row],[Order_Date]])</f>
        <v>2024</v>
      </c>
      <c r="U269" s="19" t="str">
        <f>TEXT(SalesData[[#This Row],[Order_Date]],"mmm")</f>
        <v>Sept</v>
      </c>
      <c r="V269" s="19" t="str">
        <f>"Q"&amp;ROUNDUP(MONTH(SalesData[[#This Row],[Order_Date]])/3,0)</f>
        <v>Q3</v>
      </c>
      <c r="W269" s="19" t="str">
        <f>IF(SalesData[[#This Row],[Sales]]&gt;=50000,"High",IF(AND(SalesData[[#This Row],[Sales]]&gt;= 20000, SalesData[[#This Row],[Sales]]&lt; 50000),"Medium","Low"))</f>
        <v>Medium</v>
      </c>
      <c r="X269" s="19" t="str">
        <f>IF(SalesData[[#This Row],[Profit]]&gt;0,"Profit","Loss")</f>
        <v>Profit</v>
      </c>
      <c r="Y269" s="19" t="str">
        <f>IF(AND(SalesData[[#This Row],[Sales]]&gt;= 50000, SalesData[[#This Row],[Quantity]]&gt;=2),"Yes","No")</f>
        <v>No</v>
      </c>
      <c r="Z269" s="19" t="str">
        <f>UPPER(SalesData[[#This Row],[Customer_Name]])</f>
        <v>RAHUL SHARMA</v>
      </c>
      <c r="AA269" s="19" t="str">
        <f>LOWER(SalesData[[#This Row],[Customer_Name]])</f>
        <v>rahul sharma</v>
      </c>
      <c r="AB269" s="19">
        <f>LEN(SalesData[[#This Row],[Customer_Name]])</f>
        <v>12</v>
      </c>
      <c r="AC269" s="19" t="str">
        <f>LEFT(SalesData[[#This Row],[Order_ID]],3)</f>
        <v>ORD</v>
      </c>
      <c r="AD269" s="19" t="str">
        <f>RIGHT(SalesData[[#This Row],[Order_ID]],4)</f>
        <v>0368</v>
      </c>
      <c r="AE269" s="19" t="str">
        <f>_xlfn.CONCAT(SalesData[[#This Row],[Clean_Customer_Name]],"-",SalesData[[#This Row],[Region]])</f>
        <v>Rahul Sharma-South</v>
      </c>
      <c r="AF269" s="19" t="str">
        <f>MID(SalesData[[#This Row],[Order_ID]],4,4)</f>
        <v>0368</v>
      </c>
      <c r="AG269" s="19" t="e">
        <f ca="1">_xlfn.SINGLE(_xlfn.XLOOKUP(SalesData[[#This Row],[Product]],Product_Master!A:A,Product_Master!B:B,"Not Found"))</f>
        <v>#NAME?</v>
      </c>
      <c r="AH269" s="19" t="str">
        <f>VLOOKUP(SalesData[[#This Row],[Product]],Product_Master!$A$1:$B$21,2,FALSE)</f>
        <v>Arjun</v>
      </c>
      <c r="AI269" s="16"/>
    </row>
    <row r="270" spans="1:35" ht="13.8">
      <c r="A270" s="16" t="s">
        <v>602</v>
      </c>
      <c r="B270" s="17">
        <v>45927</v>
      </c>
      <c r="C270" s="16" t="s">
        <v>140</v>
      </c>
      <c r="D270" s="16" t="s">
        <v>141</v>
      </c>
      <c r="E270" s="16" t="s">
        <v>175</v>
      </c>
      <c r="F270" s="16" t="s">
        <v>176</v>
      </c>
      <c r="G270" s="16" t="s">
        <v>51</v>
      </c>
      <c r="H270" s="16" t="s">
        <v>177</v>
      </c>
      <c r="I270" s="16" t="s">
        <v>84</v>
      </c>
      <c r="J270" s="16" t="s">
        <v>85</v>
      </c>
      <c r="K270" s="18">
        <v>110713.43</v>
      </c>
      <c r="L270" s="18">
        <v>68223.8</v>
      </c>
      <c r="M270" s="19">
        <v>4</v>
      </c>
      <c r="N270" s="20">
        <v>0.1</v>
      </c>
      <c r="O270" s="19" t="s">
        <v>34</v>
      </c>
      <c r="P270" s="19" t="s">
        <v>58</v>
      </c>
      <c r="Q270" s="19" t="str">
        <f>TRIM(SalesData[[#This Row],[Customer_Name]])</f>
        <v>Rahul Sharma</v>
      </c>
      <c r="R270" s="21">
        <f>SalesData[[#This Row],[Sales]]-SalesData[[#This Row],[Cost]]</f>
        <v>42489.62999999999</v>
      </c>
      <c r="S270" s="22">
        <f>IFERROR(SalesData[[#This Row],[Profit]]/SalesData[[#This Row],[Sales]],0)</f>
        <v>0.38378026947588917</v>
      </c>
      <c r="T270" s="19">
        <f>YEAR(SalesData[[#This Row],[Order_Date]])</f>
        <v>2025</v>
      </c>
      <c r="U270" s="19" t="str">
        <f>TEXT(SalesData[[#This Row],[Order_Date]],"mmm")</f>
        <v>Sept</v>
      </c>
      <c r="V270" s="19" t="str">
        <f>"Q"&amp;ROUNDUP(MONTH(SalesData[[#This Row],[Order_Date]])/3,0)</f>
        <v>Q3</v>
      </c>
      <c r="W270" s="19" t="str">
        <f>IF(SalesData[[#This Row],[Sales]]&gt;=50000,"High",IF(AND(SalesData[[#This Row],[Sales]]&gt;= 20000, SalesData[[#This Row],[Sales]]&lt; 50000),"Medium","Low"))</f>
        <v>High</v>
      </c>
      <c r="X270" s="19" t="str">
        <f>IF(SalesData[[#This Row],[Profit]]&gt;0,"Profit","Loss")</f>
        <v>Profit</v>
      </c>
      <c r="Y270" s="19" t="str">
        <f>IF(AND(SalesData[[#This Row],[Sales]]&gt;= 50000, SalesData[[#This Row],[Quantity]]&gt;=2),"Yes","No")</f>
        <v>Yes</v>
      </c>
      <c r="Z270" s="19" t="str">
        <f>UPPER(SalesData[[#This Row],[Customer_Name]])</f>
        <v>RAHUL SHARMA</v>
      </c>
      <c r="AA270" s="19" t="str">
        <f>LOWER(SalesData[[#This Row],[Customer_Name]])</f>
        <v>rahul sharma</v>
      </c>
      <c r="AB270" s="19">
        <f>LEN(SalesData[[#This Row],[Customer_Name]])</f>
        <v>12</v>
      </c>
      <c r="AC270" s="19" t="str">
        <f>LEFT(SalesData[[#This Row],[Order_ID]],3)</f>
        <v>ORD</v>
      </c>
      <c r="AD270" s="19" t="str">
        <f>RIGHT(SalesData[[#This Row],[Order_ID]],4)</f>
        <v>0449</v>
      </c>
      <c r="AE270" s="19" t="str">
        <f>_xlfn.CONCAT(SalesData[[#This Row],[Clean_Customer_Name]],"-",SalesData[[#This Row],[Region]])</f>
        <v>Rahul Sharma-South</v>
      </c>
      <c r="AF270" s="19" t="str">
        <f>MID(SalesData[[#This Row],[Order_ID]],4,4)</f>
        <v>0449</v>
      </c>
      <c r="AG270" s="19" t="e">
        <f ca="1">_xlfn.SINGLE(_xlfn.XLOOKUP(SalesData[[#This Row],[Product]],Product_Master!A:A,Product_Master!B:B,"Not Found"))</f>
        <v>#NAME?</v>
      </c>
      <c r="AH270" s="19" t="str">
        <f>VLOOKUP(SalesData[[#This Row],[Product]],Product_Master!$A$1:$B$21,2,FALSE)</f>
        <v>Arjun</v>
      </c>
      <c r="AI270" s="16"/>
    </row>
    <row r="271" spans="1:35" ht="13.8">
      <c r="A271" s="16" t="s">
        <v>1034</v>
      </c>
      <c r="B271" s="17">
        <v>45892</v>
      </c>
      <c r="C271" s="16" t="s">
        <v>140</v>
      </c>
      <c r="D271" s="16" t="s">
        <v>141</v>
      </c>
      <c r="E271" s="16" t="s">
        <v>175</v>
      </c>
      <c r="F271" s="16" t="s">
        <v>176</v>
      </c>
      <c r="G271" s="16" t="s">
        <v>51</v>
      </c>
      <c r="H271" s="16" t="s">
        <v>177</v>
      </c>
      <c r="I271" s="16" t="s">
        <v>56</v>
      </c>
      <c r="J271" s="16" t="s">
        <v>57</v>
      </c>
      <c r="K271" s="18">
        <v>24443.77</v>
      </c>
      <c r="L271" s="18">
        <v>15188.21</v>
      </c>
      <c r="M271" s="19">
        <v>1</v>
      </c>
      <c r="N271" s="20">
        <v>0.05</v>
      </c>
      <c r="O271" s="19" t="s">
        <v>44</v>
      </c>
      <c r="P271" s="19" t="s">
        <v>26</v>
      </c>
      <c r="Q271" s="19" t="str">
        <f>TRIM(SalesData[[#This Row],[Customer_Name]])</f>
        <v>Rahul Sharma</v>
      </c>
      <c r="R271" s="21">
        <f>SalesData[[#This Row],[Sales]]-SalesData[[#This Row],[Cost]]</f>
        <v>9255.5600000000013</v>
      </c>
      <c r="S271" s="22">
        <f>IFERROR(SalesData[[#This Row],[Profit]]/SalesData[[#This Row],[Sales]],0)</f>
        <v>0.3786469926692978</v>
      </c>
      <c r="T271" s="19">
        <f>YEAR(SalesData[[#This Row],[Order_Date]])</f>
        <v>2025</v>
      </c>
      <c r="U271" s="19" t="str">
        <f>TEXT(SalesData[[#This Row],[Order_Date]],"mmm")</f>
        <v>Aug</v>
      </c>
      <c r="V271" s="19" t="str">
        <f>"Q"&amp;ROUNDUP(MONTH(SalesData[[#This Row],[Order_Date]])/3,0)</f>
        <v>Q3</v>
      </c>
      <c r="W271" s="19" t="str">
        <f>IF(SalesData[[#This Row],[Sales]]&gt;=50000,"High",IF(AND(SalesData[[#This Row],[Sales]]&gt;= 20000, SalesData[[#This Row],[Sales]]&lt; 50000),"Medium","Low"))</f>
        <v>Medium</v>
      </c>
      <c r="X271" s="19" t="str">
        <f>IF(SalesData[[#This Row],[Profit]]&gt;0,"Profit","Loss")</f>
        <v>Profit</v>
      </c>
      <c r="Y271" s="19" t="str">
        <f>IF(AND(SalesData[[#This Row],[Sales]]&gt;= 50000, SalesData[[#This Row],[Quantity]]&gt;=2),"Yes","No")</f>
        <v>No</v>
      </c>
      <c r="Z271" s="19" t="str">
        <f>UPPER(SalesData[[#This Row],[Customer_Name]])</f>
        <v>RAHUL SHARMA</v>
      </c>
      <c r="AA271" s="19" t="str">
        <f>LOWER(SalesData[[#This Row],[Customer_Name]])</f>
        <v>rahul sharma</v>
      </c>
      <c r="AB271" s="19">
        <f>LEN(SalesData[[#This Row],[Customer_Name]])</f>
        <v>12</v>
      </c>
      <c r="AC271" s="19" t="str">
        <f>LEFT(SalesData[[#This Row],[Order_ID]],3)</f>
        <v>ORD</v>
      </c>
      <c r="AD271" s="19" t="str">
        <f>RIGHT(SalesData[[#This Row],[Order_ID]],4)</f>
        <v>0881</v>
      </c>
      <c r="AE271" s="19" t="str">
        <f>_xlfn.CONCAT(SalesData[[#This Row],[Clean_Customer_Name]],"-",SalesData[[#This Row],[Region]])</f>
        <v>Rahul Sharma-West</v>
      </c>
      <c r="AF271" s="19" t="str">
        <f>MID(SalesData[[#This Row],[Order_ID]],4,4)</f>
        <v>0881</v>
      </c>
      <c r="AG271" s="19" t="e">
        <f ca="1">_xlfn.SINGLE(_xlfn.XLOOKUP(SalesData[[#This Row],[Product]],Product_Master!A:A,Product_Master!B:B,"Not Found"))</f>
        <v>#NAME?</v>
      </c>
      <c r="AH271" s="19" t="str">
        <f>VLOOKUP(SalesData[[#This Row],[Product]],Product_Master!$A$1:$B$21,2,FALSE)</f>
        <v>Arjun</v>
      </c>
      <c r="AI271" s="16"/>
    </row>
    <row r="272" spans="1:35" ht="13.8">
      <c r="A272" s="16" t="s">
        <v>782</v>
      </c>
      <c r="B272" s="17">
        <v>45995</v>
      </c>
      <c r="C272" s="16" t="s">
        <v>140</v>
      </c>
      <c r="D272" s="16" t="s">
        <v>141</v>
      </c>
      <c r="E272" s="16" t="s">
        <v>123</v>
      </c>
      <c r="F272" s="16" t="s">
        <v>124</v>
      </c>
      <c r="G272" s="16" t="s">
        <v>51</v>
      </c>
      <c r="H272" s="16" t="s">
        <v>125</v>
      </c>
      <c r="I272" s="16" t="s">
        <v>23</v>
      </c>
      <c r="J272" s="16" t="s">
        <v>24</v>
      </c>
      <c r="K272" s="18">
        <v>130529.45</v>
      </c>
      <c r="L272" s="18">
        <v>96693.75</v>
      </c>
      <c r="M272" s="19">
        <v>5</v>
      </c>
      <c r="N272" s="20">
        <v>0</v>
      </c>
      <c r="O272" s="19" t="s">
        <v>25</v>
      </c>
      <c r="P272" s="19" t="s">
        <v>45</v>
      </c>
      <c r="Q272" s="19" t="str">
        <f>TRIM(SalesData[[#This Row],[Customer_Name]])</f>
        <v>Rahul Sharma</v>
      </c>
      <c r="R272" s="21">
        <f>SalesData[[#This Row],[Sales]]-SalesData[[#This Row],[Cost]]</f>
        <v>33835.699999999997</v>
      </c>
      <c r="S272" s="22">
        <f>IFERROR(SalesData[[#This Row],[Profit]]/SalesData[[#This Row],[Sales]],0)</f>
        <v>0.25921889657851155</v>
      </c>
      <c r="T272" s="19">
        <f>YEAR(SalesData[[#This Row],[Order_Date]])</f>
        <v>2025</v>
      </c>
      <c r="U272" s="19" t="str">
        <f>TEXT(SalesData[[#This Row],[Order_Date]],"mmm")</f>
        <v>Dec</v>
      </c>
      <c r="V272" s="19" t="str">
        <f>"Q"&amp;ROUNDUP(MONTH(SalesData[[#This Row],[Order_Date]])/3,0)</f>
        <v>Q4</v>
      </c>
      <c r="W272" s="19" t="str">
        <f>IF(SalesData[[#This Row],[Sales]]&gt;=50000,"High",IF(AND(SalesData[[#This Row],[Sales]]&gt;= 20000, SalesData[[#This Row],[Sales]]&lt; 50000),"Medium","Low"))</f>
        <v>High</v>
      </c>
      <c r="X272" s="19" t="str">
        <f>IF(SalesData[[#This Row],[Profit]]&gt;0,"Profit","Loss")</f>
        <v>Profit</v>
      </c>
      <c r="Y272" s="19" t="str">
        <f>IF(AND(SalesData[[#This Row],[Sales]]&gt;= 50000, SalesData[[#This Row],[Quantity]]&gt;=2),"Yes","No")</f>
        <v>Yes</v>
      </c>
      <c r="Z272" s="19" t="str">
        <f>UPPER(SalesData[[#This Row],[Customer_Name]])</f>
        <v>RAHUL SHARMA</v>
      </c>
      <c r="AA272" s="19" t="str">
        <f>LOWER(SalesData[[#This Row],[Customer_Name]])</f>
        <v>rahul sharma</v>
      </c>
      <c r="AB272" s="19">
        <f>LEN(SalesData[[#This Row],[Customer_Name]])</f>
        <v>12</v>
      </c>
      <c r="AC272" s="19" t="str">
        <f>LEFT(SalesData[[#This Row],[Order_ID]],3)</f>
        <v>ORD</v>
      </c>
      <c r="AD272" s="19" t="str">
        <f>RIGHT(SalesData[[#This Row],[Order_ID]],4)</f>
        <v>0629</v>
      </c>
      <c r="AE272" s="19" t="str">
        <f>_xlfn.CONCAT(SalesData[[#This Row],[Clean_Customer_Name]],"-",SalesData[[#This Row],[Region]])</f>
        <v>Rahul Sharma-North</v>
      </c>
      <c r="AF272" s="19" t="str">
        <f>MID(SalesData[[#This Row],[Order_ID]],4,4)</f>
        <v>0629</v>
      </c>
      <c r="AG272" s="19" t="e">
        <f ca="1">_xlfn.SINGLE(_xlfn.XLOOKUP(SalesData[[#This Row],[Product]],Product_Master!A:A,Product_Master!B:B,"Not Found"))</f>
        <v>#NAME?</v>
      </c>
      <c r="AH272" s="19" t="str">
        <f>VLOOKUP(SalesData[[#This Row],[Product]],Product_Master!$A$1:$B$21,2,FALSE)</f>
        <v>Sneha</v>
      </c>
      <c r="AI272" s="16"/>
    </row>
    <row r="273" spans="1:35" ht="13.8">
      <c r="A273" s="16" t="s">
        <v>1084</v>
      </c>
      <c r="B273" s="17">
        <v>45646</v>
      </c>
      <c r="C273" s="16" t="s">
        <v>140</v>
      </c>
      <c r="D273" s="16" t="s">
        <v>141</v>
      </c>
      <c r="E273" s="16" t="s">
        <v>123</v>
      </c>
      <c r="F273" s="16" t="s">
        <v>124</v>
      </c>
      <c r="G273" s="16" t="s">
        <v>51</v>
      </c>
      <c r="H273" s="16" t="s">
        <v>125</v>
      </c>
      <c r="I273" s="16" t="s">
        <v>84</v>
      </c>
      <c r="J273" s="16" t="s">
        <v>142</v>
      </c>
      <c r="K273" s="18">
        <v>139288.04</v>
      </c>
      <c r="L273" s="18">
        <v>78419.72</v>
      </c>
      <c r="M273" s="19">
        <v>4</v>
      </c>
      <c r="N273" s="20">
        <v>0</v>
      </c>
      <c r="O273" s="19" t="s">
        <v>136</v>
      </c>
      <c r="P273" s="19" t="s">
        <v>58</v>
      </c>
      <c r="Q273" s="19" t="str">
        <f>TRIM(SalesData[[#This Row],[Customer_Name]])</f>
        <v>Rahul Sharma</v>
      </c>
      <c r="R273" s="21">
        <f>SalesData[[#This Row],[Sales]]-SalesData[[#This Row],[Cost]]</f>
        <v>60868.320000000007</v>
      </c>
      <c r="S273" s="22">
        <f>IFERROR(SalesData[[#This Row],[Profit]]/SalesData[[#This Row],[Sales]],0)</f>
        <v>0.43699602636378548</v>
      </c>
      <c r="T273" s="19">
        <f>YEAR(SalesData[[#This Row],[Order_Date]])</f>
        <v>2024</v>
      </c>
      <c r="U273" s="19" t="str">
        <f>TEXT(SalesData[[#This Row],[Order_Date]],"mmm")</f>
        <v>Dec</v>
      </c>
      <c r="V273" s="19" t="str">
        <f>"Q"&amp;ROUNDUP(MONTH(SalesData[[#This Row],[Order_Date]])/3,0)</f>
        <v>Q4</v>
      </c>
      <c r="W273" s="19" t="str">
        <f>IF(SalesData[[#This Row],[Sales]]&gt;=50000,"High",IF(AND(SalesData[[#This Row],[Sales]]&gt;= 20000, SalesData[[#This Row],[Sales]]&lt; 50000),"Medium","Low"))</f>
        <v>High</v>
      </c>
      <c r="X273" s="19" t="str">
        <f>IF(SalesData[[#This Row],[Profit]]&gt;0,"Profit","Loss")</f>
        <v>Profit</v>
      </c>
      <c r="Y273" s="19" t="str">
        <f>IF(AND(SalesData[[#This Row],[Sales]]&gt;= 50000, SalesData[[#This Row],[Quantity]]&gt;=2),"Yes","No")</f>
        <v>Yes</v>
      </c>
      <c r="Z273" s="19" t="str">
        <f>UPPER(SalesData[[#This Row],[Customer_Name]])</f>
        <v>RAHUL SHARMA</v>
      </c>
      <c r="AA273" s="19" t="str">
        <f>LOWER(SalesData[[#This Row],[Customer_Name]])</f>
        <v>rahul sharma</v>
      </c>
      <c r="AB273" s="19">
        <f>LEN(SalesData[[#This Row],[Customer_Name]])</f>
        <v>12</v>
      </c>
      <c r="AC273" s="19" t="str">
        <f>LEFT(SalesData[[#This Row],[Order_ID]],3)</f>
        <v>ORD</v>
      </c>
      <c r="AD273" s="19" t="str">
        <f>RIGHT(SalesData[[#This Row],[Order_ID]],4)</f>
        <v>0931</v>
      </c>
      <c r="AE273" s="19" t="str">
        <f>_xlfn.CONCAT(SalesData[[#This Row],[Clean_Customer_Name]],"-",SalesData[[#This Row],[Region]])</f>
        <v>Rahul Sharma-South</v>
      </c>
      <c r="AF273" s="19" t="str">
        <f>MID(SalesData[[#This Row],[Order_ID]],4,4)</f>
        <v>0931</v>
      </c>
      <c r="AG273" s="19" t="e">
        <f ca="1">_xlfn.SINGLE(_xlfn.XLOOKUP(SalesData[[#This Row],[Product]],Product_Master!A:A,Product_Master!B:B,"Not Found"))</f>
        <v>#NAME?</v>
      </c>
      <c r="AH273" s="19" t="str">
        <f>VLOOKUP(SalesData[[#This Row],[Product]],Product_Master!$A$1:$B$21,2,FALSE)</f>
        <v>Sneha</v>
      </c>
      <c r="AI273" s="16"/>
    </row>
    <row r="274" spans="1:35" ht="13.8">
      <c r="A274" s="16" t="s">
        <v>323</v>
      </c>
      <c r="B274" s="17">
        <v>45957</v>
      </c>
      <c r="C274" s="16" t="s">
        <v>140</v>
      </c>
      <c r="D274" s="16" t="s">
        <v>141</v>
      </c>
      <c r="E274" s="16" t="s">
        <v>110</v>
      </c>
      <c r="F274" s="16" t="s">
        <v>111</v>
      </c>
      <c r="G274" s="16" t="s">
        <v>40</v>
      </c>
      <c r="H274" s="16" t="s">
        <v>112</v>
      </c>
      <c r="I274" s="16" t="s">
        <v>23</v>
      </c>
      <c r="J274" s="16" t="s">
        <v>33</v>
      </c>
      <c r="K274" s="18">
        <v>4987.0600000000004</v>
      </c>
      <c r="L274" s="18">
        <v>3809.79</v>
      </c>
      <c r="M274" s="19">
        <v>3</v>
      </c>
      <c r="N274" s="20">
        <v>0.1</v>
      </c>
      <c r="O274" s="19" t="s">
        <v>136</v>
      </c>
      <c r="P274" s="19" t="s">
        <v>58</v>
      </c>
      <c r="Q274" s="19" t="str">
        <f>TRIM(SalesData[[#This Row],[Customer_Name]])</f>
        <v>Rahul Sharma</v>
      </c>
      <c r="R274" s="21">
        <f>SalesData[[#This Row],[Sales]]-SalesData[[#This Row],[Cost]]</f>
        <v>1177.2700000000004</v>
      </c>
      <c r="S274" s="22">
        <f>IFERROR(SalesData[[#This Row],[Profit]]/SalesData[[#This Row],[Sales]],0)</f>
        <v>0.23606493605450915</v>
      </c>
      <c r="T274" s="19">
        <f>YEAR(SalesData[[#This Row],[Order_Date]])</f>
        <v>2025</v>
      </c>
      <c r="U274" s="19" t="str">
        <f>TEXT(SalesData[[#This Row],[Order_Date]],"mmm")</f>
        <v>Oct</v>
      </c>
      <c r="V274" s="19" t="str">
        <f>"Q"&amp;ROUNDUP(MONTH(SalesData[[#This Row],[Order_Date]])/3,0)</f>
        <v>Q4</v>
      </c>
      <c r="W274" s="19" t="str">
        <f>IF(SalesData[[#This Row],[Sales]]&gt;=50000,"High",IF(AND(SalesData[[#This Row],[Sales]]&gt;= 20000, SalesData[[#This Row],[Sales]]&lt; 50000),"Medium","Low"))</f>
        <v>Low</v>
      </c>
      <c r="X274" s="19" t="str">
        <f>IF(SalesData[[#This Row],[Profit]]&gt;0,"Profit","Loss")</f>
        <v>Profit</v>
      </c>
      <c r="Y274" s="19" t="str">
        <f>IF(AND(SalesData[[#This Row],[Sales]]&gt;= 50000, SalesData[[#This Row],[Quantity]]&gt;=2),"Yes","No")</f>
        <v>No</v>
      </c>
      <c r="Z274" s="19" t="str">
        <f>UPPER(SalesData[[#This Row],[Customer_Name]])</f>
        <v>RAHUL SHARMA</v>
      </c>
      <c r="AA274" s="19" t="str">
        <f>LOWER(SalesData[[#This Row],[Customer_Name]])</f>
        <v>rahul sharma</v>
      </c>
      <c r="AB274" s="19">
        <f>LEN(SalesData[[#This Row],[Customer_Name]])</f>
        <v>12</v>
      </c>
      <c r="AC274" s="19" t="str">
        <f>LEFT(SalesData[[#This Row],[Order_ID]],3)</f>
        <v>ORD</v>
      </c>
      <c r="AD274" s="19" t="str">
        <f>RIGHT(SalesData[[#This Row],[Order_ID]],4)</f>
        <v>0170</v>
      </c>
      <c r="AE274" s="19" t="str">
        <f>_xlfn.CONCAT(SalesData[[#This Row],[Clean_Customer_Name]],"-",SalesData[[#This Row],[Region]])</f>
        <v>Rahul Sharma-North</v>
      </c>
      <c r="AF274" s="19" t="str">
        <f>MID(SalesData[[#This Row],[Order_ID]],4,4)</f>
        <v>0170</v>
      </c>
      <c r="AG274" s="19" t="e">
        <f ca="1">_xlfn.SINGLE(_xlfn.XLOOKUP(SalesData[[#This Row],[Product]],Product_Master!A:A,Product_Master!B:B,"Not Found"))</f>
        <v>#NAME?</v>
      </c>
      <c r="AH274" s="19" t="str">
        <f>VLOOKUP(SalesData[[#This Row],[Product]],Product_Master!$A$1:$B$21,2,FALSE)</f>
        <v>Vikas</v>
      </c>
      <c r="AI274" s="16"/>
    </row>
    <row r="275" spans="1:35" ht="13.8">
      <c r="A275" s="16" t="s">
        <v>381</v>
      </c>
      <c r="B275" s="17">
        <v>45594</v>
      </c>
      <c r="C275" s="16" t="s">
        <v>140</v>
      </c>
      <c r="D275" s="16" t="s">
        <v>141</v>
      </c>
      <c r="E275" s="16" t="s">
        <v>110</v>
      </c>
      <c r="F275" s="16" t="s">
        <v>111</v>
      </c>
      <c r="G275" s="16" t="s">
        <v>40</v>
      </c>
      <c r="H275" s="16" t="s">
        <v>112</v>
      </c>
      <c r="I275" s="16" t="s">
        <v>53</v>
      </c>
      <c r="J275" s="16" t="s">
        <v>54</v>
      </c>
      <c r="K275" s="18">
        <v>8200.7999999999993</v>
      </c>
      <c r="L275" s="18">
        <v>6209.3</v>
      </c>
      <c r="M275" s="19">
        <v>5</v>
      </c>
      <c r="N275" s="20">
        <v>0.2</v>
      </c>
      <c r="O275" s="19" t="s">
        <v>136</v>
      </c>
      <c r="P275" s="19" t="s">
        <v>26</v>
      </c>
      <c r="Q275" s="19" t="str">
        <f>TRIM(SalesData[[#This Row],[Customer_Name]])</f>
        <v>Rahul Sharma</v>
      </c>
      <c r="R275" s="21">
        <f>SalesData[[#This Row],[Sales]]-SalesData[[#This Row],[Cost]]</f>
        <v>1991.4999999999991</v>
      </c>
      <c r="S275" s="22">
        <f>IFERROR(SalesData[[#This Row],[Profit]]/SalesData[[#This Row],[Sales]],0)</f>
        <v>0.24284216174031792</v>
      </c>
      <c r="T275" s="19">
        <f>YEAR(SalesData[[#This Row],[Order_Date]])</f>
        <v>2024</v>
      </c>
      <c r="U275" s="19" t="str">
        <f>TEXT(SalesData[[#This Row],[Order_Date]],"mmm")</f>
        <v>Oct</v>
      </c>
      <c r="V275" s="19" t="str">
        <f>"Q"&amp;ROUNDUP(MONTH(SalesData[[#This Row],[Order_Date]])/3,0)</f>
        <v>Q4</v>
      </c>
      <c r="W275" s="19" t="str">
        <f>IF(SalesData[[#This Row],[Sales]]&gt;=50000,"High",IF(AND(SalesData[[#This Row],[Sales]]&gt;= 20000, SalesData[[#This Row],[Sales]]&lt; 50000),"Medium","Low"))</f>
        <v>Low</v>
      </c>
      <c r="X275" s="19" t="str">
        <f>IF(SalesData[[#This Row],[Profit]]&gt;0,"Profit","Loss")</f>
        <v>Profit</v>
      </c>
      <c r="Y275" s="19" t="str">
        <f>IF(AND(SalesData[[#This Row],[Sales]]&gt;= 50000, SalesData[[#This Row],[Quantity]]&gt;=2),"Yes","No")</f>
        <v>No</v>
      </c>
      <c r="Z275" s="19" t="str">
        <f>UPPER(SalesData[[#This Row],[Customer_Name]])</f>
        <v>RAHUL SHARMA</v>
      </c>
      <c r="AA275" s="19" t="str">
        <f>LOWER(SalesData[[#This Row],[Customer_Name]])</f>
        <v>rahul sharma</v>
      </c>
      <c r="AB275" s="19">
        <f>LEN(SalesData[[#This Row],[Customer_Name]])</f>
        <v>12</v>
      </c>
      <c r="AC275" s="19" t="str">
        <f>LEFT(SalesData[[#This Row],[Order_ID]],3)</f>
        <v>ORD</v>
      </c>
      <c r="AD275" s="19" t="str">
        <f>RIGHT(SalesData[[#This Row],[Order_ID]],4)</f>
        <v>0228</v>
      </c>
      <c r="AE275" s="19" t="str">
        <f>_xlfn.CONCAT(SalesData[[#This Row],[Clean_Customer_Name]],"-",SalesData[[#This Row],[Region]])</f>
        <v>Rahul Sharma-Central</v>
      </c>
      <c r="AF275" s="19" t="str">
        <f>MID(SalesData[[#This Row],[Order_ID]],4,4)</f>
        <v>0228</v>
      </c>
      <c r="AG275" s="19" t="e">
        <f ca="1">_xlfn.SINGLE(_xlfn.XLOOKUP(SalesData[[#This Row],[Product]],Product_Master!A:A,Product_Master!B:B,"Not Found"))</f>
        <v>#NAME?</v>
      </c>
      <c r="AH275" s="19" t="str">
        <f>VLOOKUP(SalesData[[#This Row],[Product]],Product_Master!$A$1:$B$21,2,FALSE)</f>
        <v>Vikas</v>
      </c>
      <c r="AI275" s="16"/>
    </row>
    <row r="276" spans="1:35" ht="13.8">
      <c r="A276" s="16" t="s">
        <v>139</v>
      </c>
      <c r="B276" s="17">
        <v>45757</v>
      </c>
      <c r="C276" s="16" t="s">
        <v>140</v>
      </c>
      <c r="D276" s="16" t="s">
        <v>141</v>
      </c>
      <c r="E276" s="16" t="s">
        <v>106</v>
      </c>
      <c r="F276" s="16" t="s">
        <v>107</v>
      </c>
      <c r="G276" s="16" t="s">
        <v>40</v>
      </c>
      <c r="H276" s="16" t="s">
        <v>108</v>
      </c>
      <c r="I276" s="16" t="s">
        <v>84</v>
      </c>
      <c r="J276" s="16" t="s">
        <v>142</v>
      </c>
      <c r="K276" s="18">
        <v>6974.64</v>
      </c>
      <c r="L276" s="18">
        <v>2067.66</v>
      </c>
      <c r="M276" s="19">
        <v>3</v>
      </c>
      <c r="N276" s="20">
        <v>0.2</v>
      </c>
      <c r="O276" s="19" t="s">
        <v>136</v>
      </c>
      <c r="P276" s="19" t="s">
        <v>58</v>
      </c>
      <c r="Q276" s="19" t="str">
        <f>TRIM(SalesData[[#This Row],[Customer_Name]])</f>
        <v>Rahul Sharma</v>
      </c>
      <c r="R276" s="21">
        <f>SalesData[[#This Row],[Sales]]-SalesData[[#This Row],[Cost]]</f>
        <v>4906.9800000000005</v>
      </c>
      <c r="S276" s="22">
        <f>IFERROR(SalesData[[#This Row],[Profit]]/SalesData[[#This Row],[Sales]],0)</f>
        <v>0.70354598947042435</v>
      </c>
      <c r="T276" s="19">
        <f>YEAR(SalesData[[#This Row],[Order_Date]])</f>
        <v>2025</v>
      </c>
      <c r="U276" s="19" t="str">
        <f>TEXT(SalesData[[#This Row],[Order_Date]],"mmm")</f>
        <v>Apr</v>
      </c>
      <c r="V276" s="19" t="str">
        <f>"Q"&amp;ROUNDUP(MONTH(SalesData[[#This Row],[Order_Date]])/3,0)</f>
        <v>Q2</v>
      </c>
      <c r="W276" s="19" t="str">
        <f>IF(SalesData[[#This Row],[Sales]]&gt;=50000,"High",IF(AND(SalesData[[#This Row],[Sales]]&gt;= 20000, SalesData[[#This Row],[Sales]]&lt; 50000),"Medium","Low"))</f>
        <v>Low</v>
      </c>
      <c r="X276" s="19" t="str">
        <f>IF(SalesData[[#This Row],[Profit]]&gt;0,"Profit","Loss")</f>
        <v>Profit</v>
      </c>
      <c r="Y276" s="19" t="str">
        <f>IF(AND(SalesData[[#This Row],[Sales]]&gt;= 50000, SalesData[[#This Row],[Quantity]]&gt;=2),"Yes","No")</f>
        <v>No</v>
      </c>
      <c r="Z276" s="19" t="str">
        <f>UPPER(SalesData[[#This Row],[Customer_Name]])</f>
        <v>RAHUL SHARMA</v>
      </c>
      <c r="AA276" s="19" t="str">
        <f>LOWER(SalesData[[#This Row],[Customer_Name]])</f>
        <v>rahul sharma</v>
      </c>
      <c r="AB276" s="19">
        <f>LEN(SalesData[[#This Row],[Customer_Name]])</f>
        <v>12</v>
      </c>
      <c r="AC276" s="19" t="str">
        <f>LEFT(SalesData[[#This Row],[Order_ID]],3)</f>
        <v>ORD</v>
      </c>
      <c r="AD276" s="19" t="str">
        <f>RIGHT(SalesData[[#This Row],[Order_ID]],4)</f>
        <v>0027</v>
      </c>
      <c r="AE276" s="19" t="str">
        <f>_xlfn.CONCAT(SalesData[[#This Row],[Clean_Customer_Name]],"-",SalesData[[#This Row],[Region]])</f>
        <v>Rahul Sharma-South</v>
      </c>
      <c r="AF276" s="19" t="str">
        <f>MID(SalesData[[#This Row],[Order_ID]],4,4)</f>
        <v>0027</v>
      </c>
      <c r="AG276" s="19" t="e">
        <f ca="1">_xlfn.SINGLE(_xlfn.XLOOKUP(SalesData[[#This Row],[Product]],Product_Master!A:A,Product_Master!B:B,"Not Found"))</f>
        <v>#NAME?</v>
      </c>
      <c r="AH276" s="19" t="str">
        <f>VLOOKUP(SalesData[[#This Row],[Product]],Product_Master!$A$1:$B$21,2,FALSE)</f>
        <v>Aditya</v>
      </c>
      <c r="AI276" s="16"/>
    </row>
    <row r="277" spans="1:35" ht="13.8">
      <c r="A277" s="16" t="s">
        <v>263</v>
      </c>
      <c r="B277" s="17">
        <v>45300</v>
      </c>
      <c r="C277" s="16" t="s">
        <v>140</v>
      </c>
      <c r="D277" s="16" t="s">
        <v>141</v>
      </c>
      <c r="E277" s="16" t="s">
        <v>106</v>
      </c>
      <c r="F277" s="16" t="s">
        <v>107</v>
      </c>
      <c r="G277" s="16" t="s">
        <v>40</v>
      </c>
      <c r="H277" s="16" t="s">
        <v>108</v>
      </c>
      <c r="I277" s="16" t="s">
        <v>84</v>
      </c>
      <c r="J277" s="16" t="s">
        <v>142</v>
      </c>
      <c r="K277" s="18">
        <v>12561.45</v>
      </c>
      <c r="L277" s="18">
        <v>3755.55</v>
      </c>
      <c r="M277" s="19">
        <v>5</v>
      </c>
      <c r="N277" s="20">
        <v>0</v>
      </c>
      <c r="O277" s="19" t="s">
        <v>34</v>
      </c>
      <c r="P277" s="19" t="s">
        <v>98</v>
      </c>
      <c r="Q277" s="19" t="str">
        <f>TRIM(SalesData[[#This Row],[Customer_Name]])</f>
        <v>Rahul Sharma</v>
      </c>
      <c r="R277" s="21">
        <f>SalesData[[#This Row],[Sales]]-SalesData[[#This Row],[Cost]]</f>
        <v>8805.9000000000015</v>
      </c>
      <c r="S277" s="22">
        <f>IFERROR(SalesData[[#This Row],[Profit]]/SalesData[[#This Row],[Sales]],0)</f>
        <v>0.701025757376736</v>
      </c>
      <c r="T277" s="19">
        <f>YEAR(SalesData[[#This Row],[Order_Date]])</f>
        <v>2024</v>
      </c>
      <c r="U277" s="19" t="str">
        <f>TEXT(SalesData[[#This Row],[Order_Date]],"mmm")</f>
        <v>Jan</v>
      </c>
      <c r="V277" s="19" t="str">
        <f>"Q"&amp;ROUNDUP(MONTH(SalesData[[#This Row],[Order_Date]])/3,0)</f>
        <v>Q1</v>
      </c>
      <c r="W277" s="19" t="str">
        <f>IF(SalesData[[#This Row],[Sales]]&gt;=50000,"High",IF(AND(SalesData[[#This Row],[Sales]]&gt;= 20000, SalesData[[#This Row],[Sales]]&lt; 50000),"Medium","Low"))</f>
        <v>Low</v>
      </c>
      <c r="X277" s="19" t="str">
        <f>IF(SalesData[[#This Row],[Profit]]&gt;0,"Profit","Loss")</f>
        <v>Profit</v>
      </c>
      <c r="Y277" s="19" t="str">
        <f>IF(AND(SalesData[[#This Row],[Sales]]&gt;= 50000, SalesData[[#This Row],[Quantity]]&gt;=2),"Yes","No")</f>
        <v>No</v>
      </c>
      <c r="Z277" s="19" t="str">
        <f>UPPER(SalesData[[#This Row],[Customer_Name]])</f>
        <v>RAHUL SHARMA</v>
      </c>
      <c r="AA277" s="19" t="str">
        <f>LOWER(SalesData[[#This Row],[Customer_Name]])</f>
        <v>rahul sharma</v>
      </c>
      <c r="AB277" s="19">
        <f>LEN(SalesData[[#This Row],[Customer_Name]])</f>
        <v>12</v>
      </c>
      <c r="AC277" s="19" t="str">
        <f>LEFT(SalesData[[#This Row],[Order_ID]],3)</f>
        <v>ORD</v>
      </c>
      <c r="AD277" s="19" t="str">
        <f>RIGHT(SalesData[[#This Row],[Order_ID]],4)</f>
        <v>0112</v>
      </c>
      <c r="AE277" s="19" t="str">
        <f>_xlfn.CONCAT(SalesData[[#This Row],[Clean_Customer_Name]],"-",SalesData[[#This Row],[Region]])</f>
        <v>Rahul Sharma-South</v>
      </c>
      <c r="AF277" s="19" t="str">
        <f>MID(SalesData[[#This Row],[Order_ID]],4,4)</f>
        <v>0112</v>
      </c>
      <c r="AG277" s="19" t="e">
        <f ca="1">_xlfn.SINGLE(_xlfn.XLOOKUP(SalesData[[#This Row],[Product]],Product_Master!A:A,Product_Master!B:B,"Not Found"))</f>
        <v>#NAME?</v>
      </c>
      <c r="AH277" s="19" t="str">
        <f>VLOOKUP(SalesData[[#This Row],[Product]],Product_Master!$A$1:$B$21,2,FALSE)</f>
        <v>Aditya</v>
      </c>
      <c r="AI277" s="16"/>
    </row>
    <row r="278" spans="1:35" ht="13.8">
      <c r="A278" s="16" t="s">
        <v>547</v>
      </c>
      <c r="B278" s="17">
        <v>45458</v>
      </c>
      <c r="C278" s="16" t="s">
        <v>140</v>
      </c>
      <c r="D278" s="16" t="s">
        <v>141</v>
      </c>
      <c r="E278" s="16" t="s">
        <v>106</v>
      </c>
      <c r="F278" s="16" t="s">
        <v>107</v>
      </c>
      <c r="G278" s="16" t="s">
        <v>40</v>
      </c>
      <c r="H278" s="16" t="s">
        <v>108</v>
      </c>
      <c r="I278" s="16" t="s">
        <v>23</v>
      </c>
      <c r="J278" s="16" t="s">
        <v>24</v>
      </c>
      <c r="K278" s="18">
        <v>6039.62</v>
      </c>
      <c r="L278" s="18">
        <v>3695.9</v>
      </c>
      <c r="M278" s="19">
        <v>5</v>
      </c>
      <c r="N278" s="20">
        <v>0.05</v>
      </c>
      <c r="O278" s="19" t="s">
        <v>76</v>
      </c>
      <c r="P278" s="19" t="s">
        <v>58</v>
      </c>
      <c r="Q278" s="19" t="str">
        <f>TRIM(SalesData[[#This Row],[Customer_Name]])</f>
        <v>Rahul Sharma</v>
      </c>
      <c r="R278" s="21">
        <f>SalesData[[#This Row],[Sales]]-SalesData[[#This Row],[Cost]]</f>
        <v>2343.7199999999998</v>
      </c>
      <c r="S278" s="22">
        <f>IFERROR(SalesData[[#This Row],[Profit]]/SalesData[[#This Row],[Sales]],0)</f>
        <v>0.38805752679804356</v>
      </c>
      <c r="T278" s="19">
        <f>YEAR(SalesData[[#This Row],[Order_Date]])</f>
        <v>2024</v>
      </c>
      <c r="U278" s="19" t="str">
        <f>TEXT(SalesData[[#This Row],[Order_Date]],"mmm")</f>
        <v>Jun</v>
      </c>
      <c r="V278" s="19" t="str">
        <f>"Q"&amp;ROUNDUP(MONTH(SalesData[[#This Row],[Order_Date]])/3,0)</f>
        <v>Q2</v>
      </c>
      <c r="W278" s="19" t="str">
        <f>IF(SalesData[[#This Row],[Sales]]&gt;=50000,"High",IF(AND(SalesData[[#This Row],[Sales]]&gt;= 20000, SalesData[[#This Row],[Sales]]&lt; 50000),"Medium","Low"))</f>
        <v>Low</v>
      </c>
      <c r="X278" s="19" t="str">
        <f>IF(SalesData[[#This Row],[Profit]]&gt;0,"Profit","Loss")</f>
        <v>Profit</v>
      </c>
      <c r="Y278" s="19" t="str">
        <f>IF(AND(SalesData[[#This Row],[Sales]]&gt;= 50000, SalesData[[#This Row],[Quantity]]&gt;=2),"Yes","No")</f>
        <v>No</v>
      </c>
      <c r="Z278" s="19" t="str">
        <f>UPPER(SalesData[[#This Row],[Customer_Name]])</f>
        <v>RAHUL SHARMA</v>
      </c>
      <c r="AA278" s="19" t="str">
        <f>LOWER(SalesData[[#This Row],[Customer_Name]])</f>
        <v>rahul sharma</v>
      </c>
      <c r="AB278" s="19">
        <f>LEN(SalesData[[#This Row],[Customer_Name]])</f>
        <v>12</v>
      </c>
      <c r="AC278" s="19" t="str">
        <f>LEFT(SalesData[[#This Row],[Order_ID]],3)</f>
        <v>ORD</v>
      </c>
      <c r="AD278" s="19" t="str">
        <f>RIGHT(SalesData[[#This Row],[Order_ID]],4)</f>
        <v>0394</v>
      </c>
      <c r="AE278" s="19" t="str">
        <f>_xlfn.CONCAT(SalesData[[#This Row],[Clean_Customer_Name]],"-",SalesData[[#This Row],[Region]])</f>
        <v>Rahul Sharma-North</v>
      </c>
      <c r="AF278" s="19" t="str">
        <f>MID(SalesData[[#This Row],[Order_ID]],4,4)</f>
        <v>0394</v>
      </c>
      <c r="AG278" s="19" t="e">
        <f ca="1">_xlfn.SINGLE(_xlfn.XLOOKUP(SalesData[[#This Row],[Product]],Product_Master!A:A,Product_Master!B:B,"Not Found"))</f>
        <v>#NAME?</v>
      </c>
      <c r="AH278" s="19" t="str">
        <f>VLOOKUP(SalesData[[#This Row],[Product]],Product_Master!$A$1:$B$21,2,FALSE)</f>
        <v>Aditya</v>
      </c>
      <c r="AI278" s="16"/>
    </row>
    <row r="279" spans="1:35" ht="13.8">
      <c r="A279" s="16" t="s">
        <v>878</v>
      </c>
      <c r="B279" s="17">
        <v>45440</v>
      </c>
      <c r="C279" s="16" t="s">
        <v>140</v>
      </c>
      <c r="D279" s="16" t="s">
        <v>141</v>
      </c>
      <c r="E279" s="16" t="s">
        <v>106</v>
      </c>
      <c r="F279" s="16" t="s">
        <v>107</v>
      </c>
      <c r="G279" s="16" t="s">
        <v>40</v>
      </c>
      <c r="H279" s="16" t="s">
        <v>108</v>
      </c>
      <c r="I279" s="16" t="s">
        <v>56</v>
      </c>
      <c r="J279" s="16" t="s">
        <v>191</v>
      </c>
      <c r="K279" s="18">
        <v>3658.62</v>
      </c>
      <c r="L279" s="18">
        <v>3039.56</v>
      </c>
      <c r="M279" s="19">
        <v>4</v>
      </c>
      <c r="N279" s="20">
        <v>0.2</v>
      </c>
      <c r="O279" s="19" t="s">
        <v>34</v>
      </c>
      <c r="P279" s="19" t="s">
        <v>77</v>
      </c>
      <c r="Q279" s="19" t="str">
        <f>TRIM(SalesData[[#This Row],[Customer_Name]])</f>
        <v>Rahul Sharma</v>
      </c>
      <c r="R279" s="21">
        <f>SalesData[[#This Row],[Sales]]-SalesData[[#This Row],[Cost]]</f>
        <v>619.05999999999995</v>
      </c>
      <c r="S279" s="22">
        <f>IFERROR(SalesData[[#This Row],[Profit]]/SalesData[[#This Row],[Sales]],0)</f>
        <v>0.16920587543937329</v>
      </c>
      <c r="T279" s="19">
        <f>YEAR(SalesData[[#This Row],[Order_Date]])</f>
        <v>2024</v>
      </c>
      <c r="U279" s="19" t="str">
        <f>TEXT(SalesData[[#This Row],[Order_Date]],"mmm")</f>
        <v>May</v>
      </c>
      <c r="V279" s="19" t="str">
        <f>"Q"&amp;ROUNDUP(MONTH(SalesData[[#This Row],[Order_Date]])/3,0)</f>
        <v>Q2</v>
      </c>
      <c r="W279" s="19" t="str">
        <f>IF(SalesData[[#This Row],[Sales]]&gt;=50000,"High",IF(AND(SalesData[[#This Row],[Sales]]&gt;= 20000, SalesData[[#This Row],[Sales]]&lt; 50000),"Medium","Low"))</f>
        <v>Low</v>
      </c>
      <c r="X279" s="19" t="str">
        <f>IF(SalesData[[#This Row],[Profit]]&gt;0,"Profit","Loss")</f>
        <v>Profit</v>
      </c>
      <c r="Y279" s="19" t="str">
        <f>IF(AND(SalesData[[#This Row],[Sales]]&gt;= 50000, SalesData[[#This Row],[Quantity]]&gt;=2),"Yes","No")</f>
        <v>No</v>
      </c>
      <c r="Z279" s="19" t="str">
        <f>UPPER(SalesData[[#This Row],[Customer_Name]])</f>
        <v>RAHUL SHARMA</v>
      </c>
      <c r="AA279" s="19" t="str">
        <f>LOWER(SalesData[[#This Row],[Customer_Name]])</f>
        <v>rahul sharma</v>
      </c>
      <c r="AB279" s="19">
        <f>LEN(SalesData[[#This Row],[Customer_Name]])</f>
        <v>12</v>
      </c>
      <c r="AC279" s="19" t="str">
        <f>LEFT(SalesData[[#This Row],[Order_ID]],3)</f>
        <v>ORD</v>
      </c>
      <c r="AD279" s="19" t="str">
        <f>RIGHT(SalesData[[#This Row],[Order_ID]],4)</f>
        <v>0725</v>
      </c>
      <c r="AE279" s="19" t="str">
        <f>_xlfn.CONCAT(SalesData[[#This Row],[Clean_Customer_Name]],"-",SalesData[[#This Row],[Region]])</f>
        <v>Rahul Sharma-West</v>
      </c>
      <c r="AF279" s="19" t="str">
        <f>MID(SalesData[[#This Row],[Order_ID]],4,4)</f>
        <v>0725</v>
      </c>
      <c r="AG279" s="19" t="e">
        <f ca="1">_xlfn.SINGLE(_xlfn.XLOOKUP(SalesData[[#This Row],[Product]],Product_Master!A:A,Product_Master!B:B,"Not Found"))</f>
        <v>#NAME?</v>
      </c>
      <c r="AH279" s="19" t="str">
        <f>VLOOKUP(SalesData[[#This Row],[Product]],Product_Master!$A$1:$B$21,2,FALSE)</f>
        <v>Aditya</v>
      </c>
      <c r="AI279" s="16"/>
    </row>
    <row r="280" spans="1:35" ht="13.8">
      <c r="A280" s="16" t="s">
        <v>1051</v>
      </c>
      <c r="B280" s="17">
        <v>45634</v>
      </c>
      <c r="C280" s="16" t="s">
        <v>140</v>
      </c>
      <c r="D280" s="16" t="s">
        <v>141</v>
      </c>
      <c r="E280" s="16" t="s">
        <v>106</v>
      </c>
      <c r="F280" s="16" t="s">
        <v>107</v>
      </c>
      <c r="G280" s="16" t="s">
        <v>40</v>
      </c>
      <c r="H280" s="16" t="s">
        <v>108</v>
      </c>
      <c r="I280" s="16" t="s">
        <v>84</v>
      </c>
      <c r="J280" s="16" t="s">
        <v>85</v>
      </c>
      <c r="K280" s="18">
        <v>2448.04</v>
      </c>
      <c r="L280" s="18">
        <v>753.21</v>
      </c>
      <c r="M280" s="19">
        <v>1</v>
      </c>
      <c r="N280" s="20">
        <v>0.05</v>
      </c>
      <c r="O280" s="19" t="s">
        <v>136</v>
      </c>
      <c r="P280" s="19" t="s">
        <v>58</v>
      </c>
      <c r="Q280" s="19" t="str">
        <f>TRIM(SalesData[[#This Row],[Customer_Name]])</f>
        <v>Rahul Sharma</v>
      </c>
      <c r="R280" s="21">
        <f>SalesData[[#This Row],[Sales]]-SalesData[[#This Row],[Cost]]</f>
        <v>1694.83</v>
      </c>
      <c r="S280" s="22">
        <f>IFERROR(SalesData[[#This Row],[Profit]]/SalesData[[#This Row],[Sales]],0)</f>
        <v>0.692321203901897</v>
      </c>
      <c r="T280" s="19">
        <f>YEAR(SalesData[[#This Row],[Order_Date]])</f>
        <v>2024</v>
      </c>
      <c r="U280" s="19" t="str">
        <f>TEXT(SalesData[[#This Row],[Order_Date]],"mmm")</f>
        <v>Dec</v>
      </c>
      <c r="V280" s="19" t="str">
        <f>"Q"&amp;ROUNDUP(MONTH(SalesData[[#This Row],[Order_Date]])/3,0)</f>
        <v>Q4</v>
      </c>
      <c r="W280" s="19" t="str">
        <f>IF(SalesData[[#This Row],[Sales]]&gt;=50000,"High",IF(AND(SalesData[[#This Row],[Sales]]&gt;= 20000, SalesData[[#This Row],[Sales]]&lt; 50000),"Medium","Low"))</f>
        <v>Low</v>
      </c>
      <c r="X280" s="19" t="str">
        <f>IF(SalesData[[#This Row],[Profit]]&gt;0,"Profit","Loss")</f>
        <v>Profit</v>
      </c>
      <c r="Y280" s="19" t="str">
        <f>IF(AND(SalesData[[#This Row],[Sales]]&gt;= 50000, SalesData[[#This Row],[Quantity]]&gt;=2),"Yes","No")</f>
        <v>No</v>
      </c>
      <c r="Z280" s="19" t="str">
        <f>UPPER(SalesData[[#This Row],[Customer_Name]])</f>
        <v>RAHUL SHARMA</v>
      </c>
      <c r="AA280" s="19" t="str">
        <f>LOWER(SalesData[[#This Row],[Customer_Name]])</f>
        <v>rahul sharma</v>
      </c>
      <c r="AB280" s="19">
        <f>LEN(SalesData[[#This Row],[Customer_Name]])</f>
        <v>12</v>
      </c>
      <c r="AC280" s="19" t="str">
        <f>LEFT(SalesData[[#This Row],[Order_ID]],3)</f>
        <v>ORD</v>
      </c>
      <c r="AD280" s="19" t="str">
        <f>RIGHT(SalesData[[#This Row],[Order_ID]],4)</f>
        <v>0898</v>
      </c>
      <c r="AE280" s="19" t="str">
        <f>_xlfn.CONCAT(SalesData[[#This Row],[Clean_Customer_Name]],"-",SalesData[[#This Row],[Region]])</f>
        <v>Rahul Sharma-South</v>
      </c>
      <c r="AF280" s="19" t="str">
        <f>MID(SalesData[[#This Row],[Order_ID]],4,4)</f>
        <v>0898</v>
      </c>
      <c r="AG280" s="19" t="e">
        <f ca="1">_xlfn.SINGLE(_xlfn.XLOOKUP(SalesData[[#This Row],[Product]],Product_Master!A:A,Product_Master!B:B,"Not Found"))</f>
        <v>#NAME?</v>
      </c>
      <c r="AH280" s="19" t="str">
        <f>VLOOKUP(SalesData[[#This Row],[Product]],Product_Master!$A$1:$B$21,2,FALSE)</f>
        <v>Aditya</v>
      </c>
      <c r="AI280" s="16"/>
    </row>
    <row r="281" spans="1:35" ht="13.8">
      <c r="A281" s="16" t="s">
        <v>1112</v>
      </c>
      <c r="B281" s="17">
        <v>45615</v>
      </c>
      <c r="C281" s="16" t="s">
        <v>140</v>
      </c>
      <c r="D281" s="16" t="s">
        <v>141</v>
      </c>
      <c r="E281" s="16" t="s">
        <v>106</v>
      </c>
      <c r="F281" s="16" t="s">
        <v>107</v>
      </c>
      <c r="G281" s="16" t="s">
        <v>40</v>
      </c>
      <c r="H281" s="16" t="s">
        <v>108</v>
      </c>
      <c r="I281" s="16" t="s">
        <v>42</v>
      </c>
      <c r="J281" s="16" t="s">
        <v>68</v>
      </c>
      <c r="K281" s="18">
        <v>1809.31</v>
      </c>
      <c r="L281" s="18">
        <v>684.49</v>
      </c>
      <c r="M281" s="19">
        <v>1</v>
      </c>
      <c r="N281" s="20">
        <v>0</v>
      </c>
      <c r="O281" s="19" t="s">
        <v>44</v>
      </c>
      <c r="P281" s="19" t="s">
        <v>77</v>
      </c>
      <c r="Q281" s="19" t="str">
        <f>TRIM(SalesData[[#This Row],[Customer_Name]])</f>
        <v>Rahul Sharma</v>
      </c>
      <c r="R281" s="21">
        <f>SalesData[[#This Row],[Sales]]-SalesData[[#This Row],[Cost]]</f>
        <v>1124.82</v>
      </c>
      <c r="S281" s="22">
        <f>IFERROR(SalesData[[#This Row],[Profit]]/SalesData[[#This Row],[Sales]],0)</f>
        <v>0.62168450956441956</v>
      </c>
      <c r="T281" s="19">
        <f>YEAR(SalesData[[#This Row],[Order_Date]])</f>
        <v>2024</v>
      </c>
      <c r="U281" s="19" t="str">
        <f>TEXT(SalesData[[#This Row],[Order_Date]],"mmm")</f>
        <v>Nov</v>
      </c>
      <c r="V281" s="19" t="str">
        <f>"Q"&amp;ROUNDUP(MONTH(SalesData[[#This Row],[Order_Date]])/3,0)</f>
        <v>Q4</v>
      </c>
      <c r="W281" s="19" t="str">
        <f>IF(SalesData[[#This Row],[Sales]]&gt;=50000,"High",IF(AND(SalesData[[#This Row],[Sales]]&gt;= 20000, SalesData[[#This Row],[Sales]]&lt; 50000),"Medium","Low"))</f>
        <v>Low</v>
      </c>
      <c r="X281" s="19" t="str">
        <f>IF(SalesData[[#This Row],[Profit]]&gt;0,"Profit","Loss")</f>
        <v>Profit</v>
      </c>
      <c r="Y281" s="19" t="str">
        <f>IF(AND(SalesData[[#This Row],[Sales]]&gt;= 50000, SalesData[[#This Row],[Quantity]]&gt;=2),"Yes","No")</f>
        <v>No</v>
      </c>
      <c r="Z281" s="19" t="str">
        <f>UPPER(SalesData[[#This Row],[Customer_Name]])</f>
        <v>RAHUL SHARMA</v>
      </c>
      <c r="AA281" s="19" t="str">
        <f>LOWER(SalesData[[#This Row],[Customer_Name]])</f>
        <v>rahul sharma</v>
      </c>
      <c r="AB281" s="19">
        <f>LEN(SalesData[[#This Row],[Customer_Name]])</f>
        <v>12</v>
      </c>
      <c r="AC281" s="19" t="str">
        <f>LEFT(SalesData[[#This Row],[Order_ID]],3)</f>
        <v>ORD</v>
      </c>
      <c r="AD281" s="19" t="str">
        <f>RIGHT(SalesData[[#This Row],[Order_ID]],4)</f>
        <v>0959</v>
      </c>
      <c r="AE281" s="19" t="str">
        <f>_xlfn.CONCAT(SalesData[[#This Row],[Clean_Customer_Name]],"-",SalesData[[#This Row],[Region]])</f>
        <v>Rahul Sharma-East</v>
      </c>
      <c r="AF281" s="19" t="str">
        <f>MID(SalesData[[#This Row],[Order_ID]],4,4)</f>
        <v>0959</v>
      </c>
      <c r="AG281" s="19" t="e">
        <f ca="1">_xlfn.SINGLE(_xlfn.XLOOKUP(SalesData[[#This Row],[Product]],Product_Master!A:A,Product_Master!B:B,"Not Found"))</f>
        <v>#NAME?</v>
      </c>
      <c r="AH281" s="19" t="str">
        <f>VLOOKUP(SalesData[[#This Row],[Product]],Product_Master!$A$1:$B$21,2,FALSE)</f>
        <v>Aditya</v>
      </c>
      <c r="AI281" s="16"/>
    </row>
    <row r="282" spans="1:35" ht="13.8">
      <c r="A282" s="16" t="s">
        <v>322</v>
      </c>
      <c r="B282" s="17">
        <v>45697</v>
      </c>
      <c r="C282" s="16" t="s">
        <v>140</v>
      </c>
      <c r="D282" s="16" t="s">
        <v>141</v>
      </c>
      <c r="E282" s="16" t="s">
        <v>132</v>
      </c>
      <c r="F282" s="16" t="s">
        <v>133</v>
      </c>
      <c r="G282" s="16" t="s">
        <v>40</v>
      </c>
      <c r="H282" s="16" t="s">
        <v>41</v>
      </c>
      <c r="I282" s="16" t="s">
        <v>23</v>
      </c>
      <c r="J282" s="16" t="s">
        <v>24</v>
      </c>
      <c r="K282" s="18">
        <v>3391.2</v>
      </c>
      <c r="L282" s="18">
        <v>1218.5</v>
      </c>
      <c r="M282" s="19">
        <v>5</v>
      </c>
      <c r="N282" s="20">
        <v>0</v>
      </c>
      <c r="O282" s="19" t="s">
        <v>44</v>
      </c>
      <c r="P282" s="19" t="s">
        <v>58</v>
      </c>
      <c r="Q282" s="19" t="str">
        <f>TRIM(SalesData[[#This Row],[Customer_Name]])</f>
        <v>Rahul Sharma</v>
      </c>
      <c r="R282" s="21">
        <f>SalesData[[#This Row],[Sales]]-SalesData[[#This Row],[Cost]]</f>
        <v>2172.6999999999998</v>
      </c>
      <c r="S282" s="22">
        <f>IFERROR(SalesData[[#This Row],[Profit]]/SalesData[[#This Row],[Sales]],0)</f>
        <v>0.64068766218447748</v>
      </c>
      <c r="T282" s="19">
        <f>YEAR(SalesData[[#This Row],[Order_Date]])</f>
        <v>2025</v>
      </c>
      <c r="U282" s="19" t="str">
        <f>TEXT(SalesData[[#This Row],[Order_Date]],"mmm")</f>
        <v>Feb</v>
      </c>
      <c r="V282" s="19" t="str">
        <f>"Q"&amp;ROUNDUP(MONTH(SalesData[[#This Row],[Order_Date]])/3,0)</f>
        <v>Q1</v>
      </c>
      <c r="W282" s="19" t="str">
        <f>IF(SalesData[[#This Row],[Sales]]&gt;=50000,"High",IF(AND(SalesData[[#This Row],[Sales]]&gt;= 20000, SalesData[[#This Row],[Sales]]&lt; 50000),"Medium","Low"))</f>
        <v>Low</v>
      </c>
      <c r="X282" s="19" t="str">
        <f>IF(SalesData[[#This Row],[Profit]]&gt;0,"Profit","Loss")</f>
        <v>Profit</v>
      </c>
      <c r="Y282" s="19" t="str">
        <f>IF(AND(SalesData[[#This Row],[Sales]]&gt;= 50000, SalesData[[#This Row],[Quantity]]&gt;=2),"Yes","No")</f>
        <v>No</v>
      </c>
      <c r="Z282" s="19" t="str">
        <f>UPPER(SalesData[[#This Row],[Customer_Name]])</f>
        <v>RAHUL SHARMA</v>
      </c>
      <c r="AA282" s="19" t="str">
        <f>LOWER(SalesData[[#This Row],[Customer_Name]])</f>
        <v>rahul sharma</v>
      </c>
      <c r="AB282" s="19">
        <f>LEN(SalesData[[#This Row],[Customer_Name]])</f>
        <v>12</v>
      </c>
      <c r="AC282" s="19" t="str">
        <f>LEFT(SalesData[[#This Row],[Order_ID]],3)</f>
        <v>ORD</v>
      </c>
      <c r="AD282" s="19" t="str">
        <f>RIGHT(SalesData[[#This Row],[Order_ID]],4)</f>
        <v>0169</v>
      </c>
      <c r="AE282" s="19" t="str">
        <f>_xlfn.CONCAT(SalesData[[#This Row],[Clean_Customer_Name]],"-",SalesData[[#This Row],[Region]])</f>
        <v>Rahul Sharma-North</v>
      </c>
      <c r="AF282" s="19" t="str">
        <f>MID(SalesData[[#This Row],[Order_ID]],4,4)</f>
        <v>0169</v>
      </c>
      <c r="AG282" s="19" t="e">
        <f ca="1">_xlfn.SINGLE(_xlfn.XLOOKUP(SalesData[[#This Row],[Product]],Product_Master!A:A,Product_Master!B:B,"Not Found"))</f>
        <v>#NAME?</v>
      </c>
      <c r="AH282" s="19" t="str">
        <f>VLOOKUP(SalesData[[#This Row],[Product]],Product_Master!$A$1:$B$21,2,FALSE)</f>
        <v>Kavya</v>
      </c>
      <c r="AI282" s="16"/>
    </row>
    <row r="283" spans="1:35" ht="13.8">
      <c r="A283" s="16" t="s">
        <v>688</v>
      </c>
      <c r="B283" s="17">
        <v>45591</v>
      </c>
      <c r="C283" s="16" t="s">
        <v>140</v>
      </c>
      <c r="D283" s="16" t="s">
        <v>141</v>
      </c>
      <c r="E283" s="16" t="s">
        <v>132</v>
      </c>
      <c r="F283" s="16" t="s">
        <v>133</v>
      </c>
      <c r="G283" s="16" t="s">
        <v>40</v>
      </c>
      <c r="H283" s="16" t="s">
        <v>41</v>
      </c>
      <c r="I283" s="16" t="s">
        <v>53</v>
      </c>
      <c r="J283" s="16" t="s">
        <v>54</v>
      </c>
      <c r="K283" s="18">
        <v>1602.63</v>
      </c>
      <c r="L283" s="18">
        <v>1182.8</v>
      </c>
      <c r="M283" s="19">
        <v>5</v>
      </c>
      <c r="N283" s="20">
        <v>0.1</v>
      </c>
      <c r="O283" s="19" t="s">
        <v>76</v>
      </c>
      <c r="P283" s="19" t="s">
        <v>26</v>
      </c>
      <c r="Q283" s="19" t="str">
        <f>TRIM(SalesData[[#This Row],[Customer_Name]])</f>
        <v>Rahul Sharma</v>
      </c>
      <c r="R283" s="21">
        <f>SalesData[[#This Row],[Sales]]-SalesData[[#This Row],[Cost]]</f>
        <v>419.83000000000015</v>
      </c>
      <c r="S283" s="22">
        <f>IFERROR(SalesData[[#This Row],[Profit]]/SalesData[[#This Row],[Sales]],0)</f>
        <v>0.2619631480753512</v>
      </c>
      <c r="T283" s="19">
        <f>YEAR(SalesData[[#This Row],[Order_Date]])</f>
        <v>2024</v>
      </c>
      <c r="U283" s="19" t="str">
        <f>TEXT(SalesData[[#This Row],[Order_Date]],"mmm")</f>
        <v>Oct</v>
      </c>
      <c r="V283" s="19" t="str">
        <f>"Q"&amp;ROUNDUP(MONTH(SalesData[[#This Row],[Order_Date]])/3,0)</f>
        <v>Q4</v>
      </c>
      <c r="W283" s="19" t="str">
        <f>IF(SalesData[[#This Row],[Sales]]&gt;=50000,"High",IF(AND(SalesData[[#This Row],[Sales]]&gt;= 20000, SalesData[[#This Row],[Sales]]&lt; 50000),"Medium","Low"))</f>
        <v>Low</v>
      </c>
      <c r="X283" s="19" t="str">
        <f>IF(SalesData[[#This Row],[Profit]]&gt;0,"Profit","Loss")</f>
        <v>Profit</v>
      </c>
      <c r="Y283" s="19" t="str">
        <f>IF(AND(SalesData[[#This Row],[Sales]]&gt;= 50000, SalesData[[#This Row],[Quantity]]&gt;=2),"Yes","No")</f>
        <v>No</v>
      </c>
      <c r="Z283" s="19" t="str">
        <f>UPPER(SalesData[[#This Row],[Customer_Name]])</f>
        <v>RAHUL SHARMA</v>
      </c>
      <c r="AA283" s="19" t="str">
        <f>LOWER(SalesData[[#This Row],[Customer_Name]])</f>
        <v>rahul sharma</v>
      </c>
      <c r="AB283" s="19">
        <f>LEN(SalesData[[#This Row],[Customer_Name]])</f>
        <v>12</v>
      </c>
      <c r="AC283" s="19" t="str">
        <f>LEFT(SalesData[[#This Row],[Order_ID]],3)</f>
        <v>ORD</v>
      </c>
      <c r="AD283" s="19" t="str">
        <f>RIGHT(SalesData[[#This Row],[Order_ID]],4)</f>
        <v>0535</v>
      </c>
      <c r="AE283" s="19" t="str">
        <f>_xlfn.CONCAT(SalesData[[#This Row],[Clean_Customer_Name]],"-",SalesData[[#This Row],[Region]])</f>
        <v>Rahul Sharma-Central</v>
      </c>
      <c r="AF283" s="19" t="str">
        <f>MID(SalesData[[#This Row],[Order_ID]],4,4)</f>
        <v>0535</v>
      </c>
      <c r="AG283" s="19" t="e">
        <f ca="1">_xlfn.SINGLE(_xlfn.XLOOKUP(SalesData[[#This Row],[Product]],Product_Master!A:A,Product_Master!B:B,"Not Found"))</f>
        <v>#NAME?</v>
      </c>
      <c r="AH283" s="19" t="str">
        <f>VLOOKUP(SalesData[[#This Row],[Product]],Product_Master!$A$1:$B$21,2,FALSE)</f>
        <v>Kavya</v>
      </c>
      <c r="AI283" s="16"/>
    </row>
    <row r="284" spans="1:35" ht="13.8">
      <c r="A284" s="16" t="s">
        <v>861</v>
      </c>
      <c r="B284" s="17">
        <v>45604</v>
      </c>
      <c r="C284" s="16" t="s">
        <v>140</v>
      </c>
      <c r="D284" s="16" t="s">
        <v>141</v>
      </c>
      <c r="E284" s="16" t="s">
        <v>87</v>
      </c>
      <c r="F284" s="16" t="s">
        <v>88</v>
      </c>
      <c r="G284" s="16" t="s">
        <v>89</v>
      </c>
      <c r="H284" s="16" t="s">
        <v>90</v>
      </c>
      <c r="I284" s="16" t="s">
        <v>42</v>
      </c>
      <c r="J284" s="16" t="s">
        <v>68</v>
      </c>
      <c r="K284" s="18">
        <v>8008</v>
      </c>
      <c r="L284" s="18">
        <v>3746.38</v>
      </c>
      <c r="M284" s="19">
        <v>2</v>
      </c>
      <c r="N284" s="20">
        <v>0.2</v>
      </c>
      <c r="O284" s="19" t="s">
        <v>25</v>
      </c>
      <c r="P284" s="19" t="s">
        <v>98</v>
      </c>
      <c r="Q284" s="19" t="str">
        <f>TRIM(SalesData[[#This Row],[Customer_Name]])</f>
        <v>Rahul Sharma</v>
      </c>
      <c r="R284" s="21">
        <f>SalesData[[#This Row],[Sales]]-SalesData[[#This Row],[Cost]]</f>
        <v>4261.62</v>
      </c>
      <c r="S284" s="22">
        <f>IFERROR(SalesData[[#This Row],[Profit]]/SalesData[[#This Row],[Sales]],0)</f>
        <v>0.53217032967032962</v>
      </c>
      <c r="T284" s="19">
        <f>YEAR(SalesData[[#This Row],[Order_Date]])</f>
        <v>2024</v>
      </c>
      <c r="U284" s="19" t="str">
        <f>TEXT(SalesData[[#This Row],[Order_Date]],"mmm")</f>
        <v>Nov</v>
      </c>
      <c r="V284" s="19" t="str">
        <f>"Q"&amp;ROUNDUP(MONTH(SalesData[[#This Row],[Order_Date]])/3,0)</f>
        <v>Q4</v>
      </c>
      <c r="W284" s="19" t="str">
        <f>IF(SalesData[[#This Row],[Sales]]&gt;=50000,"High",IF(AND(SalesData[[#This Row],[Sales]]&gt;= 20000, SalesData[[#This Row],[Sales]]&lt; 50000),"Medium","Low"))</f>
        <v>Low</v>
      </c>
      <c r="X284" s="19" t="str">
        <f>IF(SalesData[[#This Row],[Profit]]&gt;0,"Profit","Loss")</f>
        <v>Profit</v>
      </c>
      <c r="Y284" s="19" t="str">
        <f>IF(AND(SalesData[[#This Row],[Sales]]&gt;= 50000, SalesData[[#This Row],[Quantity]]&gt;=2),"Yes","No")</f>
        <v>No</v>
      </c>
      <c r="Z284" s="19" t="str">
        <f>UPPER(SalesData[[#This Row],[Customer_Name]])</f>
        <v>RAHUL SHARMA</v>
      </c>
      <c r="AA284" s="19" t="str">
        <f>LOWER(SalesData[[#This Row],[Customer_Name]])</f>
        <v>rahul sharma</v>
      </c>
      <c r="AB284" s="19">
        <f>LEN(SalesData[[#This Row],[Customer_Name]])</f>
        <v>12</v>
      </c>
      <c r="AC284" s="19" t="str">
        <f>LEFT(SalesData[[#This Row],[Order_ID]],3)</f>
        <v>ORD</v>
      </c>
      <c r="AD284" s="19" t="str">
        <f>RIGHT(SalesData[[#This Row],[Order_ID]],4)</f>
        <v>0708</v>
      </c>
      <c r="AE284" s="19" t="str">
        <f>_xlfn.CONCAT(SalesData[[#This Row],[Clean_Customer_Name]],"-",SalesData[[#This Row],[Region]])</f>
        <v>Rahul Sharma-East</v>
      </c>
      <c r="AF284" s="19" t="str">
        <f>MID(SalesData[[#This Row],[Order_ID]],4,4)</f>
        <v>0708</v>
      </c>
      <c r="AG284" s="19" t="e">
        <f ca="1">_xlfn.SINGLE(_xlfn.XLOOKUP(SalesData[[#This Row],[Product]],Product_Master!A:A,Product_Master!B:B,"Not Found"))</f>
        <v>#NAME?</v>
      </c>
      <c r="AH284" s="19" t="str">
        <f>VLOOKUP(SalesData[[#This Row],[Product]],Product_Master!$A$1:$B$21,2,FALSE)</f>
        <v>Rahul</v>
      </c>
      <c r="AI284" s="16"/>
    </row>
    <row r="285" spans="1:35" ht="13.8">
      <c r="A285" s="16" t="s">
        <v>415</v>
      </c>
      <c r="B285" s="17">
        <v>46006</v>
      </c>
      <c r="C285" s="16" t="s">
        <v>140</v>
      </c>
      <c r="D285" s="16" t="s">
        <v>141</v>
      </c>
      <c r="E285" s="16" t="s">
        <v>182</v>
      </c>
      <c r="F285" s="16" t="s">
        <v>183</v>
      </c>
      <c r="G285" s="16" t="s">
        <v>89</v>
      </c>
      <c r="H285" s="16" t="s">
        <v>90</v>
      </c>
      <c r="I285" s="16" t="s">
        <v>53</v>
      </c>
      <c r="J285" s="16" t="s">
        <v>102</v>
      </c>
      <c r="K285" s="18">
        <v>53372.6</v>
      </c>
      <c r="L285" s="18">
        <v>25469.599999999999</v>
      </c>
      <c r="M285" s="19">
        <v>4</v>
      </c>
      <c r="N285" s="20">
        <v>0</v>
      </c>
      <c r="O285" s="19" t="s">
        <v>25</v>
      </c>
      <c r="P285" s="19" t="s">
        <v>58</v>
      </c>
      <c r="Q285" s="19" t="str">
        <f>TRIM(SalesData[[#This Row],[Customer_Name]])</f>
        <v>Rahul Sharma</v>
      </c>
      <c r="R285" s="21">
        <f>SalesData[[#This Row],[Sales]]-SalesData[[#This Row],[Cost]]</f>
        <v>27903</v>
      </c>
      <c r="S285" s="22">
        <f>IFERROR(SalesData[[#This Row],[Profit]]/SalesData[[#This Row],[Sales]],0)</f>
        <v>0.52279634119379603</v>
      </c>
      <c r="T285" s="19">
        <f>YEAR(SalesData[[#This Row],[Order_Date]])</f>
        <v>2025</v>
      </c>
      <c r="U285" s="19" t="str">
        <f>TEXT(SalesData[[#This Row],[Order_Date]],"mmm")</f>
        <v>Dec</v>
      </c>
      <c r="V285" s="19" t="str">
        <f>"Q"&amp;ROUNDUP(MONTH(SalesData[[#This Row],[Order_Date]])/3,0)</f>
        <v>Q4</v>
      </c>
      <c r="W285" s="19" t="str">
        <f>IF(SalesData[[#This Row],[Sales]]&gt;=50000,"High",IF(AND(SalesData[[#This Row],[Sales]]&gt;= 20000, SalesData[[#This Row],[Sales]]&lt; 50000),"Medium","Low"))</f>
        <v>High</v>
      </c>
      <c r="X285" s="19" t="str">
        <f>IF(SalesData[[#This Row],[Profit]]&gt;0,"Profit","Loss")</f>
        <v>Profit</v>
      </c>
      <c r="Y285" s="19" t="str">
        <f>IF(AND(SalesData[[#This Row],[Sales]]&gt;= 50000, SalesData[[#This Row],[Quantity]]&gt;=2),"Yes","No")</f>
        <v>Yes</v>
      </c>
      <c r="Z285" s="19" t="str">
        <f>UPPER(SalesData[[#This Row],[Customer_Name]])</f>
        <v>RAHUL SHARMA</v>
      </c>
      <c r="AA285" s="19" t="str">
        <f>LOWER(SalesData[[#This Row],[Customer_Name]])</f>
        <v>rahul sharma</v>
      </c>
      <c r="AB285" s="19">
        <f>LEN(SalesData[[#This Row],[Customer_Name]])</f>
        <v>12</v>
      </c>
      <c r="AC285" s="19" t="str">
        <f>LEFT(SalesData[[#This Row],[Order_ID]],3)</f>
        <v>ORD</v>
      </c>
      <c r="AD285" s="19" t="str">
        <f>RIGHT(SalesData[[#This Row],[Order_ID]],4)</f>
        <v>0262</v>
      </c>
      <c r="AE285" s="19" t="str">
        <f>_xlfn.CONCAT(SalesData[[#This Row],[Clean_Customer_Name]],"-",SalesData[[#This Row],[Region]])</f>
        <v>Rahul Sharma-Central</v>
      </c>
      <c r="AF285" s="19" t="str">
        <f>MID(SalesData[[#This Row],[Order_ID]],4,4)</f>
        <v>0262</v>
      </c>
      <c r="AG285" s="19" t="e">
        <f ca="1">_xlfn.SINGLE(_xlfn.XLOOKUP(SalesData[[#This Row],[Product]],Product_Master!A:A,Product_Master!B:B,"Not Found"))</f>
        <v>#NAME?</v>
      </c>
      <c r="AH285" s="19" t="str">
        <f>VLOOKUP(SalesData[[#This Row],[Product]],Product_Master!$A$1:$B$21,2,FALSE)</f>
        <v>Priya</v>
      </c>
      <c r="AI285" s="16"/>
    </row>
    <row r="286" spans="1:35" ht="13.8">
      <c r="A286" s="16" t="s">
        <v>376</v>
      </c>
      <c r="B286" s="17">
        <v>45708</v>
      </c>
      <c r="C286" s="16" t="s">
        <v>140</v>
      </c>
      <c r="D286" s="16" t="s">
        <v>141</v>
      </c>
      <c r="E286" s="16" t="s">
        <v>187</v>
      </c>
      <c r="F286" s="16" t="s">
        <v>188</v>
      </c>
      <c r="G286" s="16" t="s">
        <v>89</v>
      </c>
      <c r="H286" s="16" t="s">
        <v>189</v>
      </c>
      <c r="I286" s="16" t="s">
        <v>23</v>
      </c>
      <c r="J286" s="16" t="s">
        <v>75</v>
      </c>
      <c r="K286" s="18">
        <v>27087.41</v>
      </c>
      <c r="L286" s="18">
        <v>21900.76</v>
      </c>
      <c r="M286" s="19">
        <v>4</v>
      </c>
      <c r="N286" s="20">
        <v>0.1</v>
      </c>
      <c r="O286" s="19" t="s">
        <v>44</v>
      </c>
      <c r="P286" s="19" t="s">
        <v>45</v>
      </c>
      <c r="Q286" s="19" t="str">
        <f>TRIM(SalesData[[#This Row],[Customer_Name]])</f>
        <v>Rahul Sharma</v>
      </c>
      <c r="R286" s="21">
        <f>SalesData[[#This Row],[Sales]]-SalesData[[#This Row],[Cost]]</f>
        <v>5186.6500000000015</v>
      </c>
      <c r="S286" s="22">
        <f>IFERROR(SalesData[[#This Row],[Profit]]/SalesData[[#This Row],[Sales]],0)</f>
        <v>0.19147825502696647</v>
      </c>
      <c r="T286" s="19">
        <f>YEAR(SalesData[[#This Row],[Order_Date]])</f>
        <v>2025</v>
      </c>
      <c r="U286" s="19" t="str">
        <f>TEXT(SalesData[[#This Row],[Order_Date]],"mmm")</f>
        <v>Feb</v>
      </c>
      <c r="V286" s="19" t="str">
        <f>"Q"&amp;ROUNDUP(MONTH(SalesData[[#This Row],[Order_Date]])/3,0)</f>
        <v>Q1</v>
      </c>
      <c r="W286" s="19" t="str">
        <f>IF(SalesData[[#This Row],[Sales]]&gt;=50000,"High",IF(AND(SalesData[[#This Row],[Sales]]&gt;= 20000, SalesData[[#This Row],[Sales]]&lt; 50000),"Medium","Low"))</f>
        <v>Medium</v>
      </c>
      <c r="X286" s="19" t="str">
        <f>IF(SalesData[[#This Row],[Profit]]&gt;0,"Profit","Loss")</f>
        <v>Profit</v>
      </c>
      <c r="Y286" s="19" t="str">
        <f>IF(AND(SalesData[[#This Row],[Sales]]&gt;= 50000, SalesData[[#This Row],[Quantity]]&gt;=2),"Yes","No")</f>
        <v>No</v>
      </c>
      <c r="Z286" s="19" t="str">
        <f>UPPER(SalesData[[#This Row],[Customer_Name]])</f>
        <v>RAHUL SHARMA</v>
      </c>
      <c r="AA286" s="19" t="str">
        <f>LOWER(SalesData[[#This Row],[Customer_Name]])</f>
        <v>rahul sharma</v>
      </c>
      <c r="AB286" s="19">
        <f>LEN(SalesData[[#This Row],[Customer_Name]])</f>
        <v>12</v>
      </c>
      <c r="AC286" s="19" t="str">
        <f>LEFT(SalesData[[#This Row],[Order_ID]],3)</f>
        <v>ORD</v>
      </c>
      <c r="AD286" s="19" t="str">
        <f>RIGHT(SalesData[[#This Row],[Order_ID]],4)</f>
        <v>0223</v>
      </c>
      <c r="AE286" s="19" t="str">
        <f>_xlfn.CONCAT(SalesData[[#This Row],[Clean_Customer_Name]],"-",SalesData[[#This Row],[Region]])</f>
        <v>Rahul Sharma-North</v>
      </c>
      <c r="AF286" s="19" t="str">
        <f>MID(SalesData[[#This Row],[Order_ID]],4,4)</f>
        <v>0223</v>
      </c>
      <c r="AG286" s="19" t="e">
        <f ca="1">_xlfn.SINGLE(_xlfn.XLOOKUP(SalesData[[#This Row],[Product]],Product_Master!A:A,Product_Master!B:B,"Not Found"))</f>
        <v>#NAME?</v>
      </c>
      <c r="AH286" s="19" t="str">
        <f>VLOOKUP(SalesData[[#This Row],[Product]],Product_Master!$A$1:$B$21,2,FALSE)</f>
        <v>Amit</v>
      </c>
      <c r="AI286" s="16"/>
    </row>
    <row r="287" spans="1:35" ht="13.8">
      <c r="A287" s="16" t="s">
        <v>783</v>
      </c>
      <c r="B287" s="17">
        <v>45611</v>
      </c>
      <c r="C287" s="16" t="s">
        <v>140</v>
      </c>
      <c r="D287" s="16" t="s">
        <v>141</v>
      </c>
      <c r="E287" s="16" t="s">
        <v>95</v>
      </c>
      <c r="F287" s="16" t="s">
        <v>96</v>
      </c>
      <c r="G287" s="16" t="s">
        <v>89</v>
      </c>
      <c r="H287" s="16" t="s">
        <v>97</v>
      </c>
      <c r="I287" s="16" t="s">
        <v>53</v>
      </c>
      <c r="J287" s="16" t="s">
        <v>54</v>
      </c>
      <c r="K287" s="18">
        <v>8816.6299999999992</v>
      </c>
      <c r="L287" s="18">
        <v>6749.24</v>
      </c>
      <c r="M287" s="19">
        <v>2</v>
      </c>
      <c r="N287" s="20">
        <v>0.1</v>
      </c>
      <c r="O287" s="19" t="s">
        <v>34</v>
      </c>
      <c r="P287" s="19" t="s">
        <v>77</v>
      </c>
      <c r="Q287" s="19" t="str">
        <f>TRIM(SalesData[[#This Row],[Customer_Name]])</f>
        <v>Rahul Sharma</v>
      </c>
      <c r="R287" s="21">
        <f>SalesData[[#This Row],[Sales]]-SalesData[[#This Row],[Cost]]</f>
        <v>2067.3899999999994</v>
      </c>
      <c r="S287" s="22">
        <f>IFERROR(SalesData[[#This Row],[Profit]]/SalesData[[#This Row],[Sales]],0)</f>
        <v>0.23448755363443852</v>
      </c>
      <c r="T287" s="19">
        <f>YEAR(SalesData[[#This Row],[Order_Date]])</f>
        <v>2024</v>
      </c>
      <c r="U287" s="19" t="str">
        <f>TEXT(SalesData[[#This Row],[Order_Date]],"mmm")</f>
        <v>Nov</v>
      </c>
      <c r="V287" s="19" t="str">
        <f>"Q"&amp;ROUNDUP(MONTH(SalesData[[#This Row],[Order_Date]])/3,0)</f>
        <v>Q4</v>
      </c>
      <c r="W287" s="19" t="str">
        <f>IF(SalesData[[#This Row],[Sales]]&gt;=50000,"High",IF(AND(SalesData[[#This Row],[Sales]]&gt;= 20000, SalesData[[#This Row],[Sales]]&lt; 50000),"Medium","Low"))</f>
        <v>Low</v>
      </c>
      <c r="X287" s="19" t="str">
        <f>IF(SalesData[[#This Row],[Profit]]&gt;0,"Profit","Loss")</f>
        <v>Profit</v>
      </c>
      <c r="Y287" s="19" t="str">
        <f>IF(AND(SalesData[[#This Row],[Sales]]&gt;= 50000, SalesData[[#This Row],[Quantity]]&gt;=2),"Yes","No")</f>
        <v>No</v>
      </c>
      <c r="Z287" s="19" t="str">
        <f>UPPER(SalesData[[#This Row],[Customer_Name]])</f>
        <v>RAHUL SHARMA</v>
      </c>
      <c r="AA287" s="19" t="str">
        <f>LOWER(SalesData[[#This Row],[Customer_Name]])</f>
        <v>rahul sharma</v>
      </c>
      <c r="AB287" s="19">
        <f>LEN(SalesData[[#This Row],[Customer_Name]])</f>
        <v>12</v>
      </c>
      <c r="AC287" s="19" t="str">
        <f>LEFT(SalesData[[#This Row],[Order_ID]],3)</f>
        <v>ORD</v>
      </c>
      <c r="AD287" s="19" t="str">
        <f>RIGHT(SalesData[[#This Row],[Order_ID]],4)</f>
        <v>0630</v>
      </c>
      <c r="AE287" s="19" t="str">
        <f>_xlfn.CONCAT(SalesData[[#This Row],[Clean_Customer_Name]],"-",SalesData[[#This Row],[Region]])</f>
        <v>Rahul Sharma-Central</v>
      </c>
      <c r="AF287" s="19" t="str">
        <f>MID(SalesData[[#This Row],[Order_ID]],4,4)</f>
        <v>0630</v>
      </c>
      <c r="AG287" s="19" t="e">
        <f ca="1">_xlfn.SINGLE(_xlfn.XLOOKUP(SalesData[[#This Row],[Product]],Product_Master!A:A,Product_Master!B:B,"Not Found"))</f>
        <v>#NAME?</v>
      </c>
      <c r="AH287" s="19" t="str">
        <f>VLOOKUP(SalesData[[#This Row],[Product]],Product_Master!$A$1:$B$21,2,FALSE)</f>
        <v>Neha</v>
      </c>
      <c r="AI287" s="16"/>
    </row>
    <row r="288" spans="1:35" ht="13.8">
      <c r="A288" s="16" t="s">
        <v>1053</v>
      </c>
      <c r="B288" s="17">
        <v>45933</v>
      </c>
      <c r="C288" s="16" t="s">
        <v>140</v>
      </c>
      <c r="D288" s="16" t="s">
        <v>141</v>
      </c>
      <c r="E288" s="16" t="s">
        <v>95</v>
      </c>
      <c r="F288" s="16" t="s">
        <v>96</v>
      </c>
      <c r="G288" s="16" t="s">
        <v>89</v>
      </c>
      <c r="H288" s="16" t="s">
        <v>97</v>
      </c>
      <c r="I288" s="16" t="s">
        <v>53</v>
      </c>
      <c r="J288" s="16" t="s">
        <v>54</v>
      </c>
      <c r="K288" s="18">
        <v>13197.63</v>
      </c>
      <c r="L288" s="18">
        <v>11215.08</v>
      </c>
      <c r="M288" s="19">
        <v>3</v>
      </c>
      <c r="N288" s="20">
        <v>0.15</v>
      </c>
      <c r="O288" s="19" t="s">
        <v>76</v>
      </c>
      <c r="P288" s="19" t="s">
        <v>77</v>
      </c>
      <c r="Q288" s="19" t="str">
        <f>TRIM(SalesData[[#This Row],[Customer_Name]])</f>
        <v>Rahul Sharma</v>
      </c>
      <c r="R288" s="21">
        <f>SalesData[[#This Row],[Sales]]-SalesData[[#This Row],[Cost]]</f>
        <v>1982.5499999999993</v>
      </c>
      <c r="S288" s="22">
        <f>IFERROR(SalesData[[#This Row],[Profit]]/SalesData[[#This Row],[Sales]],0)</f>
        <v>0.15022015316386347</v>
      </c>
      <c r="T288" s="19">
        <f>YEAR(SalesData[[#This Row],[Order_Date]])</f>
        <v>2025</v>
      </c>
      <c r="U288" s="19" t="str">
        <f>TEXT(SalesData[[#This Row],[Order_Date]],"mmm")</f>
        <v>Oct</v>
      </c>
      <c r="V288" s="19" t="str">
        <f>"Q"&amp;ROUNDUP(MONTH(SalesData[[#This Row],[Order_Date]])/3,0)</f>
        <v>Q4</v>
      </c>
      <c r="W288" s="19" t="str">
        <f>IF(SalesData[[#This Row],[Sales]]&gt;=50000,"High",IF(AND(SalesData[[#This Row],[Sales]]&gt;= 20000, SalesData[[#This Row],[Sales]]&lt; 50000),"Medium","Low"))</f>
        <v>Low</v>
      </c>
      <c r="X288" s="19" t="str">
        <f>IF(SalesData[[#This Row],[Profit]]&gt;0,"Profit","Loss")</f>
        <v>Profit</v>
      </c>
      <c r="Y288" s="19" t="str">
        <f>IF(AND(SalesData[[#This Row],[Sales]]&gt;= 50000, SalesData[[#This Row],[Quantity]]&gt;=2),"Yes","No")</f>
        <v>No</v>
      </c>
      <c r="Z288" s="19" t="str">
        <f>UPPER(SalesData[[#This Row],[Customer_Name]])</f>
        <v>RAHUL SHARMA</v>
      </c>
      <c r="AA288" s="19" t="str">
        <f>LOWER(SalesData[[#This Row],[Customer_Name]])</f>
        <v>rahul sharma</v>
      </c>
      <c r="AB288" s="19">
        <f>LEN(SalesData[[#This Row],[Customer_Name]])</f>
        <v>12</v>
      </c>
      <c r="AC288" s="19" t="str">
        <f>LEFT(SalesData[[#This Row],[Order_ID]],3)</f>
        <v>ORD</v>
      </c>
      <c r="AD288" s="19" t="str">
        <f>RIGHT(SalesData[[#This Row],[Order_ID]],4)</f>
        <v>0900</v>
      </c>
      <c r="AE288" s="19" t="str">
        <f>_xlfn.CONCAT(SalesData[[#This Row],[Clean_Customer_Name]],"-",SalesData[[#This Row],[Region]])</f>
        <v>Rahul Sharma-Central</v>
      </c>
      <c r="AF288" s="19" t="str">
        <f>MID(SalesData[[#This Row],[Order_ID]],4,4)</f>
        <v>0900</v>
      </c>
      <c r="AG288" s="19" t="e">
        <f ca="1">_xlfn.SINGLE(_xlfn.XLOOKUP(SalesData[[#This Row],[Product]],Product_Master!A:A,Product_Master!B:B,"Not Found"))</f>
        <v>#NAME?</v>
      </c>
      <c r="AH288" s="19" t="str">
        <f>VLOOKUP(SalesData[[#This Row],[Product]],Product_Master!$A$1:$B$21,2,FALSE)</f>
        <v>Neha</v>
      </c>
      <c r="AI288" s="16"/>
    </row>
    <row r="289" spans="1:35" ht="13.8">
      <c r="A289" s="16" t="s">
        <v>327</v>
      </c>
      <c r="B289" s="17">
        <v>45538</v>
      </c>
      <c r="C289" s="16" t="s">
        <v>140</v>
      </c>
      <c r="D289" s="16" t="s">
        <v>141</v>
      </c>
      <c r="E289" s="16" t="s">
        <v>193</v>
      </c>
      <c r="F289" s="16" t="s">
        <v>194</v>
      </c>
      <c r="G289" s="16" t="s">
        <v>89</v>
      </c>
      <c r="H289" s="16" t="s">
        <v>90</v>
      </c>
      <c r="I289" s="16" t="s">
        <v>84</v>
      </c>
      <c r="J289" s="16" t="s">
        <v>134</v>
      </c>
      <c r="K289" s="18">
        <v>6986.25</v>
      </c>
      <c r="L289" s="18">
        <v>2458.3000000000002</v>
      </c>
      <c r="M289" s="19">
        <v>5</v>
      </c>
      <c r="N289" s="20">
        <v>0</v>
      </c>
      <c r="O289" s="19" t="s">
        <v>34</v>
      </c>
      <c r="P289" s="19" t="s">
        <v>77</v>
      </c>
      <c r="Q289" s="19" t="str">
        <f>TRIM(SalesData[[#This Row],[Customer_Name]])</f>
        <v>Rahul Sharma</v>
      </c>
      <c r="R289" s="21">
        <f>SalesData[[#This Row],[Sales]]-SalesData[[#This Row],[Cost]]</f>
        <v>4527.95</v>
      </c>
      <c r="S289" s="22">
        <f>IFERROR(SalesData[[#This Row],[Profit]]/SalesData[[#This Row],[Sales]],0)</f>
        <v>0.64812309894435494</v>
      </c>
      <c r="T289" s="19">
        <f>YEAR(SalesData[[#This Row],[Order_Date]])</f>
        <v>2024</v>
      </c>
      <c r="U289" s="19" t="str">
        <f>TEXT(SalesData[[#This Row],[Order_Date]],"mmm")</f>
        <v>Sept</v>
      </c>
      <c r="V289" s="19" t="str">
        <f>"Q"&amp;ROUNDUP(MONTH(SalesData[[#This Row],[Order_Date]])/3,0)</f>
        <v>Q3</v>
      </c>
      <c r="W289" s="19" t="str">
        <f>IF(SalesData[[#This Row],[Sales]]&gt;=50000,"High",IF(AND(SalesData[[#This Row],[Sales]]&gt;= 20000, SalesData[[#This Row],[Sales]]&lt; 50000),"Medium","Low"))</f>
        <v>Low</v>
      </c>
      <c r="X289" s="19" t="str">
        <f>IF(SalesData[[#This Row],[Profit]]&gt;0,"Profit","Loss")</f>
        <v>Profit</v>
      </c>
      <c r="Y289" s="19" t="str">
        <f>IF(AND(SalesData[[#This Row],[Sales]]&gt;= 50000, SalesData[[#This Row],[Quantity]]&gt;=2),"Yes","No")</f>
        <v>No</v>
      </c>
      <c r="Z289" s="19" t="str">
        <f>UPPER(SalesData[[#This Row],[Customer_Name]])</f>
        <v>RAHUL SHARMA</v>
      </c>
      <c r="AA289" s="19" t="str">
        <f>LOWER(SalesData[[#This Row],[Customer_Name]])</f>
        <v>rahul sharma</v>
      </c>
      <c r="AB289" s="19">
        <f>LEN(SalesData[[#This Row],[Customer_Name]])</f>
        <v>12</v>
      </c>
      <c r="AC289" s="19" t="str">
        <f>LEFT(SalesData[[#This Row],[Order_ID]],3)</f>
        <v>ORD</v>
      </c>
      <c r="AD289" s="19" t="str">
        <f>RIGHT(SalesData[[#This Row],[Order_ID]],4)</f>
        <v>0174</v>
      </c>
      <c r="AE289" s="19" t="str">
        <f>_xlfn.CONCAT(SalesData[[#This Row],[Clean_Customer_Name]],"-",SalesData[[#This Row],[Region]])</f>
        <v>Rahul Sharma-South</v>
      </c>
      <c r="AF289" s="19" t="str">
        <f>MID(SalesData[[#This Row],[Order_ID]],4,4)</f>
        <v>0174</v>
      </c>
      <c r="AG289" s="19" t="e">
        <f ca="1">_xlfn.SINGLE(_xlfn.XLOOKUP(SalesData[[#This Row],[Product]],Product_Master!A:A,Product_Master!B:B,"Not Found"))</f>
        <v>#NAME?</v>
      </c>
      <c r="AH289" s="19" t="str">
        <f>VLOOKUP(SalesData[[#This Row],[Product]],Product_Master!$A$1:$B$21,2,FALSE)</f>
        <v>Simran</v>
      </c>
      <c r="AI289" s="16"/>
    </row>
    <row r="290" spans="1:35" ht="13.8">
      <c r="A290" s="16" t="s">
        <v>823</v>
      </c>
      <c r="B290" s="17">
        <v>45350</v>
      </c>
      <c r="C290" s="16" t="s">
        <v>140</v>
      </c>
      <c r="D290" s="16" t="s">
        <v>141</v>
      </c>
      <c r="E290" s="16" t="s">
        <v>193</v>
      </c>
      <c r="F290" s="16" t="s">
        <v>194</v>
      </c>
      <c r="G290" s="16" t="s">
        <v>89</v>
      </c>
      <c r="H290" s="16" t="s">
        <v>90</v>
      </c>
      <c r="I290" s="16" t="s">
        <v>23</v>
      </c>
      <c r="J290" s="16" t="s">
        <v>33</v>
      </c>
      <c r="K290" s="18">
        <v>6410.2</v>
      </c>
      <c r="L290" s="18">
        <v>2578.3000000000002</v>
      </c>
      <c r="M290" s="19">
        <v>5</v>
      </c>
      <c r="N290" s="20">
        <v>0.2</v>
      </c>
      <c r="O290" s="19" t="s">
        <v>25</v>
      </c>
      <c r="P290" s="19" t="s">
        <v>58</v>
      </c>
      <c r="Q290" s="19" t="str">
        <f>TRIM(SalesData[[#This Row],[Customer_Name]])</f>
        <v>Rahul Sharma</v>
      </c>
      <c r="R290" s="21">
        <f>SalesData[[#This Row],[Sales]]-SalesData[[#This Row],[Cost]]</f>
        <v>3831.8999999999996</v>
      </c>
      <c r="S290" s="22">
        <f>IFERROR(SalesData[[#This Row],[Profit]]/SalesData[[#This Row],[Sales]],0)</f>
        <v>0.59778166047861214</v>
      </c>
      <c r="T290" s="19">
        <f>YEAR(SalesData[[#This Row],[Order_Date]])</f>
        <v>2024</v>
      </c>
      <c r="U290" s="19" t="str">
        <f>TEXT(SalesData[[#This Row],[Order_Date]],"mmm")</f>
        <v>Feb</v>
      </c>
      <c r="V290" s="19" t="str">
        <f>"Q"&amp;ROUNDUP(MONTH(SalesData[[#This Row],[Order_Date]])/3,0)</f>
        <v>Q1</v>
      </c>
      <c r="W290" s="19" t="str">
        <f>IF(SalesData[[#This Row],[Sales]]&gt;=50000,"High",IF(AND(SalesData[[#This Row],[Sales]]&gt;= 20000, SalesData[[#This Row],[Sales]]&lt; 50000),"Medium","Low"))</f>
        <v>Low</v>
      </c>
      <c r="X290" s="19" t="str">
        <f>IF(SalesData[[#This Row],[Profit]]&gt;0,"Profit","Loss")</f>
        <v>Profit</v>
      </c>
      <c r="Y290" s="19" t="str">
        <f>IF(AND(SalesData[[#This Row],[Sales]]&gt;= 50000, SalesData[[#This Row],[Quantity]]&gt;=2),"Yes","No")</f>
        <v>No</v>
      </c>
      <c r="Z290" s="19" t="str">
        <f>UPPER(SalesData[[#This Row],[Customer_Name]])</f>
        <v>RAHUL SHARMA</v>
      </c>
      <c r="AA290" s="19" t="str">
        <f>LOWER(SalesData[[#This Row],[Customer_Name]])</f>
        <v>rahul sharma</v>
      </c>
      <c r="AB290" s="19">
        <f>LEN(SalesData[[#This Row],[Customer_Name]])</f>
        <v>12</v>
      </c>
      <c r="AC290" s="19" t="str">
        <f>LEFT(SalesData[[#This Row],[Order_ID]],3)</f>
        <v>ORD</v>
      </c>
      <c r="AD290" s="19" t="str">
        <f>RIGHT(SalesData[[#This Row],[Order_ID]],4)</f>
        <v>0670</v>
      </c>
      <c r="AE290" s="19" t="str">
        <f>_xlfn.CONCAT(SalesData[[#This Row],[Clean_Customer_Name]],"-",SalesData[[#This Row],[Region]])</f>
        <v>Rahul Sharma-North</v>
      </c>
      <c r="AF290" s="19" t="str">
        <f>MID(SalesData[[#This Row],[Order_ID]],4,4)</f>
        <v>0670</v>
      </c>
      <c r="AG290" s="19" t="e">
        <f ca="1">_xlfn.SINGLE(_xlfn.XLOOKUP(SalesData[[#This Row],[Product]],Product_Master!A:A,Product_Master!B:B,"Not Found"))</f>
        <v>#NAME?</v>
      </c>
      <c r="AH290" s="19" t="str">
        <f>VLOOKUP(SalesData[[#This Row],[Product]],Product_Master!$A$1:$B$21,2,FALSE)</f>
        <v>Simran</v>
      </c>
      <c r="AI290" s="16"/>
    </row>
    <row r="291" spans="1:35" ht="13.8">
      <c r="A291" s="16" t="s">
        <v>27</v>
      </c>
      <c r="B291" s="17">
        <v>45515</v>
      </c>
      <c r="C291" s="16" t="s">
        <v>28</v>
      </c>
      <c r="D291" s="16" t="s">
        <v>29</v>
      </c>
      <c r="E291" s="16" t="s">
        <v>30</v>
      </c>
      <c r="F291" s="16" t="s">
        <v>31</v>
      </c>
      <c r="G291" s="16" t="s">
        <v>21</v>
      </c>
      <c r="H291" s="16" t="s">
        <v>32</v>
      </c>
      <c r="I291" s="16" t="s">
        <v>23</v>
      </c>
      <c r="J291" s="16" t="s">
        <v>33</v>
      </c>
      <c r="K291" s="18">
        <v>102710.69</v>
      </c>
      <c r="L291" s="18">
        <v>96102.82</v>
      </c>
      <c r="M291" s="19">
        <v>2</v>
      </c>
      <c r="N291" s="20">
        <v>0.05</v>
      </c>
      <c r="O291" s="19" t="s">
        <v>34</v>
      </c>
      <c r="P291" s="19" t="s">
        <v>26</v>
      </c>
      <c r="Q291" s="19" t="str">
        <f>TRIM(SalesData[[#This Row],[Customer_Name]])</f>
        <v>Priya Singh</v>
      </c>
      <c r="R291" s="21">
        <f>SalesData[[#This Row],[Sales]]-SalesData[[#This Row],[Cost]]</f>
        <v>6607.8699999999953</v>
      </c>
      <c r="S291" s="22">
        <f>IFERROR(SalesData[[#This Row],[Profit]]/SalesData[[#This Row],[Sales]],0)</f>
        <v>6.4334783458274841E-2</v>
      </c>
      <c r="T291" s="19">
        <f>YEAR(SalesData[[#This Row],[Order_Date]])</f>
        <v>2024</v>
      </c>
      <c r="U291" s="19" t="str">
        <f>TEXT(SalesData[[#This Row],[Order_Date]],"mmm")</f>
        <v>Aug</v>
      </c>
      <c r="V291" s="19" t="str">
        <f>"Q"&amp;ROUNDUP(MONTH(SalesData[[#This Row],[Order_Date]])/3,0)</f>
        <v>Q3</v>
      </c>
      <c r="W291" s="19" t="str">
        <f>IF(SalesData[[#This Row],[Sales]]&gt;=50000,"High",IF(AND(SalesData[[#This Row],[Sales]]&gt;= 20000, SalesData[[#This Row],[Sales]]&lt; 50000),"Medium","Low"))</f>
        <v>High</v>
      </c>
      <c r="X291" s="19" t="str">
        <f>IF(SalesData[[#This Row],[Profit]]&gt;0,"Profit","Loss")</f>
        <v>Profit</v>
      </c>
      <c r="Y291" s="19" t="str">
        <f>IF(AND(SalesData[[#This Row],[Sales]]&gt;= 50000, SalesData[[#This Row],[Quantity]]&gt;=2),"Yes","No")</f>
        <v>Yes</v>
      </c>
      <c r="Z291" s="19" t="str">
        <f>UPPER(SalesData[[#This Row],[Customer_Name]])</f>
        <v>PRIYA SINGH</v>
      </c>
      <c r="AA291" s="19" t="str">
        <f>LOWER(SalesData[[#This Row],[Customer_Name]])</f>
        <v>priya singh</v>
      </c>
      <c r="AB291" s="19">
        <f>LEN(SalesData[[#This Row],[Customer_Name]])</f>
        <v>11</v>
      </c>
      <c r="AC291" s="19" t="str">
        <f>LEFT(SalesData[[#This Row],[Order_ID]],3)</f>
        <v>ORD</v>
      </c>
      <c r="AD291" s="19" t="str">
        <f>RIGHT(SalesData[[#This Row],[Order_ID]],4)</f>
        <v>0002</v>
      </c>
      <c r="AE291" s="19" t="str">
        <f>_xlfn.CONCAT(SalesData[[#This Row],[Clean_Customer_Name]],"-",SalesData[[#This Row],[Region]])</f>
        <v>Priya Singh-North</v>
      </c>
      <c r="AF291" s="19" t="str">
        <f>MID(SalesData[[#This Row],[Order_ID]],4,4)</f>
        <v>0002</v>
      </c>
      <c r="AG291" s="19" t="e">
        <f ca="1">_xlfn.SINGLE(_xlfn.XLOOKUP(SalesData[[#This Row],[Product]],Product_Master!A:A,Product_Master!B:B,"Not Found"))</f>
        <v>#NAME?</v>
      </c>
      <c r="AH291" s="19" t="str">
        <f>VLOOKUP(SalesData[[#This Row],[Product]],Product_Master!$A$1:$B$21,2,FALSE)</f>
        <v>Rahul</v>
      </c>
      <c r="AI291" s="16"/>
    </row>
    <row r="292" spans="1:35" ht="13.8">
      <c r="A292" s="16" t="s">
        <v>619</v>
      </c>
      <c r="B292" s="17">
        <v>45902</v>
      </c>
      <c r="C292" s="16" t="s">
        <v>28</v>
      </c>
      <c r="D292" s="16" t="s">
        <v>29</v>
      </c>
      <c r="E292" s="16" t="s">
        <v>30</v>
      </c>
      <c r="F292" s="16" t="s">
        <v>31</v>
      </c>
      <c r="G292" s="16" t="s">
        <v>21</v>
      </c>
      <c r="H292" s="16" t="s">
        <v>32</v>
      </c>
      <c r="I292" s="16" t="s">
        <v>42</v>
      </c>
      <c r="J292" s="16" t="s">
        <v>43</v>
      </c>
      <c r="K292" s="18">
        <v>231854.58</v>
      </c>
      <c r="L292" s="18">
        <v>193426.64</v>
      </c>
      <c r="M292" s="19">
        <v>4</v>
      </c>
      <c r="N292" s="20">
        <v>0.1</v>
      </c>
      <c r="O292" s="19" t="s">
        <v>76</v>
      </c>
      <c r="P292" s="19" t="s">
        <v>77</v>
      </c>
      <c r="Q292" s="19" t="str">
        <f>TRIM(SalesData[[#This Row],[Customer_Name]])</f>
        <v>Priya Singh</v>
      </c>
      <c r="R292" s="21">
        <f>SalesData[[#This Row],[Sales]]-SalesData[[#This Row],[Cost]]</f>
        <v>38427.939999999973</v>
      </c>
      <c r="S292" s="22">
        <f>IFERROR(SalesData[[#This Row],[Profit]]/SalesData[[#This Row],[Sales]],0)</f>
        <v>0.16574156093875728</v>
      </c>
      <c r="T292" s="19">
        <f>YEAR(SalesData[[#This Row],[Order_Date]])</f>
        <v>2025</v>
      </c>
      <c r="U292" s="19" t="str">
        <f>TEXT(SalesData[[#This Row],[Order_Date]],"mmm")</f>
        <v>Sept</v>
      </c>
      <c r="V292" s="19" t="str">
        <f>"Q"&amp;ROUNDUP(MONTH(SalesData[[#This Row],[Order_Date]])/3,0)</f>
        <v>Q3</v>
      </c>
      <c r="W292" s="19" t="str">
        <f>IF(SalesData[[#This Row],[Sales]]&gt;=50000,"High",IF(AND(SalesData[[#This Row],[Sales]]&gt;= 20000, SalesData[[#This Row],[Sales]]&lt; 50000),"Medium","Low"))</f>
        <v>High</v>
      </c>
      <c r="X292" s="19" t="str">
        <f>IF(SalesData[[#This Row],[Profit]]&gt;0,"Profit","Loss")</f>
        <v>Profit</v>
      </c>
      <c r="Y292" s="19" t="str">
        <f>IF(AND(SalesData[[#This Row],[Sales]]&gt;= 50000, SalesData[[#This Row],[Quantity]]&gt;=2),"Yes","No")</f>
        <v>Yes</v>
      </c>
      <c r="Z292" s="19" t="str">
        <f>UPPER(SalesData[[#This Row],[Customer_Name]])</f>
        <v>PRIYA SINGH</v>
      </c>
      <c r="AA292" s="19" t="str">
        <f>LOWER(SalesData[[#This Row],[Customer_Name]])</f>
        <v>priya singh</v>
      </c>
      <c r="AB292" s="19">
        <f>LEN(SalesData[[#This Row],[Customer_Name]])</f>
        <v>11</v>
      </c>
      <c r="AC292" s="19" t="str">
        <f>LEFT(SalesData[[#This Row],[Order_ID]],3)</f>
        <v>ORD</v>
      </c>
      <c r="AD292" s="19" t="str">
        <f>RIGHT(SalesData[[#This Row],[Order_ID]],4)</f>
        <v>0466</v>
      </c>
      <c r="AE292" s="19" t="str">
        <f>_xlfn.CONCAT(SalesData[[#This Row],[Clean_Customer_Name]],"-",SalesData[[#This Row],[Region]])</f>
        <v>Priya Singh-East</v>
      </c>
      <c r="AF292" s="19" t="str">
        <f>MID(SalesData[[#This Row],[Order_ID]],4,4)</f>
        <v>0466</v>
      </c>
      <c r="AG292" s="19" t="e">
        <f ca="1">_xlfn.SINGLE(_xlfn.XLOOKUP(SalesData[[#This Row],[Product]],Product_Master!A:A,Product_Master!B:B,"Not Found"))</f>
        <v>#NAME?</v>
      </c>
      <c r="AH292" s="19" t="str">
        <f>VLOOKUP(SalesData[[#This Row],[Product]],Product_Master!$A$1:$B$21,2,FALSE)</f>
        <v>Rahul</v>
      </c>
      <c r="AI292" s="16"/>
    </row>
    <row r="293" spans="1:35" ht="13.8">
      <c r="A293" s="16" t="s">
        <v>358</v>
      </c>
      <c r="B293" s="17">
        <v>45798</v>
      </c>
      <c r="C293" s="16" t="s">
        <v>28</v>
      </c>
      <c r="D293" s="16" t="s">
        <v>29</v>
      </c>
      <c r="E293" s="16" t="s">
        <v>81</v>
      </c>
      <c r="F293" s="16" t="s">
        <v>82</v>
      </c>
      <c r="G293" s="16" t="s">
        <v>21</v>
      </c>
      <c r="H293" s="16" t="s">
        <v>83</v>
      </c>
      <c r="I293" s="16" t="s">
        <v>84</v>
      </c>
      <c r="J293" s="16" t="s">
        <v>142</v>
      </c>
      <c r="K293" s="18">
        <v>126944.18</v>
      </c>
      <c r="L293" s="18">
        <v>96882.1</v>
      </c>
      <c r="M293" s="19">
        <v>5</v>
      </c>
      <c r="N293" s="20">
        <v>0.15</v>
      </c>
      <c r="O293" s="19" t="s">
        <v>44</v>
      </c>
      <c r="P293" s="19" t="s">
        <v>58</v>
      </c>
      <c r="Q293" s="19" t="str">
        <f>TRIM(SalesData[[#This Row],[Customer_Name]])</f>
        <v>Priya Singh</v>
      </c>
      <c r="R293" s="21">
        <f>SalesData[[#This Row],[Sales]]-SalesData[[#This Row],[Cost]]</f>
        <v>30062.079999999987</v>
      </c>
      <c r="S293" s="22">
        <f>IFERROR(SalesData[[#This Row],[Profit]]/SalesData[[#This Row],[Sales]],0)</f>
        <v>0.23681337734427832</v>
      </c>
      <c r="T293" s="19">
        <f>YEAR(SalesData[[#This Row],[Order_Date]])</f>
        <v>2025</v>
      </c>
      <c r="U293" s="19" t="str">
        <f>TEXT(SalesData[[#This Row],[Order_Date]],"mmm")</f>
        <v>May</v>
      </c>
      <c r="V293" s="19" t="str">
        <f>"Q"&amp;ROUNDUP(MONTH(SalesData[[#This Row],[Order_Date]])/3,0)</f>
        <v>Q2</v>
      </c>
      <c r="W293" s="19" t="str">
        <f>IF(SalesData[[#This Row],[Sales]]&gt;=50000,"High",IF(AND(SalesData[[#This Row],[Sales]]&gt;= 20000, SalesData[[#This Row],[Sales]]&lt; 50000),"Medium","Low"))</f>
        <v>High</v>
      </c>
      <c r="X293" s="19" t="str">
        <f>IF(SalesData[[#This Row],[Profit]]&gt;0,"Profit","Loss")</f>
        <v>Profit</v>
      </c>
      <c r="Y293" s="19" t="str">
        <f>IF(AND(SalesData[[#This Row],[Sales]]&gt;= 50000, SalesData[[#This Row],[Quantity]]&gt;=2),"Yes","No")</f>
        <v>Yes</v>
      </c>
      <c r="Z293" s="19" t="str">
        <f>UPPER(SalesData[[#This Row],[Customer_Name]])</f>
        <v>PRIYA SINGH</v>
      </c>
      <c r="AA293" s="19" t="str">
        <f>LOWER(SalesData[[#This Row],[Customer_Name]])</f>
        <v>priya singh</v>
      </c>
      <c r="AB293" s="19">
        <f>LEN(SalesData[[#This Row],[Customer_Name]])</f>
        <v>11</v>
      </c>
      <c r="AC293" s="19" t="str">
        <f>LEFT(SalesData[[#This Row],[Order_ID]],3)</f>
        <v>ORD</v>
      </c>
      <c r="AD293" s="19" t="str">
        <f>RIGHT(SalesData[[#This Row],[Order_ID]],4)</f>
        <v>0205</v>
      </c>
      <c r="AE293" s="19" t="str">
        <f>_xlfn.CONCAT(SalesData[[#This Row],[Clean_Customer_Name]],"-",SalesData[[#This Row],[Region]])</f>
        <v>Priya Singh-South</v>
      </c>
      <c r="AF293" s="19" t="str">
        <f>MID(SalesData[[#This Row],[Order_ID]],4,4)</f>
        <v>0205</v>
      </c>
      <c r="AG293" s="19" t="e">
        <f ca="1">_xlfn.SINGLE(_xlfn.XLOOKUP(SalesData[[#This Row],[Product]],Product_Master!A:A,Product_Master!B:B,"Not Found"))</f>
        <v>#NAME?</v>
      </c>
      <c r="AH293" s="19" t="str">
        <f>VLOOKUP(SalesData[[#This Row],[Product]],Product_Master!$A$1:$B$21,2,FALSE)</f>
        <v>Priya</v>
      </c>
      <c r="AI293" s="16"/>
    </row>
    <row r="294" spans="1:35" ht="13.8">
      <c r="A294" s="16" t="s">
        <v>1061</v>
      </c>
      <c r="B294" s="17">
        <v>45611</v>
      </c>
      <c r="C294" s="16" t="s">
        <v>28</v>
      </c>
      <c r="D294" s="16" t="s">
        <v>29</v>
      </c>
      <c r="E294" s="16" t="s">
        <v>81</v>
      </c>
      <c r="F294" s="16" t="s">
        <v>82</v>
      </c>
      <c r="G294" s="16" t="s">
        <v>21</v>
      </c>
      <c r="H294" s="16" t="s">
        <v>83</v>
      </c>
      <c r="I294" s="16" t="s">
        <v>23</v>
      </c>
      <c r="J294" s="16" t="s">
        <v>75</v>
      </c>
      <c r="K294" s="18">
        <v>154811.51999999999</v>
      </c>
      <c r="L294" s="18">
        <v>88845.25</v>
      </c>
      <c r="M294" s="19">
        <v>5</v>
      </c>
      <c r="N294" s="20">
        <v>0.1</v>
      </c>
      <c r="O294" s="19" t="s">
        <v>44</v>
      </c>
      <c r="P294" s="19" t="s">
        <v>58</v>
      </c>
      <c r="Q294" s="19" t="str">
        <f>TRIM(SalesData[[#This Row],[Customer_Name]])</f>
        <v>Priya Singh</v>
      </c>
      <c r="R294" s="21">
        <f>SalesData[[#This Row],[Sales]]-SalesData[[#This Row],[Cost]]</f>
        <v>65966.26999999999</v>
      </c>
      <c r="S294" s="22">
        <f>IFERROR(SalesData[[#This Row],[Profit]]/SalesData[[#This Row],[Sales]],0)</f>
        <v>0.42610698480319809</v>
      </c>
      <c r="T294" s="19">
        <f>YEAR(SalesData[[#This Row],[Order_Date]])</f>
        <v>2024</v>
      </c>
      <c r="U294" s="19" t="str">
        <f>TEXT(SalesData[[#This Row],[Order_Date]],"mmm")</f>
        <v>Nov</v>
      </c>
      <c r="V294" s="19" t="str">
        <f>"Q"&amp;ROUNDUP(MONTH(SalesData[[#This Row],[Order_Date]])/3,0)</f>
        <v>Q4</v>
      </c>
      <c r="W294" s="19" t="str">
        <f>IF(SalesData[[#This Row],[Sales]]&gt;=50000,"High",IF(AND(SalesData[[#This Row],[Sales]]&gt;= 20000, SalesData[[#This Row],[Sales]]&lt; 50000),"Medium","Low"))</f>
        <v>High</v>
      </c>
      <c r="X294" s="19" t="str">
        <f>IF(SalesData[[#This Row],[Profit]]&gt;0,"Profit","Loss")</f>
        <v>Profit</v>
      </c>
      <c r="Y294" s="19" t="str">
        <f>IF(AND(SalesData[[#This Row],[Sales]]&gt;= 50000, SalesData[[#This Row],[Quantity]]&gt;=2),"Yes","No")</f>
        <v>Yes</v>
      </c>
      <c r="Z294" s="19" t="str">
        <f>UPPER(SalesData[[#This Row],[Customer_Name]])</f>
        <v>PRIYA SINGH</v>
      </c>
      <c r="AA294" s="19" t="str">
        <f>LOWER(SalesData[[#This Row],[Customer_Name]])</f>
        <v>priya singh</v>
      </c>
      <c r="AB294" s="19">
        <f>LEN(SalesData[[#This Row],[Customer_Name]])</f>
        <v>11</v>
      </c>
      <c r="AC294" s="19" t="str">
        <f>LEFT(SalesData[[#This Row],[Order_ID]],3)</f>
        <v>ORD</v>
      </c>
      <c r="AD294" s="19" t="str">
        <f>RIGHT(SalesData[[#This Row],[Order_ID]],4)</f>
        <v>0908</v>
      </c>
      <c r="AE294" s="19" t="str">
        <f>_xlfn.CONCAT(SalesData[[#This Row],[Clean_Customer_Name]],"-",SalesData[[#This Row],[Region]])</f>
        <v>Priya Singh-North</v>
      </c>
      <c r="AF294" s="19" t="str">
        <f>MID(SalesData[[#This Row],[Order_ID]],4,4)</f>
        <v>0908</v>
      </c>
      <c r="AG294" s="19" t="e">
        <f ca="1">_xlfn.SINGLE(_xlfn.XLOOKUP(SalesData[[#This Row],[Product]],Product_Master!A:A,Product_Master!B:B,"Not Found"))</f>
        <v>#NAME?</v>
      </c>
      <c r="AH294" s="19" t="str">
        <f>VLOOKUP(SalesData[[#This Row],[Product]],Product_Master!$A$1:$B$21,2,FALSE)</f>
        <v>Priya</v>
      </c>
      <c r="AI294" s="16"/>
    </row>
    <row r="295" spans="1:35" ht="13.8">
      <c r="A295" s="16" t="s">
        <v>163</v>
      </c>
      <c r="B295" s="17">
        <v>45725</v>
      </c>
      <c r="C295" s="16" t="s">
        <v>28</v>
      </c>
      <c r="D295" s="16" t="s">
        <v>29</v>
      </c>
      <c r="E295" s="16" t="s">
        <v>62</v>
      </c>
      <c r="F295" s="16" t="s">
        <v>63</v>
      </c>
      <c r="G295" s="16" t="s">
        <v>21</v>
      </c>
      <c r="H295" s="16" t="s">
        <v>64</v>
      </c>
      <c r="I295" s="16" t="s">
        <v>42</v>
      </c>
      <c r="J295" s="16" t="s">
        <v>68</v>
      </c>
      <c r="K295" s="18">
        <v>10008.26</v>
      </c>
      <c r="L295" s="18">
        <v>4907.6099999999997</v>
      </c>
      <c r="M295" s="19">
        <v>3</v>
      </c>
      <c r="N295" s="20">
        <v>0.05</v>
      </c>
      <c r="O295" s="19" t="s">
        <v>44</v>
      </c>
      <c r="P295" s="19" t="s">
        <v>58</v>
      </c>
      <c r="Q295" s="19" t="str">
        <f>TRIM(SalesData[[#This Row],[Customer_Name]])</f>
        <v>Priya Singh</v>
      </c>
      <c r="R295" s="21">
        <f>SalesData[[#This Row],[Sales]]-SalesData[[#This Row],[Cost]]</f>
        <v>5100.6500000000005</v>
      </c>
      <c r="S295" s="22">
        <f>IFERROR(SalesData[[#This Row],[Profit]]/SalesData[[#This Row],[Sales]],0)</f>
        <v>0.50964403402789304</v>
      </c>
      <c r="T295" s="19">
        <f>YEAR(SalesData[[#This Row],[Order_Date]])</f>
        <v>2025</v>
      </c>
      <c r="U295" s="19" t="str">
        <f>TEXT(SalesData[[#This Row],[Order_Date]],"mmm")</f>
        <v>Mar</v>
      </c>
      <c r="V295" s="19" t="str">
        <f>"Q"&amp;ROUNDUP(MONTH(SalesData[[#This Row],[Order_Date]])/3,0)</f>
        <v>Q1</v>
      </c>
      <c r="W295" s="19" t="str">
        <f>IF(SalesData[[#This Row],[Sales]]&gt;=50000,"High",IF(AND(SalesData[[#This Row],[Sales]]&gt;= 20000, SalesData[[#This Row],[Sales]]&lt; 50000),"Medium","Low"))</f>
        <v>Low</v>
      </c>
      <c r="X295" s="19" t="str">
        <f>IF(SalesData[[#This Row],[Profit]]&gt;0,"Profit","Loss")</f>
        <v>Profit</v>
      </c>
      <c r="Y295" s="19" t="str">
        <f>IF(AND(SalesData[[#This Row],[Sales]]&gt;= 50000, SalesData[[#This Row],[Quantity]]&gt;=2),"Yes","No")</f>
        <v>No</v>
      </c>
      <c r="Z295" s="19" t="str">
        <f>UPPER(SalesData[[#This Row],[Customer_Name]])</f>
        <v>PRIYA SINGH</v>
      </c>
      <c r="AA295" s="19" t="str">
        <f>LOWER(SalesData[[#This Row],[Customer_Name]])</f>
        <v>priya singh</v>
      </c>
      <c r="AB295" s="19">
        <f>LEN(SalesData[[#This Row],[Customer_Name]])</f>
        <v>11</v>
      </c>
      <c r="AC295" s="19" t="str">
        <f>LEFT(SalesData[[#This Row],[Order_ID]],3)</f>
        <v>ORD</v>
      </c>
      <c r="AD295" s="19" t="str">
        <f>RIGHT(SalesData[[#This Row],[Order_ID]],4)</f>
        <v>0037</v>
      </c>
      <c r="AE295" s="19" t="str">
        <f>_xlfn.CONCAT(SalesData[[#This Row],[Clean_Customer_Name]],"-",SalesData[[#This Row],[Region]])</f>
        <v>Priya Singh-East</v>
      </c>
      <c r="AF295" s="19" t="str">
        <f>MID(SalesData[[#This Row],[Order_ID]],4,4)</f>
        <v>0037</v>
      </c>
      <c r="AG295" s="19" t="e">
        <f ca="1">_xlfn.SINGLE(_xlfn.XLOOKUP(SalesData[[#This Row],[Product]],Product_Master!A:A,Product_Master!B:B,"Not Found"))</f>
        <v>#NAME?</v>
      </c>
      <c r="AH295" s="19" t="str">
        <f>VLOOKUP(SalesData[[#This Row],[Product]],Product_Master!$A$1:$B$21,2,FALSE)</f>
        <v>Amit</v>
      </c>
      <c r="AI295" s="16"/>
    </row>
    <row r="296" spans="1:35" ht="13.8">
      <c r="A296" s="16" t="s">
        <v>420</v>
      </c>
      <c r="B296" s="17">
        <v>45579</v>
      </c>
      <c r="C296" s="16" t="s">
        <v>28</v>
      </c>
      <c r="D296" s="16" t="s">
        <v>29</v>
      </c>
      <c r="E296" s="16" t="s">
        <v>62</v>
      </c>
      <c r="F296" s="16" t="s">
        <v>63</v>
      </c>
      <c r="G296" s="16" t="s">
        <v>21</v>
      </c>
      <c r="H296" s="16" t="s">
        <v>64</v>
      </c>
      <c r="I296" s="16" t="s">
        <v>42</v>
      </c>
      <c r="J296" s="16" t="s">
        <v>68</v>
      </c>
      <c r="K296" s="18">
        <v>9735.89</v>
      </c>
      <c r="L296" s="18">
        <v>9114.2999999999993</v>
      </c>
      <c r="M296" s="19">
        <v>5</v>
      </c>
      <c r="N296" s="20">
        <v>0.1</v>
      </c>
      <c r="O296" s="19" t="s">
        <v>25</v>
      </c>
      <c r="P296" s="19" t="s">
        <v>58</v>
      </c>
      <c r="Q296" s="19" t="str">
        <f>TRIM(SalesData[[#This Row],[Customer_Name]])</f>
        <v>Priya Singh</v>
      </c>
      <c r="R296" s="21">
        <f>SalesData[[#This Row],[Sales]]-SalesData[[#This Row],[Cost]]</f>
        <v>621.59000000000015</v>
      </c>
      <c r="S296" s="22">
        <f>IFERROR(SalesData[[#This Row],[Profit]]/SalesData[[#This Row],[Sales]],0)</f>
        <v>6.3845215999769944E-2</v>
      </c>
      <c r="T296" s="19">
        <f>YEAR(SalesData[[#This Row],[Order_Date]])</f>
        <v>2024</v>
      </c>
      <c r="U296" s="19" t="str">
        <f>TEXT(SalesData[[#This Row],[Order_Date]],"mmm")</f>
        <v>Oct</v>
      </c>
      <c r="V296" s="19" t="str">
        <f>"Q"&amp;ROUNDUP(MONTH(SalesData[[#This Row],[Order_Date]])/3,0)</f>
        <v>Q4</v>
      </c>
      <c r="W296" s="19" t="str">
        <f>IF(SalesData[[#This Row],[Sales]]&gt;=50000,"High",IF(AND(SalesData[[#This Row],[Sales]]&gt;= 20000, SalesData[[#This Row],[Sales]]&lt; 50000),"Medium","Low"))</f>
        <v>Low</v>
      </c>
      <c r="X296" s="19" t="str">
        <f>IF(SalesData[[#This Row],[Profit]]&gt;0,"Profit","Loss")</f>
        <v>Profit</v>
      </c>
      <c r="Y296" s="19" t="str">
        <f>IF(AND(SalesData[[#This Row],[Sales]]&gt;= 50000, SalesData[[#This Row],[Quantity]]&gt;=2),"Yes","No")</f>
        <v>No</v>
      </c>
      <c r="Z296" s="19" t="str">
        <f>UPPER(SalesData[[#This Row],[Customer_Name]])</f>
        <v>PRIYA SINGH</v>
      </c>
      <c r="AA296" s="19" t="str">
        <f>LOWER(SalesData[[#This Row],[Customer_Name]])</f>
        <v>priya singh</v>
      </c>
      <c r="AB296" s="19">
        <f>LEN(SalesData[[#This Row],[Customer_Name]])</f>
        <v>11</v>
      </c>
      <c r="AC296" s="19" t="str">
        <f>LEFT(SalesData[[#This Row],[Order_ID]],3)</f>
        <v>ORD</v>
      </c>
      <c r="AD296" s="19" t="str">
        <f>RIGHT(SalesData[[#This Row],[Order_ID]],4)</f>
        <v>0267</v>
      </c>
      <c r="AE296" s="19" t="str">
        <f>_xlfn.CONCAT(SalesData[[#This Row],[Clean_Customer_Name]],"-",SalesData[[#This Row],[Region]])</f>
        <v>Priya Singh-East</v>
      </c>
      <c r="AF296" s="19" t="str">
        <f>MID(SalesData[[#This Row],[Order_ID]],4,4)</f>
        <v>0267</v>
      </c>
      <c r="AG296" s="19" t="e">
        <f ca="1">_xlfn.SINGLE(_xlfn.XLOOKUP(SalesData[[#This Row],[Product]],Product_Master!A:A,Product_Master!B:B,"Not Found"))</f>
        <v>#NAME?</v>
      </c>
      <c r="AH296" s="19" t="str">
        <f>VLOOKUP(SalesData[[#This Row],[Product]],Product_Master!$A$1:$B$21,2,FALSE)</f>
        <v>Amit</v>
      </c>
      <c r="AI296" s="16"/>
    </row>
    <row r="297" spans="1:35" ht="13.8">
      <c r="A297" s="16" t="s">
        <v>1113</v>
      </c>
      <c r="B297" s="17">
        <v>45712</v>
      </c>
      <c r="C297" s="16" t="s">
        <v>28</v>
      </c>
      <c r="D297" s="16" t="s">
        <v>29</v>
      </c>
      <c r="E297" s="16" t="s">
        <v>62</v>
      </c>
      <c r="F297" s="16" t="s">
        <v>63</v>
      </c>
      <c r="G297" s="16" t="s">
        <v>21</v>
      </c>
      <c r="H297" s="16" t="s">
        <v>64</v>
      </c>
      <c r="I297" s="16" t="s">
        <v>84</v>
      </c>
      <c r="J297" s="16" t="s">
        <v>85</v>
      </c>
      <c r="K297" s="18">
        <v>12768.3</v>
      </c>
      <c r="L297" s="18">
        <v>5688.96</v>
      </c>
      <c r="M297" s="19">
        <v>3</v>
      </c>
      <c r="N297" s="20">
        <v>0</v>
      </c>
      <c r="O297" s="19" t="s">
        <v>34</v>
      </c>
      <c r="P297" s="19" t="s">
        <v>58</v>
      </c>
      <c r="Q297" s="19" t="str">
        <f>TRIM(SalesData[[#This Row],[Customer_Name]])</f>
        <v>Priya Singh</v>
      </c>
      <c r="R297" s="21">
        <f>SalesData[[#This Row],[Sales]]-SalesData[[#This Row],[Cost]]</f>
        <v>7079.3399999999992</v>
      </c>
      <c r="S297" s="22">
        <f>IFERROR(SalesData[[#This Row],[Profit]]/SalesData[[#This Row],[Sales]],0)</f>
        <v>0.55444655905641316</v>
      </c>
      <c r="T297" s="19">
        <f>YEAR(SalesData[[#This Row],[Order_Date]])</f>
        <v>2025</v>
      </c>
      <c r="U297" s="19" t="str">
        <f>TEXT(SalesData[[#This Row],[Order_Date]],"mmm")</f>
        <v>Feb</v>
      </c>
      <c r="V297" s="19" t="str">
        <f>"Q"&amp;ROUNDUP(MONTH(SalesData[[#This Row],[Order_Date]])/3,0)</f>
        <v>Q1</v>
      </c>
      <c r="W297" s="19" t="str">
        <f>IF(SalesData[[#This Row],[Sales]]&gt;=50000,"High",IF(AND(SalesData[[#This Row],[Sales]]&gt;= 20000, SalesData[[#This Row],[Sales]]&lt; 50000),"Medium","Low"))</f>
        <v>Low</v>
      </c>
      <c r="X297" s="19" t="str">
        <f>IF(SalesData[[#This Row],[Profit]]&gt;0,"Profit","Loss")</f>
        <v>Profit</v>
      </c>
      <c r="Y297" s="19" t="str">
        <f>IF(AND(SalesData[[#This Row],[Sales]]&gt;= 50000, SalesData[[#This Row],[Quantity]]&gt;=2),"Yes","No")</f>
        <v>No</v>
      </c>
      <c r="Z297" s="19" t="str">
        <f>UPPER(SalesData[[#This Row],[Customer_Name]])</f>
        <v>PRIYA SINGH</v>
      </c>
      <c r="AA297" s="19" t="str">
        <f>LOWER(SalesData[[#This Row],[Customer_Name]])</f>
        <v>priya singh</v>
      </c>
      <c r="AB297" s="19">
        <f>LEN(SalesData[[#This Row],[Customer_Name]])</f>
        <v>11</v>
      </c>
      <c r="AC297" s="19" t="str">
        <f>LEFT(SalesData[[#This Row],[Order_ID]],3)</f>
        <v>ORD</v>
      </c>
      <c r="AD297" s="19" t="str">
        <f>RIGHT(SalesData[[#This Row],[Order_ID]],4)</f>
        <v>0960</v>
      </c>
      <c r="AE297" s="19" t="str">
        <f>_xlfn.CONCAT(SalesData[[#This Row],[Clean_Customer_Name]],"-",SalesData[[#This Row],[Region]])</f>
        <v>Priya Singh-South</v>
      </c>
      <c r="AF297" s="19" t="str">
        <f>MID(SalesData[[#This Row],[Order_ID]],4,4)</f>
        <v>0960</v>
      </c>
      <c r="AG297" s="19" t="e">
        <f ca="1">_xlfn.SINGLE(_xlfn.XLOOKUP(SalesData[[#This Row],[Product]],Product_Master!A:A,Product_Master!B:B,"Not Found"))</f>
        <v>#NAME?</v>
      </c>
      <c r="AH297" s="19" t="str">
        <f>VLOOKUP(SalesData[[#This Row],[Product]],Product_Master!$A$1:$B$21,2,FALSE)</f>
        <v>Amit</v>
      </c>
      <c r="AI297" s="16"/>
    </row>
    <row r="298" spans="1:35" ht="13.8">
      <c r="A298" s="16" t="s">
        <v>423</v>
      </c>
      <c r="B298" s="17">
        <v>45529</v>
      </c>
      <c r="C298" s="16" t="s">
        <v>28</v>
      </c>
      <c r="D298" s="16" t="s">
        <v>29</v>
      </c>
      <c r="E298" s="16" t="s">
        <v>19</v>
      </c>
      <c r="F298" s="16" t="s">
        <v>20</v>
      </c>
      <c r="G298" s="16" t="s">
        <v>21</v>
      </c>
      <c r="H298" s="16" t="s">
        <v>22</v>
      </c>
      <c r="I298" s="16" t="s">
        <v>56</v>
      </c>
      <c r="J298" s="16" t="s">
        <v>91</v>
      </c>
      <c r="K298" s="18">
        <v>6157.75</v>
      </c>
      <c r="L298" s="18">
        <v>2904.36</v>
      </c>
      <c r="M298" s="19">
        <v>1</v>
      </c>
      <c r="N298" s="20">
        <v>0.2</v>
      </c>
      <c r="O298" s="19" t="s">
        <v>136</v>
      </c>
      <c r="P298" s="19" t="s">
        <v>77</v>
      </c>
      <c r="Q298" s="19" t="str">
        <f>TRIM(SalesData[[#This Row],[Customer_Name]])</f>
        <v>Priya Singh</v>
      </c>
      <c r="R298" s="21">
        <f>SalesData[[#This Row],[Sales]]-SalesData[[#This Row],[Cost]]</f>
        <v>3253.39</v>
      </c>
      <c r="S298" s="22">
        <f>IFERROR(SalesData[[#This Row],[Profit]]/SalesData[[#This Row],[Sales]],0)</f>
        <v>0.52834070886281514</v>
      </c>
      <c r="T298" s="19">
        <f>YEAR(SalesData[[#This Row],[Order_Date]])</f>
        <v>2024</v>
      </c>
      <c r="U298" s="19" t="str">
        <f>TEXT(SalesData[[#This Row],[Order_Date]],"mmm")</f>
        <v>Aug</v>
      </c>
      <c r="V298" s="19" t="str">
        <f>"Q"&amp;ROUNDUP(MONTH(SalesData[[#This Row],[Order_Date]])/3,0)</f>
        <v>Q3</v>
      </c>
      <c r="W298" s="19" t="str">
        <f>IF(SalesData[[#This Row],[Sales]]&gt;=50000,"High",IF(AND(SalesData[[#This Row],[Sales]]&gt;= 20000, SalesData[[#This Row],[Sales]]&lt; 50000),"Medium","Low"))</f>
        <v>Low</v>
      </c>
      <c r="X298" s="19" t="str">
        <f>IF(SalesData[[#This Row],[Profit]]&gt;0,"Profit","Loss")</f>
        <v>Profit</v>
      </c>
      <c r="Y298" s="19" t="str">
        <f>IF(AND(SalesData[[#This Row],[Sales]]&gt;= 50000, SalesData[[#This Row],[Quantity]]&gt;=2),"Yes","No")</f>
        <v>No</v>
      </c>
      <c r="Z298" s="19" t="str">
        <f>UPPER(SalesData[[#This Row],[Customer_Name]])</f>
        <v>PRIYA SINGH</v>
      </c>
      <c r="AA298" s="19" t="str">
        <f>LOWER(SalesData[[#This Row],[Customer_Name]])</f>
        <v>priya singh</v>
      </c>
      <c r="AB298" s="19">
        <f>LEN(SalesData[[#This Row],[Customer_Name]])</f>
        <v>11</v>
      </c>
      <c r="AC298" s="19" t="str">
        <f>LEFT(SalesData[[#This Row],[Order_ID]],3)</f>
        <v>ORD</v>
      </c>
      <c r="AD298" s="19" t="str">
        <f>RIGHT(SalesData[[#This Row],[Order_ID]],4)</f>
        <v>0270</v>
      </c>
      <c r="AE298" s="19" t="str">
        <f>_xlfn.CONCAT(SalesData[[#This Row],[Clean_Customer_Name]],"-",SalesData[[#This Row],[Region]])</f>
        <v>Priya Singh-West</v>
      </c>
      <c r="AF298" s="19" t="str">
        <f>MID(SalesData[[#This Row],[Order_ID]],4,4)</f>
        <v>0270</v>
      </c>
      <c r="AG298" s="19" t="e">
        <f ca="1">_xlfn.SINGLE(_xlfn.XLOOKUP(SalesData[[#This Row],[Product]],Product_Master!A:A,Product_Master!B:B,"Not Found"))</f>
        <v>#NAME?</v>
      </c>
      <c r="AH298" s="19" t="str">
        <f>VLOOKUP(SalesData[[#This Row],[Product]],Product_Master!$A$1:$B$21,2,FALSE)</f>
        <v>Neha</v>
      </c>
      <c r="AI298" s="16"/>
    </row>
    <row r="299" spans="1:35" ht="13.8">
      <c r="A299" s="16" t="s">
        <v>764</v>
      </c>
      <c r="B299" s="17">
        <v>45474</v>
      </c>
      <c r="C299" s="16" t="s">
        <v>28</v>
      </c>
      <c r="D299" s="16" t="s">
        <v>29</v>
      </c>
      <c r="E299" s="16" t="s">
        <v>19</v>
      </c>
      <c r="F299" s="16" t="s">
        <v>20</v>
      </c>
      <c r="G299" s="16" t="s">
        <v>21</v>
      </c>
      <c r="H299" s="16" t="s">
        <v>22</v>
      </c>
      <c r="I299" s="16" t="s">
        <v>56</v>
      </c>
      <c r="J299" s="16" t="s">
        <v>91</v>
      </c>
      <c r="K299" s="18">
        <v>10890.48</v>
      </c>
      <c r="L299" s="18">
        <v>6206.5</v>
      </c>
      <c r="M299" s="19">
        <v>2</v>
      </c>
      <c r="N299" s="20">
        <v>0.2</v>
      </c>
      <c r="O299" s="19" t="s">
        <v>34</v>
      </c>
      <c r="P299" s="19" t="s">
        <v>58</v>
      </c>
      <c r="Q299" s="19" t="str">
        <f>TRIM(SalesData[[#This Row],[Customer_Name]])</f>
        <v>Priya Singh</v>
      </c>
      <c r="R299" s="21">
        <f>SalesData[[#This Row],[Sales]]-SalesData[[#This Row],[Cost]]</f>
        <v>4683.9799999999996</v>
      </c>
      <c r="S299" s="22">
        <f>IFERROR(SalesData[[#This Row],[Profit]]/SalesData[[#This Row],[Sales]],0)</f>
        <v>0.43009858151339514</v>
      </c>
      <c r="T299" s="19">
        <f>YEAR(SalesData[[#This Row],[Order_Date]])</f>
        <v>2024</v>
      </c>
      <c r="U299" s="19" t="str">
        <f>TEXT(SalesData[[#This Row],[Order_Date]],"mmm")</f>
        <v>Jul</v>
      </c>
      <c r="V299" s="19" t="str">
        <f>"Q"&amp;ROUNDUP(MONTH(SalesData[[#This Row],[Order_Date]])/3,0)</f>
        <v>Q3</v>
      </c>
      <c r="W299" s="19" t="str">
        <f>IF(SalesData[[#This Row],[Sales]]&gt;=50000,"High",IF(AND(SalesData[[#This Row],[Sales]]&gt;= 20000, SalesData[[#This Row],[Sales]]&lt; 50000),"Medium","Low"))</f>
        <v>Low</v>
      </c>
      <c r="X299" s="19" t="str">
        <f>IF(SalesData[[#This Row],[Profit]]&gt;0,"Profit","Loss")</f>
        <v>Profit</v>
      </c>
      <c r="Y299" s="19" t="str">
        <f>IF(AND(SalesData[[#This Row],[Sales]]&gt;= 50000, SalesData[[#This Row],[Quantity]]&gt;=2),"Yes","No")</f>
        <v>No</v>
      </c>
      <c r="Z299" s="19" t="str">
        <f>UPPER(SalesData[[#This Row],[Customer_Name]])</f>
        <v>PRIYA SINGH</v>
      </c>
      <c r="AA299" s="19" t="str">
        <f>LOWER(SalesData[[#This Row],[Customer_Name]])</f>
        <v>priya singh</v>
      </c>
      <c r="AB299" s="19">
        <f>LEN(SalesData[[#This Row],[Customer_Name]])</f>
        <v>11</v>
      </c>
      <c r="AC299" s="19" t="str">
        <f>LEFT(SalesData[[#This Row],[Order_ID]],3)</f>
        <v>ORD</v>
      </c>
      <c r="AD299" s="19" t="str">
        <f>RIGHT(SalesData[[#This Row],[Order_ID]],4)</f>
        <v>0611</v>
      </c>
      <c r="AE299" s="19" t="str">
        <f>_xlfn.CONCAT(SalesData[[#This Row],[Clean_Customer_Name]],"-",SalesData[[#This Row],[Region]])</f>
        <v>Priya Singh-West</v>
      </c>
      <c r="AF299" s="19" t="str">
        <f>MID(SalesData[[#This Row],[Order_ID]],4,4)</f>
        <v>0611</v>
      </c>
      <c r="AG299" s="19" t="e">
        <f ca="1">_xlfn.SINGLE(_xlfn.XLOOKUP(SalesData[[#This Row],[Product]],Product_Master!A:A,Product_Master!B:B,"Not Found"))</f>
        <v>#NAME?</v>
      </c>
      <c r="AH299" s="19" t="str">
        <f>VLOOKUP(SalesData[[#This Row],[Product]],Product_Master!$A$1:$B$21,2,FALSE)</f>
        <v>Neha</v>
      </c>
      <c r="AI299" s="16"/>
    </row>
    <row r="300" spans="1:35" ht="13.8">
      <c r="A300" s="16" t="s">
        <v>1130</v>
      </c>
      <c r="B300" s="17">
        <v>45871</v>
      </c>
      <c r="C300" s="16" t="s">
        <v>28</v>
      </c>
      <c r="D300" s="16" t="s">
        <v>29</v>
      </c>
      <c r="E300" s="16" t="s">
        <v>19</v>
      </c>
      <c r="F300" s="16" t="s">
        <v>20</v>
      </c>
      <c r="G300" s="16" t="s">
        <v>21</v>
      </c>
      <c r="H300" s="16" t="s">
        <v>22</v>
      </c>
      <c r="I300" s="16" t="s">
        <v>56</v>
      </c>
      <c r="J300" s="16" t="s">
        <v>91</v>
      </c>
      <c r="K300" s="18">
        <v>10477.299999999999</v>
      </c>
      <c r="L300" s="18">
        <v>5633.08</v>
      </c>
      <c r="M300" s="19">
        <v>2</v>
      </c>
      <c r="N300" s="20">
        <v>0.1</v>
      </c>
      <c r="O300" s="19" t="s">
        <v>44</v>
      </c>
      <c r="P300" s="19" t="s">
        <v>98</v>
      </c>
      <c r="Q300" s="19" t="str">
        <f>TRIM(SalesData[[#This Row],[Customer_Name]])</f>
        <v>Priya Singh</v>
      </c>
      <c r="R300" s="21">
        <f>SalesData[[#This Row],[Sales]]-SalesData[[#This Row],[Cost]]</f>
        <v>4844.2199999999993</v>
      </c>
      <c r="S300" s="22">
        <f>IFERROR(SalesData[[#This Row],[Profit]]/SalesData[[#This Row],[Sales]],0)</f>
        <v>0.46235385070581159</v>
      </c>
      <c r="T300" s="19">
        <f>YEAR(SalesData[[#This Row],[Order_Date]])</f>
        <v>2025</v>
      </c>
      <c r="U300" s="19" t="str">
        <f>TEXT(SalesData[[#This Row],[Order_Date]],"mmm")</f>
        <v>Aug</v>
      </c>
      <c r="V300" s="19" t="str">
        <f>"Q"&amp;ROUNDUP(MONTH(SalesData[[#This Row],[Order_Date]])/3,0)</f>
        <v>Q3</v>
      </c>
      <c r="W300" s="19" t="str">
        <f>IF(SalesData[[#This Row],[Sales]]&gt;=50000,"High",IF(AND(SalesData[[#This Row],[Sales]]&gt;= 20000, SalesData[[#This Row],[Sales]]&lt; 50000),"Medium","Low"))</f>
        <v>Low</v>
      </c>
      <c r="X300" s="19" t="str">
        <f>IF(SalesData[[#This Row],[Profit]]&gt;0,"Profit","Loss")</f>
        <v>Profit</v>
      </c>
      <c r="Y300" s="19" t="str">
        <f>IF(AND(SalesData[[#This Row],[Sales]]&gt;= 50000, SalesData[[#This Row],[Quantity]]&gt;=2),"Yes","No")</f>
        <v>No</v>
      </c>
      <c r="Z300" s="19" t="str">
        <f>UPPER(SalesData[[#This Row],[Customer_Name]])</f>
        <v>PRIYA SINGH</v>
      </c>
      <c r="AA300" s="19" t="str">
        <f>LOWER(SalesData[[#This Row],[Customer_Name]])</f>
        <v>priya singh</v>
      </c>
      <c r="AB300" s="19">
        <f>LEN(SalesData[[#This Row],[Customer_Name]])</f>
        <v>11</v>
      </c>
      <c r="AC300" s="19" t="str">
        <f>LEFT(SalesData[[#This Row],[Order_ID]],3)</f>
        <v>ORD</v>
      </c>
      <c r="AD300" s="19" t="str">
        <f>RIGHT(SalesData[[#This Row],[Order_ID]],4)</f>
        <v>0977</v>
      </c>
      <c r="AE300" s="19" t="str">
        <f>_xlfn.CONCAT(SalesData[[#This Row],[Clean_Customer_Name]],"-",SalesData[[#This Row],[Region]])</f>
        <v>Priya Singh-West</v>
      </c>
      <c r="AF300" s="19" t="str">
        <f>MID(SalesData[[#This Row],[Order_ID]],4,4)</f>
        <v>0977</v>
      </c>
      <c r="AG300" s="19" t="e">
        <f ca="1">_xlfn.SINGLE(_xlfn.XLOOKUP(SalesData[[#This Row],[Product]],Product_Master!A:A,Product_Master!B:B,"Not Found"))</f>
        <v>#NAME?</v>
      </c>
      <c r="AH300" s="19" t="str">
        <f>VLOOKUP(SalesData[[#This Row],[Product]],Product_Master!$A$1:$B$21,2,FALSE)</f>
        <v>Neha</v>
      </c>
      <c r="AI300" s="16"/>
    </row>
    <row r="301" spans="1:35" ht="13.8">
      <c r="A301" s="16" t="s">
        <v>294</v>
      </c>
      <c r="B301" s="17">
        <v>45924</v>
      </c>
      <c r="C301" s="16" t="s">
        <v>28</v>
      </c>
      <c r="D301" s="16" t="s">
        <v>29</v>
      </c>
      <c r="E301" s="16" t="s">
        <v>152</v>
      </c>
      <c r="F301" s="16" t="s">
        <v>153</v>
      </c>
      <c r="G301" s="16" t="s">
        <v>21</v>
      </c>
      <c r="H301" s="16" t="s">
        <v>32</v>
      </c>
      <c r="I301" s="16" t="s">
        <v>23</v>
      </c>
      <c r="J301" s="16" t="s">
        <v>75</v>
      </c>
      <c r="K301" s="18">
        <v>9244.26</v>
      </c>
      <c r="L301" s="18">
        <v>8278.35</v>
      </c>
      <c r="M301" s="19">
        <v>1</v>
      </c>
      <c r="N301" s="20">
        <v>0.15</v>
      </c>
      <c r="O301" s="19" t="s">
        <v>136</v>
      </c>
      <c r="P301" s="19" t="s">
        <v>98</v>
      </c>
      <c r="Q301" s="19" t="str">
        <f>TRIM(SalesData[[#This Row],[Customer_Name]])</f>
        <v>Priya Singh</v>
      </c>
      <c r="R301" s="21">
        <f>SalesData[[#This Row],[Sales]]-SalesData[[#This Row],[Cost]]</f>
        <v>965.90999999999985</v>
      </c>
      <c r="S301" s="22">
        <f>IFERROR(SalesData[[#This Row],[Profit]]/SalesData[[#This Row],[Sales]],0)</f>
        <v>0.10448754145815889</v>
      </c>
      <c r="T301" s="19">
        <f>YEAR(SalesData[[#This Row],[Order_Date]])</f>
        <v>2025</v>
      </c>
      <c r="U301" s="19" t="str">
        <f>TEXT(SalesData[[#This Row],[Order_Date]],"mmm")</f>
        <v>Sept</v>
      </c>
      <c r="V301" s="19" t="str">
        <f>"Q"&amp;ROUNDUP(MONTH(SalesData[[#This Row],[Order_Date]])/3,0)</f>
        <v>Q3</v>
      </c>
      <c r="W301" s="19" t="str">
        <f>IF(SalesData[[#This Row],[Sales]]&gt;=50000,"High",IF(AND(SalesData[[#This Row],[Sales]]&gt;= 20000, SalesData[[#This Row],[Sales]]&lt; 50000),"Medium","Low"))</f>
        <v>Low</v>
      </c>
      <c r="X301" s="19" t="str">
        <f>IF(SalesData[[#This Row],[Profit]]&gt;0,"Profit","Loss")</f>
        <v>Profit</v>
      </c>
      <c r="Y301" s="19" t="str">
        <f>IF(AND(SalesData[[#This Row],[Sales]]&gt;= 50000, SalesData[[#This Row],[Quantity]]&gt;=2),"Yes","No")</f>
        <v>No</v>
      </c>
      <c r="Z301" s="19" t="str">
        <f>UPPER(SalesData[[#This Row],[Customer_Name]])</f>
        <v>PRIYA SINGH</v>
      </c>
      <c r="AA301" s="19" t="str">
        <f>LOWER(SalesData[[#This Row],[Customer_Name]])</f>
        <v>priya singh</v>
      </c>
      <c r="AB301" s="19">
        <f>LEN(SalesData[[#This Row],[Customer_Name]])</f>
        <v>11</v>
      </c>
      <c r="AC301" s="19" t="str">
        <f>LEFT(SalesData[[#This Row],[Order_ID]],3)</f>
        <v>ORD</v>
      </c>
      <c r="AD301" s="19" t="str">
        <f>RIGHT(SalesData[[#This Row],[Order_ID]],4)</f>
        <v>0141</v>
      </c>
      <c r="AE301" s="19" t="str">
        <f>_xlfn.CONCAT(SalesData[[#This Row],[Clean_Customer_Name]],"-",SalesData[[#This Row],[Region]])</f>
        <v>Priya Singh-North</v>
      </c>
      <c r="AF301" s="19" t="str">
        <f>MID(SalesData[[#This Row],[Order_ID]],4,4)</f>
        <v>0141</v>
      </c>
      <c r="AG301" s="19" t="e">
        <f ca="1">_xlfn.SINGLE(_xlfn.XLOOKUP(SalesData[[#This Row],[Product]],Product_Master!A:A,Product_Master!B:B,"Not Found"))</f>
        <v>#NAME?</v>
      </c>
      <c r="AH301" s="19" t="str">
        <f>VLOOKUP(SalesData[[#This Row],[Product]],Product_Master!$A$1:$B$21,2,FALSE)</f>
        <v>Simran</v>
      </c>
      <c r="AI301" s="16"/>
    </row>
    <row r="302" spans="1:35" ht="13.8">
      <c r="A302" s="16" t="s">
        <v>709</v>
      </c>
      <c r="B302" s="17">
        <v>45324</v>
      </c>
      <c r="C302" s="16" t="s">
        <v>28</v>
      </c>
      <c r="D302" s="16" t="s">
        <v>29</v>
      </c>
      <c r="E302" s="16" t="s">
        <v>152</v>
      </c>
      <c r="F302" s="16" t="s">
        <v>153</v>
      </c>
      <c r="G302" s="16" t="s">
        <v>21</v>
      </c>
      <c r="H302" s="16" t="s">
        <v>32</v>
      </c>
      <c r="I302" s="16" t="s">
        <v>23</v>
      </c>
      <c r="J302" s="16" t="s">
        <v>75</v>
      </c>
      <c r="K302" s="18">
        <v>20617.96</v>
      </c>
      <c r="L302" s="18">
        <v>14742.58</v>
      </c>
      <c r="M302" s="19">
        <v>2</v>
      </c>
      <c r="N302" s="20">
        <v>0</v>
      </c>
      <c r="O302" s="19" t="s">
        <v>34</v>
      </c>
      <c r="P302" s="19" t="s">
        <v>26</v>
      </c>
      <c r="Q302" s="19" t="str">
        <f>TRIM(SalesData[[#This Row],[Customer_Name]])</f>
        <v>Priya Singh</v>
      </c>
      <c r="R302" s="21">
        <f>SalesData[[#This Row],[Sales]]-SalesData[[#This Row],[Cost]]</f>
        <v>5875.3799999999992</v>
      </c>
      <c r="S302" s="22">
        <f>IFERROR(SalesData[[#This Row],[Profit]]/SalesData[[#This Row],[Sales]],0)</f>
        <v>0.28496417686327841</v>
      </c>
      <c r="T302" s="19">
        <f>YEAR(SalesData[[#This Row],[Order_Date]])</f>
        <v>2024</v>
      </c>
      <c r="U302" s="19" t="str">
        <f>TEXT(SalesData[[#This Row],[Order_Date]],"mmm")</f>
        <v>Feb</v>
      </c>
      <c r="V302" s="19" t="str">
        <f>"Q"&amp;ROUNDUP(MONTH(SalesData[[#This Row],[Order_Date]])/3,0)</f>
        <v>Q1</v>
      </c>
      <c r="W302" s="19" t="str">
        <f>IF(SalesData[[#This Row],[Sales]]&gt;=50000,"High",IF(AND(SalesData[[#This Row],[Sales]]&gt;= 20000, SalesData[[#This Row],[Sales]]&lt; 50000),"Medium","Low"))</f>
        <v>Medium</v>
      </c>
      <c r="X302" s="19" t="str">
        <f>IF(SalesData[[#This Row],[Profit]]&gt;0,"Profit","Loss")</f>
        <v>Profit</v>
      </c>
      <c r="Y302" s="19" t="str">
        <f>IF(AND(SalesData[[#This Row],[Sales]]&gt;= 50000, SalesData[[#This Row],[Quantity]]&gt;=2),"Yes","No")</f>
        <v>No</v>
      </c>
      <c r="Z302" s="19" t="str">
        <f>UPPER(SalesData[[#This Row],[Customer_Name]])</f>
        <v>PRIYA SINGH</v>
      </c>
      <c r="AA302" s="19" t="str">
        <f>LOWER(SalesData[[#This Row],[Customer_Name]])</f>
        <v>priya singh</v>
      </c>
      <c r="AB302" s="19">
        <f>LEN(SalesData[[#This Row],[Customer_Name]])</f>
        <v>11</v>
      </c>
      <c r="AC302" s="19" t="str">
        <f>LEFT(SalesData[[#This Row],[Order_ID]],3)</f>
        <v>ORD</v>
      </c>
      <c r="AD302" s="19" t="str">
        <f>RIGHT(SalesData[[#This Row],[Order_ID]],4)</f>
        <v>0556</v>
      </c>
      <c r="AE302" s="19" t="str">
        <f>_xlfn.CONCAT(SalesData[[#This Row],[Clean_Customer_Name]],"-",SalesData[[#This Row],[Region]])</f>
        <v>Priya Singh-North</v>
      </c>
      <c r="AF302" s="19" t="str">
        <f>MID(SalesData[[#This Row],[Order_ID]],4,4)</f>
        <v>0556</v>
      </c>
      <c r="AG302" s="19" t="e">
        <f ca="1">_xlfn.SINGLE(_xlfn.XLOOKUP(SalesData[[#This Row],[Product]],Product_Master!A:A,Product_Master!B:B,"Not Found"))</f>
        <v>#NAME?</v>
      </c>
      <c r="AH302" s="19" t="str">
        <f>VLOOKUP(SalesData[[#This Row],[Product]],Product_Master!$A$1:$B$21,2,FALSE)</f>
        <v>Simran</v>
      </c>
      <c r="AI302" s="16"/>
    </row>
    <row r="303" spans="1:35" ht="13.8">
      <c r="A303" s="16" t="s">
        <v>614</v>
      </c>
      <c r="B303" s="17">
        <v>45549</v>
      </c>
      <c r="C303" s="16" t="s">
        <v>28</v>
      </c>
      <c r="D303" s="16" t="s">
        <v>29</v>
      </c>
      <c r="E303" s="16" t="s">
        <v>117</v>
      </c>
      <c r="F303" s="16" t="s">
        <v>118</v>
      </c>
      <c r="G303" s="16" t="s">
        <v>51</v>
      </c>
      <c r="H303" s="16" t="s">
        <v>119</v>
      </c>
      <c r="I303" s="16" t="s">
        <v>53</v>
      </c>
      <c r="J303" s="16" t="s">
        <v>54</v>
      </c>
      <c r="K303" s="18">
        <v>44715.83</v>
      </c>
      <c r="L303" s="18">
        <v>20567</v>
      </c>
      <c r="M303" s="19">
        <v>5</v>
      </c>
      <c r="N303" s="20">
        <v>0.1</v>
      </c>
      <c r="O303" s="19" t="s">
        <v>136</v>
      </c>
      <c r="P303" s="19" t="s">
        <v>26</v>
      </c>
      <c r="Q303" s="19" t="str">
        <f>TRIM(SalesData[[#This Row],[Customer_Name]])</f>
        <v>Priya Singh</v>
      </c>
      <c r="R303" s="21">
        <f>SalesData[[#This Row],[Sales]]-SalesData[[#This Row],[Cost]]</f>
        <v>24148.83</v>
      </c>
      <c r="S303" s="22">
        <f>IFERROR(SalesData[[#This Row],[Profit]]/SalesData[[#This Row],[Sales]],0)</f>
        <v>0.54005102890855428</v>
      </c>
      <c r="T303" s="19">
        <f>YEAR(SalesData[[#This Row],[Order_Date]])</f>
        <v>2024</v>
      </c>
      <c r="U303" s="19" t="str">
        <f>TEXT(SalesData[[#This Row],[Order_Date]],"mmm")</f>
        <v>Sept</v>
      </c>
      <c r="V303" s="19" t="str">
        <f>"Q"&amp;ROUNDUP(MONTH(SalesData[[#This Row],[Order_Date]])/3,0)</f>
        <v>Q3</v>
      </c>
      <c r="W303" s="19" t="str">
        <f>IF(SalesData[[#This Row],[Sales]]&gt;=50000,"High",IF(AND(SalesData[[#This Row],[Sales]]&gt;= 20000, SalesData[[#This Row],[Sales]]&lt; 50000),"Medium","Low"))</f>
        <v>Medium</v>
      </c>
      <c r="X303" s="19" t="str">
        <f>IF(SalesData[[#This Row],[Profit]]&gt;0,"Profit","Loss")</f>
        <v>Profit</v>
      </c>
      <c r="Y303" s="19" t="str">
        <f>IF(AND(SalesData[[#This Row],[Sales]]&gt;= 50000, SalesData[[#This Row],[Quantity]]&gt;=2),"Yes","No")</f>
        <v>No</v>
      </c>
      <c r="Z303" s="19" t="str">
        <f>UPPER(SalesData[[#This Row],[Customer_Name]])</f>
        <v>PRIYA SINGH</v>
      </c>
      <c r="AA303" s="19" t="str">
        <f>LOWER(SalesData[[#This Row],[Customer_Name]])</f>
        <v>priya singh</v>
      </c>
      <c r="AB303" s="19">
        <f>LEN(SalesData[[#This Row],[Customer_Name]])</f>
        <v>11</v>
      </c>
      <c r="AC303" s="19" t="str">
        <f>LEFT(SalesData[[#This Row],[Order_ID]],3)</f>
        <v>ORD</v>
      </c>
      <c r="AD303" s="19" t="str">
        <f>RIGHT(SalesData[[#This Row],[Order_ID]],4)</f>
        <v>0461</v>
      </c>
      <c r="AE303" s="19" t="str">
        <f>_xlfn.CONCAT(SalesData[[#This Row],[Clean_Customer_Name]],"-",SalesData[[#This Row],[Region]])</f>
        <v>Priya Singh-Central</v>
      </c>
      <c r="AF303" s="19" t="str">
        <f>MID(SalesData[[#This Row],[Order_ID]],4,4)</f>
        <v>0461</v>
      </c>
      <c r="AG303" s="19" t="e">
        <f ca="1">_xlfn.SINGLE(_xlfn.XLOOKUP(SalesData[[#This Row],[Product]],Product_Master!A:A,Product_Master!B:B,"Not Found"))</f>
        <v>#NAME?</v>
      </c>
      <c r="AH303" s="19" t="str">
        <f>VLOOKUP(SalesData[[#This Row],[Product]],Product_Master!$A$1:$B$21,2,FALSE)</f>
        <v>Karan</v>
      </c>
      <c r="AI303" s="16"/>
    </row>
    <row r="304" spans="1:35" ht="13.8">
      <c r="A304" s="16" t="s">
        <v>918</v>
      </c>
      <c r="B304" s="17">
        <v>45967</v>
      </c>
      <c r="C304" s="16" t="s">
        <v>28</v>
      </c>
      <c r="D304" s="16" t="s">
        <v>29</v>
      </c>
      <c r="E304" s="16" t="s">
        <v>117</v>
      </c>
      <c r="F304" s="16" t="s">
        <v>118</v>
      </c>
      <c r="G304" s="16" t="s">
        <v>51</v>
      </c>
      <c r="H304" s="16" t="s">
        <v>119</v>
      </c>
      <c r="I304" s="16" t="s">
        <v>56</v>
      </c>
      <c r="J304" s="16" t="s">
        <v>57</v>
      </c>
      <c r="K304" s="18">
        <v>15346.67</v>
      </c>
      <c r="L304" s="18">
        <v>14538.69</v>
      </c>
      <c r="M304" s="19">
        <v>3</v>
      </c>
      <c r="N304" s="20">
        <v>0.15</v>
      </c>
      <c r="O304" s="19" t="s">
        <v>76</v>
      </c>
      <c r="P304" s="19" t="s">
        <v>45</v>
      </c>
      <c r="Q304" s="19" t="str">
        <f>TRIM(SalesData[[#This Row],[Customer_Name]])</f>
        <v>Priya Singh</v>
      </c>
      <c r="R304" s="21">
        <f>SalesData[[#This Row],[Sales]]-SalesData[[#This Row],[Cost]]</f>
        <v>807.97999999999956</v>
      </c>
      <c r="S304" s="22">
        <f>IFERROR(SalesData[[#This Row],[Profit]]/SalesData[[#This Row],[Sales]],0)</f>
        <v>5.2648555028550141E-2</v>
      </c>
      <c r="T304" s="19">
        <f>YEAR(SalesData[[#This Row],[Order_Date]])</f>
        <v>2025</v>
      </c>
      <c r="U304" s="19" t="str">
        <f>TEXT(SalesData[[#This Row],[Order_Date]],"mmm")</f>
        <v>Nov</v>
      </c>
      <c r="V304" s="19" t="str">
        <f>"Q"&amp;ROUNDUP(MONTH(SalesData[[#This Row],[Order_Date]])/3,0)</f>
        <v>Q4</v>
      </c>
      <c r="W304" s="19" t="str">
        <f>IF(SalesData[[#This Row],[Sales]]&gt;=50000,"High",IF(AND(SalesData[[#This Row],[Sales]]&gt;= 20000, SalesData[[#This Row],[Sales]]&lt; 50000),"Medium","Low"))</f>
        <v>Low</v>
      </c>
      <c r="X304" s="19" t="str">
        <f>IF(SalesData[[#This Row],[Profit]]&gt;0,"Profit","Loss")</f>
        <v>Profit</v>
      </c>
      <c r="Y304" s="19" t="str">
        <f>IF(AND(SalesData[[#This Row],[Sales]]&gt;= 50000, SalesData[[#This Row],[Quantity]]&gt;=2),"Yes","No")</f>
        <v>No</v>
      </c>
      <c r="Z304" s="19" t="str">
        <f>UPPER(SalesData[[#This Row],[Customer_Name]])</f>
        <v>PRIYA SINGH</v>
      </c>
      <c r="AA304" s="19" t="str">
        <f>LOWER(SalesData[[#This Row],[Customer_Name]])</f>
        <v>priya singh</v>
      </c>
      <c r="AB304" s="19">
        <f>LEN(SalesData[[#This Row],[Customer_Name]])</f>
        <v>11</v>
      </c>
      <c r="AC304" s="19" t="str">
        <f>LEFT(SalesData[[#This Row],[Order_ID]],3)</f>
        <v>ORD</v>
      </c>
      <c r="AD304" s="19" t="str">
        <f>RIGHT(SalesData[[#This Row],[Order_ID]],4)</f>
        <v>0765</v>
      </c>
      <c r="AE304" s="19" t="str">
        <f>_xlfn.CONCAT(SalesData[[#This Row],[Clean_Customer_Name]],"-",SalesData[[#This Row],[Region]])</f>
        <v>Priya Singh-West</v>
      </c>
      <c r="AF304" s="19" t="str">
        <f>MID(SalesData[[#This Row],[Order_ID]],4,4)</f>
        <v>0765</v>
      </c>
      <c r="AG304" s="19" t="e">
        <f ca="1">_xlfn.SINGLE(_xlfn.XLOOKUP(SalesData[[#This Row],[Product]],Product_Master!A:A,Product_Master!B:B,"Not Found"))</f>
        <v>#NAME?</v>
      </c>
      <c r="AH304" s="19" t="str">
        <f>VLOOKUP(SalesData[[#This Row],[Product]],Product_Master!$A$1:$B$21,2,FALSE)</f>
        <v>Karan</v>
      </c>
      <c r="AI304" s="16"/>
    </row>
    <row r="305" spans="1:35" ht="13.8">
      <c r="A305" s="16" t="s">
        <v>1038</v>
      </c>
      <c r="B305" s="17">
        <v>45838</v>
      </c>
      <c r="C305" s="16" t="s">
        <v>28</v>
      </c>
      <c r="D305" s="16" t="s">
        <v>29</v>
      </c>
      <c r="E305" s="16" t="s">
        <v>117</v>
      </c>
      <c r="F305" s="16" t="s">
        <v>118</v>
      </c>
      <c r="G305" s="16" t="s">
        <v>51</v>
      </c>
      <c r="H305" s="16" t="s">
        <v>119</v>
      </c>
      <c r="I305" s="16" t="s">
        <v>42</v>
      </c>
      <c r="J305" s="16" t="s">
        <v>162</v>
      </c>
      <c r="K305" s="18">
        <v>27873.5</v>
      </c>
      <c r="L305" s="18">
        <v>20564.7</v>
      </c>
      <c r="M305" s="19">
        <v>5</v>
      </c>
      <c r="N305" s="20">
        <v>0</v>
      </c>
      <c r="O305" s="19" t="s">
        <v>76</v>
      </c>
      <c r="P305" s="19" t="s">
        <v>45</v>
      </c>
      <c r="Q305" s="19" t="str">
        <f>TRIM(SalesData[[#This Row],[Customer_Name]])</f>
        <v>Priya Singh</v>
      </c>
      <c r="R305" s="21">
        <f>SalesData[[#This Row],[Sales]]-SalesData[[#This Row],[Cost]]</f>
        <v>7308.7999999999993</v>
      </c>
      <c r="S305" s="22">
        <f>IFERROR(SalesData[[#This Row],[Profit]]/SalesData[[#This Row],[Sales]],0)</f>
        <v>0.26221321326708164</v>
      </c>
      <c r="T305" s="19">
        <f>YEAR(SalesData[[#This Row],[Order_Date]])</f>
        <v>2025</v>
      </c>
      <c r="U305" s="19" t="str">
        <f>TEXT(SalesData[[#This Row],[Order_Date]],"mmm")</f>
        <v>Jun</v>
      </c>
      <c r="V305" s="19" t="str">
        <f>"Q"&amp;ROUNDUP(MONTH(SalesData[[#This Row],[Order_Date]])/3,0)</f>
        <v>Q2</v>
      </c>
      <c r="W305" s="19" t="str">
        <f>IF(SalesData[[#This Row],[Sales]]&gt;=50000,"High",IF(AND(SalesData[[#This Row],[Sales]]&gt;= 20000, SalesData[[#This Row],[Sales]]&lt; 50000),"Medium","Low"))</f>
        <v>Medium</v>
      </c>
      <c r="X305" s="19" t="str">
        <f>IF(SalesData[[#This Row],[Profit]]&gt;0,"Profit","Loss")</f>
        <v>Profit</v>
      </c>
      <c r="Y305" s="19" t="str">
        <f>IF(AND(SalesData[[#This Row],[Sales]]&gt;= 50000, SalesData[[#This Row],[Quantity]]&gt;=2),"Yes","No")</f>
        <v>No</v>
      </c>
      <c r="Z305" s="19" t="str">
        <f>UPPER(SalesData[[#This Row],[Customer_Name]])</f>
        <v>PRIYA SINGH</v>
      </c>
      <c r="AA305" s="19" t="str">
        <f>LOWER(SalesData[[#This Row],[Customer_Name]])</f>
        <v>priya singh</v>
      </c>
      <c r="AB305" s="19">
        <f>LEN(SalesData[[#This Row],[Customer_Name]])</f>
        <v>11</v>
      </c>
      <c r="AC305" s="19" t="str">
        <f>LEFT(SalesData[[#This Row],[Order_ID]],3)</f>
        <v>ORD</v>
      </c>
      <c r="AD305" s="19" t="str">
        <f>RIGHT(SalesData[[#This Row],[Order_ID]],4)</f>
        <v>0885</v>
      </c>
      <c r="AE305" s="19" t="str">
        <f>_xlfn.CONCAT(SalesData[[#This Row],[Clean_Customer_Name]],"-",SalesData[[#This Row],[Region]])</f>
        <v>Priya Singh-East</v>
      </c>
      <c r="AF305" s="19" t="str">
        <f>MID(SalesData[[#This Row],[Order_ID]],4,4)</f>
        <v>0885</v>
      </c>
      <c r="AG305" s="19" t="e">
        <f ca="1">_xlfn.SINGLE(_xlfn.XLOOKUP(SalesData[[#This Row],[Product]],Product_Master!A:A,Product_Master!B:B,"Not Found"))</f>
        <v>#NAME?</v>
      </c>
      <c r="AH305" s="19" t="str">
        <f>VLOOKUP(SalesData[[#This Row],[Product]],Product_Master!$A$1:$B$21,2,FALSE)</f>
        <v>Karan</v>
      </c>
      <c r="AI305" s="16"/>
    </row>
    <row r="306" spans="1:35" ht="13.8">
      <c r="A306" s="16" t="s">
        <v>699</v>
      </c>
      <c r="B306" s="17">
        <v>45533</v>
      </c>
      <c r="C306" s="16" t="s">
        <v>28</v>
      </c>
      <c r="D306" s="16" t="s">
        <v>29</v>
      </c>
      <c r="E306" s="16" t="s">
        <v>49</v>
      </c>
      <c r="F306" s="16" t="s">
        <v>50</v>
      </c>
      <c r="G306" s="16" t="s">
        <v>51</v>
      </c>
      <c r="H306" s="16" t="s">
        <v>52</v>
      </c>
      <c r="I306" s="16" t="s">
        <v>23</v>
      </c>
      <c r="J306" s="16" t="s">
        <v>33</v>
      </c>
      <c r="K306" s="18">
        <v>34345.370000000003</v>
      </c>
      <c r="L306" s="18">
        <v>27017.279999999999</v>
      </c>
      <c r="M306" s="19">
        <v>4</v>
      </c>
      <c r="N306" s="20">
        <v>0.1</v>
      </c>
      <c r="O306" s="19" t="s">
        <v>34</v>
      </c>
      <c r="P306" s="19" t="s">
        <v>58</v>
      </c>
      <c r="Q306" s="19" t="str">
        <f>TRIM(SalesData[[#This Row],[Customer_Name]])</f>
        <v>Priya Singh</v>
      </c>
      <c r="R306" s="21">
        <f>SalesData[[#This Row],[Sales]]-SalesData[[#This Row],[Cost]]</f>
        <v>7328.0900000000038</v>
      </c>
      <c r="S306" s="22">
        <f>IFERROR(SalesData[[#This Row],[Profit]]/SalesData[[#This Row],[Sales]],0)</f>
        <v>0.2133647126235648</v>
      </c>
      <c r="T306" s="19">
        <f>YEAR(SalesData[[#This Row],[Order_Date]])</f>
        <v>2024</v>
      </c>
      <c r="U306" s="19" t="str">
        <f>TEXT(SalesData[[#This Row],[Order_Date]],"mmm")</f>
        <v>Aug</v>
      </c>
      <c r="V306" s="19" t="str">
        <f>"Q"&amp;ROUNDUP(MONTH(SalesData[[#This Row],[Order_Date]])/3,0)</f>
        <v>Q3</v>
      </c>
      <c r="W306" s="19" t="str">
        <f>IF(SalesData[[#This Row],[Sales]]&gt;=50000,"High",IF(AND(SalesData[[#This Row],[Sales]]&gt;= 20000, SalesData[[#This Row],[Sales]]&lt; 50000),"Medium","Low"))</f>
        <v>Medium</v>
      </c>
      <c r="X306" s="19" t="str">
        <f>IF(SalesData[[#This Row],[Profit]]&gt;0,"Profit","Loss")</f>
        <v>Profit</v>
      </c>
      <c r="Y306" s="19" t="str">
        <f>IF(AND(SalesData[[#This Row],[Sales]]&gt;= 50000, SalesData[[#This Row],[Quantity]]&gt;=2),"Yes","No")</f>
        <v>No</v>
      </c>
      <c r="Z306" s="19" t="str">
        <f>UPPER(SalesData[[#This Row],[Customer_Name]])</f>
        <v>PRIYA SINGH</v>
      </c>
      <c r="AA306" s="19" t="str">
        <f>LOWER(SalesData[[#This Row],[Customer_Name]])</f>
        <v>priya singh</v>
      </c>
      <c r="AB306" s="19">
        <f>LEN(SalesData[[#This Row],[Customer_Name]])</f>
        <v>11</v>
      </c>
      <c r="AC306" s="19" t="str">
        <f>LEFT(SalesData[[#This Row],[Order_ID]],3)</f>
        <v>ORD</v>
      </c>
      <c r="AD306" s="19" t="str">
        <f>RIGHT(SalesData[[#This Row],[Order_ID]],4)</f>
        <v>0546</v>
      </c>
      <c r="AE306" s="19" t="str">
        <f>_xlfn.CONCAT(SalesData[[#This Row],[Clean_Customer_Name]],"-",SalesData[[#This Row],[Region]])</f>
        <v>Priya Singh-North</v>
      </c>
      <c r="AF306" s="19" t="str">
        <f>MID(SalesData[[#This Row],[Order_ID]],4,4)</f>
        <v>0546</v>
      </c>
      <c r="AG306" s="19" t="e">
        <f ca="1">_xlfn.SINGLE(_xlfn.XLOOKUP(SalesData[[#This Row],[Product]],Product_Master!A:A,Product_Master!B:B,"Not Found"))</f>
        <v>#NAME?</v>
      </c>
      <c r="AH306" s="19" t="str">
        <f>VLOOKUP(SalesData[[#This Row],[Product]],Product_Master!$A$1:$B$21,2,FALSE)</f>
        <v>Rohan</v>
      </c>
      <c r="AI306" s="16"/>
    </row>
    <row r="307" spans="1:35" ht="13.8">
      <c r="A307" s="16" t="s">
        <v>195</v>
      </c>
      <c r="B307" s="17">
        <v>45917</v>
      </c>
      <c r="C307" s="16" t="s">
        <v>28</v>
      </c>
      <c r="D307" s="16" t="s">
        <v>29</v>
      </c>
      <c r="E307" s="16" t="s">
        <v>72</v>
      </c>
      <c r="F307" s="16" t="s">
        <v>73</v>
      </c>
      <c r="G307" s="16" t="s">
        <v>51</v>
      </c>
      <c r="H307" s="16" t="s">
        <v>74</v>
      </c>
      <c r="I307" s="16" t="s">
        <v>56</v>
      </c>
      <c r="J307" s="16" t="s">
        <v>191</v>
      </c>
      <c r="K307" s="18">
        <v>7497.18</v>
      </c>
      <c r="L307" s="18">
        <v>3964.33</v>
      </c>
      <c r="M307" s="19">
        <v>1</v>
      </c>
      <c r="N307" s="20">
        <v>0.2</v>
      </c>
      <c r="O307" s="19" t="s">
        <v>76</v>
      </c>
      <c r="P307" s="19" t="s">
        <v>26</v>
      </c>
      <c r="Q307" s="19" t="str">
        <f>TRIM(SalesData[[#This Row],[Customer_Name]])</f>
        <v>Priya Singh</v>
      </c>
      <c r="R307" s="21">
        <f>SalesData[[#This Row],[Sales]]-SalesData[[#This Row],[Cost]]</f>
        <v>3532.8500000000004</v>
      </c>
      <c r="S307" s="22">
        <f>IFERROR(SalesData[[#This Row],[Profit]]/SalesData[[#This Row],[Sales]],0)</f>
        <v>0.47122384683307594</v>
      </c>
      <c r="T307" s="19">
        <f>YEAR(SalesData[[#This Row],[Order_Date]])</f>
        <v>2025</v>
      </c>
      <c r="U307" s="19" t="str">
        <f>TEXT(SalesData[[#This Row],[Order_Date]],"mmm")</f>
        <v>Sept</v>
      </c>
      <c r="V307" s="19" t="str">
        <f>"Q"&amp;ROUNDUP(MONTH(SalesData[[#This Row],[Order_Date]])/3,0)</f>
        <v>Q3</v>
      </c>
      <c r="W307" s="19" t="str">
        <f>IF(SalesData[[#This Row],[Sales]]&gt;=50000,"High",IF(AND(SalesData[[#This Row],[Sales]]&gt;= 20000, SalesData[[#This Row],[Sales]]&lt; 50000),"Medium","Low"))</f>
        <v>Low</v>
      </c>
      <c r="X307" s="19" t="str">
        <f>IF(SalesData[[#This Row],[Profit]]&gt;0,"Profit","Loss")</f>
        <v>Profit</v>
      </c>
      <c r="Y307" s="19" t="str">
        <f>IF(AND(SalesData[[#This Row],[Sales]]&gt;= 50000, SalesData[[#This Row],[Quantity]]&gt;=2),"Yes","No")</f>
        <v>No</v>
      </c>
      <c r="Z307" s="19" t="str">
        <f>UPPER(SalesData[[#This Row],[Customer_Name]])</f>
        <v>PRIYA SINGH</v>
      </c>
      <c r="AA307" s="19" t="str">
        <f>LOWER(SalesData[[#This Row],[Customer_Name]])</f>
        <v>priya singh</v>
      </c>
      <c r="AB307" s="19">
        <f>LEN(SalesData[[#This Row],[Customer_Name]])</f>
        <v>11</v>
      </c>
      <c r="AC307" s="19" t="str">
        <f>LEFT(SalesData[[#This Row],[Order_ID]],3)</f>
        <v>ORD</v>
      </c>
      <c r="AD307" s="19" t="str">
        <f>RIGHT(SalesData[[#This Row],[Order_ID]],4)</f>
        <v>0052</v>
      </c>
      <c r="AE307" s="19" t="str">
        <f>_xlfn.CONCAT(SalesData[[#This Row],[Clean_Customer_Name]],"-",SalesData[[#This Row],[Region]])</f>
        <v>Priya Singh-West</v>
      </c>
      <c r="AF307" s="19" t="str">
        <f>MID(SalesData[[#This Row],[Order_ID]],4,4)</f>
        <v>0052</v>
      </c>
      <c r="AG307" s="19" t="e">
        <f ca="1">_xlfn.SINGLE(_xlfn.XLOOKUP(SalesData[[#This Row],[Product]],Product_Master!A:A,Product_Master!B:B,"Not Found"))</f>
        <v>#NAME?</v>
      </c>
      <c r="AH307" s="19" t="str">
        <f>VLOOKUP(SalesData[[#This Row],[Product]],Product_Master!$A$1:$B$21,2,FALSE)</f>
        <v>Anjali</v>
      </c>
      <c r="AI307" s="16"/>
    </row>
    <row r="308" spans="1:35" ht="13.8">
      <c r="A308" s="16" t="s">
        <v>296</v>
      </c>
      <c r="B308" s="17">
        <v>45905</v>
      </c>
      <c r="C308" s="16" t="s">
        <v>28</v>
      </c>
      <c r="D308" s="16" t="s">
        <v>29</v>
      </c>
      <c r="E308" s="16" t="s">
        <v>72</v>
      </c>
      <c r="F308" s="16" t="s">
        <v>73</v>
      </c>
      <c r="G308" s="16" t="s">
        <v>51</v>
      </c>
      <c r="H308" s="16" t="s">
        <v>74</v>
      </c>
      <c r="I308" s="16" t="s">
        <v>56</v>
      </c>
      <c r="J308" s="16" t="s">
        <v>91</v>
      </c>
      <c r="K308" s="18">
        <v>5836.64</v>
      </c>
      <c r="L308" s="18">
        <v>3606.15</v>
      </c>
      <c r="M308" s="19">
        <v>1</v>
      </c>
      <c r="N308" s="20">
        <v>0.05</v>
      </c>
      <c r="O308" s="19" t="s">
        <v>76</v>
      </c>
      <c r="P308" s="19" t="s">
        <v>45</v>
      </c>
      <c r="Q308" s="19" t="str">
        <f>TRIM(SalesData[[#This Row],[Customer_Name]])</f>
        <v>Priya Singh</v>
      </c>
      <c r="R308" s="21">
        <f>SalesData[[#This Row],[Sales]]-SalesData[[#This Row],[Cost]]</f>
        <v>2230.4900000000002</v>
      </c>
      <c r="S308" s="22">
        <f>IFERROR(SalesData[[#This Row],[Profit]]/SalesData[[#This Row],[Sales]],0)</f>
        <v>0.38215308807807236</v>
      </c>
      <c r="T308" s="19">
        <f>YEAR(SalesData[[#This Row],[Order_Date]])</f>
        <v>2025</v>
      </c>
      <c r="U308" s="19" t="str">
        <f>TEXT(SalesData[[#This Row],[Order_Date]],"mmm")</f>
        <v>Sept</v>
      </c>
      <c r="V308" s="19" t="str">
        <f>"Q"&amp;ROUNDUP(MONTH(SalesData[[#This Row],[Order_Date]])/3,0)</f>
        <v>Q3</v>
      </c>
      <c r="W308" s="19" t="str">
        <f>IF(SalesData[[#This Row],[Sales]]&gt;=50000,"High",IF(AND(SalesData[[#This Row],[Sales]]&gt;= 20000, SalesData[[#This Row],[Sales]]&lt; 50000),"Medium","Low"))</f>
        <v>Low</v>
      </c>
      <c r="X308" s="19" t="str">
        <f>IF(SalesData[[#This Row],[Profit]]&gt;0,"Profit","Loss")</f>
        <v>Profit</v>
      </c>
      <c r="Y308" s="19" t="str">
        <f>IF(AND(SalesData[[#This Row],[Sales]]&gt;= 50000, SalesData[[#This Row],[Quantity]]&gt;=2),"Yes","No")</f>
        <v>No</v>
      </c>
      <c r="Z308" s="19" t="str">
        <f>UPPER(SalesData[[#This Row],[Customer_Name]])</f>
        <v>PRIYA SINGH</v>
      </c>
      <c r="AA308" s="19" t="str">
        <f>LOWER(SalesData[[#This Row],[Customer_Name]])</f>
        <v>priya singh</v>
      </c>
      <c r="AB308" s="19">
        <f>LEN(SalesData[[#This Row],[Customer_Name]])</f>
        <v>11</v>
      </c>
      <c r="AC308" s="19" t="str">
        <f>LEFT(SalesData[[#This Row],[Order_ID]],3)</f>
        <v>ORD</v>
      </c>
      <c r="AD308" s="19" t="str">
        <f>RIGHT(SalesData[[#This Row],[Order_ID]],4)</f>
        <v>0143</v>
      </c>
      <c r="AE308" s="19" t="str">
        <f>_xlfn.CONCAT(SalesData[[#This Row],[Clean_Customer_Name]],"-",SalesData[[#This Row],[Region]])</f>
        <v>Priya Singh-West</v>
      </c>
      <c r="AF308" s="19" t="str">
        <f>MID(SalesData[[#This Row],[Order_ID]],4,4)</f>
        <v>0143</v>
      </c>
      <c r="AG308" s="19" t="e">
        <f ca="1">_xlfn.SINGLE(_xlfn.XLOOKUP(SalesData[[#This Row],[Product]],Product_Master!A:A,Product_Master!B:B,"Not Found"))</f>
        <v>#NAME?</v>
      </c>
      <c r="AH308" s="19" t="str">
        <f>VLOOKUP(SalesData[[#This Row],[Product]],Product_Master!$A$1:$B$21,2,FALSE)</f>
        <v>Anjali</v>
      </c>
      <c r="AI308" s="16"/>
    </row>
    <row r="309" spans="1:35" ht="13.8">
      <c r="A309" s="16" t="s">
        <v>309</v>
      </c>
      <c r="B309" s="17">
        <v>45740</v>
      </c>
      <c r="C309" s="16" t="s">
        <v>28</v>
      </c>
      <c r="D309" s="16" t="s">
        <v>29</v>
      </c>
      <c r="E309" s="16" t="s">
        <v>72</v>
      </c>
      <c r="F309" s="16" t="s">
        <v>73</v>
      </c>
      <c r="G309" s="16" t="s">
        <v>51</v>
      </c>
      <c r="H309" s="16" t="s">
        <v>74</v>
      </c>
      <c r="I309" s="16" t="s">
        <v>42</v>
      </c>
      <c r="J309" s="16" t="s">
        <v>162</v>
      </c>
      <c r="K309" s="18">
        <v>28246.07</v>
      </c>
      <c r="L309" s="18">
        <v>16077</v>
      </c>
      <c r="M309" s="19">
        <v>4</v>
      </c>
      <c r="N309" s="20">
        <v>0.1</v>
      </c>
      <c r="O309" s="19" t="s">
        <v>44</v>
      </c>
      <c r="P309" s="19" t="s">
        <v>45</v>
      </c>
      <c r="Q309" s="19" t="str">
        <f>TRIM(SalesData[[#This Row],[Customer_Name]])</f>
        <v>Priya Singh</v>
      </c>
      <c r="R309" s="21">
        <f>SalesData[[#This Row],[Sales]]-SalesData[[#This Row],[Cost]]</f>
        <v>12169.07</v>
      </c>
      <c r="S309" s="22">
        <f>IFERROR(SalesData[[#This Row],[Profit]]/SalesData[[#This Row],[Sales]],0)</f>
        <v>0.43082347384963643</v>
      </c>
      <c r="T309" s="19">
        <f>YEAR(SalesData[[#This Row],[Order_Date]])</f>
        <v>2025</v>
      </c>
      <c r="U309" s="19" t="str">
        <f>TEXT(SalesData[[#This Row],[Order_Date]],"mmm")</f>
        <v>Mar</v>
      </c>
      <c r="V309" s="19" t="str">
        <f>"Q"&amp;ROUNDUP(MONTH(SalesData[[#This Row],[Order_Date]])/3,0)</f>
        <v>Q1</v>
      </c>
      <c r="W309" s="19" t="str">
        <f>IF(SalesData[[#This Row],[Sales]]&gt;=50000,"High",IF(AND(SalesData[[#This Row],[Sales]]&gt;= 20000, SalesData[[#This Row],[Sales]]&lt; 50000),"Medium","Low"))</f>
        <v>Medium</v>
      </c>
      <c r="X309" s="19" t="str">
        <f>IF(SalesData[[#This Row],[Profit]]&gt;0,"Profit","Loss")</f>
        <v>Profit</v>
      </c>
      <c r="Y309" s="19" t="str">
        <f>IF(AND(SalesData[[#This Row],[Sales]]&gt;= 50000, SalesData[[#This Row],[Quantity]]&gt;=2),"Yes","No")</f>
        <v>No</v>
      </c>
      <c r="Z309" s="19" t="str">
        <f>UPPER(SalesData[[#This Row],[Customer_Name]])</f>
        <v>PRIYA SINGH</v>
      </c>
      <c r="AA309" s="19" t="str">
        <f>LOWER(SalesData[[#This Row],[Customer_Name]])</f>
        <v>priya singh</v>
      </c>
      <c r="AB309" s="19">
        <f>LEN(SalesData[[#This Row],[Customer_Name]])</f>
        <v>11</v>
      </c>
      <c r="AC309" s="19" t="str">
        <f>LEFT(SalesData[[#This Row],[Order_ID]],3)</f>
        <v>ORD</v>
      </c>
      <c r="AD309" s="19" t="str">
        <f>RIGHT(SalesData[[#This Row],[Order_ID]],4)</f>
        <v>0156</v>
      </c>
      <c r="AE309" s="19" t="str">
        <f>_xlfn.CONCAT(SalesData[[#This Row],[Clean_Customer_Name]],"-",SalesData[[#This Row],[Region]])</f>
        <v>Priya Singh-East</v>
      </c>
      <c r="AF309" s="19" t="str">
        <f>MID(SalesData[[#This Row],[Order_ID]],4,4)</f>
        <v>0156</v>
      </c>
      <c r="AG309" s="19" t="e">
        <f ca="1">_xlfn.SINGLE(_xlfn.XLOOKUP(SalesData[[#This Row],[Product]],Product_Master!A:A,Product_Master!B:B,"Not Found"))</f>
        <v>#NAME?</v>
      </c>
      <c r="AH309" s="19" t="str">
        <f>VLOOKUP(SalesData[[#This Row],[Product]],Product_Master!$A$1:$B$21,2,FALSE)</f>
        <v>Anjali</v>
      </c>
      <c r="AI309" s="16"/>
    </row>
    <row r="310" spans="1:35" ht="13.8">
      <c r="A310" s="16" t="s">
        <v>502</v>
      </c>
      <c r="B310" s="17">
        <v>45494</v>
      </c>
      <c r="C310" s="16" t="s">
        <v>28</v>
      </c>
      <c r="D310" s="16" t="s">
        <v>29</v>
      </c>
      <c r="E310" s="16" t="s">
        <v>72</v>
      </c>
      <c r="F310" s="16" t="s">
        <v>73</v>
      </c>
      <c r="G310" s="16" t="s">
        <v>51</v>
      </c>
      <c r="H310" s="16" t="s">
        <v>74</v>
      </c>
      <c r="I310" s="16" t="s">
        <v>23</v>
      </c>
      <c r="J310" s="16" t="s">
        <v>75</v>
      </c>
      <c r="K310" s="18">
        <v>31836.959999999999</v>
      </c>
      <c r="L310" s="18">
        <v>15591.16</v>
      </c>
      <c r="M310" s="19">
        <v>4</v>
      </c>
      <c r="N310" s="20">
        <v>0</v>
      </c>
      <c r="O310" s="19" t="s">
        <v>34</v>
      </c>
      <c r="P310" s="19" t="s">
        <v>45</v>
      </c>
      <c r="Q310" s="19" t="str">
        <f>TRIM(SalesData[[#This Row],[Customer_Name]])</f>
        <v>Priya Singh</v>
      </c>
      <c r="R310" s="21">
        <f>SalesData[[#This Row],[Sales]]-SalesData[[#This Row],[Cost]]</f>
        <v>16245.8</v>
      </c>
      <c r="S310" s="22">
        <f>IFERROR(SalesData[[#This Row],[Profit]]/SalesData[[#This Row],[Sales]],0)</f>
        <v>0.51028113236942219</v>
      </c>
      <c r="T310" s="19">
        <f>YEAR(SalesData[[#This Row],[Order_Date]])</f>
        <v>2024</v>
      </c>
      <c r="U310" s="19" t="str">
        <f>TEXT(SalesData[[#This Row],[Order_Date]],"mmm")</f>
        <v>Jul</v>
      </c>
      <c r="V310" s="19" t="str">
        <f>"Q"&amp;ROUNDUP(MONTH(SalesData[[#This Row],[Order_Date]])/3,0)</f>
        <v>Q3</v>
      </c>
      <c r="W310" s="19" t="str">
        <f>IF(SalesData[[#This Row],[Sales]]&gt;=50000,"High",IF(AND(SalesData[[#This Row],[Sales]]&gt;= 20000, SalesData[[#This Row],[Sales]]&lt; 50000),"Medium","Low"))</f>
        <v>Medium</v>
      </c>
      <c r="X310" s="19" t="str">
        <f>IF(SalesData[[#This Row],[Profit]]&gt;0,"Profit","Loss")</f>
        <v>Profit</v>
      </c>
      <c r="Y310" s="19" t="str">
        <f>IF(AND(SalesData[[#This Row],[Sales]]&gt;= 50000, SalesData[[#This Row],[Quantity]]&gt;=2),"Yes","No")</f>
        <v>No</v>
      </c>
      <c r="Z310" s="19" t="str">
        <f>UPPER(SalesData[[#This Row],[Customer_Name]])</f>
        <v>PRIYA SINGH</v>
      </c>
      <c r="AA310" s="19" t="str">
        <f>LOWER(SalesData[[#This Row],[Customer_Name]])</f>
        <v>priya singh</v>
      </c>
      <c r="AB310" s="19">
        <f>LEN(SalesData[[#This Row],[Customer_Name]])</f>
        <v>11</v>
      </c>
      <c r="AC310" s="19" t="str">
        <f>LEFT(SalesData[[#This Row],[Order_ID]],3)</f>
        <v>ORD</v>
      </c>
      <c r="AD310" s="19" t="str">
        <f>RIGHT(SalesData[[#This Row],[Order_ID]],4)</f>
        <v>0349</v>
      </c>
      <c r="AE310" s="19" t="str">
        <f>_xlfn.CONCAT(SalesData[[#This Row],[Clean_Customer_Name]],"-",SalesData[[#This Row],[Region]])</f>
        <v>Priya Singh-North</v>
      </c>
      <c r="AF310" s="19" t="str">
        <f>MID(SalesData[[#This Row],[Order_ID]],4,4)</f>
        <v>0349</v>
      </c>
      <c r="AG310" s="19" t="e">
        <f ca="1">_xlfn.SINGLE(_xlfn.XLOOKUP(SalesData[[#This Row],[Product]],Product_Master!A:A,Product_Master!B:B,"Not Found"))</f>
        <v>#NAME?</v>
      </c>
      <c r="AH310" s="19" t="str">
        <f>VLOOKUP(SalesData[[#This Row],[Product]],Product_Master!$A$1:$B$21,2,FALSE)</f>
        <v>Anjali</v>
      </c>
      <c r="AI310" s="16"/>
    </row>
    <row r="311" spans="1:35" ht="13.8">
      <c r="A311" s="16" t="s">
        <v>587</v>
      </c>
      <c r="B311" s="17">
        <v>45757</v>
      </c>
      <c r="C311" s="16" t="s">
        <v>28</v>
      </c>
      <c r="D311" s="16" t="s">
        <v>29</v>
      </c>
      <c r="E311" s="16" t="s">
        <v>72</v>
      </c>
      <c r="F311" s="16" t="s">
        <v>73</v>
      </c>
      <c r="G311" s="16" t="s">
        <v>51</v>
      </c>
      <c r="H311" s="16" t="s">
        <v>74</v>
      </c>
      <c r="I311" s="16" t="s">
        <v>53</v>
      </c>
      <c r="J311" s="16" t="s">
        <v>102</v>
      </c>
      <c r="K311" s="18">
        <v>20147.7</v>
      </c>
      <c r="L311" s="18">
        <v>12144.36</v>
      </c>
      <c r="M311" s="19">
        <v>3</v>
      </c>
      <c r="N311" s="20">
        <v>0.15</v>
      </c>
      <c r="O311" s="19" t="s">
        <v>44</v>
      </c>
      <c r="P311" s="19" t="s">
        <v>98</v>
      </c>
      <c r="Q311" s="19" t="str">
        <f>TRIM(SalesData[[#This Row],[Customer_Name]])</f>
        <v>Priya Singh</v>
      </c>
      <c r="R311" s="21">
        <f>SalesData[[#This Row],[Sales]]-SalesData[[#This Row],[Cost]]</f>
        <v>8003.34</v>
      </c>
      <c r="S311" s="22">
        <f>IFERROR(SalesData[[#This Row],[Profit]]/SalesData[[#This Row],[Sales]],0)</f>
        <v>0.39723343111124348</v>
      </c>
      <c r="T311" s="19">
        <f>YEAR(SalesData[[#This Row],[Order_Date]])</f>
        <v>2025</v>
      </c>
      <c r="U311" s="19" t="str">
        <f>TEXT(SalesData[[#This Row],[Order_Date]],"mmm")</f>
        <v>Apr</v>
      </c>
      <c r="V311" s="19" t="str">
        <f>"Q"&amp;ROUNDUP(MONTH(SalesData[[#This Row],[Order_Date]])/3,0)</f>
        <v>Q2</v>
      </c>
      <c r="W311" s="19" t="str">
        <f>IF(SalesData[[#This Row],[Sales]]&gt;=50000,"High",IF(AND(SalesData[[#This Row],[Sales]]&gt;= 20000, SalesData[[#This Row],[Sales]]&lt; 50000),"Medium","Low"))</f>
        <v>Medium</v>
      </c>
      <c r="X311" s="19" t="str">
        <f>IF(SalesData[[#This Row],[Profit]]&gt;0,"Profit","Loss")</f>
        <v>Profit</v>
      </c>
      <c r="Y311" s="19" t="str">
        <f>IF(AND(SalesData[[#This Row],[Sales]]&gt;= 50000, SalesData[[#This Row],[Quantity]]&gt;=2),"Yes","No")</f>
        <v>No</v>
      </c>
      <c r="Z311" s="19" t="str">
        <f>UPPER(SalesData[[#This Row],[Customer_Name]])</f>
        <v>PRIYA SINGH</v>
      </c>
      <c r="AA311" s="19" t="str">
        <f>LOWER(SalesData[[#This Row],[Customer_Name]])</f>
        <v>priya singh</v>
      </c>
      <c r="AB311" s="19">
        <f>LEN(SalesData[[#This Row],[Customer_Name]])</f>
        <v>11</v>
      </c>
      <c r="AC311" s="19" t="str">
        <f>LEFT(SalesData[[#This Row],[Order_ID]],3)</f>
        <v>ORD</v>
      </c>
      <c r="AD311" s="19" t="str">
        <f>RIGHT(SalesData[[#This Row],[Order_ID]],4)</f>
        <v>0434</v>
      </c>
      <c r="AE311" s="19" t="str">
        <f>_xlfn.CONCAT(SalesData[[#This Row],[Clean_Customer_Name]],"-",SalesData[[#This Row],[Region]])</f>
        <v>Priya Singh-Central</v>
      </c>
      <c r="AF311" s="19" t="str">
        <f>MID(SalesData[[#This Row],[Order_ID]],4,4)</f>
        <v>0434</v>
      </c>
      <c r="AG311" s="19" t="e">
        <f ca="1">_xlfn.SINGLE(_xlfn.XLOOKUP(SalesData[[#This Row],[Product]],Product_Master!A:A,Product_Master!B:B,"Not Found"))</f>
        <v>#NAME?</v>
      </c>
      <c r="AH311" s="19" t="str">
        <f>VLOOKUP(SalesData[[#This Row],[Product]],Product_Master!$A$1:$B$21,2,FALSE)</f>
        <v>Anjali</v>
      </c>
      <c r="AI311" s="16"/>
    </row>
    <row r="312" spans="1:35" ht="13.8">
      <c r="A312" s="16" t="s">
        <v>631</v>
      </c>
      <c r="B312" s="17">
        <v>45791</v>
      </c>
      <c r="C312" s="16" t="s">
        <v>28</v>
      </c>
      <c r="D312" s="16" t="s">
        <v>29</v>
      </c>
      <c r="E312" s="16" t="s">
        <v>72</v>
      </c>
      <c r="F312" s="16" t="s">
        <v>73</v>
      </c>
      <c r="G312" s="16" t="s">
        <v>51</v>
      </c>
      <c r="H312" s="16" t="s">
        <v>74</v>
      </c>
      <c r="I312" s="16" t="s">
        <v>53</v>
      </c>
      <c r="J312" s="16" t="s">
        <v>54</v>
      </c>
      <c r="K312" s="18">
        <v>13038.56</v>
      </c>
      <c r="L312" s="18">
        <v>7300.58</v>
      </c>
      <c r="M312" s="19">
        <v>2</v>
      </c>
      <c r="N312" s="20">
        <v>0</v>
      </c>
      <c r="O312" s="19" t="s">
        <v>76</v>
      </c>
      <c r="P312" s="19" t="s">
        <v>77</v>
      </c>
      <c r="Q312" s="19" t="str">
        <f>TRIM(SalesData[[#This Row],[Customer_Name]])</f>
        <v>Priya Singh</v>
      </c>
      <c r="R312" s="21">
        <f>SalesData[[#This Row],[Sales]]-SalesData[[#This Row],[Cost]]</f>
        <v>5737.98</v>
      </c>
      <c r="S312" s="22">
        <f>IFERROR(SalesData[[#This Row],[Profit]]/SalesData[[#This Row],[Sales]],0)</f>
        <v>0.44007773864598543</v>
      </c>
      <c r="T312" s="19">
        <f>YEAR(SalesData[[#This Row],[Order_Date]])</f>
        <v>2025</v>
      </c>
      <c r="U312" s="19" t="str">
        <f>TEXT(SalesData[[#This Row],[Order_Date]],"mmm")</f>
        <v>May</v>
      </c>
      <c r="V312" s="19" t="str">
        <f>"Q"&amp;ROUNDUP(MONTH(SalesData[[#This Row],[Order_Date]])/3,0)</f>
        <v>Q2</v>
      </c>
      <c r="W312" s="19" t="str">
        <f>IF(SalesData[[#This Row],[Sales]]&gt;=50000,"High",IF(AND(SalesData[[#This Row],[Sales]]&gt;= 20000, SalesData[[#This Row],[Sales]]&lt; 50000),"Medium","Low"))</f>
        <v>Low</v>
      </c>
      <c r="X312" s="19" t="str">
        <f>IF(SalesData[[#This Row],[Profit]]&gt;0,"Profit","Loss")</f>
        <v>Profit</v>
      </c>
      <c r="Y312" s="19" t="str">
        <f>IF(AND(SalesData[[#This Row],[Sales]]&gt;= 50000, SalesData[[#This Row],[Quantity]]&gt;=2),"Yes","No")</f>
        <v>No</v>
      </c>
      <c r="Z312" s="19" t="str">
        <f>UPPER(SalesData[[#This Row],[Customer_Name]])</f>
        <v>PRIYA SINGH</v>
      </c>
      <c r="AA312" s="19" t="str">
        <f>LOWER(SalesData[[#This Row],[Customer_Name]])</f>
        <v>priya singh</v>
      </c>
      <c r="AB312" s="19">
        <f>LEN(SalesData[[#This Row],[Customer_Name]])</f>
        <v>11</v>
      </c>
      <c r="AC312" s="19" t="str">
        <f>LEFT(SalesData[[#This Row],[Order_ID]],3)</f>
        <v>ORD</v>
      </c>
      <c r="AD312" s="19" t="str">
        <f>RIGHT(SalesData[[#This Row],[Order_ID]],4)</f>
        <v>0478</v>
      </c>
      <c r="AE312" s="19" t="str">
        <f>_xlfn.CONCAT(SalesData[[#This Row],[Clean_Customer_Name]],"-",SalesData[[#This Row],[Region]])</f>
        <v>Priya Singh-Central</v>
      </c>
      <c r="AF312" s="19" t="str">
        <f>MID(SalesData[[#This Row],[Order_ID]],4,4)</f>
        <v>0478</v>
      </c>
      <c r="AG312" s="19" t="e">
        <f ca="1">_xlfn.SINGLE(_xlfn.XLOOKUP(SalesData[[#This Row],[Product]],Product_Master!A:A,Product_Master!B:B,"Not Found"))</f>
        <v>#NAME?</v>
      </c>
      <c r="AH312" s="19" t="str">
        <f>VLOOKUP(SalesData[[#This Row],[Product]],Product_Master!$A$1:$B$21,2,FALSE)</f>
        <v>Anjali</v>
      </c>
      <c r="AI312" s="16"/>
    </row>
    <row r="313" spans="1:35" ht="13.8">
      <c r="A313" s="16" t="s">
        <v>1063</v>
      </c>
      <c r="B313" s="17">
        <v>45864</v>
      </c>
      <c r="C313" s="16" t="s">
        <v>28</v>
      </c>
      <c r="D313" s="16" t="s">
        <v>29</v>
      </c>
      <c r="E313" s="16" t="s">
        <v>72</v>
      </c>
      <c r="F313" s="16" t="s">
        <v>73</v>
      </c>
      <c r="G313" s="16" t="s">
        <v>51</v>
      </c>
      <c r="H313" s="16" t="s">
        <v>74</v>
      </c>
      <c r="I313" s="16" t="s">
        <v>56</v>
      </c>
      <c r="J313" s="16" t="s">
        <v>57</v>
      </c>
      <c r="K313" s="18">
        <v>5280.72</v>
      </c>
      <c r="L313" s="18">
        <v>3937.65</v>
      </c>
      <c r="M313" s="19">
        <v>1</v>
      </c>
      <c r="N313" s="20">
        <v>0.05</v>
      </c>
      <c r="O313" s="19" t="s">
        <v>76</v>
      </c>
      <c r="P313" s="19" t="s">
        <v>58</v>
      </c>
      <c r="Q313" s="19" t="str">
        <f>TRIM(SalesData[[#This Row],[Customer_Name]])</f>
        <v>Priya Singh</v>
      </c>
      <c r="R313" s="21">
        <f>SalesData[[#This Row],[Sales]]-SalesData[[#This Row],[Cost]]</f>
        <v>1343.0700000000002</v>
      </c>
      <c r="S313" s="22">
        <f>IFERROR(SalesData[[#This Row],[Profit]]/SalesData[[#This Row],[Sales]],0)</f>
        <v>0.25433463618597468</v>
      </c>
      <c r="T313" s="19">
        <f>YEAR(SalesData[[#This Row],[Order_Date]])</f>
        <v>2025</v>
      </c>
      <c r="U313" s="19" t="str">
        <f>TEXT(SalesData[[#This Row],[Order_Date]],"mmm")</f>
        <v>Jul</v>
      </c>
      <c r="V313" s="19" t="str">
        <f>"Q"&amp;ROUNDUP(MONTH(SalesData[[#This Row],[Order_Date]])/3,0)</f>
        <v>Q3</v>
      </c>
      <c r="W313" s="19" t="str">
        <f>IF(SalesData[[#This Row],[Sales]]&gt;=50000,"High",IF(AND(SalesData[[#This Row],[Sales]]&gt;= 20000, SalesData[[#This Row],[Sales]]&lt; 50000),"Medium","Low"))</f>
        <v>Low</v>
      </c>
      <c r="X313" s="19" t="str">
        <f>IF(SalesData[[#This Row],[Profit]]&gt;0,"Profit","Loss")</f>
        <v>Profit</v>
      </c>
      <c r="Y313" s="19" t="str">
        <f>IF(AND(SalesData[[#This Row],[Sales]]&gt;= 50000, SalesData[[#This Row],[Quantity]]&gt;=2),"Yes","No")</f>
        <v>No</v>
      </c>
      <c r="Z313" s="19" t="str">
        <f>UPPER(SalesData[[#This Row],[Customer_Name]])</f>
        <v>PRIYA SINGH</v>
      </c>
      <c r="AA313" s="19" t="str">
        <f>LOWER(SalesData[[#This Row],[Customer_Name]])</f>
        <v>priya singh</v>
      </c>
      <c r="AB313" s="19">
        <f>LEN(SalesData[[#This Row],[Customer_Name]])</f>
        <v>11</v>
      </c>
      <c r="AC313" s="19" t="str">
        <f>LEFT(SalesData[[#This Row],[Order_ID]],3)</f>
        <v>ORD</v>
      </c>
      <c r="AD313" s="19" t="str">
        <f>RIGHT(SalesData[[#This Row],[Order_ID]],4)</f>
        <v>0910</v>
      </c>
      <c r="AE313" s="19" t="str">
        <f>_xlfn.CONCAT(SalesData[[#This Row],[Clean_Customer_Name]],"-",SalesData[[#This Row],[Region]])</f>
        <v>Priya Singh-West</v>
      </c>
      <c r="AF313" s="19" t="str">
        <f>MID(SalesData[[#This Row],[Order_ID]],4,4)</f>
        <v>0910</v>
      </c>
      <c r="AG313" s="19" t="e">
        <f ca="1">_xlfn.SINGLE(_xlfn.XLOOKUP(SalesData[[#This Row],[Product]],Product_Master!A:A,Product_Master!B:B,"Not Found"))</f>
        <v>#NAME?</v>
      </c>
      <c r="AH313" s="19" t="str">
        <f>VLOOKUP(SalesData[[#This Row],[Product]],Product_Master!$A$1:$B$21,2,FALSE)</f>
        <v>Anjali</v>
      </c>
      <c r="AI313" s="16"/>
    </row>
    <row r="314" spans="1:35" ht="13.8">
      <c r="A314" s="16" t="s">
        <v>454</v>
      </c>
      <c r="B314" s="17">
        <v>45842</v>
      </c>
      <c r="C314" s="16" t="s">
        <v>28</v>
      </c>
      <c r="D314" s="16" t="s">
        <v>29</v>
      </c>
      <c r="E314" s="16" t="s">
        <v>175</v>
      </c>
      <c r="F314" s="16" t="s">
        <v>176</v>
      </c>
      <c r="G314" s="16" t="s">
        <v>51</v>
      </c>
      <c r="H314" s="16" t="s">
        <v>177</v>
      </c>
      <c r="I314" s="16" t="s">
        <v>84</v>
      </c>
      <c r="J314" s="16" t="s">
        <v>85</v>
      </c>
      <c r="K314" s="18">
        <v>62115.68</v>
      </c>
      <c r="L314" s="18">
        <v>44814.81</v>
      </c>
      <c r="M314" s="19">
        <v>3</v>
      </c>
      <c r="N314" s="20">
        <v>0.15</v>
      </c>
      <c r="O314" s="19" t="s">
        <v>34</v>
      </c>
      <c r="P314" s="19" t="s">
        <v>58</v>
      </c>
      <c r="Q314" s="19" t="str">
        <f>TRIM(SalesData[[#This Row],[Customer_Name]])</f>
        <v>Priya Singh</v>
      </c>
      <c r="R314" s="21">
        <f>SalesData[[#This Row],[Sales]]-SalesData[[#This Row],[Cost]]</f>
        <v>17300.870000000003</v>
      </c>
      <c r="S314" s="22">
        <f>IFERROR(SalesData[[#This Row],[Profit]]/SalesData[[#This Row],[Sales]],0)</f>
        <v>0.27852661357003583</v>
      </c>
      <c r="T314" s="19">
        <f>YEAR(SalesData[[#This Row],[Order_Date]])</f>
        <v>2025</v>
      </c>
      <c r="U314" s="19" t="str">
        <f>TEXT(SalesData[[#This Row],[Order_Date]],"mmm")</f>
        <v>Jul</v>
      </c>
      <c r="V314" s="19" t="str">
        <f>"Q"&amp;ROUNDUP(MONTH(SalesData[[#This Row],[Order_Date]])/3,0)</f>
        <v>Q3</v>
      </c>
      <c r="W314" s="19" t="str">
        <f>IF(SalesData[[#This Row],[Sales]]&gt;=50000,"High",IF(AND(SalesData[[#This Row],[Sales]]&gt;= 20000, SalesData[[#This Row],[Sales]]&lt; 50000),"Medium","Low"))</f>
        <v>High</v>
      </c>
      <c r="X314" s="19" t="str">
        <f>IF(SalesData[[#This Row],[Profit]]&gt;0,"Profit","Loss")</f>
        <v>Profit</v>
      </c>
      <c r="Y314" s="19" t="str">
        <f>IF(AND(SalesData[[#This Row],[Sales]]&gt;= 50000, SalesData[[#This Row],[Quantity]]&gt;=2),"Yes","No")</f>
        <v>Yes</v>
      </c>
      <c r="Z314" s="19" t="str">
        <f>UPPER(SalesData[[#This Row],[Customer_Name]])</f>
        <v>PRIYA SINGH</v>
      </c>
      <c r="AA314" s="19" t="str">
        <f>LOWER(SalesData[[#This Row],[Customer_Name]])</f>
        <v>priya singh</v>
      </c>
      <c r="AB314" s="19">
        <f>LEN(SalesData[[#This Row],[Customer_Name]])</f>
        <v>11</v>
      </c>
      <c r="AC314" s="19" t="str">
        <f>LEFT(SalesData[[#This Row],[Order_ID]],3)</f>
        <v>ORD</v>
      </c>
      <c r="AD314" s="19" t="str">
        <f>RIGHT(SalesData[[#This Row],[Order_ID]],4)</f>
        <v>0301</v>
      </c>
      <c r="AE314" s="19" t="str">
        <f>_xlfn.CONCAT(SalesData[[#This Row],[Clean_Customer_Name]],"-",SalesData[[#This Row],[Region]])</f>
        <v>Priya Singh-South</v>
      </c>
      <c r="AF314" s="19" t="str">
        <f>MID(SalesData[[#This Row],[Order_ID]],4,4)</f>
        <v>0301</v>
      </c>
      <c r="AG314" s="19" t="e">
        <f ca="1">_xlfn.SINGLE(_xlfn.XLOOKUP(SalesData[[#This Row],[Product]],Product_Master!A:A,Product_Master!B:B,"Not Found"))</f>
        <v>#NAME?</v>
      </c>
      <c r="AH314" s="19" t="str">
        <f>VLOOKUP(SalesData[[#This Row],[Product]],Product_Master!$A$1:$B$21,2,FALSE)</f>
        <v>Arjun</v>
      </c>
      <c r="AI314" s="16"/>
    </row>
    <row r="315" spans="1:35" ht="13.8">
      <c r="A315" s="16" t="s">
        <v>460</v>
      </c>
      <c r="B315" s="17">
        <v>45963</v>
      </c>
      <c r="C315" s="16" t="s">
        <v>28</v>
      </c>
      <c r="D315" s="16" t="s">
        <v>29</v>
      </c>
      <c r="E315" s="16" t="s">
        <v>175</v>
      </c>
      <c r="F315" s="16" t="s">
        <v>176</v>
      </c>
      <c r="G315" s="16" t="s">
        <v>51</v>
      </c>
      <c r="H315" s="16" t="s">
        <v>177</v>
      </c>
      <c r="I315" s="16" t="s">
        <v>53</v>
      </c>
      <c r="J315" s="16" t="s">
        <v>102</v>
      </c>
      <c r="K315" s="18">
        <v>37597.75</v>
      </c>
      <c r="L315" s="18">
        <v>33289.120000000003</v>
      </c>
      <c r="M315" s="19">
        <v>2</v>
      </c>
      <c r="N315" s="20">
        <v>0.05</v>
      </c>
      <c r="O315" s="19" t="s">
        <v>44</v>
      </c>
      <c r="P315" s="19" t="s">
        <v>58</v>
      </c>
      <c r="Q315" s="19" t="str">
        <f>TRIM(SalesData[[#This Row],[Customer_Name]])</f>
        <v>Priya Singh</v>
      </c>
      <c r="R315" s="21">
        <f>SalesData[[#This Row],[Sales]]-SalesData[[#This Row],[Cost]]</f>
        <v>4308.6299999999974</v>
      </c>
      <c r="S315" s="22">
        <f>IFERROR(SalesData[[#This Row],[Profit]]/SalesData[[#This Row],[Sales]],0)</f>
        <v>0.11459808100218756</v>
      </c>
      <c r="T315" s="19">
        <f>YEAR(SalesData[[#This Row],[Order_Date]])</f>
        <v>2025</v>
      </c>
      <c r="U315" s="19" t="str">
        <f>TEXT(SalesData[[#This Row],[Order_Date]],"mmm")</f>
        <v>Nov</v>
      </c>
      <c r="V315" s="19" t="str">
        <f>"Q"&amp;ROUNDUP(MONTH(SalesData[[#This Row],[Order_Date]])/3,0)</f>
        <v>Q4</v>
      </c>
      <c r="W315" s="19" t="str">
        <f>IF(SalesData[[#This Row],[Sales]]&gt;=50000,"High",IF(AND(SalesData[[#This Row],[Sales]]&gt;= 20000, SalesData[[#This Row],[Sales]]&lt; 50000),"Medium","Low"))</f>
        <v>Medium</v>
      </c>
      <c r="X315" s="19" t="str">
        <f>IF(SalesData[[#This Row],[Profit]]&gt;0,"Profit","Loss")</f>
        <v>Profit</v>
      </c>
      <c r="Y315" s="19" t="str">
        <f>IF(AND(SalesData[[#This Row],[Sales]]&gt;= 50000, SalesData[[#This Row],[Quantity]]&gt;=2),"Yes","No")</f>
        <v>No</v>
      </c>
      <c r="Z315" s="19" t="str">
        <f>UPPER(SalesData[[#This Row],[Customer_Name]])</f>
        <v>PRIYA SINGH</v>
      </c>
      <c r="AA315" s="19" t="str">
        <f>LOWER(SalesData[[#This Row],[Customer_Name]])</f>
        <v>priya singh</v>
      </c>
      <c r="AB315" s="19">
        <f>LEN(SalesData[[#This Row],[Customer_Name]])</f>
        <v>11</v>
      </c>
      <c r="AC315" s="19" t="str">
        <f>LEFT(SalesData[[#This Row],[Order_ID]],3)</f>
        <v>ORD</v>
      </c>
      <c r="AD315" s="19" t="str">
        <f>RIGHT(SalesData[[#This Row],[Order_ID]],4)</f>
        <v>0307</v>
      </c>
      <c r="AE315" s="19" t="str">
        <f>_xlfn.CONCAT(SalesData[[#This Row],[Clean_Customer_Name]],"-",SalesData[[#This Row],[Region]])</f>
        <v>Priya Singh-Central</v>
      </c>
      <c r="AF315" s="19" t="str">
        <f>MID(SalesData[[#This Row],[Order_ID]],4,4)</f>
        <v>0307</v>
      </c>
      <c r="AG315" s="19" t="e">
        <f ca="1">_xlfn.SINGLE(_xlfn.XLOOKUP(SalesData[[#This Row],[Product]],Product_Master!A:A,Product_Master!B:B,"Not Found"))</f>
        <v>#NAME?</v>
      </c>
      <c r="AH315" s="19" t="str">
        <f>VLOOKUP(SalesData[[#This Row],[Product]],Product_Master!$A$1:$B$21,2,FALSE)</f>
        <v>Arjun</v>
      </c>
      <c r="AI315" s="16"/>
    </row>
    <row r="316" spans="1:35" ht="13.8">
      <c r="A316" s="16" t="s">
        <v>740</v>
      </c>
      <c r="B316" s="17">
        <v>45322</v>
      </c>
      <c r="C316" s="16" t="s">
        <v>28</v>
      </c>
      <c r="D316" s="16" t="s">
        <v>29</v>
      </c>
      <c r="E316" s="16" t="s">
        <v>175</v>
      </c>
      <c r="F316" s="16" t="s">
        <v>176</v>
      </c>
      <c r="G316" s="16" t="s">
        <v>51</v>
      </c>
      <c r="H316" s="16" t="s">
        <v>177</v>
      </c>
      <c r="I316" s="16" t="s">
        <v>56</v>
      </c>
      <c r="J316" s="16" t="s">
        <v>91</v>
      </c>
      <c r="K316" s="18">
        <v>94932.9</v>
      </c>
      <c r="L316" s="18">
        <v>87185.85</v>
      </c>
      <c r="M316" s="19">
        <v>5</v>
      </c>
      <c r="N316" s="20">
        <v>0.1</v>
      </c>
      <c r="O316" s="19" t="s">
        <v>136</v>
      </c>
      <c r="P316" s="19" t="s">
        <v>58</v>
      </c>
      <c r="Q316" s="19" t="str">
        <f>TRIM(SalesData[[#This Row],[Customer_Name]])</f>
        <v>Priya Singh</v>
      </c>
      <c r="R316" s="21">
        <f>SalesData[[#This Row],[Sales]]-SalesData[[#This Row],[Cost]]</f>
        <v>7747.0499999999884</v>
      </c>
      <c r="S316" s="22">
        <f>IFERROR(SalesData[[#This Row],[Profit]]/SalesData[[#This Row],[Sales]],0)</f>
        <v>8.1605534014024525E-2</v>
      </c>
      <c r="T316" s="19">
        <f>YEAR(SalesData[[#This Row],[Order_Date]])</f>
        <v>2024</v>
      </c>
      <c r="U316" s="19" t="str">
        <f>TEXT(SalesData[[#This Row],[Order_Date]],"mmm")</f>
        <v>Jan</v>
      </c>
      <c r="V316" s="19" t="str">
        <f>"Q"&amp;ROUNDUP(MONTH(SalesData[[#This Row],[Order_Date]])/3,0)</f>
        <v>Q1</v>
      </c>
      <c r="W316" s="19" t="str">
        <f>IF(SalesData[[#This Row],[Sales]]&gt;=50000,"High",IF(AND(SalesData[[#This Row],[Sales]]&gt;= 20000, SalesData[[#This Row],[Sales]]&lt; 50000),"Medium","Low"))</f>
        <v>High</v>
      </c>
      <c r="X316" s="19" t="str">
        <f>IF(SalesData[[#This Row],[Profit]]&gt;0,"Profit","Loss")</f>
        <v>Profit</v>
      </c>
      <c r="Y316" s="19" t="str">
        <f>IF(AND(SalesData[[#This Row],[Sales]]&gt;= 50000, SalesData[[#This Row],[Quantity]]&gt;=2),"Yes","No")</f>
        <v>Yes</v>
      </c>
      <c r="Z316" s="19" t="str">
        <f>UPPER(SalesData[[#This Row],[Customer_Name]])</f>
        <v>PRIYA SINGH</v>
      </c>
      <c r="AA316" s="19" t="str">
        <f>LOWER(SalesData[[#This Row],[Customer_Name]])</f>
        <v>priya singh</v>
      </c>
      <c r="AB316" s="19">
        <f>LEN(SalesData[[#This Row],[Customer_Name]])</f>
        <v>11</v>
      </c>
      <c r="AC316" s="19" t="str">
        <f>LEFT(SalesData[[#This Row],[Order_ID]],3)</f>
        <v>ORD</v>
      </c>
      <c r="AD316" s="19" t="str">
        <f>RIGHT(SalesData[[#This Row],[Order_ID]],4)</f>
        <v>0587</v>
      </c>
      <c r="AE316" s="19" t="str">
        <f>_xlfn.CONCAT(SalesData[[#This Row],[Clean_Customer_Name]],"-",SalesData[[#This Row],[Region]])</f>
        <v>Priya Singh-West</v>
      </c>
      <c r="AF316" s="19" t="str">
        <f>MID(SalesData[[#This Row],[Order_ID]],4,4)</f>
        <v>0587</v>
      </c>
      <c r="AG316" s="19" t="e">
        <f ca="1">_xlfn.SINGLE(_xlfn.XLOOKUP(SalesData[[#This Row],[Product]],Product_Master!A:A,Product_Master!B:B,"Not Found"))</f>
        <v>#NAME?</v>
      </c>
      <c r="AH316" s="19" t="str">
        <f>VLOOKUP(SalesData[[#This Row],[Product]],Product_Master!$A$1:$B$21,2,FALSE)</f>
        <v>Arjun</v>
      </c>
      <c r="AI316" s="16"/>
    </row>
    <row r="317" spans="1:35" ht="13.8">
      <c r="A317" s="16" t="s">
        <v>893</v>
      </c>
      <c r="B317" s="17">
        <v>45721</v>
      </c>
      <c r="C317" s="16" t="s">
        <v>28</v>
      </c>
      <c r="D317" s="16" t="s">
        <v>29</v>
      </c>
      <c r="E317" s="16" t="s">
        <v>175</v>
      </c>
      <c r="F317" s="16" t="s">
        <v>176</v>
      </c>
      <c r="G317" s="16" t="s">
        <v>51</v>
      </c>
      <c r="H317" s="16" t="s">
        <v>177</v>
      </c>
      <c r="I317" s="16" t="s">
        <v>84</v>
      </c>
      <c r="J317" s="16" t="s">
        <v>134</v>
      </c>
      <c r="K317" s="18">
        <v>66079.89</v>
      </c>
      <c r="L317" s="18">
        <v>43667.67</v>
      </c>
      <c r="M317" s="19">
        <v>3</v>
      </c>
      <c r="N317" s="20">
        <v>0</v>
      </c>
      <c r="O317" s="19" t="s">
        <v>34</v>
      </c>
      <c r="P317" s="19" t="s">
        <v>58</v>
      </c>
      <c r="Q317" s="19" t="str">
        <f>TRIM(SalesData[[#This Row],[Customer_Name]])</f>
        <v>Priya Singh</v>
      </c>
      <c r="R317" s="21">
        <f>SalesData[[#This Row],[Sales]]-SalesData[[#This Row],[Cost]]</f>
        <v>22412.22</v>
      </c>
      <c r="S317" s="22">
        <f>IFERROR(SalesData[[#This Row],[Profit]]/SalesData[[#This Row],[Sales]],0)</f>
        <v>0.33916854280477771</v>
      </c>
      <c r="T317" s="19">
        <f>YEAR(SalesData[[#This Row],[Order_Date]])</f>
        <v>2025</v>
      </c>
      <c r="U317" s="19" t="str">
        <f>TEXT(SalesData[[#This Row],[Order_Date]],"mmm")</f>
        <v>Mar</v>
      </c>
      <c r="V317" s="19" t="str">
        <f>"Q"&amp;ROUNDUP(MONTH(SalesData[[#This Row],[Order_Date]])/3,0)</f>
        <v>Q1</v>
      </c>
      <c r="W317" s="19" t="str">
        <f>IF(SalesData[[#This Row],[Sales]]&gt;=50000,"High",IF(AND(SalesData[[#This Row],[Sales]]&gt;= 20000, SalesData[[#This Row],[Sales]]&lt; 50000),"Medium","Low"))</f>
        <v>High</v>
      </c>
      <c r="X317" s="19" t="str">
        <f>IF(SalesData[[#This Row],[Profit]]&gt;0,"Profit","Loss")</f>
        <v>Profit</v>
      </c>
      <c r="Y317" s="19" t="str">
        <f>IF(AND(SalesData[[#This Row],[Sales]]&gt;= 50000, SalesData[[#This Row],[Quantity]]&gt;=2),"Yes","No")</f>
        <v>Yes</v>
      </c>
      <c r="Z317" s="19" t="str">
        <f>UPPER(SalesData[[#This Row],[Customer_Name]])</f>
        <v>PRIYA SINGH</v>
      </c>
      <c r="AA317" s="19" t="str">
        <f>LOWER(SalesData[[#This Row],[Customer_Name]])</f>
        <v>priya singh</v>
      </c>
      <c r="AB317" s="19">
        <f>LEN(SalesData[[#This Row],[Customer_Name]])</f>
        <v>11</v>
      </c>
      <c r="AC317" s="19" t="str">
        <f>LEFT(SalesData[[#This Row],[Order_ID]],3)</f>
        <v>ORD</v>
      </c>
      <c r="AD317" s="19" t="str">
        <f>RIGHT(SalesData[[#This Row],[Order_ID]],4)</f>
        <v>0740</v>
      </c>
      <c r="AE317" s="19" t="str">
        <f>_xlfn.CONCAT(SalesData[[#This Row],[Clean_Customer_Name]],"-",SalesData[[#This Row],[Region]])</f>
        <v>Priya Singh-South</v>
      </c>
      <c r="AF317" s="19" t="str">
        <f>MID(SalesData[[#This Row],[Order_ID]],4,4)</f>
        <v>0740</v>
      </c>
      <c r="AG317" s="19" t="e">
        <f ca="1">_xlfn.SINGLE(_xlfn.XLOOKUP(SalesData[[#This Row],[Product]],Product_Master!A:A,Product_Master!B:B,"Not Found"))</f>
        <v>#NAME?</v>
      </c>
      <c r="AH317" s="19" t="str">
        <f>VLOOKUP(SalesData[[#This Row],[Product]],Product_Master!$A$1:$B$21,2,FALSE)</f>
        <v>Arjun</v>
      </c>
      <c r="AI317" s="16"/>
    </row>
    <row r="318" spans="1:35" ht="13.8">
      <c r="A318" s="16" t="s">
        <v>1074</v>
      </c>
      <c r="B318" s="17">
        <v>45421</v>
      </c>
      <c r="C318" s="16" t="s">
        <v>28</v>
      </c>
      <c r="D318" s="16" t="s">
        <v>29</v>
      </c>
      <c r="E318" s="16" t="s">
        <v>175</v>
      </c>
      <c r="F318" s="16" t="s">
        <v>176</v>
      </c>
      <c r="G318" s="16" t="s">
        <v>51</v>
      </c>
      <c r="H318" s="16" t="s">
        <v>177</v>
      </c>
      <c r="I318" s="16" t="s">
        <v>53</v>
      </c>
      <c r="J318" s="16" t="s">
        <v>102</v>
      </c>
      <c r="K318" s="18">
        <v>144364.60999999999</v>
      </c>
      <c r="L318" s="18">
        <v>87494.15</v>
      </c>
      <c r="M318" s="19">
        <v>5</v>
      </c>
      <c r="N318" s="20">
        <v>0.05</v>
      </c>
      <c r="O318" s="19" t="s">
        <v>25</v>
      </c>
      <c r="P318" s="19" t="s">
        <v>98</v>
      </c>
      <c r="Q318" s="19" t="str">
        <f>TRIM(SalesData[[#This Row],[Customer_Name]])</f>
        <v>Priya Singh</v>
      </c>
      <c r="R318" s="21">
        <f>SalesData[[#This Row],[Sales]]-SalesData[[#This Row],[Cost]]</f>
        <v>56870.459999999992</v>
      </c>
      <c r="S318" s="22">
        <f>IFERROR(SalesData[[#This Row],[Profit]]/SalesData[[#This Row],[Sales]],0)</f>
        <v>0.39393629782257578</v>
      </c>
      <c r="T318" s="19">
        <f>YEAR(SalesData[[#This Row],[Order_Date]])</f>
        <v>2024</v>
      </c>
      <c r="U318" s="19" t="str">
        <f>TEXT(SalesData[[#This Row],[Order_Date]],"mmm")</f>
        <v>May</v>
      </c>
      <c r="V318" s="19" t="str">
        <f>"Q"&amp;ROUNDUP(MONTH(SalesData[[#This Row],[Order_Date]])/3,0)</f>
        <v>Q2</v>
      </c>
      <c r="W318" s="19" t="str">
        <f>IF(SalesData[[#This Row],[Sales]]&gt;=50000,"High",IF(AND(SalesData[[#This Row],[Sales]]&gt;= 20000, SalesData[[#This Row],[Sales]]&lt; 50000),"Medium","Low"))</f>
        <v>High</v>
      </c>
      <c r="X318" s="19" t="str">
        <f>IF(SalesData[[#This Row],[Profit]]&gt;0,"Profit","Loss")</f>
        <v>Profit</v>
      </c>
      <c r="Y318" s="19" t="str">
        <f>IF(AND(SalesData[[#This Row],[Sales]]&gt;= 50000, SalesData[[#This Row],[Quantity]]&gt;=2),"Yes","No")</f>
        <v>Yes</v>
      </c>
      <c r="Z318" s="19" t="str">
        <f>UPPER(SalesData[[#This Row],[Customer_Name]])</f>
        <v>PRIYA SINGH</v>
      </c>
      <c r="AA318" s="19" t="str">
        <f>LOWER(SalesData[[#This Row],[Customer_Name]])</f>
        <v>priya singh</v>
      </c>
      <c r="AB318" s="19">
        <f>LEN(SalesData[[#This Row],[Customer_Name]])</f>
        <v>11</v>
      </c>
      <c r="AC318" s="19" t="str">
        <f>LEFT(SalesData[[#This Row],[Order_ID]],3)</f>
        <v>ORD</v>
      </c>
      <c r="AD318" s="19" t="str">
        <f>RIGHT(SalesData[[#This Row],[Order_ID]],4)</f>
        <v>0921</v>
      </c>
      <c r="AE318" s="19" t="str">
        <f>_xlfn.CONCAT(SalesData[[#This Row],[Clean_Customer_Name]],"-",SalesData[[#This Row],[Region]])</f>
        <v>Priya Singh-Central</v>
      </c>
      <c r="AF318" s="19" t="str">
        <f>MID(SalesData[[#This Row],[Order_ID]],4,4)</f>
        <v>0921</v>
      </c>
      <c r="AG318" s="19" t="e">
        <f ca="1">_xlfn.SINGLE(_xlfn.XLOOKUP(SalesData[[#This Row],[Product]],Product_Master!A:A,Product_Master!B:B,"Not Found"))</f>
        <v>#NAME?</v>
      </c>
      <c r="AH318" s="19" t="str">
        <f>VLOOKUP(SalesData[[#This Row],[Product]],Product_Master!$A$1:$B$21,2,FALSE)</f>
        <v>Arjun</v>
      </c>
      <c r="AI318" s="16"/>
    </row>
    <row r="319" spans="1:35" ht="13.8">
      <c r="A319" s="16" t="s">
        <v>258</v>
      </c>
      <c r="B319" s="17">
        <v>45675</v>
      </c>
      <c r="C319" s="16" t="s">
        <v>28</v>
      </c>
      <c r="D319" s="16" t="s">
        <v>29</v>
      </c>
      <c r="E319" s="16" t="s">
        <v>123</v>
      </c>
      <c r="F319" s="16" t="s">
        <v>124</v>
      </c>
      <c r="G319" s="16" t="s">
        <v>51</v>
      </c>
      <c r="H319" s="16" t="s">
        <v>125</v>
      </c>
      <c r="I319" s="16" t="s">
        <v>84</v>
      </c>
      <c r="J319" s="16" t="s">
        <v>134</v>
      </c>
      <c r="K319" s="18">
        <v>94835.23</v>
      </c>
      <c r="L319" s="18">
        <v>66896.2</v>
      </c>
      <c r="M319" s="19">
        <v>4</v>
      </c>
      <c r="N319" s="20">
        <v>0.2</v>
      </c>
      <c r="O319" s="19" t="s">
        <v>76</v>
      </c>
      <c r="P319" s="19" t="s">
        <v>58</v>
      </c>
      <c r="Q319" s="19" t="str">
        <f>TRIM(SalesData[[#This Row],[Customer_Name]])</f>
        <v>Priya Singh</v>
      </c>
      <c r="R319" s="21">
        <f>SalesData[[#This Row],[Sales]]-SalesData[[#This Row],[Cost]]</f>
        <v>27939.03</v>
      </c>
      <c r="S319" s="22">
        <f>IFERROR(SalesData[[#This Row],[Profit]]/SalesData[[#This Row],[Sales]],0)</f>
        <v>0.29460602352100584</v>
      </c>
      <c r="T319" s="19">
        <f>YEAR(SalesData[[#This Row],[Order_Date]])</f>
        <v>2025</v>
      </c>
      <c r="U319" s="19" t="str">
        <f>TEXT(SalesData[[#This Row],[Order_Date]],"mmm")</f>
        <v>Jan</v>
      </c>
      <c r="V319" s="19" t="str">
        <f>"Q"&amp;ROUNDUP(MONTH(SalesData[[#This Row],[Order_Date]])/3,0)</f>
        <v>Q1</v>
      </c>
      <c r="W319" s="19" t="str">
        <f>IF(SalesData[[#This Row],[Sales]]&gt;=50000,"High",IF(AND(SalesData[[#This Row],[Sales]]&gt;= 20000, SalesData[[#This Row],[Sales]]&lt; 50000),"Medium","Low"))</f>
        <v>High</v>
      </c>
      <c r="X319" s="19" t="str">
        <f>IF(SalesData[[#This Row],[Profit]]&gt;0,"Profit","Loss")</f>
        <v>Profit</v>
      </c>
      <c r="Y319" s="19" t="str">
        <f>IF(AND(SalesData[[#This Row],[Sales]]&gt;= 50000, SalesData[[#This Row],[Quantity]]&gt;=2),"Yes","No")</f>
        <v>Yes</v>
      </c>
      <c r="Z319" s="19" t="str">
        <f>UPPER(SalesData[[#This Row],[Customer_Name]])</f>
        <v>PRIYA SINGH</v>
      </c>
      <c r="AA319" s="19" t="str">
        <f>LOWER(SalesData[[#This Row],[Customer_Name]])</f>
        <v>priya singh</v>
      </c>
      <c r="AB319" s="19">
        <f>LEN(SalesData[[#This Row],[Customer_Name]])</f>
        <v>11</v>
      </c>
      <c r="AC319" s="19" t="str">
        <f>LEFT(SalesData[[#This Row],[Order_ID]],3)</f>
        <v>ORD</v>
      </c>
      <c r="AD319" s="19" t="str">
        <f>RIGHT(SalesData[[#This Row],[Order_ID]],4)</f>
        <v>0107</v>
      </c>
      <c r="AE319" s="19" t="str">
        <f>_xlfn.CONCAT(SalesData[[#This Row],[Clean_Customer_Name]],"-",SalesData[[#This Row],[Region]])</f>
        <v>Priya Singh-South</v>
      </c>
      <c r="AF319" s="19" t="str">
        <f>MID(SalesData[[#This Row],[Order_ID]],4,4)</f>
        <v>0107</v>
      </c>
      <c r="AG319" s="19" t="e">
        <f ca="1">_xlfn.SINGLE(_xlfn.XLOOKUP(SalesData[[#This Row],[Product]],Product_Master!A:A,Product_Master!B:B,"Not Found"))</f>
        <v>#NAME?</v>
      </c>
      <c r="AH319" s="19" t="str">
        <f>VLOOKUP(SalesData[[#This Row],[Product]],Product_Master!$A$1:$B$21,2,FALSE)</f>
        <v>Sneha</v>
      </c>
      <c r="AI319" s="16"/>
    </row>
    <row r="320" spans="1:35" ht="13.8">
      <c r="A320" s="16" t="s">
        <v>373</v>
      </c>
      <c r="B320" s="17">
        <v>45372</v>
      </c>
      <c r="C320" s="16" t="s">
        <v>28</v>
      </c>
      <c r="D320" s="16" t="s">
        <v>29</v>
      </c>
      <c r="E320" s="16" t="s">
        <v>123</v>
      </c>
      <c r="F320" s="16" t="s">
        <v>124</v>
      </c>
      <c r="G320" s="16" t="s">
        <v>51</v>
      </c>
      <c r="H320" s="16" t="s">
        <v>125</v>
      </c>
      <c r="I320" s="16" t="s">
        <v>42</v>
      </c>
      <c r="J320" s="16" t="s">
        <v>162</v>
      </c>
      <c r="K320" s="18">
        <v>81249.48</v>
      </c>
      <c r="L320" s="18">
        <v>58579.29</v>
      </c>
      <c r="M320" s="19">
        <v>3</v>
      </c>
      <c r="N320" s="20">
        <v>0.15</v>
      </c>
      <c r="O320" s="19" t="s">
        <v>76</v>
      </c>
      <c r="P320" s="19" t="s">
        <v>58</v>
      </c>
      <c r="Q320" s="19" t="str">
        <f>TRIM(SalesData[[#This Row],[Customer_Name]])</f>
        <v>Priya Singh</v>
      </c>
      <c r="R320" s="21">
        <f>SalesData[[#This Row],[Sales]]-SalesData[[#This Row],[Cost]]</f>
        <v>22670.189999999995</v>
      </c>
      <c r="S320" s="22">
        <f>IFERROR(SalesData[[#This Row],[Profit]]/SalesData[[#This Row],[Sales]],0)</f>
        <v>0.27901950880177934</v>
      </c>
      <c r="T320" s="19">
        <f>YEAR(SalesData[[#This Row],[Order_Date]])</f>
        <v>2024</v>
      </c>
      <c r="U320" s="19" t="str">
        <f>TEXT(SalesData[[#This Row],[Order_Date]],"mmm")</f>
        <v>Mar</v>
      </c>
      <c r="V320" s="19" t="str">
        <f>"Q"&amp;ROUNDUP(MONTH(SalesData[[#This Row],[Order_Date]])/3,0)</f>
        <v>Q1</v>
      </c>
      <c r="W320" s="19" t="str">
        <f>IF(SalesData[[#This Row],[Sales]]&gt;=50000,"High",IF(AND(SalesData[[#This Row],[Sales]]&gt;= 20000, SalesData[[#This Row],[Sales]]&lt; 50000),"Medium","Low"))</f>
        <v>High</v>
      </c>
      <c r="X320" s="19" t="str">
        <f>IF(SalesData[[#This Row],[Profit]]&gt;0,"Profit","Loss")</f>
        <v>Profit</v>
      </c>
      <c r="Y320" s="19" t="str">
        <f>IF(AND(SalesData[[#This Row],[Sales]]&gt;= 50000, SalesData[[#This Row],[Quantity]]&gt;=2),"Yes","No")</f>
        <v>Yes</v>
      </c>
      <c r="Z320" s="19" t="str">
        <f>UPPER(SalesData[[#This Row],[Customer_Name]])</f>
        <v>PRIYA SINGH</v>
      </c>
      <c r="AA320" s="19" t="str">
        <f>LOWER(SalesData[[#This Row],[Customer_Name]])</f>
        <v>priya singh</v>
      </c>
      <c r="AB320" s="19">
        <f>LEN(SalesData[[#This Row],[Customer_Name]])</f>
        <v>11</v>
      </c>
      <c r="AC320" s="19" t="str">
        <f>LEFT(SalesData[[#This Row],[Order_ID]],3)</f>
        <v>ORD</v>
      </c>
      <c r="AD320" s="19" t="str">
        <f>RIGHT(SalesData[[#This Row],[Order_ID]],4)</f>
        <v>0220</v>
      </c>
      <c r="AE320" s="19" t="str">
        <f>_xlfn.CONCAT(SalesData[[#This Row],[Clean_Customer_Name]],"-",SalesData[[#This Row],[Region]])</f>
        <v>Priya Singh-East</v>
      </c>
      <c r="AF320" s="19" t="str">
        <f>MID(SalesData[[#This Row],[Order_ID]],4,4)</f>
        <v>0220</v>
      </c>
      <c r="AG320" s="19" t="e">
        <f ca="1">_xlfn.SINGLE(_xlfn.XLOOKUP(SalesData[[#This Row],[Product]],Product_Master!A:A,Product_Master!B:B,"Not Found"))</f>
        <v>#NAME?</v>
      </c>
      <c r="AH320" s="19" t="str">
        <f>VLOOKUP(SalesData[[#This Row],[Product]],Product_Master!$A$1:$B$21,2,FALSE)</f>
        <v>Sneha</v>
      </c>
      <c r="AI320" s="16"/>
    </row>
    <row r="321" spans="1:35" ht="13.8">
      <c r="A321" s="16" t="s">
        <v>971</v>
      </c>
      <c r="B321" s="17">
        <v>45348</v>
      </c>
      <c r="C321" s="16" t="s">
        <v>28</v>
      </c>
      <c r="D321" s="16" t="s">
        <v>29</v>
      </c>
      <c r="E321" s="16" t="s">
        <v>123</v>
      </c>
      <c r="F321" s="16" t="s">
        <v>124</v>
      </c>
      <c r="G321" s="16" t="s">
        <v>51</v>
      </c>
      <c r="H321" s="16" t="s">
        <v>125</v>
      </c>
      <c r="I321" s="16" t="s">
        <v>84</v>
      </c>
      <c r="J321" s="16" t="s">
        <v>134</v>
      </c>
      <c r="K321" s="18">
        <v>30904.880000000001</v>
      </c>
      <c r="L321" s="18">
        <v>18169.759999999998</v>
      </c>
      <c r="M321" s="19">
        <v>1</v>
      </c>
      <c r="N321" s="20">
        <v>0</v>
      </c>
      <c r="O321" s="19" t="s">
        <v>136</v>
      </c>
      <c r="P321" s="19" t="s">
        <v>45</v>
      </c>
      <c r="Q321" s="19" t="str">
        <f>TRIM(SalesData[[#This Row],[Customer_Name]])</f>
        <v>Priya Singh</v>
      </c>
      <c r="R321" s="21">
        <f>SalesData[[#This Row],[Sales]]-SalesData[[#This Row],[Cost]]</f>
        <v>12735.120000000003</v>
      </c>
      <c r="S321" s="22">
        <f>IFERROR(SalesData[[#This Row],[Profit]]/SalesData[[#This Row],[Sales]],0)</f>
        <v>0.41207472735697409</v>
      </c>
      <c r="T321" s="19">
        <f>YEAR(SalesData[[#This Row],[Order_Date]])</f>
        <v>2024</v>
      </c>
      <c r="U321" s="19" t="str">
        <f>TEXT(SalesData[[#This Row],[Order_Date]],"mmm")</f>
        <v>Feb</v>
      </c>
      <c r="V321" s="19" t="str">
        <f>"Q"&amp;ROUNDUP(MONTH(SalesData[[#This Row],[Order_Date]])/3,0)</f>
        <v>Q1</v>
      </c>
      <c r="W321" s="19" t="str">
        <f>IF(SalesData[[#This Row],[Sales]]&gt;=50000,"High",IF(AND(SalesData[[#This Row],[Sales]]&gt;= 20000, SalesData[[#This Row],[Sales]]&lt; 50000),"Medium","Low"))</f>
        <v>Medium</v>
      </c>
      <c r="X321" s="19" t="str">
        <f>IF(SalesData[[#This Row],[Profit]]&gt;0,"Profit","Loss")</f>
        <v>Profit</v>
      </c>
      <c r="Y321" s="19" t="str">
        <f>IF(AND(SalesData[[#This Row],[Sales]]&gt;= 50000, SalesData[[#This Row],[Quantity]]&gt;=2),"Yes","No")</f>
        <v>No</v>
      </c>
      <c r="Z321" s="19" t="str">
        <f>UPPER(SalesData[[#This Row],[Customer_Name]])</f>
        <v>PRIYA SINGH</v>
      </c>
      <c r="AA321" s="19" t="str">
        <f>LOWER(SalesData[[#This Row],[Customer_Name]])</f>
        <v>priya singh</v>
      </c>
      <c r="AB321" s="19">
        <f>LEN(SalesData[[#This Row],[Customer_Name]])</f>
        <v>11</v>
      </c>
      <c r="AC321" s="19" t="str">
        <f>LEFT(SalesData[[#This Row],[Order_ID]],3)</f>
        <v>ORD</v>
      </c>
      <c r="AD321" s="19" t="str">
        <f>RIGHT(SalesData[[#This Row],[Order_ID]],4)</f>
        <v>0818</v>
      </c>
      <c r="AE321" s="19" t="str">
        <f>_xlfn.CONCAT(SalesData[[#This Row],[Clean_Customer_Name]],"-",SalesData[[#This Row],[Region]])</f>
        <v>Priya Singh-South</v>
      </c>
      <c r="AF321" s="19" t="str">
        <f>MID(SalesData[[#This Row],[Order_ID]],4,4)</f>
        <v>0818</v>
      </c>
      <c r="AG321" s="19" t="e">
        <f ca="1">_xlfn.SINGLE(_xlfn.XLOOKUP(SalesData[[#This Row],[Product]],Product_Master!A:A,Product_Master!B:B,"Not Found"))</f>
        <v>#NAME?</v>
      </c>
      <c r="AH321" s="19" t="str">
        <f>VLOOKUP(SalesData[[#This Row],[Product]],Product_Master!$A$1:$B$21,2,FALSE)</f>
        <v>Sneha</v>
      </c>
      <c r="AI321" s="16"/>
    </row>
    <row r="322" spans="1:35" ht="13.8">
      <c r="A322" s="16" t="s">
        <v>1056</v>
      </c>
      <c r="B322" s="17">
        <v>45933</v>
      </c>
      <c r="C322" s="16" t="s">
        <v>28</v>
      </c>
      <c r="D322" s="16" t="s">
        <v>29</v>
      </c>
      <c r="E322" s="16" t="s">
        <v>123</v>
      </c>
      <c r="F322" s="16" t="s">
        <v>124</v>
      </c>
      <c r="G322" s="16" t="s">
        <v>51</v>
      </c>
      <c r="H322" s="16" t="s">
        <v>125</v>
      </c>
      <c r="I322" s="16" t="s">
        <v>42</v>
      </c>
      <c r="J322" s="16" t="s">
        <v>43</v>
      </c>
      <c r="K322" s="18">
        <v>103192.8</v>
      </c>
      <c r="L322" s="18">
        <v>65747.360000000001</v>
      </c>
      <c r="M322" s="19">
        <v>4</v>
      </c>
      <c r="N322" s="20">
        <v>0.2</v>
      </c>
      <c r="O322" s="19" t="s">
        <v>25</v>
      </c>
      <c r="P322" s="19" t="s">
        <v>45</v>
      </c>
      <c r="Q322" s="19" t="str">
        <f>TRIM(SalesData[[#This Row],[Customer_Name]])</f>
        <v>Priya Singh</v>
      </c>
      <c r="R322" s="21">
        <f>SalesData[[#This Row],[Sales]]-SalesData[[#This Row],[Cost]]</f>
        <v>37445.440000000002</v>
      </c>
      <c r="S322" s="22">
        <f>IFERROR(SalesData[[#This Row],[Profit]]/SalesData[[#This Row],[Sales]],0)</f>
        <v>0.36286872727554637</v>
      </c>
      <c r="T322" s="19">
        <f>YEAR(SalesData[[#This Row],[Order_Date]])</f>
        <v>2025</v>
      </c>
      <c r="U322" s="19" t="str">
        <f>TEXT(SalesData[[#This Row],[Order_Date]],"mmm")</f>
        <v>Oct</v>
      </c>
      <c r="V322" s="19" t="str">
        <f>"Q"&amp;ROUNDUP(MONTH(SalesData[[#This Row],[Order_Date]])/3,0)</f>
        <v>Q4</v>
      </c>
      <c r="W322" s="19" t="str">
        <f>IF(SalesData[[#This Row],[Sales]]&gt;=50000,"High",IF(AND(SalesData[[#This Row],[Sales]]&gt;= 20000, SalesData[[#This Row],[Sales]]&lt; 50000),"Medium","Low"))</f>
        <v>High</v>
      </c>
      <c r="X322" s="19" t="str">
        <f>IF(SalesData[[#This Row],[Profit]]&gt;0,"Profit","Loss")</f>
        <v>Profit</v>
      </c>
      <c r="Y322" s="19" t="str">
        <f>IF(AND(SalesData[[#This Row],[Sales]]&gt;= 50000, SalesData[[#This Row],[Quantity]]&gt;=2),"Yes","No")</f>
        <v>Yes</v>
      </c>
      <c r="Z322" s="19" t="str">
        <f>UPPER(SalesData[[#This Row],[Customer_Name]])</f>
        <v>PRIYA SINGH</v>
      </c>
      <c r="AA322" s="19" t="str">
        <f>LOWER(SalesData[[#This Row],[Customer_Name]])</f>
        <v>priya singh</v>
      </c>
      <c r="AB322" s="19">
        <f>LEN(SalesData[[#This Row],[Customer_Name]])</f>
        <v>11</v>
      </c>
      <c r="AC322" s="19" t="str">
        <f>LEFT(SalesData[[#This Row],[Order_ID]],3)</f>
        <v>ORD</v>
      </c>
      <c r="AD322" s="19" t="str">
        <f>RIGHT(SalesData[[#This Row],[Order_ID]],4)</f>
        <v>0903</v>
      </c>
      <c r="AE322" s="19" t="str">
        <f>_xlfn.CONCAT(SalesData[[#This Row],[Clean_Customer_Name]],"-",SalesData[[#This Row],[Region]])</f>
        <v>Priya Singh-East</v>
      </c>
      <c r="AF322" s="19" t="str">
        <f>MID(SalesData[[#This Row],[Order_ID]],4,4)</f>
        <v>0903</v>
      </c>
      <c r="AG322" s="19" t="e">
        <f ca="1">_xlfn.SINGLE(_xlfn.XLOOKUP(SalesData[[#This Row],[Product]],Product_Master!A:A,Product_Master!B:B,"Not Found"))</f>
        <v>#NAME?</v>
      </c>
      <c r="AH322" s="19" t="str">
        <f>VLOOKUP(SalesData[[#This Row],[Product]],Product_Master!$A$1:$B$21,2,FALSE)</f>
        <v>Sneha</v>
      </c>
      <c r="AI322" s="16"/>
    </row>
    <row r="323" spans="1:35" ht="13.8">
      <c r="A323" s="16" t="s">
        <v>1054</v>
      </c>
      <c r="B323" s="17">
        <v>45534</v>
      </c>
      <c r="C323" s="16" t="s">
        <v>28</v>
      </c>
      <c r="D323" s="16" t="s">
        <v>29</v>
      </c>
      <c r="E323" s="16" t="s">
        <v>110</v>
      </c>
      <c r="F323" s="16" t="s">
        <v>111</v>
      </c>
      <c r="G323" s="16" t="s">
        <v>40</v>
      </c>
      <c r="H323" s="16" t="s">
        <v>112</v>
      </c>
      <c r="I323" s="16" t="s">
        <v>56</v>
      </c>
      <c r="J323" s="16" t="s">
        <v>57</v>
      </c>
      <c r="K323" s="18">
        <v>3609.14</v>
      </c>
      <c r="L323" s="18">
        <v>1266.18</v>
      </c>
      <c r="M323" s="19">
        <v>1</v>
      </c>
      <c r="N323" s="20">
        <v>0</v>
      </c>
      <c r="O323" s="19" t="s">
        <v>136</v>
      </c>
      <c r="P323" s="19" t="s">
        <v>58</v>
      </c>
      <c r="Q323" s="19" t="str">
        <f>TRIM(SalesData[[#This Row],[Customer_Name]])</f>
        <v>Priya Singh</v>
      </c>
      <c r="R323" s="21">
        <f>SalesData[[#This Row],[Sales]]-SalesData[[#This Row],[Cost]]</f>
        <v>2342.96</v>
      </c>
      <c r="S323" s="22">
        <f>IFERROR(SalesData[[#This Row],[Profit]]/SalesData[[#This Row],[Sales]],0)</f>
        <v>0.64917404146140079</v>
      </c>
      <c r="T323" s="19">
        <f>YEAR(SalesData[[#This Row],[Order_Date]])</f>
        <v>2024</v>
      </c>
      <c r="U323" s="19" t="str">
        <f>TEXT(SalesData[[#This Row],[Order_Date]],"mmm")</f>
        <v>Aug</v>
      </c>
      <c r="V323" s="19" t="str">
        <f>"Q"&amp;ROUNDUP(MONTH(SalesData[[#This Row],[Order_Date]])/3,0)</f>
        <v>Q3</v>
      </c>
      <c r="W323" s="19" t="str">
        <f>IF(SalesData[[#This Row],[Sales]]&gt;=50000,"High",IF(AND(SalesData[[#This Row],[Sales]]&gt;= 20000, SalesData[[#This Row],[Sales]]&lt; 50000),"Medium","Low"))</f>
        <v>Low</v>
      </c>
      <c r="X323" s="19" t="str">
        <f>IF(SalesData[[#This Row],[Profit]]&gt;0,"Profit","Loss")</f>
        <v>Profit</v>
      </c>
      <c r="Y323" s="19" t="str">
        <f>IF(AND(SalesData[[#This Row],[Sales]]&gt;= 50000, SalesData[[#This Row],[Quantity]]&gt;=2),"Yes","No")</f>
        <v>No</v>
      </c>
      <c r="Z323" s="19" t="str">
        <f>UPPER(SalesData[[#This Row],[Customer_Name]])</f>
        <v>PRIYA SINGH</v>
      </c>
      <c r="AA323" s="19" t="str">
        <f>LOWER(SalesData[[#This Row],[Customer_Name]])</f>
        <v>priya singh</v>
      </c>
      <c r="AB323" s="19">
        <f>LEN(SalesData[[#This Row],[Customer_Name]])</f>
        <v>11</v>
      </c>
      <c r="AC323" s="19" t="str">
        <f>LEFT(SalesData[[#This Row],[Order_ID]],3)</f>
        <v>ORD</v>
      </c>
      <c r="AD323" s="19" t="str">
        <f>RIGHT(SalesData[[#This Row],[Order_ID]],4)</f>
        <v>0901</v>
      </c>
      <c r="AE323" s="19" t="str">
        <f>_xlfn.CONCAT(SalesData[[#This Row],[Clean_Customer_Name]],"-",SalesData[[#This Row],[Region]])</f>
        <v>Priya Singh-West</v>
      </c>
      <c r="AF323" s="19" t="str">
        <f>MID(SalesData[[#This Row],[Order_ID]],4,4)</f>
        <v>0901</v>
      </c>
      <c r="AG323" s="19" t="e">
        <f ca="1">_xlfn.SINGLE(_xlfn.XLOOKUP(SalesData[[#This Row],[Product]],Product_Master!A:A,Product_Master!B:B,"Not Found"))</f>
        <v>#NAME?</v>
      </c>
      <c r="AH323" s="19" t="str">
        <f>VLOOKUP(SalesData[[#This Row],[Product]],Product_Master!$A$1:$B$21,2,FALSE)</f>
        <v>Vikas</v>
      </c>
      <c r="AI323" s="16"/>
    </row>
    <row r="324" spans="1:35" ht="13.8">
      <c r="A324" s="16" t="s">
        <v>1093</v>
      </c>
      <c r="B324" s="17">
        <v>45303</v>
      </c>
      <c r="C324" s="16" t="s">
        <v>28</v>
      </c>
      <c r="D324" s="16" t="s">
        <v>29</v>
      </c>
      <c r="E324" s="16" t="s">
        <v>172</v>
      </c>
      <c r="F324" s="16" t="s">
        <v>173</v>
      </c>
      <c r="G324" s="16" t="s">
        <v>40</v>
      </c>
      <c r="H324" s="16" t="s">
        <v>41</v>
      </c>
      <c r="I324" s="16" t="s">
        <v>56</v>
      </c>
      <c r="J324" s="16" t="s">
        <v>57</v>
      </c>
      <c r="K324" s="18">
        <v>6341.27</v>
      </c>
      <c r="L324" s="18">
        <v>1737.64</v>
      </c>
      <c r="M324" s="19">
        <v>2</v>
      </c>
      <c r="N324" s="20">
        <v>0.15</v>
      </c>
      <c r="O324" s="19" t="s">
        <v>76</v>
      </c>
      <c r="P324" s="19" t="s">
        <v>58</v>
      </c>
      <c r="Q324" s="19" t="str">
        <f>TRIM(SalesData[[#This Row],[Customer_Name]])</f>
        <v>Priya Singh</v>
      </c>
      <c r="R324" s="21">
        <f>SalesData[[#This Row],[Sales]]-SalesData[[#This Row],[Cost]]</f>
        <v>4603.63</v>
      </c>
      <c r="S324" s="22">
        <f>IFERROR(SalesData[[#This Row],[Profit]]/SalesData[[#This Row],[Sales]],0)</f>
        <v>0.72597918082655366</v>
      </c>
      <c r="T324" s="19">
        <f>YEAR(SalesData[[#This Row],[Order_Date]])</f>
        <v>2024</v>
      </c>
      <c r="U324" s="19" t="str">
        <f>TEXT(SalesData[[#This Row],[Order_Date]],"mmm")</f>
        <v>Jan</v>
      </c>
      <c r="V324" s="19" t="str">
        <f>"Q"&amp;ROUNDUP(MONTH(SalesData[[#This Row],[Order_Date]])/3,0)</f>
        <v>Q1</v>
      </c>
      <c r="W324" s="19" t="str">
        <f>IF(SalesData[[#This Row],[Sales]]&gt;=50000,"High",IF(AND(SalesData[[#This Row],[Sales]]&gt;= 20000, SalesData[[#This Row],[Sales]]&lt; 50000),"Medium","Low"))</f>
        <v>Low</v>
      </c>
      <c r="X324" s="19" t="str">
        <f>IF(SalesData[[#This Row],[Profit]]&gt;0,"Profit","Loss")</f>
        <v>Profit</v>
      </c>
      <c r="Y324" s="19" t="str">
        <f>IF(AND(SalesData[[#This Row],[Sales]]&gt;= 50000, SalesData[[#This Row],[Quantity]]&gt;=2),"Yes","No")</f>
        <v>No</v>
      </c>
      <c r="Z324" s="19" t="str">
        <f>UPPER(SalesData[[#This Row],[Customer_Name]])</f>
        <v>PRIYA SINGH</v>
      </c>
      <c r="AA324" s="19" t="str">
        <f>LOWER(SalesData[[#This Row],[Customer_Name]])</f>
        <v>priya singh</v>
      </c>
      <c r="AB324" s="19">
        <f>LEN(SalesData[[#This Row],[Customer_Name]])</f>
        <v>11</v>
      </c>
      <c r="AC324" s="19" t="str">
        <f>LEFT(SalesData[[#This Row],[Order_ID]],3)</f>
        <v>ORD</v>
      </c>
      <c r="AD324" s="19" t="str">
        <f>RIGHT(SalesData[[#This Row],[Order_ID]],4)</f>
        <v>0940</v>
      </c>
      <c r="AE324" s="19" t="str">
        <f>_xlfn.CONCAT(SalesData[[#This Row],[Clean_Customer_Name]],"-",SalesData[[#This Row],[Region]])</f>
        <v>Priya Singh-West</v>
      </c>
      <c r="AF324" s="19" t="str">
        <f>MID(SalesData[[#This Row],[Order_ID]],4,4)</f>
        <v>0940</v>
      </c>
      <c r="AG324" s="19" t="e">
        <f ca="1">_xlfn.SINGLE(_xlfn.XLOOKUP(SalesData[[#This Row],[Product]],Product_Master!A:A,Product_Master!B:B,"Not Found"))</f>
        <v>#NAME?</v>
      </c>
      <c r="AH324" s="19" t="str">
        <f>VLOOKUP(SalesData[[#This Row],[Product]],Product_Master!$A$1:$B$21,2,FALSE)</f>
        <v>Pooja</v>
      </c>
      <c r="AI324" s="16"/>
    </row>
    <row r="325" spans="1:35" ht="13.8">
      <c r="A325" s="16" t="s">
        <v>317</v>
      </c>
      <c r="B325" s="17">
        <v>45984</v>
      </c>
      <c r="C325" s="16" t="s">
        <v>28</v>
      </c>
      <c r="D325" s="16" t="s">
        <v>29</v>
      </c>
      <c r="E325" s="16" t="s">
        <v>132</v>
      </c>
      <c r="F325" s="16" t="s">
        <v>133</v>
      </c>
      <c r="G325" s="16" t="s">
        <v>40</v>
      </c>
      <c r="H325" s="16" t="s">
        <v>41</v>
      </c>
      <c r="I325" s="16" t="s">
        <v>84</v>
      </c>
      <c r="J325" s="16" t="s">
        <v>134</v>
      </c>
      <c r="K325" s="18">
        <v>1477.32</v>
      </c>
      <c r="L325" s="18">
        <v>546.96</v>
      </c>
      <c r="M325" s="19">
        <v>2</v>
      </c>
      <c r="N325" s="20">
        <v>0.15</v>
      </c>
      <c r="O325" s="19" t="s">
        <v>76</v>
      </c>
      <c r="P325" s="19" t="s">
        <v>58</v>
      </c>
      <c r="Q325" s="19" t="str">
        <f>TRIM(SalesData[[#This Row],[Customer_Name]])</f>
        <v>Priya Singh</v>
      </c>
      <c r="R325" s="21">
        <f>SalesData[[#This Row],[Sales]]-SalesData[[#This Row],[Cost]]</f>
        <v>930.3599999999999</v>
      </c>
      <c r="S325" s="22">
        <f>IFERROR(SalesData[[#This Row],[Profit]]/SalesData[[#This Row],[Sales]],0)</f>
        <v>0.62976200146210704</v>
      </c>
      <c r="T325" s="19">
        <f>YEAR(SalesData[[#This Row],[Order_Date]])</f>
        <v>2025</v>
      </c>
      <c r="U325" s="19" t="str">
        <f>TEXT(SalesData[[#This Row],[Order_Date]],"mmm")</f>
        <v>Nov</v>
      </c>
      <c r="V325" s="19" t="str">
        <f>"Q"&amp;ROUNDUP(MONTH(SalesData[[#This Row],[Order_Date]])/3,0)</f>
        <v>Q4</v>
      </c>
      <c r="W325" s="19" t="str">
        <f>IF(SalesData[[#This Row],[Sales]]&gt;=50000,"High",IF(AND(SalesData[[#This Row],[Sales]]&gt;= 20000, SalesData[[#This Row],[Sales]]&lt; 50000),"Medium","Low"))</f>
        <v>Low</v>
      </c>
      <c r="X325" s="19" t="str">
        <f>IF(SalesData[[#This Row],[Profit]]&gt;0,"Profit","Loss")</f>
        <v>Profit</v>
      </c>
      <c r="Y325" s="19" t="str">
        <f>IF(AND(SalesData[[#This Row],[Sales]]&gt;= 50000, SalesData[[#This Row],[Quantity]]&gt;=2),"Yes","No")</f>
        <v>No</v>
      </c>
      <c r="Z325" s="19" t="str">
        <f>UPPER(SalesData[[#This Row],[Customer_Name]])</f>
        <v>PRIYA SINGH</v>
      </c>
      <c r="AA325" s="19" t="str">
        <f>LOWER(SalesData[[#This Row],[Customer_Name]])</f>
        <v>priya singh</v>
      </c>
      <c r="AB325" s="19">
        <f>LEN(SalesData[[#This Row],[Customer_Name]])</f>
        <v>11</v>
      </c>
      <c r="AC325" s="19" t="str">
        <f>LEFT(SalesData[[#This Row],[Order_ID]],3)</f>
        <v>ORD</v>
      </c>
      <c r="AD325" s="19" t="str">
        <f>RIGHT(SalesData[[#This Row],[Order_ID]],4)</f>
        <v>0164</v>
      </c>
      <c r="AE325" s="19" t="str">
        <f>_xlfn.CONCAT(SalesData[[#This Row],[Clean_Customer_Name]],"-",SalesData[[#This Row],[Region]])</f>
        <v>Priya Singh-South</v>
      </c>
      <c r="AF325" s="19" t="str">
        <f>MID(SalesData[[#This Row],[Order_ID]],4,4)</f>
        <v>0164</v>
      </c>
      <c r="AG325" s="19" t="e">
        <f ca="1">_xlfn.SINGLE(_xlfn.XLOOKUP(SalesData[[#This Row],[Product]],Product_Master!A:A,Product_Master!B:B,"Not Found"))</f>
        <v>#NAME?</v>
      </c>
      <c r="AH325" s="19" t="str">
        <f>VLOOKUP(SalesData[[#This Row],[Product]],Product_Master!$A$1:$B$21,2,FALSE)</f>
        <v>Kavya</v>
      </c>
      <c r="AI325" s="16"/>
    </row>
    <row r="326" spans="1:35" ht="13.8">
      <c r="A326" s="16" t="s">
        <v>391</v>
      </c>
      <c r="B326" s="17">
        <v>46009</v>
      </c>
      <c r="C326" s="16" t="s">
        <v>28</v>
      </c>
      <c r="D326" s="16" t="s">
        <v>29</v>
      </c>
      <c r="E326" s="16" t="s">
        <v>132</v>
      </c>
      <c r="F326" s="16" t="s">
        <v>133</v>
      </c>
      <c r="G326" s="16" t="s">
        <v>40</v>
      </c>
      <c r="H326" s="16" t="s">
        <v>41</v>
      </c>
      <c r="I326" s="16" t="s">
        <v>84</v>
      </c>
      <c r="J326" s="16" t="s">
        <v>134</v>
      </c>
      <c r="K326" s="18">
        <v>401.22</v>
      </c>
      <c r="L326" s="18">
        <v>252.06</v>
      </c>
      <c r="M326" s="19">
        <v>1</v>
      </c>
      <c r="N326" s="20">
        <v>0</v>
      </c>
      <c r="O326" s="19" t="s">
        <v>136</v>
      </c>
      <c r="P326" s="19" t="s">
        <v>58</v>
      </c>
      <c r="Q326" s="19" t="str">
        <f>TRIM(SalesData[[#This Row],[Customer_Name]])</f>
        <v>Priya Singh</v>
      </c>
      <c r="R326" s="21">
        <f>SalesData[[#This Row],[Sales]]-SalesData[[#This Row],[Cost]]</f>
        <v>149.16000000000003</v>
      </c>
      <c r="S326" s="22">
        <f>IFERROR(SalesData[[#This Row],[Profit]]/SalesData[[#This Row],[Sales]],0)</f>
        <v>0.37176611335426951</v>
      </c>
      <c r="T326" s="19">
        <f>YEAR(SalesData[[#This Row],[Order_Date]])</f>
        <v>2025</v>
      </c>
      <c r="U326" s="19" t="str">
        <f>TEXT(SalesData[[#This Row],[Order_Date]],"mmm")</f>
        <v>Dec</v>
      </c>
      <c r="V326" s="19" t="str">
        <f>"Q"&amp;ROUNDUP(MONTH(SalesData[[#This Row],[Order_Date]])/3,0)</f>
        <v>Q4</v>
      </c>
      <c r="W326" s="19" t="str">
        <f>IF(SalesData[[#This Row],[Sales]]&gt;=50000,"High",IF(AND(SalesData[[#This Row],[Sales]]&gt;= 20000, SalesData[[#This Row],[Sales]]&lt; 50000),"Medium","Low"))</f>
        <v>Low</v>
      </c>
      <c r="X326" s="19" t="str">
        <f>IF(SalesData[[#This Row],[Profit]]&gt;0,"Profit","Loss")</f>
        <v>Profit</v>
      </c>
      <c r="Y326" s="19" t="str">
        <f>IF(AND(SalesData[[#This Row],[Sales]]&gt;= 50000, SalesData[[#This Row],[Quantity]]&gt;=2),"Yes","No")</f>
        <v>No</v>
      </c>
      <c r="Z326" s="19" t="str">
        <f>UPPER(SalesData[[#This Row],[Customer_Name]])</f>
        <v>PRIYA SINGH</v>
      </c>
      <c r="AA326" s="19" t="str">
        <f>LOWER(SalesData[[#This Row],[Customer_Name]])</f>
        <v>priya singh</v>
      </c>
      <c r="AB326" s="19">
        <f>LEN(SalesData[[#This Row],[Customer_Name]])</f>
        <v>11</v>
      </c>
      <c r="AC326" s="19" t="str">
        <f>LEFT(SalesData[[#This Row],[Order_ID]],3)</f>
        <v>ORD</v>
      </c>
      <c r="AD326" s="19" t="str">
        <f>RIGHT(SalesData[[#This Row],[Order_ID]],4)</f>
        <v>0238</v>
      </c>
      <c r="AE326" s="19" t="str">
        <f>_xlfn.CONCAT(SalesData[[#This Row],[Clean_Customer_Name]],"-",SalesData[[#This Row],[Region]])</f>
        <v>Priya Singh-South</v>
      </c>
      <c r="AF326" s="19" t="str">
        <f>MID(SalesData[[#This Row],[Order_ID]],4,4)</f>
        <v>0238</v>
      </c>
      <c r="AG326" s="19" t="e">
        <f ca="1">_xlfn.SINGLE(_xlfn.XLOOKUP(SalesData[[#This Row],[Product]],Product_Master!A:A,Product_Master!B:B,"Not Found"))</f>
        <v>#NAME?</v>
      </c>
      <c r="AH326" s="19" t="str">
        <f>VLOOKUP(SalesData[[#This Row],[Product]],Product_Master!$A$1:$B$21,2,FALSE)</f>
        <v>Kavya</v>
      </c>
      <c r="AI326" s="16"/>
    </row>
    <row r="327" spans="1:35" ht="13.8">
      <c r="A327" s="16" t="s">
        <v>55</v>
      </c>
      <c r="B327" s="17">
        <v>45419</v>
      </c>
      <c r="C327" s="16" t="s">
        <v>28</v>
      </c>
      <c r="D327" s="16" t="s">
        <v>29</v>
      </c>
      <c r="E327" s="16" t="s">
        <v>38</v>
      </c>
      <c r="F327" s="16" t="s">
        <v>39</v>
      </c>
      <c r="G327" s="16" t="s">
        <v>40</v>
      </c>
      <c r="H327" s="16" t="s">
        <v>41</v>
      </c>
      <c r="I327" s="16" t="s">
        <v>56</v>
      </c>
      <c r="J327" s="16" t="s">
        <v>57</v>
      </c>
      <c r="K327" s="18">
        <v>3421.09</v>
      </c>
      <c r="L327" s="18">
        <v>1831.52</v>
      </c>
      <c r="M327" s="19">
        <v>4</v>
      </c>
      <c r="N327" s="20">
        <v>0.2</v>
      </c>
      <c r="O327" s="19" t="s">
        <v>44</v>
      </c>
      <c r="P327" s="19" t="s">
        <v>58</v>
      </c>
      <c r="Q327" s="19" t="str">
        <f>TRIM(SalesData[[#This Row],[Customer_Name]])</f>
        <v>Priya Singh</v>
      </c>
      <c r="R327" s="21">
        <f>SalesData[[#This Row],[Sales]]-SalesData[[#This Row],[Cost]]</f>
        <v>1589.5700000000002</v>
      </c>
      <c r="S327" s="22">
        <f>IFERROR(SalesData[[#This Row],[Profit]]/SalesData[[#This Row],[Sales]],0)</f>
        <v>0.46463846317986374</v>
      </c>
      <c r="T327" s="19">
        <f>YEAR(SalesData[[#This Row],[Order_Date]])</f>
        <v>2024</v>
      </c>
      <c r="U327" s="19" t="str">
        <f>TEXT(SalesData[[#This Row],[Order_Date]],"mmm")</f>
        <v>May</v>
      </c>
      <c r="V327" s="19" t="str">
        <f>"Q"&amp;ROUNDUP(MONTH(SalesData[[#This Row],[Order_Date]])/3,0)</f>
        <v>Q2</v>
      </c>
      <c r="W327" s="19" t="str">
        <f>IF(SalesData[[#This Row],[Sales]]&gt;=50000,"High",IF(AND(SalesData[[#This Row],[Sales]]&gt;= 20000, SalesData[[#This Row],[Sales]]&lt; 50000),"Medium","Low"))</f>
        <v>Low</v>
      </c>
      <c r="X327" s="19" t="str">
        <f>IF(SalesData[[#This Row],[Profit]]&gt;0,"Profit","Loss")</f>
        <v>Profit</v>
      </c>
      <c r="Y327" s="19" t="str">
        <f>IF(AND(SalesData[[#This Row],[Sales]]&gt;= 50000, SalesData[[#This Row],[Quantity]]&gt;=2),"Yes","No")</f>
        <v>No</v>
      </c>
      <c r="Z327" s="19" t="str">
        <f>UPPER(SalesData[[#This Row],[Customer_Name]])</f>
        <v>PRIYA SINGH</v>
      </c>
      <c r="AA327" s="19" t="str">
        <f>LOWER(SalesData[[#This Row],[Customer_Name]])</f>
        <v>priya singh</v>
      </c>
      <c r="AB327" s="19">
        <f>LEN(SalesData[[#This Row],[Customer_Name]])</f>
        <v>11</v>
      </c>
      <c r="AC327" s="19" t="str">
        <f>LEFT(SalesData[[#This Row],[Order_ID]],3)</f>
        <v>ORD</v>
      </c>
      <c r="AD327" s="19" t="str">
        <f>RIGHT(SalesData[[#This Row],[Order_ID]],4)</f>
        <v>0005</v>
      </c>
      <c r="AE327" s="19" t="str">
        <f>_xlfn.CONCAT(SalesData[[#This Row],[Clean_Customer_Name]],"-",SalesData[[#This Row],[Region]])</f>
        <v>Priya Singh-West</v>
      </c>
      <c r="AF327" s="19" t="str">
        <f>MID(SalesData[[#This Row],[Order_ID]],4,4)</f>
        <v>0005</v>
      </c>
      <c r="AG327" s="19" t="e">
        <f ca="1">_xlfn.SINGLE(_xlfn.XLOOKUP(SalesData[[#This Row],[Product]],Product_Master!A:A,Product_Master!B:B,"Not Found"))</f>
        <v>#NAME?</v>
      </c>
      <c r="AH327" s="19" t="str">
        <f>VLOOKUP(SalesData[[#This Row],[Product]],Product_Master!$A$1:$B$21,2,FALSE)</f>
        <v>Manish</v>
      </c>
      <c r="AI327" s="16"/>
    </row>
    <row r="328" spans="1:35" ht="13.8">
      <c r="A328" s="16" t="s">
        <v>320</v>
      </c>
      <c r="B328" s="17">
        <v>45672</v>
      </c>
      <c r="C328" s="16" t="s">
        <v>28</v>
      </c>
      <c r="D328" s="16" t="s">
        <v>29</v>
      </c>
      <c r="E328" s="16" t="s">
        <v>87</v>
      </c>
      <c r="F328" s="16" t="s">
        <v>88</v>
      </c>
      <c r="G328" s="16" t="s">
        <v>89</v>
      </c>
      <c r="H328" s="16" t="s">
        <v>90</v>
      </c>
      <c r="I328" s="16" t="s">
        <v>53</v>
      </c>
      <c r="J328" s="16" t="s">
        <v>102</v>
      </c>
      <c r="K328" s="18">
        <v>17978.080000000002</v>
      </c>
      <c r="L328" s="18">
        <v>9781.75</v>
      </c>
      <c r="M328" s="19">
        <v>5</v>
      </c>
      <c r="N328" s="20">
        <v>0.2</v>
      </c>
      <c r="O328" s="19" t="s">
        <v>25</v>
      </c>
      <c r="P328" s="19" t="s">
        <v>45</v>
      </c>
      <c r="Q328" s="19" t="str">
        <f>TRIM(SalesData[[#This Row],[Customer_Name]])</f>
        <v>Priya Singh</v>
      </c>
      <c r="R328" s="21">
        <f>SalesData[[#This Row],[Sales]]-SalesData[[#This Row],[Cost]]</f>
        <v>8196.3300000000017</v>
      </c>
      <c r="S328" s="22">
        <f>IFERROR(SalesData[[#This Row],[Profit]]/SalesData[[#This Row],[Sales]],0)</f>
        <v>0.45590685990940083</v>
      </c>
      <c r="T328" s="19">
        <f>YEAR(SalesData[[#This Row],[Order_Date]])</f>
        <v>2025</v>
      </c>
      <c r="U328" s="19" t="str">
        <f>TEXT(SalesData[[#This Row],[Order_Date]],"mmm")</f>
        <v>Jan</v>
      </c>
      <c r="V328" s="19" t="str">
        <f>"Q"&amp;ROUNDUP(MONTH(SalesData[[#This Row],[Order_Date]])/3,0)</f>
        <v>Q1</v>
      </c>
      <c r="W328" s="19" t="str">
        <f>IF(SalesData[[#This Row],[Sales]]&gt;=50000,"High",IF(AND(SalesData[[#This Row],[Sales]]&gt;= 20000, SalesData[[#This Row],[Sales]]&lt; 50000),"Medium","Low"))</f>
        <v>Low</v>
      </c>
      <c r="X328" s="19" t="str">
        <f>IF(SalesData[[#This Row],[Profit]]&gt;0,"Profit","Loss")</f>
        <v>Profit</v>
      </c>
      <c r="Y328" s="19" t="str">
        <f>IF(AND(SalesData[[#This Row],[Sales]]&gt;= 50000, SalesData[[#This Row],[Quantity]]&gt;=2),"Yes","No")</f>
        <v>No</v>
      </c>
      <c r="Z328" s="19" t="str">
        <f>UPPER(SalesData[[#This Row],[Customer_Name]])</f>
        <v>PRIYA SINGH</v>
      </c>
      <c r="AA328" s="19" t="str">
        <f>LOWER(SalesData[[#This Row],[Customer_Name]])</f>
        <v>priya singh</v>
      </c>
      <c r="AB328" s="19">
        <f>LEN(SalesData[[#This Row],[Customer_Name]])</f>
        <v>11</v>
      </c>
      <c r="AC328" s="19" t="str">
        <f>LEFT(SalesData[[#This Row],[Order_ID]],3)</f>
        <v>ORD</v>
      </c>
      <c r="AD328" s="19" t="str">
        <f>RIGHT(SalesData[[#This Row],[Order_ID]],4)</f>
        <v>0167</v>
      </c>
      <c r="AE328" s="19" t="str">
        <f>_xlfn.CONCAT(SalesData[[#This Row],[Clean_Customer_Name]],"-",SalesData[[#This Row],[Region]])</f>
        <v>Priya Singh-Central</v>
      </c>
      <c r="AF328" s="19" t="str">
        <f>MID(SalesData[[#This Row],[Order_ID]],4,4)</f>
        <v>0167</v>
      </c>
      <c r="AG328" s="19" t="e">
        <f ca="1">_xlfn.SINGLE(_xlfn.XLOOKUP(SalesData[[#This Row],[Product]],Product_Master!A:A,Product_Master!B:B,"Not Found"))</f>
        <v>#NAME?</v>
      </c>
      <c r="AH328" s="19" t="str">
        <f>VLOOKUP(SalesData[[#This Row],[Product]],Product_Master!$A$1:$B$21,2,FALSE)</f>
        <v>Rahul</v>
      </c>
      <c r="AI328" s="16"/>
    </row>
    <row r="329" spans="1:35" ht="13.8">
      <c r="A329" s="16" t="s">
        <v>989</v>
      </c>
      <c r="B329" s="17">
        <v>45789</v>
      </c>
      <c r="C329" s="16" t="s">
        <v>28</v>
      </c>
      <c r="D329" s="16" t="s">
        <v>29</v>
      </c>
      <c r="E329" s="16" t="s">
        <v>87</v>
      </c>
      <c r="F329" s="16" t="s">
        <v>88</v>
      </c>
      <c r="G329" s="16" t="s">
        <v>89</v>
      </c>
      <c r="H329" s="16" t="s">
        <v>90</v>
      </c>
      <c r="I329" s="16" t="s">
        <v>56</v>
      </c>
      <c r="J329" s="16" t="s">
        <v>91</v>
      </c>
      <c r="K329" s="18">
        <v>17622.41</v>
      </c>
      <c r="L329" s="18">
        <v>9163.85</v>
      </c>
      <c r="M329" s="19">
        <v>5</v>
      </c>
      <c r="N329" s="20">
        <v>0.15</v>
      </c>
      <c r="O329" s="19" t="s">
        <v>76</v>
      </c>
      <c r="P329" s="19" t="s">
        <v>58</v>
      </c>
      <c r="Q329" s="19" t="str">
        <f>TRIM(SalesData[[#This Row],[Customer_Name]])</f>
        <v>Priya Singh</v>
      </c>
      <c r="R329" s="21">
        <f>SalesData[[#This Row],[Sales]]-SalesData[[#This Row],[Cost]]</f>
        <v>8458.56</v>
      </c>
      <c r="S329" s="22">
        <f>IFERROR(SalesData[[#This Row],[Profit]]/SalesData[[#This Row],[Sales]],0)</f>
        <v>0.47998883240147061</v>
      </c>
      <c r="T329" s="19">
        <f>YEAR(SalesData[[#This Row],[Order_Date]])</f>
        <v>2025</v>
      </c>
      <c r="U329" s="19" t="str">
        <f>TEXT(SalesData[[#This Row],[Order_Date]],"mmm")</f>
        <v>May</v>
      </c>
      <c r="V329" s="19" t="str">
        <f>"Q"&amp;ROUNDUP(MONTH(SalesData[[#This Row],[Order_Date]])/3,0)</f>
        <v>Q2</v>
      </c>
      <c r="W329" s="19" t="str">
        <f>IF(SalesData[[#This Row],[Sales]]&gt;=50000,"High",IF(AND(SalesData[[#This Row],[Sales]]&gt;= 20000, SalesData[[#This Row],[Sales]]&lt; 50000),"Medium","Low"))</f>
        <v>Low</v>
      </c>
      <c r="X329" s="19" t="str">
        <f>IF(SalesData[[#This Row],[Profit]]&gt;0,"Profit","Loss")</f>
        <v>Profit</v>
      </c>
      <c r="Y329" s="19" t="str">
        <f>IF(AND(SalesData[[#This Row],[Sales]]&gt;= 50000, SalesData[[#This Row],[Quantity]]&gt;=2),"Yes","No")</f>
        <v>No</v>
      </c>
      <c r="Z329" s="19" t="str">
        <f>UPPER(SalesData[[#This Row],[Customer_Name]])</f>
        <v>PRIYA SINGH</v>
      </c>
      <c r="AA329" s="19" t="str">
        <f>LOWER(SalesData[[#This Row],[Customer_Name]])</f>
        <v>priya singh</v>
      </c>
      <c r="AB329" s="19">
        <f>LEN(SalesData[[#This Row],[Customer_Name]])</f>
        <v>11</v>
      </c>
      <c r="AC329" s="19" t="str">
        <f>LEFT(SalesData[[#This Row],[Order_ID]],3)</f>
        <v>ORD</v>
      </c>
      <c r="AD329" s="19" t="str">
        <f>RIGHT(SalesData[[#This Row],[Order_ID]],4)</f>
        <v>0836</v>
      </c>
      <c r="AE329" s="19" t="str">
        <f>_xlfn.CONCAT(SalesData[[#This Row],[Clean_Customer_Name]],"-",SalesData[[#This Row],[Region]])</f>
        <v>Priya Singh-West</v>
      </c>
      <c r="AF329" s="19" t="str">
        <f>MID(SalesData[[#This Row],[Order_ID]],4,4)</f>
        <v>0836</v>
      </c>
      <c r="AG329" s="19" t="e">
        <f ca="1">_xlfn.SINGLE(_xlfn.XLOOKUP(SalesData[[#This Row],[Product]],Product_Master!A:A,Product_Master!B:B,"Not Found"))</f>
        <v>#NAME?</v>
      </c>
      <c r="AH329" s="19" t="str">
        <f>VLOOKUP(SalesData[[#This Row],[Product]],Product_Master!$A$1:$B$21,2,FALSE)</f>
        <v>Rahul</v>
      </c>
      <c r="AI329" s="16"/>
    </row>
    <row r="330" spans="1:35" ht="13.8">
      <c r="A330" s="16" t="s">
        <v>375</v>
      </c>
      <c r="B330" s="17">
        <v>45945</v>
      </c>
      <c r="C330" s="16" t="s">
        <v>28</v>
      </c>
      <c r="D330" s="16" t="s">
        <v>29</v>
      </c>
      <c r="E330" s="16" t="s">
        <v>182</v>
      </c>
      <c r="F330" s="16" t="s">
        <v>183</v>
      </c>
      <c r="G330" s="16" t="s">
        <v>89</v>
      </c>
      <c r="H330" s="16" t="s">
        <v>90</v>
      </c>
      <c r="I330" s="16" t="s">
        <v>84</v>
      </c>
      <c r="J330" s="16" t="s">
        <v>85</v>
      </c>
      <c r="K330" s="18">
        <v>16539.009999999998</v>
      </c>
      <c r="L330" s="18">
        <v>10925.98</v>
      </c>
      <c r="M330" s="19">
        <v>2</v>
      </c>
      <c r="N330" s="20">
        <v>0.15</v>
      </c>
      <c r="O330" s="19" t="s">
        <v>25</v>
      </c>
      <c r="P330" s="19" t="s">
        <v>58</v>
      </c>
      <c r="Q330" s="19" t="str">
        <f>TRIM(SalesData[[#This Row],[Customer_Name]])</f>
        <v>Priya Singh</v>
      </c>
      <c r="R330" s="21">
        <f>SalesData[[#This Row],[Sales]]-SalesData[[#This Row],[Cost]]</f>
        <v>5613.0299999999988</v>
      </c>
      <c r="S330" s="22">
        <f>IFERROR(SalesData[[#This Row],[Profit]]/SalesData[[#This Row],[Sales]],0)</f>
        <v>0.33938125679832104</v>
      </c>
      <c r="T330" s="19">
        <f>YEAR(SalesData[[#This Row],[Order_Date]])</f>
        <v>2025</v>
      </c>
      <c r="U330" s="19" t="str">
        <f>TEXT(SalesData[[#This Row],[Order_Date]],"mmm")</f>
        <v>Oct</v>
      </c>
      <c r="V330" s="19" t="str">
        <f>"Q"&amp;ROUNDUP(MONTH(SalesData[[#This Row],[Order_Date]])/3,0)</f>
        <v>Q4</v>
      </c>
      <c r="W330" s="19" t="str">
        <f>IF(SalesData[[#This Row],[Sales]]&gt;=50000,"High",IF(AND(SalesData[[#This Row],[Sales]]&gt;= 20000, SalesData[[#This Row],[Sales]]&lt; 50000),"Medium","Low"))</f>
        <v>Low</v>
      </c>
      <c r="X330" s="19" t="str">
        <f>IF(SalesData[[#This Row],[Profit]]&gt;0,"Profit","Loss")</f>
        <v>Profit</v>
      </c>
      <c r="Y330" s="19" t="str">
        <f>IF(AND(SalesData[[#This Row],[Sales]]&gt;= 50000, SalesData[[#This Row],[Quantity]]&gt;=2),"Yes","No")</f>
        <v>No</v>
      </c>
      <c r="Z330" s="19" t="str">
        <f>UPPER(SalesData[[#This Row],[Customer_Name]])</f>
        <v>PRIYA SINGH</v>
      </c>
      <c r="AA330" s="19" t="str">
        <f>LOWER(SalesData[[#This Row],[Customer_Name]])</f>
        <v>priya singh</v>
      </c>
      <c r="AB330" s="19">
        <f>LEN(SalesData[[#This Row],[Customer_Name]])</f>
        <v>11</v>
      </c>
      <c r="AC330" s="19" t="str">
        <f>LEFT(SalesData[[#This Row],[Order_ID]],3)</f>
        <v>ORD</v>
      </c>
      <c r="AD330" s="19" t="str">
        <f>RIGHT(SalesData[[#This Row],[Order_ID]],4)</f>
        <v>0222</v>
      </c>
      <c r="AE330" s="19" t="str">
        <f>_xlfn.CONCAT(SalesData[[#This Row],[Clean_Customer_Name]],"-",SalesData[[#This Row],[Region]])</f>
        <v>Priya Singh-South</v>
      </c>
      <c r="AF330" s="19" t="str">
        <f>MID(SalesData[[#This Row],[Order_ID]],4,4)</f>
        <v>0222</v>
      </c>
      <c r="AG330" s="19" t="e">
        <f ca="1">_xlfn.SINGLE(_xlfn.XLOOKUP(SalesData[[#This Row],[Product]],Product_Master!A:A,Product_Master!B:B,"Not Found"))</f>
        <v>#NAME?</v>
      </c>
      <c r="AH330" s="19" t="str">
        <f>VLOOKUP(SalesData[[#This Row],[Product]],Product_Master!$A$1:$B$21,2,FALSE)</f>
        <v>Priya</v>
      </c>
      <c r="AI330" s="16"/>
    </row>
    <row r="331" spans="1:35" ht="13.8">
      <c r="A331" s="16" t="s">
        <v>543</v>
      </c>
      <c r="B331" s="17">
        <v>45454</v>
      </c>
      <c r="C331" s="16" t="s">
        <v>28</v>
      </c>
      <c r="D331" s="16" t="s">
        <v>29</v>
      </c>
      <c r="E331" s="16" t="s">
        <v>182</v>
      </c>
      <c r="F331" s="16" t="s">
        <v>183</v>
      </c>
      <c r="G331" s="16" t="s">
        <v>89</v>
      </c>
      <c r="H331" s="16" t="s">
        <v>90</v>
      </c>
      <c r="I331" s="16" t="s">
        <v>53</v>
      </c>
      <c r="J331" s="16" t="s">
        <v>54</v>
      </c>
      <c r="K331" s="18">
        <v>9889</v>
      </c>
      <c r="L331" s="18">
        <v>5773.35</v>
      </c>
      <c r="M331" s="19">
        <v>1</v>
      </c>
      <c r="N331" s="20">
        <v>0.05</v>
      </c>
      <c r="O331" s="19" t="s">
        <v>34</v>
      </c>
      <c r="P331" s="19" t="s">
        <v>58</v>
      </c>
      <c r="Q331" s="19" t="str">
        <f>TRIM(SalesData[[#This Row],[Customer_Name]])</f>
        <v>Priya Singh</v>
      </c>
      <c r="R331" s="21">
        <f>SalesData[[#This Row],[Sales]]-SalesData[[#This Row],[Cost]]</f>
        <v>4115.6499999999996</v>
      </c>
      <c r="S331" s="22">
        <f>IFERROR(SalesData[[#This Row],[Profit]]/SalesData[[#This Row],[Sales]],0)</f>
        <v>0.41618464961067847</v>
      </c>
      <c r="T331" s="19">
        <f>YEAR(SalesData[[#This Row],[Order_Date]])</f>
        <v>2024</v>
      </c>
      <c r="U331" s="19" t="str">
        <f>TEXT(SalesData[[#This Row],[Order_Date]],"mmm")</f>
        <v>Jun</v>
      </c>
      <c r="V331" s="19" t="str">
        <f>"Q"&amp;ROUNDUP(MONTH(SalesData[[#This Row],[Order_Date]])/3,0)</f>
        <v>Q2</v>
      </c>
      <c r="W331" s="19" t="str">
        <f>IF(SalesData[[#This Row],[Sales]]&gt;=50000,"High",IF(AND(SalesData[[#This Row],[Sales]]&gt;= 20000, SalesData[[#This Row],[Sales]]&lt; 50000),"Medium","Low"))</f>
        <v>Low</v>
      </c>
      <c r="X331" s="19" t="str">
        <f>IF(SalesData[[#This Row],[Profit]]&gt;0,"Profit","Loss")</f>
        <v>Profit</v>
      </c>
      <c r="Y331" s="19" t="str">
        <f>IF(AND(SalesData[[#This Row],[Sales]]&gt;= 50000, SalesData[[#This Row],[Quantity]]&gt;=2),"Yes","No")</f>
        <v>No</v>
      </c>
      <c r="Z331" s="19" t="str">
        <f>UPPER(SalesData[[#This Row],[Customer_Name]])</f>
        <v>PRIYA SINGH</v>
      </c>
      <c r="AA331" s="19" t="str">
        <f>LOWER(SalesData[[#This Row],[Customer_Name]])</f>
        <v>priya singh</v>
      </c>
      <c r="AB331" s="19">
        <f>LEN(SalesData[[#This Row],[Customer_Name]])</f>
        <v>11</v>
      </c>
      <c r="AC331" s="19" t="str">
        <f>LEFT(SalesData[[#This Row],[Order_ID]],3)</f>
        <v>ORD</v>
      </c>
      <c r="AD331" s="19" t="str">
        <f>RIGHT(SalesData[[#This Row],[Order_ID]],4)</f>
        <v>0390</v>
      </c>
      <c r="AE331" s="19" t="str">
        <f>_xlfn.CONCAT(SalesData[[#This Row],[Clean_Customer_Name]],"-",SalesData[[#This Row],[Region]])</f>
        <v>Priya Singh-Central</v>
      </c>
      <c r="AF331" s="19" t="str">
        <f>MID(SalesData[[#This Row],[Order_ID]],4,4)</f>
        <v>0390</v>
      </c>
      <c r="AG331" s="19" t="e">
        <f ca="1">_xlfn.SINGLE(_xlfn.XLOOKUP(SalesData[[#This Row],[Product]],Product_Master!A:A,Product_Master!B:B,"Not Found"))</f>
        <v>#NAME?</v>
      </c>
      <c r="AH331" s="19" t="str">
        <f>VLOOKUP(SalesData[[#This Row],[Product]],Product_Master!$A$1:$B$21,2,FALSE)</f>
        <v>Priya</v>
      </c>
      <c r="AI331" s="16"/>
    </row>
    <row r="332" spans="1:35" ht="13.8">
      <c r="A332" s="16" t="s">
        <v>976</v>
      </c>
      <c r="B332" s="17">
        <v>45766</v>
      </c>
      <c r="C332" s="16" t="s">
        <v>28</v>
      </c>
      <c r="D332" s="16" t="s">
        <v>29</v>
      </c>
      <c r="E332" s="16" t="s">
        <v>182</v>
      </c>
      <c r="F332" s="16" t="s">
        <v>183</v>
      </c>
      <c r="G332" s="16" t="s">
        <v>89</v>
      </c>
      <c r="H332" s="16" t="s">
        <v>90</v>
      </c>
      <c r="I332" s="16" t="s">
        <v>84</v>
      </c>
      <c r="J332" s="16" t="s">
        <v>134</v>
      </c>
      <c r="K332" s="18">
        <v>20255.96</v>
      </c>
      <c r="L332" s="18">
        <v>12354.26</v>
      </c>
      <c r="M332" s="19">
        <v>2</v>
      </c>
      <c r="N332" s="20">
        <v>0.15</v>
      </c>
      <c r="O332" s="19" t="s">
        <v>34</v>
      </c>
      <c r="P332" s="19" t="s">
        <v>58</v>
      </c>
      <c r="Q332" s="19" t="str">
        <f>TRIM(SalesData[[#This Row],[Customer_Name]])</f>
        <v>Priya Singh</v>
      </c>
      <c r="R332" s="21">
        <f>SalesData[[#This Row],[Sales]]-SalesData[[#This Row],[Cost]]</f>
        <v>7901.6999999999989</v>
      </c>
      <c r="S332" s="22">
        <f>IFERROR(SalesData[[#This Row],[Profit]]/SalesData[[#This Row],[Sales]],0)</f>
        <v>0.39009259496957926</v>
      </c>
      <c r="T332" s="19">
        <f>YEAR(SalesData[[#This Row],[Order_Date]])</f>
        <v>2025</v>
      </c>
      <c r="U332" s="19" t="str">
        <f>TEXT(SalesData[[#This Row],[Order_Date]],"mmm")</f>
        <v>Apr</v>
      </c>
      <c r="V332" s="19" t="str">
        <f>"Q"&amp;ROUNDUP(MONTH(SalesData[[#This Row],[Order_Date]])/3,0)</f>
        <v>Q2</v>
      </c>
      <c r="W332" s="19" t="str">
        <f>IF(SalesData[[#This Row],[Sales]]&gt;=50000,"High",IF(AND(SalesData[[#This Row],[Sales]]&gt;= 20000, SalesData[[#This Row],[Sales]]&lt; 50000),"Medium","Low"))</f>
        <v>Medium</v>
      </c>
      <c r="X332" s="19" t="str">
        <f>IF(SalesData[[#This Row],[Profit]]&gt;0,"Profit","Loss")</f>
        <v>Profit</v>
      </c>
      <c r="Y332" s="19" t="str">
        <f>IF(AND(SalesData[[#This Row],[Sales]]&gt;= 50000, SalesData[[#This Row],[Quantity]]&gt;=2),"Yes","No")</f>
        <v>No</v>
      </c>
      <c r="Z332" s="19" t="str">
        <f>UPPER(SalesData[[#This Row],[Customer_Name]])</f>
        <v>PRIYA SINGH</v>
      </c>
      <c r="AA332" s="19" t="str">
        <f>LOWER(SalesData[[#This Row],[Customer_Name]])</f>
        <v>priya singh</v>
      </c>
      <c r="AB332" s="19">
        <f>LEN(SalesData[[#This Row],[Customer_Name]])</f>
        <v>11</v>
      </c>
      <c r="AC332" s="19" t="str">
        <f>LEFT(SalesData[[#This Row],[Order_ID]],3)</f>
        <v>ORD</v>
      </c>
      <c r="AD332" s="19" t="str">
        <f>RIGHT(SalesData[[#This Row],[Order_ID]],4)</f>
        <v>0823</v>
      </c>
      <c r="AE332" s="19" t="str">
        <f>_xlfn.CONCAT(SalesData[[#This Row],[Clean_Customer_Name]],"-",SalesData[[#This Row],[Region]])</f>
        <v>Priya Singh-South</v>
      </c>
      <c r="AF332" s="19" t="str">
        <f>MID(SalesData[[#This Row],[Order_ID]],4,4)</f>
        <v>0823</v>
      </c>
      <c r="AG332" s="19" t="e">
        <f ca="1">_xlfn.SINGLE(_xlfn.XLOOKUP(SalesData[[#This Row],[Product]],Product_Master!A:A,Product_Master!B:B,"Not Found"))</f>
        <v>#NAME?</v>
      </c>
      <c r="AH332" s="19" t="str">
        <f>VLOOKUP(SalesData[[#This Row],[Product]],Product_Master!$A$1:$B$21,2,FALSE)</f>
        <v>Priya</v>
      </c>
      <c r="AI332" s="16"/>
    </row>
    <row r="333" spans="1:35" ht="13.8">
      <c r="A333" s="16" t="s">
        <v>563</v>
      </c>
      <c r="B333" s="17">
        <v>45674</v>
      </c>
      <c r="C333" s="16" t="s">
        <v>28</v>
      </c>
      <c r="D333" s="16" t="s">
        <v>29</v>
      </c>
      <c r="E333" s="16" t="s">
        <v>187</v>
      </c>
      <c r="F333" s="16" t="s">
        <v>188</v>
      </c>
      <c r="G333" s="16" t="s">
        <v>89</v>
      </c>
      <c r="H333" s="16" t="s">
        <v>189</v>
      </c>
      <c r="I333" s="16" t="s">
        <v>84</v>
      </c>
      <c r="J333" s="16" t="s">
        <v>85</v>
      </c>
      <c r="K333" s="18">
        <v>9069.4699999999993</v>
      </c>
      <c r="L333" s="18">
        <v>5931.21</v>
      </c>
      <c r="M333" s="19">
        <v>1</v>
      </c>
      <c r="N333" s="20">
        <v>0.2</v>
      </c>
      <c r="O333" s="19" t="s">
        <v>76</v>
      </c>
      <c r="P333" s="19" t="s">
        <v>58</v>
      </c>
      <c r="Q333" s="19" t="str">
        <f>TRIM(SalesData[[#This Row],[Customer_Name]])</f>
        <v>Priya Singh</v>
      </c>
      <c r="R333" s="21">
        <f>SalesData[[#This Row],[Sales]]-SalesData[[#This Row],[Cost]]</f>
        <v>3138.2599999999993</v>
      </c>
      <c r="S333" s="22">
        <f>IFERROR(SalesData[[#This Row],[Profit]]/SalesData[[#This Row],[Sales]],0)</f>
        <v>0.34602462988465693</v>
      </c>
      <c r="T333" s="19">
        <f>YEAR(SalesData[[#This Row],[Order_Date]])</f>
        <v>2025</v>
      </c>
      <c r="U333" s="19" t="str">
        <f>TEXT(SalesData[[#This Row],[Order_Date]],"mmm")</f>
        <v>Jan</v>
      </c>
      <c r="V333" s="19" t="str">
        <f>"Q"&amp;ROUNDUP(MONTH(SalesData[[#This Row],[Order_Date]])/3,0)</f>
        <v>Q1</v>
      </c>
      <c r="W333" s="19" t="str">
        <f>IF(SalesData[[#This Row],[Sales]]&gt;=50000,"High",IF(AND(SalesData[[#This Row],[Sales]]&gt;= 20000, SalesData[[#This Row],[Sales]]&lt; 50000),"Medium","Low"))</f>
        <v>Low</v>
      </c>
      <c r="X333" s="19" t="str">
        <f>IF(SalesData[[#This Row],[Profit]]&gt;0,"Profit","Loss")</f>
        <v>Profit</v>
      </c>
      <c r="Y333" s="19" t="str">
        <f>IF(AND(SalesData[[#This Row],[Sales]]&gt;= 50000, SalesData[[#This Row],[Quantity]]&gt;=2),"Yes","No")</f>
        <v>No</v>
      </c>
      <c r="Z333" s="19" t="str">
        <f>UPPER(SalesData[[#This Row],[Customer_Name]])</f>
        <v>PRIYA SINGH</v>
      </c>
      <c r="AA333" s="19" t="str">
        <f>LOWER(SalesData[[#This Row],[Customer_Name]])</f>
        <v>priya singh</v>
      </c>
      <c r="AB333" s="19">
        <f>LEN(SalesData[[#This Row],[Customer_Name]])</f>
        <v>11</v>
      </c>
      <c r="AC333" s="19" t="str">
        <f>LEFT(SalesData[[#This Row],[Order_ID]],3)</f>
        <v>ORD</v>
      </c>
      <c r="AD333" s="19" t="str">
        <f>RIGHT(SalesData[[#This Row],[Order_ID]],4)</f>
        <v>0410</v>
      </c>
      <c r="AE333" s="19" t="str">
        <f>_xlfn.CONCAT(SalesData[[#This Row],[Clean_Customer_Name]],"-",SalesData[[#This Row],[Region]])</f>
        <v>Priya Singh-South</v>
      </c>
      <c r="AF333" s="19" t="str">
        <f>MID(SalesData[[#This Row],[Order_ID]],4,4)</f>
        <v>0410</v>
      </c>
      <c r="AG333" s="19" t="e">
        <f ca="1">_xlfn.SINGLE(_xlfn.XLOOKUP(SalesData[[#This Row],[Product]],Product_Master!A:A,Product_Master!B:B,"Not Found"))</f>
        <v>#NAME?</v>
      </c>
      <c r="AH333" s="19" t="str">
        <f>VLOOKUP(SalesData[[#This Row],[Product]],Product_Master!$A$1:$B$21,2,FALSE)</f>
        <v>Amit</v>
      </c>
      <c r="AI333" s="16"/>
    </row>
    <row r="334" spans="1:35" ht="13.8">
      <c r="A334" s="16" t="s">
        <v>367</v>
      </c>
      <c r="B334" s="17">
        <v>45404</v>
      </c>
      <c r="C334" s="16" t="s">
        <v>28</v>
      </c>
      <c r="D334" s="16" t="s">
        <v>29</v>
      </c>
      <c r="E334" s="16" t="s">
        <v>95</v>
      </c>
      <c r="F334" s="16" t="s">
        <v>96</v>
      </c>
      <c r="G334" s="16" t="s">
        <v>89</v>
      </c>
      <c r="H334" s="16" t="s">
        <v>97</v>
      </c>
      <c r="I334" s="16" t="s">
        <v>42</v>
      </c>
      <c r="J334" s="16" t="s">
        <v>162</v>
      </c>
      <c r="K334" s="18">
        <v>10475.76</v>
      </c>
      <c r="L334" s="18">
        <v>6326.52</v>
      </c>
      <c r="M334" s="19">
        <v>2</v>
      </c>
      <c r="N334" s="20">
        <v>0.05</v>
      </c>
      <c r="O334" s="19" t="s">
        <v>136</v>
      </c>
      <c r="P334" s="19" t="s">
        <v>58</v>
      </c>
      <c r="Q334" s="19" t="str">
        <f>TRIM(SalesData[[#This Row],[Customer_Name]])</f>
        <v>Priya Singh</v>
      </c>
      <c r="R334" s="21">
        <f>SalesData[[#This Row],[Sales]]-SalesData[[#This Row],[Cost]]</f>
        <v>4149.24</v>
      </c>
      <c r="S334" s="22">
        <f>IFERROR(SalesData[[#This Row],[Profit]]/SalesData[[#This Row],[Sales]],0)</f>
        <v>0.39608009347293177</v>
      </c>
      <c r="T334" s="19">
        <f>YEAR(SalesData[[#This Row],[Order_Date]])</f>
        <v>2024</v>
      </c>
      <c r="U334" s="19" t="str">
        <f>TEXT(SalesData[[#This Row],[Order_Date]],"mmm")</f>
        <v>Apr</v>
      </c>
      <c r="V334" s="19" t="str">
        <f>"Q"&amp;ROUNDUP(MONTH(SalesData[[#This Row],[Order_Date]])/3,0)</f>
        <v>Q2</v>
      </c>
      <c r="W334" s="19" t="str">
        <f>IF(SalesData[[#This Row],[Sales]]&gt;=50000,"High",IF(AND(SalesData[[#This Row],[Sales]]&gt;= 20000, SalesData[[#This Row],[Sales]]&lt; 50000),"Medium","Low"))</f>
        <v>Low</v>
      </c>
      <c r="X334" s="19" t="str">
        <f>IF(SalesData[[#This Row],[Profit]]&gt;0,"Profit","Loss")</f>
        <v>Profit</v>
      </c>
      <c r="Y334" s="19" t="str">
        <f>IF(AND(SalesData[[#This Row],[Sales]]&gt;= 50000, SalesData[[#This Row],[Quantity]]&gt;=2),"Yes","No")</f>
        <v>No</v>
      </c>
      <c r="Z334" s="19" t="str">
        <f>UPPER(SalesData[[#This Row],[Customer_Name]])</f>
        <v>PRIYA SINGH</v>
      </c>
      <c r="AA334" s="19" t="str">
        <f>LOWER(SalesData[[#This Row],[Customer_Name]])</f>
        <v>priya singh</v>
      </c>
      <c r="AB334" s="19">
        <f>LEN(SalesData[[#This Row],[Customer_Name]])</f>
        <v>11</v>
      </c>
      <c r="AC334" s="19" t="str">
        <f>LEFT(SalesData[[#This Row],[Order_ID]],3)</f>
        <v>ORD</v>
      </c>
      <c r="AD334" s="19" t="str">
        <f>RIGHT(SalesData[[#This Row],[Order_ID]],4)</f>
        <v>0214</v>
      </c>
      <c r="AE334" s="19" t="str">
        <f>_xlfn.CONCAT(SalesData[[#This Row],[Clean_Customer_Name]],"-",SalesData[[#This Row],[Region]])</f>
        <v>Priya Singh-East</v>
      </c>
      <c r="AF334" s="19" t="str">
        <f>MID(SalesData[[#This Row],[Order_ID]],4,4)</f>
        <v>0214</v>
      </c>
      <c r="AG334" s="19" t="e">
        <f ca="1">_xlfn.SINGLE(_xlfn.XLOOKUP(SalesData[[#This Row],[Product]],Product_Master!A:A,Product_Master!B:B,"Not Found"))</f>
        <v>#NAME?</v>
      </c>
      <c r="AH334" s="19" t="str">
        <f>VLOOKUP(SalesData[[#This Row],[Product]],Product_Master!$A$1:$B$21,2,FALSE)</f>
        <v>Neha</v>
      </c>
      <c r="AI334" s="16"/>
    </row>
    <row r="335" spans="1:35" ht="13.8">
      <c r="A335" s="16" t="s">
        <v>655</v>
      </c>
      <c r="B335" s="17">
        <v>45820</v>
      </c>
      <c r="C335" s="16" t="s">
        <v>28</v>
      </c>
      <c r="D335" s="16" t="s">
        <v>29</v>
      </c>
      <c r="E335" s="16" t="s">
        <v>193</v>
      </c>
      <c r="F335" s="16" t="s">
        <v>194</v>
      </c>
      <c r="G335" s="16" t="s">
        <v>89</v>
      </c>
      <c r="H335" s="16" t="s">
        <v>90</v>
      </c>
      <c r="I335" s="16" t="s">
        <v>56</v>
      </c>
      <c r="J335" s="16" t="s">
        <v>57</v>
      </c>
      <c r="K335" s="18">
        <v>2535.89</v>
      </c>
      <c r="L335" s="18">
        <v>1023.04</v>
      </c>
      <c r="M335" s="19">
        <v>2</v>
      </c>
      <c r="N335" s="20">
        <v>0.1</v>
      </c>
      <c r="O335" s="19" t="s">
        <v>76</v>
      </c>
      <c r="P335" s="19" t="s">
        <v>58</v>
      </c>
      <c r="Q335" s="19" t="str">
        <f>TRIM(SalesData[[#This Row],[Customer_Name]])</f>
        <v>Priya Singh</v>
      </c>
      <c r="R335" s="21">
        <f>SalesData[[#This Row],[Sales]]-SalesData[[#This Row],[Cost]]</f>
        <v>1512.85</v>
      </c>
      <c r="S335" s="22">
        <f>IFERROR(SalesData[[#This Row],[Profit]]/SalesData[[#This Row],[Sales]],0)</f>
        <v>0.59657556124279842</v>
      </c>
      <c r="T335" s="19">
        <f>YEAR(SalesData[[#This Row],[Order_Date]])</f>
        <v>2025</v>
      </c>
      <c r="U335" s="19" t="str">
        <f>TEXT(SalesData[[#This Row],[Order_Date]],"mmm")</f>
        <v>Jun</v>
      </c>
      <c r="V335" s="19" t="str">
        <f>"Q"&amp;ROUNDUP(MONTH(SalesData[[#This Row],[Order_Date]])/3,0)</f>
        <v>Q2</v>
      </c>
      <c r="W335" s="19" t="str">
        <f>IF(SalesData[[#This Row],[Sales]]&gt;=50000,"High",IF(AND(SalesData[[#This Row],[Sales]]&gt;= 20000, SalesData[[#This Row],[Sales]]&lt; 50000),"Medium","Low"))</f>
        <v>Low</v>
      </c>
      <c r="X335" s="19" t="str">
        <f>IF(SalesData[[#This Row],[Profit]]&gt;0,"Profit","Loss")</f>
        <v>Profit</v>
      </c>
      <c r="Y335" s="19" t="str">
        <f>IF(AND(SalesData[[#This Row],[Sales]]&gt;= 50000, SalesData[[#This Row],[Quantity]]&gt;=2),"Yes","No")</f>
        <v>No</v>
      </c>
      <c r="Z335" s="19" t="str">
        <f>UPPER(SalesData[[#This Row],[Customer_Name]])</f>
        <v>PRIYA SINGH</v>
      </c>
      <c r="AA335" s="19" t="str">
        <f>LOWER(SalesData[[#This Row],[Customer_Name]])</f>
        <v>priya singh</v>
      </c>
      <c r="AB335" s="19">
        <f>LEN(SalesData[[#This Row],[Customer_Name]])</f>
        <v>11</v>
      </c>
      <c r="AC335" s="19" t="str">
        <f>LEFT(SalesData[[#This Row],[Order_ID]],3)</f>
        <v>ORD</v>
      </c>
      <c r="AD335" s="19" t="str">
        <f>RIGHT(SalesData[[#This Row],[Order_ID]],4)</f>
        <v>0502</v>
      </c>
      <c r="AE335" s="19" t="str">
        <f>_xlfn.CONCAT(SalesData[[#This Row],[Clean_Customer_Name]],"-",SalesData[[#This Row],[Region]])</f>
        <v>Priya Singh-West</v>
      </c>
      <c r="AF335" s="19" t="str">
        <f>MID(SalesData[[#This Row],[Order_ID]],4,4)</f>
        <v>0502</v>
      </c>
      <c r="AG335" s="19" t="e">
        <f ca="1">_xlfn.SINGLE(_xlfn.XLOOKUP(SalesData[[#This Row],[Product]],Product_Master!A:A,Product_Master!B:B,"Not Found"))</f>
        <v>#NAME?</v>
      </c>
      <c r="AH335" s="19" t="str">
        <f>VLOOKUP(SalesData[[#This Row],[Product]],Product_Master!$A$1:$B$21,2,FALSE)</f>
        <v>Simran</v>
      </c>
      <c r="AI335" s="16"/>
    </row>
    <row r="336" spans="1:35" ht="13.8">
      <c r="A336" s="16" t="s">
        <v>811</v>
      </c>
      <c r="B336" s="17">
        <v>45603</v>
      </c>
      <c r="C336" s="16" t="s">
        <v>28</v>
      </c>
      <c r="D336" s="16" t="s">
        <v>29</v>
      </c>
      <c r="E336" s="16" t="s">
        <v>193</v>
      </c>
      <c r="F336" s="16" t="s">
        <v>194</v>
      </c>
      <c r="G336" s="16" t="s">
        <v>89</v>
      </c>
      <c r="H336" s="16" t="s">
        <v>90</v>
      </c>
      <c r="I336" s="16" t="s">
        <v>42</v>
      </c>
      <c r="J336" s="16" t="s">
        <v>162</v>
      </c>
      <c r="K336" s="18">
        <v>5420.64</v>
      </c>
      <c r="L336" s="18">
        <v>2380.1999999999998</v>
      </c>
      <c r="M336" s="19">
        <v>5</v>
      </c>
      <c r="N336" s="20">
        <v>0.2</v>
      </c>
      <c r="O336" s="19" t="s">
        <v>76</v>
      </c>
      <c r="P336" s="19" t="s">
        <v>58</v>
      </c>
      <c r="Q336" s="19" t="str">
        <f>TRIM(SalesData[[#This Row],[Customer_Name]])</f>
        <v>Priya Singh</v>
      </c>
      <c r="R336" s="21">
        <f>SalesData[[#This Row],[Sales]]-SalesData[[#This Row],[Cost]]</f>
        <v>3040.4400000000005</v>
      </c>
      <c r="S336" s="22">
        <f>IFERROR(SalesData[[#This Row],[Profit]]/SalesData[[#This Row],[Sales]],0)</f>
        <v>0.56090055786770576</v>
      </c>
      <c r="T336" s="19">
        <f>YEAR(SalesData[[#This Row],[Order_Date]])</f>
        <v>2024</v>
      </c>
      <c r="U336" s="19" t="str">
        <f>TEXT(SalesData[[#This Row],[Order_Date]],"mmm")</f>
        <v>Nov</v>
      </c>
      <c r="V336" s="19" t="str">
        <f>"Q"&amp;ROUNDUP(MONTH(SalesData[[#This Row],[Order_Date]])/3,0)</f>
        <v>Q4</v>
      </c>
      <c r="W336" s="19" t="str">
        <f>IF(SalesData[[#This Row],[Sales]]&gt;=50000,"High",IF(AND(SalesData[[#This Row],[Sales]]&gt;= 20000, SalesData[[#This Row],[Sales]]&lt; 50000),"Medium","Low"))</f>
        <v>Low</v>
      </c>
      <c r="X336" s="19" t="str">
        <f>IF(SalesData[[#This Row],[Profit]]&gt;0,"Profit","Loss")</f>
        <v>Profit</v>
      </c>
      <c r="Y336" s="19" t="str">
        <f>IF(AND(SalesData[[#This Row],[Sales]]&gt;= 50000, SalesData[[#This Row],[Quantity]]&gt;=2),"Yes","No")</f>
        <v>No</v>
      </c>
      <c r="Z336" s="19" t="str">
        <f>UPPER(SalesData[[#This Row],[Customer_Name]])</f>
        <v>PRIYA SINGH</v>
      </c>
      <c r="AA336" s="19" t="str">
        <f>LOWER(SalesData[[#This Row],[Customer_Name]])</f>
        <v>priya singh</v>
      </c>
      <c r="AB336" s="19">
        <f>LEN(SalesData[[#This Row],[Customer_Name]])</f>
        <v>11</v>
      </c>
      <c r="AC336" s="19" t="str">
        <f>LEFT(SalesData[[#This Row],[Order_ID]],3)</f>
        <v>ORD</v>
      </c>
      <c r="AD336" s="19" t="str">
        <f>RIGHT(SalesData[[#This Row],[Order_ID]],4)</f>
        <v>0658</v>
      </c>
      <c r="AE336" s="19" t="str">
        <f>_xlfn.CONCAT(SalesData[[#This Row],[Clean_Customer_Name]],"-",SalesData[[#This Row],[Region]])</f>
        <v>Priya Singh-East</v>
      </c>
      <c r="AF336" s="19" t="str">
        <f>MID(SalesData[[#This Row],[Order_ID]],4,4)</f>
        <v>0658</v>
      </c>
      <c r="AG336" s="19" t="e">
        <f ca="1">_xlfn.SINGLE(_xlfn.XLOOKUP(SalesData[[#This Row],[Product]],Product_Master!A:A,Product_Master!B:B,"Not Found"))</f>
        <v>#NAME?</v>
      </c>
      <c r="AH336" s="19" t="str">
        <f>VLOOKUP(SalesData[[#This Row],[Product]],Product_Master!$A$1:$B$21,2,FALSE)</f>
        <v>Simran</v>
      </c>
      <c r="AI336" s="16"/>
    </row>
    <row r="337" spans="1:35" ht="13.8">
      <c r="A337" s="16" t="s">
        <v>1132</v>
      </c>
      <c r="B337" s="17">
        <v>45973</v>
      </c>
      <c r="C337" s="16" t="s">
        <v>158</v>
      </c>
      <c r="D337" s="16" t="s">
        <v>159</v>
      </c>
      <c r="E337" s="16" t="s">
        <v>30</v>
      </c>
      <c r="F337" s="16" t="s">
        <v>31</v>
      </c>
      <c r="G337" s="16" t="s">
        <v>21</v>
      </c>
      <c r="H337" s="16" t="s">
        <v>32</v>
      </c>
      <c r="I337" s="16" t="s">
        <v>42</v>
      </c>
      <c r="J337" s="16" t="s">
        <v>162</v>
      </c>
      <c r="K337" s="18">
        <v>111871.03</v>
      </c>
      <c r="L337" s="18">
        <v>91417.54</v>
      </c>
      <c r="M337" s="19">
        <v>2</v>
      </c>
      <c r="N337" s="20">
        <v>0.05</v>
      </c>
      <c r="O337" s="19" t="s">
        <v>44</v>
      </c>
      <c r="P337" s="19" t="s">
        <v>58</v>
      </c>
      <c r="Q337" s="19" t="str">
        <f>TRIM(SalesData[[#This Row],[Customer_Name]])</f>
        <v>Pooja Mishra</v>
      </c>
      <c r="R337" s="21">
        <f>SalesData[[#This Row],[Sales]]-SalesData[[#This Row],[Cost]]</f>
        <v>20453.490000000005</v>
      </c>
      <c r="S337" s="22">
        <f>IFERROR(SalesData[[#This Row],[Profit]]/SalesData[[#This Row],[Sales]],0)</f>
        <v>0.18283097956638109</v>
      </c>
      <c r="T337" s="19">
        <f>YEAR(SalesData[[#This Row],[Order_Date]])</f>
        <v>2025</v>
      </c>
      <c r="U337" s="19" t="str">
        <f>TEXT(SalesData[[#This Row],[Order_Date]],"mmm")</f>
        <v>Nov</v>
      </c>
      <c r="V337" s="19" t="str">
        <f>"Q"&amp;ROUNDUP(MONTH(SalesData[[#This Row],[Order_Date]])/3,0)</f>
        <v>Q4</v>
      </c>
      <c r="W337" s="19" t="str">
        <f>IF(SalesData[[#This Row],[Sales]]&gt;=50000,"High",IF(AND(SalesData[[#This Row],[Sales]]&gt;= 20000, SalesData[[#This Row],[Sales]]&lt; 50000),"Medium","Low"))</f>
        <v>High</v>
      </c>
      <c r="X337" s="19" t="str">
        <f>IF(SalesData[[#This Row],[Profit]]&gt;0,"Profit","Loss")</f>
        <v>Profit</v>
      </c>
      <c r="Y337" s="19" t="str">
        <f>IF(AND(SalesData[[#This Row],[Sales]]&gt;= 50000, SalesData[[#This Row],[Quantity]]&gt;=2),"Yes","No")</f>
        <v>Yes</v>
      </c>
      <c r="Z337" s="19" t="str">
        <f>UPPER(SalesData[[#This Row],[Customer_Name]])</f>
        <v>POOJA MISHRA</v>
      </c>
      <c r="AA337" s="19" t="str">
        <f>LOWER(SalesData[[#This Row],[Customer_Name]])</f>
        <v>pooja mishra</v>
      </c>
      <c r="AB337" s="19">
        <f>LEN(SalesData[[#This Row],[Customer_Name]])</f>
        <v>12</v>
      </c>
      <c r="AC337" s="19" t="str">
        <f>LEFT(SalesData[[#This Row],[Order_ID]],3)</f>
        <v>ORD</v>
      </c>
      <c r="AD337" s="19" t="str">
        <f>RIGHT(SalesData[[#This Row],[Order_ID]],4)</f>
        <v>0979</v>
      </c>
      <c r="AE337" s="19" t="str">
        <f>_xlfn.CONCAT(SalesData[[#This Row],[Clean_Customer_Name]],"-",SalesData[[#This Row],[Region]])</f>
        <v>Pooja Mishra-East</v>
      </c>
      <c r="AF337" s="19" t="str">
        <f>MID(SalesData[[#This Row],[Order_ID]],4,4)</f>
        <v>0979</v>
      </c>
      <c r="AG337" s="19" t="e">
        <f ca="1">_xlfn.SINGLE(_xlfn.XLOOKUP(SalesData[[#This Row],[Product]],Product_Master!A:A,Product_Master!B:B,"Not Found"))</f>
        <v>#NAME?</v>
      </c>
      <c r="AH337" s="19" t="str">
        <f>VLOOKUP(SalesData[[#This Row],[Product]],Product_Master!$A$1:$B$21,2,FALSE)</f>
        <v>Rahul</v>
      </c>
      <c r="AI337" s="16"/>
    </row>
    <row r="338" spans="1:35" ht="13.8">
      <c r="A338" s="16" t="s">
        <v>747</v>
      </c>
      <c r="B338" s="17">
        <v>45780</v>
      </c>
      <c r="C338" s="16" t="s">
        <v>158</v>
      </c>
      <c r="D338" s="16" t="s">
        <v>159</v>
      </c>
      <c r="E338" s="16" t="s">
        <v>62</v>
      </c>
      <c r="F338" s="16" t="s">
        <v>63</v>
      </c>
      <c r="G338" s="16" t="s">
        <v>21</v>
      </c>
      <c r="H338" s="16" t="s">
        <v>64</v>
      </c>
      <c r="I338" s="16" t="s">
        <v>42</v>
      </c>
      <c r="J338" s="16" t="s">
        <v>162</v>
      </c>
      <c r="K338" s="18">
        <v>8509.5499999999993</v>
      </c>
      <c r="L338" s="18">
        <v>3601.68</v>
      </c>
      <c r="M338" s="19">
        <v>2</v>
      </c>
      <c r="N338" s="20">
        <v>0.1</v>
      </c>
      <c r="O338" s="19" t="s">
        <v>76</v>
      </c>
      <c r="P338" s="19" t="s">
        <v>26</v>
      </c>
      <c r="Q338" s="19" t="str">
        <f>TRIM(SalesData[[#This Row],[Customer_Name]])</f>
        <v>Pooja Mishra</v>
      </c>
      <c r="R338" s="21">
        <f>SalesData[[#This Row],[Sales]]-SalesData[[#This Row],[Cost]]</f>
        <v>4907.869999999999</v>
      </c>
      <c r="S338" s="22">
        <f>IFERROR(SalesData[[#This Row],[Profit]]/SalesData[[#This Row],[Sales]],0)</f>
        <v>0.57674847671145946</v>
      </c>
      <c r="T338" s="19">
        <f>YEAR(SalesData[[#This Row],[Order_Date]])</f>
        <v>2025</v>
      </c>
      <c r="U338" s="19" t="str">
        <f>TEXT(SalesData[[#This Row],[Order_Date]],"mmm")</f>
        <v>May</v>
      </c>
      <c r="V338" s="19" t="str">
        <f>"Q"&amp;ROUNDUP(MONTH(SalesData[[#This Row],[Order_Date]])/3,0)</f>
        <v>Q2</v>
      </c>
      <c r="W338" s="19" t="str">
        <f>IF(SalesData[[#This Row],[Sales]]&gt;=50000,"High",IF(AND(SalesData[[#This Row],[Sales]]&gt;= 20000, SalesData[[#This Row],[Sales]]&lt; 50000),"Medium","Low"))</f>
        <v>Low</v>
      </c>
      <c r="X338" s="19" t="str">
        <f>IF(SalesData[[#This Row],[Profit]]&gt;0,"Profit","Loss")</f>
        <v>Profit</v>
      </c>
      <c r="Y338" s="19" t="str">
        <f>IF(AND(SalesData[[#This Row],[Sales]]&gt;= 50000, SalesData[[#This Row],[Quantity]]&gt;=2),"Yes","No")</f>
        <v>No</v>
      </c>
      <c r="Z338" s="19" t="str">
        <f>UPPER(SalesData[[#This Row],[Customer_Name]])</f>
        <v>POOJA MISHRA</v>
      </c>
      <c r="AA338" s="19" t="str">
        <f>LOWER(SalesData[[#This Row],[Customer_Name]])</f>
        <v>pooja mishra</v>
      </c>
      <c r="AB338" s="19">
        <f>LEN(SalesData[[#This Row],[Customer_Name]])</f>
        <v>12</v>
      </c>
      <c r="AC338" s="19" t="str">
        <f>LEFT(SalesData[[#This Row],[Order_ID]],3)</f>
        <v>ORD</v>
      </c>
      <c r="AD338" s="19" t="str">
        <f>RIGHT(SalesData[[#This Row],[Order_ID]],4)</f>
        <v>0594</v>
      </c>
      <c r="AE338" s="19" t="str">
        <f>_xlfn.CONCAT(SalesData[[#This Row],[Clean_Customer_Name]],"-",SalesData[[#This Row],[Region]])</f>
        <v>Pooja Mishra-East</v>
      </c>
      <c r="AF338" s="19" t="str">
        <f>MID(SalesData[[#This Row],[Order_ID]],4,4)</f>
        <v>0594</v>
      </c>
      <c r="AG338" s="19" t="e">
        <f ca="1">_xlfn.SINGLE(_xlfn.XLOOKUP(SalesData[[#This Row],[Product]],Product_Master!A:A,Product_Master!B:B,"Not Found"))</f>
        <v>#NAME?</v>
      </c>
      <c r="AH338" s="19" t="str">
        <f>VLOOKUP(SalesData[[#This Row],[Product]],Product_Master!$A$1:$B$21,2,FALSE)</f>
        <v>Amit</v>
      </c>
      <c r="AI338" s="16"/>
    </row>
    <row r="339" spans="1:35" ht="13.8">
      <c r="A339" s="16" t="s">
        <v>881</v>
      </c>
      <c r="B339" s="17">
        <v>45348</v>
      </c>
      <c r="C339" s="16" t="s">
        <v>158</v>
      </c>
      <c r="D339" s="16" t="s">
        <v>159</v>
      </c>
      <c r="E339" s="16" t="s">
        <v>62</v>
      </c>
      <c r="F339" s="16" t="s">
        <v>63</v>
      </c>
      <c r="G339" s="16" t="s">
        <v>21</v>
      </c>
      <c r="H339" s="16" t="s">
        <v>64</v>
      </c>
      <c r="I339" s="16" t="s">
        <v>84</v>
      </c>
      <c r="J339" s="16" t="s">
        <v>134</v>
      </c>
      <c r="K339" s="18">
        <v>22002.52</v>
      </c>
      <c r="L339" s="18">
        <v>9254.35</v>
      </c>
      <c r="M339" s="19">
        <v>5</v>
      </c>
      <c r="N339" s="20">
        <v>0.05</v>
      </c>
      <c r="O339" s="19" t="s">
        <v>44</v>
      </c>
      <c r="P339" s="19" t="s">
        <v>58</v>
      </c>
      <c r="Q339" s="19" t="str">
        <f>TRIM(SalesData[[#This Row],[Customer_Name]])</f>
        <v>Pooja Mishra</v>
      </c>
      <c r="R339" s="21">
        <f>SalesData[[#This Row],[Sales]]-SalesData[[#This Row],[Cost]]</f>
        <v>12748.17</v>
      </c>
      <c r="S339" s="22">
        <f>IFERROR(SalesData[[#This Row],[Profit]]/SalesData[[#This Row],[Sales]],0)</f>
        <v>0.57939590555990861</v>
      </c>
      <c r="T339" s="19">
        <f>YEAR(SalesData[[#This Row],[Order_Date]])</f>
        <v>2024</v>
      </c>
      <c r="U339" s="19" t="str">
        <f>TEXT(SalesData[[#This Row],[Order_Date]],"mmm")</f>
        <v>Feb</v>
      </c>
      <c r="V339" s="19" t="str">
        <f>"Q"&amp;ROUNDUP(MONTH(SalesData[[#This Row],[Order_Date]])/3,0)</f>
        <v>Q1</v>
      </c>
      <c r="W339" s="19" t="str">
        <f>IF(SalesData[[#This Row],[Sales]]&gt;=50000,"High",IF(AND(SalesData[[#This Row],[Sales]]&gt;= 20000, SalesData[[#This Row],[Sales]]&lt; 50000),"Medium","Low"))</f>
        <v>Medium</v>
      </c>
      <c r="X339" s="19" t="str">
        <f>IF(SalesData[[#This Row],[Profit]]&gt;0,"Profit","Loss")</f>
        <v>Profit</v>
      </c>
      <c r="Y339" s="19" t="str">
        <f>IF(AND(SalesData[[#This Row],[Sales]]&gt;= 50000, SalesData[[#This Row],[Quantity]]&gt;=2),"Yes","No")</f>
        <v>No</v>
      </c>
      <c r="Z339" s="19" t="str">
        <f>UPPER(SalesData[[#This Row],[Customer_Name]])</f>
        <v>POOJA MISHRA</v>
      </c>
      <c r="AA339" s="19" t="str">
        <f>LOWER(SalesData[[#This Row],[Customer_Name]])</f>
        <v>pooja mishra</v>
      </c>
      <c r="AB339" s="19">
        <f>LEN(SalesData[[#This Row],[Customer_Name]])</f>
        <v>12</v>
      </c>
      <c r="AC339" s="19" t="str">
        <f>LEFT(SalesData[[#This Row],[Order_ID]],3)</f>
        <v>ORD</v>
      </c>
      <c r="AD339" s="19" t="str">
        <f>RIGHT(SalesData[[#This Row],[Order_ID]],4)</f>
        <v>0728</v>
      </c>
      <c r="AE339" s="19" t="str">
        <f>_xlfn.CONCAT(SalesData[[#This Row],[Clean_Customer_Name]],"-",SalesData[[#This Row],[Region]])</f>
        <v>Pooja Mishra-South</v>
      </c>
      <c r="AF339" s="19" t="str">
        <f>MID(SalesData[[#This Row],[Order_ID]],4,4)</f>
        <v>0728</v>
      </c>
      <c r="AG339" s="19" t="e">
        <f ca="1">_xlfn.SINGLE(_xlfn.XLOOKUP(SalesData[[#This Row],[Product]],Product_Master!A:A,Product_Master!B:B,"Not Found"))</f>
        <v>#NAME?</v>
      </c>
      <c r="AH339" s="19" t="str">
        <f>VLOOKUP(SalesData[[#This Row],[Product]],Product_Master!$A$1:$B$21,2,FALSE)</f>
        <v>Amit</v>
      </c>
      <c r="AI339" s="16"/>
    </row>
    <row r="340" spans="1:35" ht="13.8">
      <c r="A340" s="16" t="s">
        <v>289</v>
      </c>
      <c r="B340" s="17">
        <v>45811</v>
      </c>
      <c r="C340" s="16" t="s">
        <v>158</v>
      </c>
      <c r="D340" s="16" t="s">
        <v>159</v>
      </c>
      <c r="E340" s="16" t="s">
        <v>19</v>
      </c>
      <c r="F340" s="16" t="s">
        <v>20</v>
      </c>
      <c r="G340" s="16" t="s">
        <v>21</v>
      </c>
      <c r="H340" s="16" t="s">
        <v>22</v>
      </c>
      <c r="I340" s="16" t="s">
        <v>42</v>
      </c>
      <c r="J340" s="16" t="s">
        <v>43</v>
      </c>
      <c r="K340" s="18">
        <v>12159.1</v>
      </c>
      <c r="L340" s="18">
        <v>5585.68</v>
      </c>
      <c r="M340" s="19">
        <v>2</v>
      </c>
      <c r="N340" s="20">
        <v>0</v>
      </c>
      <c r="O340" s="19" t="s">
        <v>44</v>
      </c>
      <c r="P340" s="19" t="s">
        <v>77</v>
      </c>
      <c r="Q340" s="19" t="str">
        <f>TRIM(SalesData[[#This Row],[Customer_Name]])</f>
        <v>Pooja Mishra</v>
      </c>
      <c r="R340" s="21">
        <f>SalesData[[#This Row],[Sales]]-SalesData[[#This Row],[Cost]]</f>
        <v>6573.42</v>
      </c>
      <c r="S340" s="22">
        <f>IFERROR(SalesData[[#This Row],[Profit]]/SalesData[[#This Row],[Sales]],0)</f>
        <v>0.5406173154263062</v>
      </c>
      <c r="T340" s="19">
        <f>YEAR(SalesData[[#This Row],[Order_Date]])</f>
        <v>2025</v>
      </c>
      <c r="U340" s="19" t="str">
        <f>TEXT(SalesData[[#This Row],[Order_Date]],"mmm")</f>
        <v>Jun</v>
      </c>
      <c r="V340" s="19" t="str">
        <f>"Q"&amp;ROUNDUP(MONTH(SalesData[[#This Row],[Order_Date]])/3,0)</f>
        <v>Q2</v>
      </c>
      <c r="W340" s="19" t="str">
        <f>IF(SalesData[[#This Row],[Sales]]&gt;=50000,"High",IF(AND(SalesData[[#This Row],[Sales]]&gt;= 20000, SalesData[[#This Row],[Sales]]&lt; 50000),"Medium","Low"))</f>
        <v>Low</v>
      </c>
      <c r="X340" s="19" t="str">
        <f>IF(SalesData[[#This Row],[Profit]]&gt;0,"Profit","Loss")</f>
        <v>Profit</v>
      </c>
      <c r="Y340" s="19" t="str">
        <f>IF(AND(SalesData[[#This Row],[Sales]]&gt;= 50000, SalesData[[#This Row],[Quantity]]&gt;=2),"Yes","No")</f>
        <v>No</v>
      </c>
      <c r="Z340" s="19" t="str">
        <f>UPPER(SalesData[[#This Row],[Customer_Name]])</f>
        <v>POOJA MISHRA</v>
      </c>
      <c r="AA340" s="19" t="str">
        <f>LOWER(SalesData[[#This Row],[Customer_Name]])</f>
        <v>pooja mishra</v>
      </c>
      <c r="AB340" s="19">
        <f>LEN(SalesData[[#This Row],[Customer_Name]])</f>
        <v>12</v>
      </c>
      <c r="AC340" s="19" t="str">
        <f>LEFT(SalesData[[#This Row],[Order_ID]],3)</f>
        <v>ORD</v>
      </c>
      <c r="AD340" s="19" t="str">
        <f>RIGHT(SalesData[[#This Row],[Order_ID]],4)</f>
        <v>0136</v>
      </c>
      <c r="AE340" s="19" t="str">
        <f>_xlfn.CONCAT(SalesData[[#This Row],[Clean_Customer_Name]],"-",SalesData[[#This Row],[Region]])</f>
        <v>Pooja Mishra-East</v>
      </c>
      <c r="AF340" s="19" t="str">
        <f>MID(SalesData[[#This Row],[Order_ID]],4,4)</f>
        <v>0136</v>
      </c>
      <c r="AG340" s="19" t="e">
        <f ca="1">_xlfn.SINGLE(_xlfn.XLOOKUP(SalesData[[#This Row],[Product]],Product_Master!A:A,Product_Master!B:B,"Not Found"))</f>
        <v>#NAME?</v>
      </c>
      <c r="AH340" s="19" t="str">
        <f>VLOOKUP(SalesData[[#This Row],[Product]],Product_Master!$A$1:$B$21,2,FALSE)</f>
        <v>Neha</v>
      </c>
      <c r="AI340" s="16"/>
    </row>
    <row r="341" spans="1:35" ht="13.8">
      <c r="A341" s="16" t="s">
        <v>974</v>
      </c>
      <c r="B341" s="17">
        <v>45668</v>
      </c>
      <c r="C341" s="16" t="s">
        <v>158</v>
      </c>
      <c r="D341" s="16" t="s">
        <v>159</v>
      </c>
      <c r="E341" s="16" t="s">
        <v>19</v>
      </c>
      <c r="F341" s="16" t="s">
        <v>20</v>
      </c>
      <c r="G341" s="16" t="s">
        <v>21</v>
      </c>
      <c r="H341" s="16" t="s">
        <v>22</v>
      </c>
      <c r="I341" s="16" t="s">
        <v>53</v>
      </c>
      <c r="J341" s="16" t="s">
        <v>102</v>
      </c>
      <c r="K341" s="18">
        <v>24957.27</v>
      </c>
      <c r="L341" s="18">
        <v>14099.6</v>
      </c>
      <c r="M341" s="19">
        <v>5</v>
      </c>
      <c r="N341" s="20">
        <v>0.15</v>
      </c>
      <c r="O341" s="19" t="s">
        <v>136</v>
      </c>
      <c r="P341" s="19" t="s">
        <v>45</v>
      </c>
      <c r="Q341" s="19" t="str">
        <f>TRIM(SalesData[[#This Row],[Customer_Name]])</f>
        <v>Pooja Mishra</v>
      </c>
      <c r="R341" s="21">
        <f>SalesData[[#This Row],[Sales]]-SalesData[[#This Row],[Cost]]</f>
        <v>10857.67</v>
      </c>
      <c r="S341" s="22">
        <f>IFERROR(SalesData[[#This Row],[Profit]]/SalesData[[#This Row],[Sales]],0)</f>
        <v>0.43505038812338048</v>
      </c>
      <c r="T341" s="19">
        <f>YEAR(SalesData[[#This Row],[Order_Date]])</f>
        <v>2025</v>
      </c>
      <c r="U341" s="19" t="str">
        <f>TEXT(SalesData[[#This Row],[Order_Date]],"mmm")</f>
        <v>Jan</v>
      </c>
      <c r="V341" s="19" t="str">
        <f>"Q"&amp;ROUNDUP(MONTH(SalesData[[#This Row],[Order_Date]])/3,0)</f>
        <v>Q1</v>
      </c>
      <c r="W341" s="19" t="str">
        <f>IF(SalesData[[#This Row],[Sales]]&gt;=50000,"High",IF(AND(SalesData[[#This Row],[Sales]]&gt;= 20000, SalesData[[#This Row],[Sales]]&lt; 50000),"Medium","Low"))</f>
        <v>Medium</v>
      </c>
      <c r="X341" s="19" t="str">
        <f>IF(SalesData[[#This Row],[Profit]]&gt;0,"Profit","Loss")</f>
        <v>Profit</v>
      </c>
      <c r="Y341" s="19" t="str">
        <f>IF(AND(SalesData[[#This Row],[Sales]]&gt;= 50000, SalesData[[#This Row],[Quantity]]&gt;=2),"Yes","No")</f>
        <v>No</v>
      </c>
      <c r="Z341" s="19" t="str">
        <f>UPPER(SalesData[[#This Row],[Customer_Name]])</f>
        <v>POOJA MISHRA</v>
      </c>
      <c r="AA341" s="19" t="str">
        <f>LOWER(SalesData[[#This Row],[Customer_Name]])</f>
        <v>pooja mishra</v>
      </c>
      <c r="AB341" s="19">
        <f>LEN(SalesData[[#This Row],[Customer_Name]])</f>
        <v>12</v>
      </c>
      <c r="AC341" s="19" t="str">
        <f>LEFT(SalesData[[#This Row],[Order_ID]],3)</f>
        <v>ORD</v>
      </c>
      <c r="AD341" s="19" t="str">
        <f>RIGHT(SalesData[[#This Row],[Order_ID]],4)</f>
        <v>0821</v>
      </c>
      <c r="AE341" s="19" t="str">
        <f>_xlfn.CONCAT(SalesData[[#This Row],[Clean_Customer_Name]],"-",SalesData[[#This Row],[Region]])</f>
        <v>Pooja Mishra-Central</v>
      </c>
      <c r="AF341" s="19" t="str">
        <f>MID(SalesData[[#This Row],[Order_ID]],4,4)</f>
        <v>0821</v>
      </c>
      <c r="AG341" s="19" t="e">
        <f ca="1">_xlfn.SINGLE(_xlfn.XLOOKUP(SalesData[[#This Row],[Product]],Product_Master!A:A,Product_Master!B:B,"Not Found"))</f>
        <v>#NAME?</v>
      </c>
      <c r="AH341" s="19" t="str">
        <f>VLOOKUP(SalesData[[#This Row],[Product]],Product_Master!$A$1:$B$21,2,FALSE)</f>
        <v>Neha</v>
      </c>
      <c r="AI341" s="16"/>
    </row>
    <row r="342" spans="1:35" ht="13.8">
      <c r="A342" s="16" t="s">
        <v>484</v>
      </c>
      <c r="B342" s="17">
        <v>45567</v>
      </c>
      <c r="C342" s="16" t="s">
        <v>158</v>
      </c>
      <c r="D342" s="16" t="s">
        <v>159</v>
      </c>
      <c r="E342" s="16" t="s">
        <v>152</v>
      </c>
      <c r="F342" s="16" t="s">
        <v>153</v>
      </c>
      <c r="G342" s="16" t="s">
        <v>21</v>
      </c>
      <c r="H342" s="16" t="s">
        <v>32</v>
      </c>
      <c r="I342" s="16" t="s">
        <v>42</v>
      </c>
      <c r="J342" s="16" t="s">
        <v>162</v>
      </c>
      <c r="K342" s="18">
        <v>7791.67</v>
      </c>
      <c r="L342" s="18">
        <v>8434.2900000000009</v>
      </c>
      <c r="M342" s="19">
        <v>1</v>
      </c>
      <c r="N342" s="20">
        <v>0.15</v>
      </c>
      <c r="O342" s="19" t="s">
        <v>44</v>
      </c>
      <c r="P342" s="19" t="s">
        <v>58</v>
      </c>
      <c r="Q342" s="19" t="str">
        <f>TRIM(SalesData[[#This Row],[Customer_Name]])</f>
        <v>Pooja Mishra</v>
      </c>
      <c r="R342" s="21">
        <f>SalesData[[#This Row],[Sales]]-SalesData[[#This Row],[Cost]]</f>
        <v>-642.6200000000008</v>
      </c>
      <c r="S342" s="22">
        <f>IFERROR(SalesData[[#This Row],[Profit]]/SalesData[[#This Row],[Sales]],0)</f>
        <v>-8.2475258834113968E-2</v>
      </c>
      <c r="T342" s="19">
        <f>YEAR(SalesData[[#This Row],[Order_Date]])</f>
        <v>2024</v>
      </c>
      <c r="U342" s="19" t="str">
        <f>TEXT(SalesData[[#This Row],[Order_Date]],"mmm")</f>
        <v>Oct</v>
      </c>
      <c r="V342" s="19" t="str">
        <f>"Q"&amp;ROUNDUP(MONTH(SalesData[[#This Row],[Order_Date]])/3,0)</f>
        <v>Q4</v>
      </c>
      <c r="W342" s="19" t="str">
        <f>IF(SalesData[[#This Row],[Sales]]&gt;=50000,"High",IF(AND(SalesData[[#This Row],[Sales]]&gt;= 20000, SalesData[[#This Row],[Sales]]&lt; 50000),"Medium","Low"))</f>
        <v>Low</v>
      </c>
      <c r="X342" s="19" t="str">
        <f>IF(SalesData[[#This Row],[Profit]]&gt;0,"Profit","Loss")</f>
        <v>Loss</v>
      </c>
      <c r="Y342" s="19" t="str">
        <f>IF(AND(SalesData[[#This Row],[Sales]]&gt;= 50000, SalesData[[#This Row],[Quantity]]&gt;=2),"Yes","No")</f>
        <v>No</v>
      </c>
      <c r="Z342" s="19" t="str">
        <f>UPPER(SalesData[[#This Row],[Customer_Name]])</f>
        <v>POOJA MISHRA</v>
      </c>
      <c r="AA342" s="19" t="str">
        <f>LOWER(SalesData[[#This Row],[Customer_Name]])</f>
        <v>pooja mishra</v>
      </c>
      <c r="AB342" s="19">
        <f>LEN(SalesData[[#This Row],[Customer_Name]])</f>
        <v>12</v>
      </c>
      <c r="AC342" s="19" t="str">
        <f>LEFT(SalesData[[#This Row],[Order_ID]],3)</f>
        <v>ORD</v>
      </c>
      <c r="AD342" s="19" t="str">
        <f>RIGHT(SalesData[[#This Row],[Order_ID]],4)</f>
        <v>0331</v>
      </c>
      <c r="AE342" s="19" t="str">
        <f>_xlfn.CONCAT(SalesData[[#This Row],[Clean_Customer_Name]],"-",SalesData[[#This Row],[Region]])</f>
        <v>Pooja Mishra-East</v>
      </c>
      <c r="AF342" s="19" t="str">
        <f>MID(SalesData[[#This Row],[Order_ID]],4,4)</f>
        <v>0331</v>
      </c>
      <c r="AG342" s="19" t="e">
        <f ca="1">_xlfn.SINGLE(_xlfn.XLOOKUP(SalesData[[#This Row],[Product]],Product_Master!A:A,Product_Master!B:B,"Not Found"))</f>
        <v>#NAME?</v>
      </c>
      <c r="AH342" s="19" t="str">
        <f>VLOOKUP(SalesData[[#This Row],[Product]],Product_Master!$A$1:$B$21,2,FALSE)</f>
        <v>Simran</v>
      </c>
      <c r="AI342" s="16"/>
    </row>
    <row r="343" spans="1:35" ht="13.8">
      <c r="A343" s="16" t="s">
        <v>625</v>
      </c>
      <c r="B343" s="17">
        <v>45631</v>
      </c>
      <c r="C343" s="16" t="s">
        <v>158</v>
      </c>
      <c r="D343" s="16" t="s">
        <v>159</v>
      </c>
      <c r="E343" s="16" t="s">
        <v>152</v>
      </c>
      <c r="F343" s="16" t="s">
        <v>153</v>
      </c>
      <c r="G343" s="16" t="s">
        <v>21</v>
      </c>
      <c r="H343" s="16" t="s">
        <v>32</v>
      </c>
      <c r="I343" s="16" t="s">
        <v>42</v>
      </c>
      <c r="J343" s="16" t="s">
        <v>68</v>
      </c>
      <c r="K343" s="18">
        <v>41347.94</v>
      </c>
      <c r="L343" s="18">
        <v>31762.240000000002</v>
      </c>
      <c r="M343" s="19">
        <v>4</v>
      </c>
      <c r="N343" s="20">
        <v>0.1</v>
      </c>
      <c r="O343" s="19" t="s">
        <v>136</v>
      </c>
      <c r="P343" s="19" t="s">
        <v>58</v>
      </c>
      <c r="Q343" s="19" t="str">
        <f>TRIM(SalesData[[#This Row],[Customer_Name]])</f>
        <v>Pooja Mishra</v>
      </c>
      <c r="R343" s="21">
        <f>SalesData[[#This Row],[Sales]]-SalesData[[#This Row],[Cost]]</f>
        <v>9585.7000000000007</v>
      </c>
      <c r="S343" s="22">
        <f>IFERROR(SalesData[[#This Row],[Profit]]/SalesData[[#This Row],[Sales]],0)</f>
        <v>0.23183017098312517</v>
      </c>
      <c r="T343" s="19">
        <f>YEAR(SalesData[[#This Row],[Order_Date]])</f>
        <v>2024</v>
      </c>
      <c r="U343" s="19" t="str">
        <f>TEXT(SalesData[[#This Row],[Order_Date]],"mmm")</f>
        <v>Dec</v>
      </c>
      <c r="V343" s="19" t="str">
        <f>"Q"&amp;ROUNDUP(MONTH(SalesData[[#This Row],[Order_Date]])/3,0)</f>
        <v>Q4</v>
      </c>
      <c r="W343" s="19" t="str">
        <f>IF(SalesData[[#This Row],[Sales]]&gt;=50000,"High",IF(AND(SalesData[[#This Row],[Sales]]&gt;= 20000, SalesData[[#This Row],[Sales]]&lt; 50000),"Medium","Low"))</f>
        <v>Medium</v>
      </c>
      <c r="X343" s="19" t="str">
        <f>IF(SalesData[[#This Row],[Profit]]&gt;0,"Profit","Loss")</f>
        <v>Profit</v>
      </c>
      <c r="Y343" s="19" t="str">
        <f>IF(AND(SalesData[[#This Row],[Sales]]&gt;= 50000, SalesData[[#This Row],[Quantity]]&gt;=2),"Yes","No")</f>
        <v>No</v>
      </c>
      <c r="Z343" s="19" t="str">
        <f>UPPER(SalesData[[#This Row],[Customer_Name]])</f>
        <v>POOJA MISHRA</v>
      </c>
      <c r="AA343" s="19" t="str">
        <f>LOWER(SalesData[[#This Row],[Customer_Name]])</f>
        <v>pooja mishra</v>
      </c>
      <c r="AB343" s="19">
        <f>LEN(SalesData[[#This Row],[Customer_Name]])</f>
        <v>12</v>
      </c>
      <c r="AC343" s="19" t="str">
        <f>LEFT(SalesData[[#This Row],[Order_ID]],3)</f>
        <v>ORD</v>
      </c>
      <c r="AD343" s="19" t="str">
        <f>RIGHT(SalesData[[#This Row],[Order_ID]],4)</f>
        <v>0472</v>
      </c>
      <c r="AE343" s="19" t="str">
        <f>_xlfn.CONCAT(SalesData[[#This Row],[Clean_Customer_Name]],"-",SalesData[[#This Row],[Region]])</f>
        <v>Pooja Mishra-East</v>
      </c>
      <c r="AF343" s="19" t="str">
        <f>MID(SalesData[[#This Row],[Order_ID]],4,4)</f>
        <v>0472</v>
      </c>
      <c r="AG343" s="19" t="e">
        <f ca="1">_xlfn.SINGLE(_xlfn.XLOOKUP(SalesData[[#This Row],[Product]],Product_Master!A:A,Product_Master!B:B,"Not Found"))</f>
        <v>#NAME?</v>
      </c>
      <c r="AH343" s="19" t="str">
        <f>VLOOKUP(SalesData[[#This Row],[Product]],Product_Master!$A$1:$B$21,2,FALSE)</f>
        <v>Simran</v>
      </c>
      <c r="AI343" s="16"/>
    </row>
    <row r="344" spans="1:35" ht="13.8">
      <c r="A344" s="16" t="s">
        <v>228</v>
      </c>
      <c r="B344" s="17">
        <v>45306</v>
      </c>
      <c r="C344" s="16" t="s">
        <v>158</v>
      </c>
      <c r="D344" s="16" t="s">
        <v>159</v>
      </c>
      <c r="E344" s="16" t="s">
        <v>117</v>
      </c>
      <c r="F344" s="16" t="s">
        <v>118</v>
      </c>
      <c r="G344" s="16" t="s">
        <v>51</v>
      </c>
      <c r="H344" s="16" t="s">
        <v>119</v>
      </c>
      <c r="I344" s="16" t="s">
        <v>84</v>
      </c>
      <c r="J344" s="16" t="s">
        <v>142</v>
      </c>
      <c r="K344" s="18">
        <v>26556.35</v>
      </c>
      <c r="L344" s="18">
        <v>20819.599999999999</v>
      </c>
      <c r="M344" s="19">
        <v>5</v>
      </c>
      <c r="N344" s="20">
        <v>0</v>
      </c>
      <c r="O344" s="19" t="s">
        <v>34</v>
      </c>
      <c r="P344" s="19" t="s">
        <v>45</v>
      </c>
      <c r="Q344" s="19" t="str">
        <f>TRIM(SalesData[[#This Row],[Customer_Name]])</f>
        <v>Pooja Mishra</v>
      </c>
      <c r="R344" s="21">
        <f>SalesData[[#This Row],[Sales]]-SalesData[[#This Row],[Cost]]</f>
        <v>5736.75</v>
      </c>
      <c r="S344" s="22">
        <f>IFERROR(SalesData[[#This Row],[Profit]]/SalesData[[#This Row],[Sales]],0)</f>
        <v>0.21602178010155765</v>
      </c>
      <c r="T344" s="19">
        <f>YEAR(SalesData[[#This Row],[Order_Date]])</f>
        <v>2024</v>
      </c>
      <c r="U344" s="19" t="str">
        <f>TEXT(SalesData[[#This Row],[Order_Date]],"mmm")</f>
        <v>Jan</v>
      </c>
      <c r="V344" s="19" t="str">
        <f>"Q"&amp;ROUNDUP(MONTH(SalesData[[#This Row],[Order_Date]])/3,0)</f>
        <v>Q1</v>
      </c>
      <c r="W344" s="19" t="str">
        <f>IF(SalesData[[#This Row],[Sales]]&gt;=50000,"High",IF(AND(SalesData[[#This Row],[Sales]]&gt;= 20000, SalesData[[#This Row],[Sales]]&lt; 50000),"Medium","Low"))</f>
        <v>Medium</v>
      </c>
      <c r="X344" s="19" t="str">
        <f>IF(SalesData[[#This Row],[Profit]]&gt;0,"Profit","Loss")</f>
        <v>Profit</v>
      </c>
      <c r="Y344" s="19" t="str">
        <f>IF(AND(SalesData[[#This Row],[Sales]]&gt;= 50000, SalesData[[#This Row],[Quantity]]&gt;=2),"Yes","No")</f>
        <v>No</v>
      </c>
      <c r="Z344" s="19" t="str">
        <f>UPPER(SalesData[[#This Row],[Customer_Name]])</f>
        <v>POOJA MISHRA</v>
      </c>
      <c r="AA344" s="19" t="str">
        <f>LOWER(SalesData[[#This Row],[Customer_Name]])</f>
        <v>pooja mishra</v>
      </c>
      <c r="AB344" s="19">
        <f>LEN(SalesData[[#This Row],[Customer_Name]])</f>
        <v>12</v>
      </c>
      <c r="AC344" s="19" t="str">
        <f>LEFT(SalesData[[#This Row],[Order_ID]],3)</f>
        <v>ORD</v>
      </c>
      <c r="AD344" s="19" t="str">
        <f>RIGHT(SalesData[[#This Row],[Order_ID]],4)</f>
        <v>0079</v>
      </c>
      <c r="AE344" s="19" t="str">
        <f>_xlfn.CONCAT(SalesData[[#This Row],[Clean_Customer_Name]],"-",SalesData[[#This Row],[Region]])</f>
        <v>Pooja Mishra-South</v>
      </c>
      <c r="AF344" s="19" t="str">
        <f>MID(SalesData[[#This Row],[Order_ID]],4,4)</f>
        <v>0079</v>
      </c>
      <c r="AG344" s="19" t="e">
        <f ca="1">_xlfn.SINGLE(_xlfn.XLOOKUP(SalesData[[#This Row],[Product]],Product_Master!A:A,Product_Master!B:B,"Not Found"))</f>
        <v>#NAME?</v>
      </c>
      <c r="AH344" s="19" t="str">
        <f>VLOOKUP(SalesData[[#This Row],[Product]],Product_Master!$A$1:$B$21,2,FALSE)</f>
        <v>Karan</v>
      </c>
      <c r="AI344" s="16"/>
    </row>
    <row r="345" spans="1:35" ht="13.8">
      <c r="A345" s="16" t="s">
        <v>486</v>
      </c>
      <c r="B345" s="17">
        <v>45397</v>
      </c>
      <c r="C345" s="16" t="s">
        <v>158</v>
      </c>
      <c r="D345" s="16" t="s">
        <v>159</v>
      </c>
      <c r="E345" s="16" t="s">
        <v>117</v>
      </c>
      <c r="F345" s="16" t="s">
        <v>118</v>
      </c>
      <c r="G345" s="16" t="s">
        <v>51</v>
      </c>
      <c r="H345" s="16" t="s">
        <v>119</v>
      </c>
      <c r="I345" s="16" t="s">
        <v>84</v>
      </c>
      <c r="J345" s="16" t="s">
        <v>142</v>
      </c>
      <c r="K345" s="18">
        <v>22909.56</v>
      </c>
      <c r="L345" s="18">
        <v>23283.55</v>
      </c>
      <c r="M345" s="19">
        <v>5</v>
      </c>
      <c r="N345" s="20">
        <v>0.2</v>
      </c>
      <c r="O345" s="19" t="s">
        <v>25</v>
      </c>
      <c r="P345" s="19" t="s">
        <v>58</v>
      </c>
      <c r="Q345" s="19" t="str">
        <f>TRIM(SalesData[[#This Row],[Customer_Name]])</f>
        <v>Pooja Mishra</v>
      </c>
      <c r="R345" s="21">
        <f>SalesData[[#This Row],[Sales]]-SalesData[[#This Row],[Cost]]</f>
        <v>-373.98999999999796</v>
      </c>
      <c r="S345" s="22">
        <f>IFERROR(SalesData[[#This Row],[Profit]]/SalesData[[#This Row],[Sales]],0)</f>
        <v>-1.6324626051307748E-2</v>
      </c>
      <c r="T345" s="19">
        <f>YEAR(SalesData[[#This Row],[Order_Date]])</f>
        <v>2024</v>
      </c>
      <c r="U345" s="19" t="str">
        <f>TEXT(SalesData[[#This Row],[Order_Date]],"mmm")</f>
        <v>Apr</v>
      </c>
      <c r="V345" s="19" t="str">
        <f>"Q"&amp;ROUNDUP(MONTH(SalesData[[#This Row],[Order_Date]])/3,0)</f>
        <v>Q2</v>
      </c>
      <c r="W345" s="19" t="str">
        <f>IF(SalesData[[#This Row],[Sales]]&gt;=50000,"High",IF(AND(SalesData[[#This Row],[Sales]]&gt;= 20000, SalesData[[#This Row],[Sales]]&lt; 50000),"Medium","Low"))</f>
        <v>Medium</v>
      </c>
      <c r="X345" s="19" t="str">
        <f>IF(SalesData[[#This Row],[Profit]]&gt;0,"Profit","Loss")</f>
        <v>Loss</v>
      </c>
      <c r="Y345" s="19" t="str">
        <f>IF(AND(SalesData[[#This Row],[Sales]]&gt;= 50000, SalesData[[#This Row],[Quantity]]&gt;=2),"Yes","No")</f>
        <v>No</v>
      </c>
      <c r="Z345" s="19" t="str">
        <f>UPPER(SalesData[[#This Row],[Customer_Name]])</f>
        <v>POOJA MISHRA</v>
      </c>
      <c r="AA345" s="19" t="str">
        <f>LOWER(SalesData[[#This Row],[Customer_Name]])</f>
        <v>pooja mishra</v>
      </c>
      <c r="AB345" s="19">
        <f>LEN(SalesData[[#This Row],[Customer_Name]])</f>
        <v>12</v>
      </c>
      <c r="AC345" s="19" t="str">
        <f>LEFT(SalesData[[#This Row],[Order_ID]],3)</f>
        <v>ORD</v>
      </c>
      <c r="AD345" s="19" t="str">
        <f>RIGHT(SalesData[[#This Row],[Order_ID]],4)</f>
        <v>0333</v>
      </c>
      <c r="AE345" s="19" t="str">
        <f>_xlfn.CONCAT(SalesData[[#This Row],[Clean_Customer_Name]],"-",SalesData[[#This Row],[Region]])</f>
        <v>Pooja Mishra-South</v>
      </c>
      <c r="AF345" s="19" t="str">
        <f>MID(SalesData[[#This Row],[Order_ID]],4,4)</f>
        <v>0333</v>
      </c>
      <c r="AG345" s="19" t="e">
        <f ca="1">_xlfn.SINGLE(_xlfn.XLOOKUP(SalesData[[#This Row],[Product]],Product_Master!A:A,Product_Master!B:B,"Not Found"))</f>
        <v>#NAME?</v>
      </c>
      <c r="AH345" s="19" t="str">
        <f>VLOOKUP(SalesData[[#This Row],[Product]],Product_Master!$A$1:$B$21,2,FALSE)</f>
        <v>Karan</v>
      </c>
      <c r="AI345" s="16"/>
    </row>
    <row r="346" spans="1:35" ht="13.8">
      <c r="A346" s="16" t="s">
        <v>903</v>
      </c>
      <c r="B346" s="17">
        <v>45804</v>
      </c>
      <c r="C346" s="16" t="s">
        <v>158</v>
      </c>
      <c r="D346" s="16" t="s">
        <v>159</v>
      </c>
      <c r="E346" s="16" t="s">
        <v>117</v>
      </c>
      <c r="F346" s="16" t="s">
        <v>118</v>
      </c>
      <c r="G346" s="16" t="s">
        <v>51</v>
      </c>
      <c r="H346" s="16" t="s">
        <v>119</v>
      </c>
      <c r="I346" s="16" t="s">
        <v>53</v>
      </c>
      <c r="J346" s="16" t="s">
        <v>102</v>
      </c>
      <c r="K346" s="18">
        <v>42193</v>
      </c>
      <c r="L346" s="18">
        <v>21338.2</v>
      </c>
      <c r="M346" s="19">
        <v>5</v>
      </c>
      <c r="N346" s="20">
        <v>0</v>
      </c>
      <c r="O346" s="19" t="s">
        <v>34</v>
      </c>
      <c r="P346" s="19" t="s">
        <v>58</v>
      </c>
      <c r="Q346" s="19" t="str">
        <f>TRIM(SalesData[[#This Row],[Customer_Name]])</f>
        <v>Pooja Mishra</v>
      </c>
      <c r="R346" s="21">
        <f>SalesData[[#This Row],[Sales]]-SalesData[[#This Row],[Cost]]</f>
        <v>20854.8</v>
      </c>
      <c r="S346" s="22">
        <f>IFERROR(SalesData[[#This Row],[Profit]]/SalesData[[#This Row],[Sales]],0)</f>
        <v>0.49427156163344627</v>
      </c>
      <c r="T346" s="19">
        <f>YEAR(SalesData[[#This Row],[Order_Date]])</f>
        <v>2025</v>
      </c>
      <c r="U346" s="19" t="str">
        <f>TEXT(SalesData[[#This Row],[Order_Date]],"mmm")</f>
        <v>May</v>
      </c>
      <c r="V346" s="19" t="str">
        <f>"Q"&amp;ROUNDUP(MONTH(SalesData[[#This Row],[Order_Date]])/3,0)</f>
        <v>Q2</v>
      </c>
      <c r="W346" s="19" t="str">
        <f>IF(SalesData[[#This Row],[Sales]]&gt;=50000,"High",IF(AND(SalesData[[#This Row],[Sales]]&gt;= 20000, SalesData[[#This Row],[Sales]]&lt; 50000),"Medium","Low"))</f>
        <v>Medium</v>
      </c>
      <c r="X346" s="19" t="str">
        <f>IF(SalesData[[#This Row],[Profit]]&gt;0,"Profit","Loss")</f>
        <v>Profit</v>
      </c>
      <c r="Y346" s="19" t="str">
        <f>IF(AND(SalesData[[#This Row],[Sales]]&gt;= 50000, SalesData[[#This Row],[Quantity]]&gt;=2),"Yes","No")</f>
        <v>No</v>
      </c>
      <c r="Z346" s="19" t="str">
        <f>UPPER(SalesData[[#This Row],[Customer_Name]])</f>
        <v>POOJA MISHRA</v>
      </c>
      <c r="AA346" s="19" t="str">
        <f>LOWER(SalesData[[#This Row],[Customer_Name]])</f>
        <v>pooja mishra</v>
      </c>
      <c r="AB346" s="19">
        <f>LEN(SalesData[[#This Row],[Customer_Name]])</f>
        <v>12</v>
      </c>
      <c r="AC346" s="19" t="str">
        <f>LEFT(SalesData[[#This Row],[Order_ID]],3)</f>
        <v>ORD</v>
      </c>
      <c r="AD346" s="19" t="str">
        <f>RIGHT(SalesData[[#This Row],[Order_ID]],4)</f>
        <v>0750</v>
      </c>
      <c r="AE346" s="19" t="str">
        <f>_xlfn.CONCAT(SalesData[[#This Row],[Clean_Customer_Name]],"-",SalesData[[#This Row],[Region]])</f>
        <v>Pooja Mishra-Central</v>
      </c>
      <c r="AF346" s="19" t="str">
        <f>MID(SalesData[[#This Row],[Order_ID]],4,4)</f>
        <v>0750</v>
      </c>
      <c r="AG346" s="19" t="e">
        <f ca="1">_xlfn.SINGLE(_xlfn.XLOOKUP(SalesData[[#This Row],[Product]],Product_Master!A:A,Product_Master!B:B,"Not Found"))</f>
        <v>#NAME?</v>
      </c>
      <c r="AH346" s="19" t="str">
        <f>VLOOKUP(SalesData[[#This Row],[Product]],Product_Master!$A$1:$B$21,2,FALSE)</f>
        <v>Karan</v>
      </c>
      <c r="AI346" s="16"/>
    </row>
    <row r="347" spans="1:35" ht="13.8">
      <c r="A347" s="16" t="s">
        <v>952</v>
      </c>
      <c r="B347" s="17">
        <v>45678</v>
      </c>
      <c r="C347" s="16" t="s">
        <v>158</v>
      </c>
      <c r="D347" s="16" t="s">
        <v>159</v>
      </c>
      <c r="E347" s="16" t="s">
        <v>117</v>
      </c>
      <c r="F347" s="16" t="s">
        <v>118</v>
      </c>
      <c r="G347" s="16" t="s">
        <v>51</v>
      </c>
      <c r="H347" s="16" t="s">
        <v>119</v>
      </c>
      <c r="I347" s="16" t="s">
        <v>56</v>
      </c>
      <c r="J347" s="16" t="s">
        <v>91</v>
      </c>
      <c r="K347" s="18">
        <v>42762.92</v>
      </c>
      <c r="L347" s="18">
        <v>21260.2</v>
      </c>
      <c r="M347" s="19">
        <v>5</v>
      </c>
      <c r="N347" s="20">
        <v>0.2</v>
      </c>
      <c r="O347" s="19" t="s">
        <v>34</v>
      </c>
      <c r="P347" s="19" t="s">
        <v>58</v>
      </c>
      <c r="Q347" s="19" t="str">
        <f>TRIM(SalesData[[#This Row],[Customer_Name]])</f>
        <v>Pooja Mishra</v>
      </c>
      <c r="R347" s="21">
        <f>SalesData[[#This Row],[Sales]]-SalesData[[#This Row],[Cost]]</f>
        <v>21502.719999999998</v>
      </c>
      <c r="S347" s="22">
        <f>IFERROR(SalesData[[#This Row],[Profit]]/SalesData[[#This Row],[Sales]],0)</f>
        <v>0.50283563423638977</v>
      </c>
      <c r="T347" s="19">
        <f>YEAR(SalesData[[#This Row],[Order_Date]])</f>
        <v>2025</v>
      </c>
      <c r="U347" s="19" t="str">
        <f>TEXT(SalesData[[#This Row],[Order_Date]],"mmm")</f>
        <v>Jan</v>
      </c>
      <c r="V347" s="19" t="str">
        <f>"Q"&amp;ROUNDUP(MONTH(SalesData[[#This Row],[Order_Date]])/3,0)</f>
        <v>Q1</v>
      </c>
      <c r="W347" s="19" t="str">
        <f>IF(SalesData[[#This Row],[Sales]]&gt;=50000,"High",IF(AND(SalesData[[#This Row],[Sales]]&gt;= 20000, SalesData[[#This Row],[Sales]]&lt; 50000),"Medium","Low"))</f>
        <v>Medium</v>
      </c>
      <c r="X347" s="19" t="str">
        <f>IF(SalesData[[#This Row],[Profit]]&gt;0,"Profit","Loss")</f>
        <v>Profit</v>
      </c>
      <c r="Y347" s="19" t="str">
        <f>IF(AND(SalesData[[#This Row],[Sales]]&gt;= 50000, SalesData[[#This Row],[Quantity]]&gt;=2),"Yes","No")</f>
        <v>No</v>
      </c>
      <c r="Z347" s="19" t="str">
        <f>UPPER(SalesData[[#This Row],[Customer_Name]])</f>
        <v>POOJA MISHRA</v>
      </c>
      <c r="AA347" s="19" t="str">
        <f>LOWER(SalesData[[#This Row],[Customer_Name]])</f>
        <v>pooja mishra</v>
      </c>
      <c r="AB347" s="19">
        <f>LEN(SalesData[[#This Row],[Customer_Name]])</f>
        <v>12</v>
      </c>
      <c r="AC347" s="19" t="str">
        <f>LEFT(SalesData[[#This Row],[Order_ID]],3)</f>
        <v>ORD</v>
      </c>
      <c r="AD347" s="19" t="str">
        <f>RIGHT(SalesData[[#This Row],[Order_ID]],4)</f>
        <v>0799</v>
      </c>
      <c r="AE347" s="19" t="str">
        <f>_xlfn.CONCAT(SalesData[[#This Row],[Clean_Customer_Name]],"-",SalesData[[#This Row],[Region]])</f>
        <v>Pooja Mishra-West</v>
      </c>
      <c r="AF347" s="19" t="str">
        <f>MID(SalesData[[#This Row],[Order_ID]],4,4)</f>
        <v>0799</v>
      </c>
      <c r="AG347" s="19" t="e">
        <f ca="1">_xlfn.SINGLE(_xlfn.XLOOKUP(SalesData[[#This Row],[Product]],Product_Master!A:A,Product_Master!B:B,"Not Found"))</f>
        <v>#NAME?</v>
      </c>
      <c r="AH347" s="19" t="str">
        <f>VLOOKUP(SalesData[[#This Row],[Product]],Product_Master!$A$1:$B$21,2,FALSE)</f>
        <v>Karan</v>
      </c>
      <c r="AI347" s="16"/>
    </row>
    <row r="348" spans="1:35" ht="13.8">
      <c r="A348" s="16" t="s">
        <v>557</v>
      </c>
      <c r="B348" s="17">
        <v>45606</v>
      </c>
      <c r="C348" s="16" t="s">
        <v>158</v>
      </c>
      <c r="D348" s="16" t="s">
        <v>159</v>
      </c>
      <c r="E348" s="16" t="s">
        <v>72</v>
      </c>
      <c r="F348" s="16" t="s">
        <v>73</v>
      </c>
      <c r="G348" s="16" t="s">
        <v>51</v>
      </c>
      <c r="H348" s="16" t="s">
        <v>74</v>
      </c>
      <c r="I348" s="16" t="s">
        <v>42</v>
      </c>
      <c r="J348" s="16" t="s">
        <v>162</v>
      </c>
      <c r="K348" s="18">
        <v>22711.93</v>
      </c>
      <c r="L348" s="18">
        <v>16921.88</v>
      </c>
      <c r="M348" s="19">
        <v>4</v>
      </c>
      <c r="N348" s="20">
        <v>0.1</v>
      </c>
      <c r="O348" s="19" t="s">
        <v>34</v>
      </c>
      <c r="P348" s="19" t="s">
        <v>45</v>
      </c>
      <c r="Q348" s="19" t="str">
        <f>TRIM(SalesData[[#This Row],[Customer_Name]])</f>
        <v>Pooja Mishra</v>
      </c>
      <c r="R348" s="21">
        <f>SalesData[[#This Row],[Sales]]-SalesData[[#This Row],[Cost]]</f>
        <v>5790.0499999999993</v>
      </c>
      <c r="S348" s="22">
        <f>IFERROR(SalesData[[#This Row],[Profit]]/SalesData[[#This Row],[Sales]],0)</f>
        <v>0.25493430104795139</v>
      </c>
      <c r="T348" s="19">
        <f>YEAR(SalesData[[#This Row],[Order_Date]])</f>
        <v>2024</v>
      </c>
      <c r="U348" s="19" t="str">
        <f>TEXT(SalesData[[#This Row],[Order_Date]],"mmm")</f>
        <v>Nov</v>
      </c>
      <c r="V348" s="19" t="str">
        <f>"Q"&amp;ROUNDUP(MONTH(SalesData[[#This Row],[Order_Date]])/3,0)</f>
        <v>Q4</v>
      </c>
      <c r="W348" s="19" t="str">
        <f>IF(SalesData[[#This Row],[Sales]]&gt;=50000,"High",IF(AND(SalesData[[#This Row],[Sales]]&gt;= 20000, SalesData[[#This Row],[Sales]]&lt; 50000),"Medium","Low"))</f>
        <v>Medium</v>
      </c>
      <c r="X348" s="19" t="str">
        <f>IF(SalesData[[#This Row],[Profit]]&gt;0,"Profit","Loss")</f>
        <v>Profit</v>
      </c>
      <c r="Y348" s="19" t="str">
        <f>IF(AND(SalesData[[#This Row],[Sales]]&gt;= 50000, SalesData[[#This Row],[Quantity]]&gt;=2),"Yes","No")</f>
        <v>No</v>
      </c>
      <c r="Z348" s="19" t="str">
        <f>UPPER(SalesData[[#This Row],[Customer_Name]])</f>
        <v>POOJA MISHRA</v>
      </c>
      <c r="AA348" s="19" t="str">
        <f>LOWER(SalesData[[#This Row],[Customer_Name]])</f>
        <v>pooja mishra</v>
      </c>
      <c r="AB348" s="19">
        <f>LEN(SalesData[[#This Row],[Customer_Name]])</f>
        <v>12</v>
      </c>
      <c r="AC348" s="19" t="str">
        <f>LEFT(SalesData[[#This Row],[Order_ID]],3)</f>
        <v>ORD</v>
      </c>
      <c r="AD348" s="19" t="str">
        <f>RIGHT(SalesData[[#This Row],[Order_ID]],4)</f>
        <v>0404</v>
      </c>
      <c r="AE348" s="19" t="str">
        <f>_xlfn.CONCAT(SalesData[[#This Row],[Clean_Customer_Name]],"-",SalesData[[#This Row],[Region]])</f>
        <v>Pooja Mishra-East</v>
      </c>
      <c r="AF348" s="19" t="str">
        <f>MID(SalesData[[#This Row],[Order_ID]],4,4)</f>
        <v>0404</v>
      </c>
      <c r="AG348" s="19" t="e">
        <f ca="1">_xlfn.SINGLE(_xlfn.XLOOKUP(SalesData[[#This Row],[Product]],Product_Master!A:A,Product_Master!B:B,"Not Found"))</f>
        <v>#NAME?</v>
      </c>
      <c r="AH348" s="19" t="str">
        <f>VLOOKUP(SalesData[[#This Row],[Product]],Product_Master!$A$1:$B$21,2,FALSE)</f>
        <v>Anjali</v>
      </c>
      <c r="AI348" s="16"/>
    </row>
    <row r="349" spans="1:35" ht="13.8">
      <c r="A349" s="16" t="s">
        <v>329</v>
      </c>
      <c r="B349" s="17">
        <v>45308</v>
      </c>
      <c r="C349" s="16" t="s">
        <v>158</v>
      </c>
      <c r="D349" s="16" t="s">
        <v>159</v>
      </c>
      <c r="E349" s="16" t="s">
        <v>175</v>
      </c>
      <c r="F349" s="16" t="s">
        <v>176</v>
      </c>
      <c r="G349" s="16" t="s">
        <v>51</v>
      </c>
      <c r="H349" s="16" t="s">
        <v>177</v>
      </c>
      <c r="I349" s="16" t="s">
        <v>42</v>
      </c>
      <c r="J349" s="16" t="s">
        <v>162</v>
      </c>
      <c r="K349" s="18">
        <v>68324.460000000006</v>
      </c>
      <c r="L349" s="18">
        <v>50769.78</v>
      </c>
      <c r="M349" s="19">
        <v>3</v>
      </c>
      <c r="N349" s="20">
        <v>0</v>
      </c>
      <c r="O349" s="19" t="s">
        <v>34</v>
      </c>
      <c r="P349" s="19" t="s">
        <v>77</v>
      </c>
      <c r="Q349" s="19" t="str">
        <f>TRIM(SalesData[[#This Row],[Customer_Name]])</f>
        <v>Pooja Mishra</v>
      </c>
      <c r="R349" s="21">
        <f>SalesData[[#This Row],[Sales]]-SalesData[[#This Row],[Cost]]</f>
        <v>17554.680000000008</v>
      </c>
      <c r="S349" s="22">
        <f>IFERROR(SalesData[[#This Row],[Profit]]/SalesData[[#This Row],[Sales]],0)</f>
        <v>0.25693111954342568</v>
      </c>
      <c r="T349" s="19">
        <f>YEAR(SalesData[[#This Row],[Order_Date]])</f>
        <v>2024</v>
      </c>
      <c r="U349" s="19" t="str">
        <f>TEXT(SalesData[[#This Row],[Order_Date]],"mmm")</f>
        <v>Jan</v>
      </c>
      <c r="V349" s="19" t="str">
        <f>"Q"&amp;ROUNDUP(MONTH(SalesData[[#This Row],[Order_Date]])/3,0)</f>
        <v>Q1</v>
      </c>
      <c r="W349" s="19" t="str">
        <f>IF(SalesData[[#This Row],[Sales]]&gt;=50000,"High",IF(AND(SalesData[[#This Row],[Sales]]&gt;= 20000, SalesData[[#This Row],[Sales]]&lt; 50000),"Medium","Low"))</f>
        <v>High</v>
      </c>
      <c r="X349" s="19" t="str">
        <f>IF(SalesData[[#This Row],[Profit]]&gt;0,"Profit","Loss")</f>
        <v>Profit</v>
      </c>
      <c r="Y349" s="19" t="str">
        <f>IF(AND(SalesData[[#This Row],[Sales]]&gt;= 50000, SalesData[[#This Row],[Quantity]]&gt;=2),"Yes","No")</f>
        <v>Yes</v>
      </c>
      <c r="Z349" s="19" t="str">
        <f>UPPER(SalesData[[#This Row],[Customer_Name]])</f>
        <v>POOJA MISHRA</v>
      </c>
      <c r="AA349" s="19" t="str">
        <f>LOWER(SalesData[[#This Row],[Customer_Name]])</f>
        <v>pooja mishra</v>
      </c>
      <c r="AB349" s="19">
        <f>LEN(SalesData[[#This Row],[Customer_Name]])</f>
        <v>12</v>
      </c>
      <c r="AC349" s="19" t="str">
        <f>LEFT(SalesData[[#This Row],[Order_ID]],3)</f>
        <v>ORD</v>
      </c>
      <c r="AD349" s="19" t="str">
        <f>RIGHT(SalesData[[#This Row],[Order_ID]],4)</f>
        <v>0176</v>
      </c>
      <c r="AE349" s="19" t="str">
        <f>_xlfn.CONCAT(SalesData[[#This Row],[Clean_Customer_Name]],"-",SalesData[[#This Row],[Region]])</f>
        <v>Pooja Mishra-East</v>
      </c>
      <c r="AF349" s="19" t="str">
        <f>MID(SalesData[[#This Row],[Order_ID]],4,4)</f>
        <v>0176</v>
      </c>
      <c r="AG349" s="19" t="e">
        <f ca="1">_xlfn.SINGLE(_xlfn.XLOOKUP(SalesData[[#This Row],[Product]],Product_Master!A:A,Product_Master!B:B,"Not Found"))</f>
        <v>#NAME?</v>
      </c>
      <c r="AH349" s="19" t="str">
        <f>VLOOKUP(SalesData[[#This Row],[Product]],Product_Master!$A$1:$B$21,2,FALSE)</f>
        <v>Arjun</v>
      </c>
      <c r="AI349" s="16"/>
    </row>
    <row r="350" spans="1:35" ht="13.8">
      <c r="A350" s="16" t="s">
        <v>157</v>
      </c>
      <c r="B350" s="17">
        <v>45740</v>
      </c>
      <c r="C350" s="16" t="s">
        <v>158</v>
      </c>
      <c r="D350" s="16" t="s">
        <v>159</v>
      </c>
      <c r="E350" s="16" t="s">
        <v>123</v>
      </c>
      <c r="F350" s="16" t="s">
        <v>124</v>
      </c>
      <c r="G350" s="16" t="s">
        <v>51</v>
      </c>
      <c r="H350" s="16" t="s">
        <v>125</v>
      </c>
      <c r="I350" s="16" t="s">
        <v>23</v>
      </c>
      <c r="J350" s="16" t="s">
        <v>75</v>
      </c>
      <c r="K350" s="18">
        <v>124289.32</v>
      </c>
      <c r="L350" s="18">
        <v>93663.7</v>
      </c>
      <c r="M350" s="19">
        <v>5</v>
      </c>
      <c r="N350" s="20">
        <v>0.2</v>
      </c>
      <c r="O350" s="19" t="s">
        <v>25</v>
      </c>
      <c r="P350" s="19" t="s">
        <v>45</v>
      </c>
      <c r="Q350" s="19" t="str">
        <f>TRIM(SalesData[[#This Row],[Customer_Name]])</f>
        <v>Pooja Mishra</v>
      </c>
      <c r="R350" s="21">
        <f>SalesData[[#This Row],[Sales]]-SalesData[[#This Row],[Cost]]</f>
        <v>30625.62000000001</v>
      </c>
      <c r="S350" s="22">
        <f>IFERROR(SalesData[[#This Row],[Profit]]/SalesData[[#This Row],[Sales]],0)</f>
        <v>0.2464058858798166</v>
      </c>
      <c r="T350" s="19">
        <f>YEAR(SalesData[[#This Row],[Order_Date]])</f>
        <v>2025</v>
      </c>
      <c r="U350" s="19" t="str">
        <f>TEXT(SalesData[[#This Row],[Order_Date]],"mmm")</f>
        <v>Mar</v>
      </c>
      <c r="V350" s="19" t="str">
        <f>"Q"&amp;ROUNDUP(MONTH(SalesData[[#This Row],[Order_Date]])/3,0)</f>
        <v>Q1</v>
      </c>
      <c r="W350" s="19" t="str">
        <f>IF(SalesData[[#This Row],[Sales]]&gt;=50000,"High",IF(AND(SalesData[[#This Row],[Sales]]&gt;= 20000, SalesData[[#This Row],[Sales]]&lt; 50000),"Medium","Low"))</f>
        <v>High</v>
      </c>
      <c r="X350" s="19" t="str">
        <f>IF(SalesData[[#This Row],[Profit]]&gt;0,"Profit","Loss")</f>
        <v>Profit</v>
      </c>
      <c r="Y350" s="19" t="str">
        <f>IF(AND(SalesData[[#This Row],[Sales]]&gt;= 50000, SalesData[[#This Row],[Quantity]]&gt;=2),"Yes","No")</f>
        <v>Yes</v>
      </c>
      <c r="Z350" s="19" t="str">
        <f>UPPER(SalesData[[#This Row],[Customer_Name]])</f>
        <v>POOJA MISHRA</v>
      </c>
      <c r="AA350" s="19" t="str">
        <f>LOWER(SalesData[[#This Row],[Customer_Name]])</f>
        <v>pooja mishra</v>
      </c>
      <c r="AB350" s="19">
        <f>LEN(SalesData[[#This Row],[Customer_Name]])</f>
        <v>12</v>
      </c>
      <c r="AC350" s="19" t="str">
        <f>LEFT(SalesData[[#This Row],[Order_ID]],3)</f>
        <v>ORD</v>
      </c>
      <c r="AD350" s="19" t="str">
        <f>RIGHT(SalesData[[#This Row],[Order_ID]],4)</f>
        <v>0034</v>
      </c>
      <c r="AE350" s="19" t="str">
        <f>_xlfn.CONCAT(SalesData[[#This Row],[Clean_Customer_Name]],"-",SalesData[[#This Row],[Region]])</f>
        <v>Pooja Mishra-North</v>
      </c>
      <c r="AF350" s="19" t="str">
        <f>MID(SalesData[[#This Row],[Order_ID]],4,4)</f>
        <v>0034</v>
      </c>
      <c r="AG350" s="19" t="e">
        <f ca="1">_xlfn.SINGLE(_xlfn.XLOOKUP(SalesData[[#This Row],[Product]],Product_Master!A:A,Product_Master!B:B,"Not Found"))</f>
        <v>#NAME?</v>
      </c>
      <c r="AH350" s="19" t="str">
        <f>VLOOKUP(SalesData[[#This Row],[Product]],Product_Master!$A$1:$B$21,2,FALSE)</f>
        <v>Sneha</v>
      </c>
      <c r="AI350" s="16"/>
    </row>
    <row r="351" spans="1:35" ht="13.8">
      <c r="A351" s="16" t="s">
        <v>471</v>
      </c>
      <c r="B351" s="17">
        <v>45683</v>
      </c>
      <c r="C351" s="16" t="s">
        <v>158</v>
      </c>
      <c r="D351" s="16" t="s">
        <v>159</v>
      </c>
      <c r="E351" s="16" t="s">
        <v>123</v>
      </c>
      <c r="F351" s="16" t="s">
        <v>124</v>
      </c>
      <c r="G351" s="16" t="s">
        <v>51</v>
      </c>
      <c r="H351" s="16" t="s">
        <v>125</v>
      </c>
      <c r="I351" s="16" t="s">
        <v>23</v>
      </c>
      <c r="J351" s="16" t="s">
        <v>75</v>
      </c>
      <c r="K351" s="18">
        <v>64480.26</v>
      </c>
      <c r="L351" s="18">
        <v>37019.339999999997</v>
      </c>
      <c r="M351" s="19">
        <v>2</v>
      </c>
      <c r="N351" s="20">
        <v>0</v>
      </c>
      <c r="O351" s="19" t="s">
        <v>34</v>
      </c>
      <c r="P351" s="19" t="s">
        <v>58</v>
      </c>
      <c r="Q351" s="19" t="str">
        <f>TRIM(SalesData[[#This Row],[Customer_Name]])</f>
        <v>Pooja Mishra</v>
      </c>
      <c r="R351" s="21">
        <f>SalesData[[#This Row],[Sales]]-SalesData[[#This Row],[Cost]]</f>
        <v>27460.920000000006</v>
      </c>
      <c r="S351" s="22">
        <f>IFERROR(SalesData[[#This Row],[Profit]]/SalesData[[#This Row],[Sales]],0)</f>
        <v>0.42588103708018554</v>
      </c>
      <c r="T351" s="19">
        <f>YEAR(SalesData[[#This Row],[Order_Date]])</f>
        <v>2025</v>
      </c>
      <c r="U351" s="19" t="str">
        <f>TEXT(SalesData[[#This Row],[Order_Date]],"mmm")</f>
        <v>Jan</v>
      </c>
      <c r="V351" s="19" t="str">
        <f>"Q"&amp;ROUNDUP(MONTH(SalesData[[#This Row],[Order_Date]])/3,0)</f>
        <v>Q1</v>
      </c>
      <c r="W351" s="19" t="str">
        <f>IF(SalesData[[#This Row],[Sales]]&gt;=50000,"High",IF(AND(SalesData[[#This Row],[Sales]]&gt;= 20000, SalesData[[#This Row],[Sales]]&lt; 50000),"Medium","Low"))</f>
        <v>High</v>
      </c>
      <c r="X351" s="19" t="str">
        <f>IF(SalesData[[#This Row],[Profit]]&gt;0,"Profit","Loss")</f>
        <v>Profit</v>
      </c>
      <c r="Y351" s="19" t="str">
        <f>IF(AND(SalesData[[#This Row],[Sales]]&gt;= 50000, SalesData[[#This Row],[Quantity]]&gt;=2),"Yes","No")</f>
        <v>Yes</v>
      </c>
      <c r="Z351" s="19" t="str">
        <f>UPPER(SalesData[[#This Row],[Customer_Name]])</f>
        <v>POOJA MISHRA</v>
      </c>
      <c r="AA351" s="19" t="str">
        <f>LOWER(SalesData[[#This Row],[Customer_Name]])</f>
        <v>pooja mishra</v>
      </c>
      <c r="AB351" s="19">
        <f>LEN(SalesData[[#This Row],[Customer_Name]])</f>
        <v>12</v>
      </c>
      <c r="AC351" s="19" t="str">
        <f>LEFT(SalesData[[#This Row],[Order_ID]],3)</f>
        <v>ORD</v>
      </c>
      <c r="AD351" s="19" t="str">
        <f>RIGHT(SalesData[[#This Row],[Order_ID]],4)</f>
        <v>0318</v>
      </c>
      <c r="AE351" s="19" t="str">
        <f>_xlfn.CONCAT(SalesData[[#This Row],[Clean_Customer_Name]],"-",SalesData[[#This Row],[Region]])</f>
        <v>Pooja Mishra-North</v>
      </c>
      <c r="AF351" s="19" t="str">
        <f>MID(SalesData[[#This Row],[Order_ID]],4,4)</f>
        <v>0318</v>
      </c>
      <c r="AG351" s="19" t="e">
        <f ca="1">_xlfn.SINGLE(_xlfn.XLOOKUP(SalesData[[#This Row],[Product]],Product_Master!A:A,Product_Master!B:B,"Not Found"))</f>
        <v>#NAME?</v>
      </c>
      <c r="AH351" s="19" t="str">
        <f>VLOOKUP(SalesData[[#This Row],[Product]],Product_Master!$A$1:$B$21,2,FALSE)</f>
        <v>Sneha</v>
      </c>
      <c r="AI351" s="16"/>
    </row>
    <row r="352" spans="1:35" ht="13.8">
      <c r="A352" s="16" t="s">
        <v>1013</v>
      </c>
      <c r="B352" s="17">
        <v>45974</v>
      </c>
      <c r="C352" s="16" t="s">
        <v>158</v>
      </c>
      <c r="D352" s="16" t="s">
        <v>159</v>
      </c>
      <c r="E352" s="16" t="s">
        <v>123</v>
      </c>
      <c r="F352" s="16" t="s">
        <v>124</v>
      </c>
      <c r="G352" s="16" t="s">
        <v>51</v>
      </c>
      <c r="H352" s="16" t="s">
        <v>125</v>
      </c>
      <c r="I352" s="16" t="s">
        <v>84</v>
      </c>
      <c r="J352" s="16" t="s">
        <v>142</v>
      </c>
      <c r="K352" s="18">
        <v>131616.07999999999</v>
      </c>
      <c r="L352" s="18">
        <v>93103.8</v>
      </c>
      <c r="M352" s="19">
        <v>5</v>
      </c>
      <c r="N352" s="20">
        <v>0.2</v>
      </c>
      <c r="O352" s="19" t="s">
        <v>76</v>
      </c>
      <c r="P352" s="19" t="s">
        <v>58</v>
      </c>
      <c r="Q352" s="19" t="str">
        <f>TRIM(SalesData[[#This Row],[Customer_Name]])</f>
        <v>Pooja Mishra</v>
      </c>
      <c r="R352" s="21">
        <f>SalesData[[#This Row],[Sales]]-SalesData[[#This Row],[Cost]]</f>
        <v>38512.279999999984</v>
      </c>
      <c r="S352" s="22">
        <f>IFERROR(SalesData[[#This Row],[Profit]]/SalesData[[#This Row],[Sales]],0)</f>
        <v>0.29261075090520844</v>
      </c>
      <c r="T352" s="19">
        <f>YEAR(SalesData[[#This Row],[Order_Date]])</f>
        <v>2025</v>
      </c>
      <c r="U352" s="19" t="str">
        <f>TEXT(SalesData[[#This Row],[Order_Date]],"mmm")</f>
        <v>Nov</v>
      </c>
      <c r="V352" s="19" t="str">
        <f>"Q"&amp;ROUNDUP(MONTH(SalesData[[#This Row],[Order_Date]])/3,0)</f>
        <v>Q4</v>
      </c>
      <c r="W352" s="19" t="str">
        <f>IF(SalesData[[#This Row],[Sales]]&gt;=50000,"High",IF(AND(SalesData[[#This Row],[Sales]]&gt;= 20000, SalesData[[#This Row],[Sales]]&lt; 50000),"Medium","Low"))</f>
        <v>High</v>
      </c>
      <c r="X352" s="19" t="str">
        <f>IF(SalesData[[#This Row],[Profit]]&gt;0,"Profit","Loss")</f>
        <v>Profit</v>
      </c>
      <c r="Y352" s="19" t="str">
        <f>IF(AND(SalesData[[#This Row],[Sales]]&gt;= 50000, SalesData[[#This Row],[Quantity]]&gt;=2),"Yes","No")</f>
        <v>Yes</v>
      </c>
      <c r="Z352" s="19" t="str">
        <f>UPPER(SalesData[[#This Row],[Customer_Name]])</f>
        <v>POOJA MISHRA</v>
      </c>
      <c r="AA352" s="19" t="str">
        <f>LOWER(SalesData[[#This Row],[Customer_Name]])</f>
        <v>pooja mishra</v>
      </c>
      <c r="AB352" s="19">
        <f>LEN(SalesData[[#This Row],[Customer_Name]])</f>
        <v>12</v>
      </c>
      <c r="AC352" s="19" t="str">
        <f>LEFT(SalesData[[#This Row],[Order_ID]],3)</f>
        <v>ORD</v>
      </c>
      <c r="AD352" s="19" t="str">
        <f>RIGHT(SalesData[[#This Row],[Order_ID]],4)</f>
        <v>0860</v>
      </c>
      <c r="AE352" s="19" t="str">
        <f>_xlfn.CONCAT(SalesData[[#This Row],[Clean_Customer_Name]],"-",SalesData[[#This Row],[Region]])</f>
        <v>Pooja Mishra-South</v>
      </c>
      <c r="AF352" s="19" t="str">
        <f>MID(SalesData[[#This Row],[Order_ID]],4,4)</f>
        <v>0860</v>
      </c>
      <c r="AG352" s="19" t="e">
        <f ca="1">_xlfn.SINGLE(_xlfn.XLOOKUP(SalesData[[#This Row],[Product]],Product_Master!A:A,Product_Master!B:B,"Not Found"))</f>
        <v>#NAME?</v>
      </c>
      <c r="AH352" s="19" t="str">
        <f>VLOOKUP(SalesData[[#This Row],[Product]],Product_Master!$A$1:$B$21,2,FALSE)</f>
        <v>Sneha</v>
      </c>
      <c r="AI352" s="16"/>
    </row>
    <row r="353" spans="1:35" ht="13.8">
      <c r="A353" s="16" t="s">
        <v>1098</v>
      </c>
      <c r="B353" s="17">
        <v>45919</v>
      </c>
      <c r="C353" s="16" t="s">
        <v>158</v>
      </c>
      <c r="D353" s="16" t="s">
        <v>159</v>
      </c>
      <c r="E353" s="16" t="s">
        <v>123</v>
      </c>
      <c r="F353" s="16" t="s">
        <v>124</v>
      </c>
      <c r="G353" s="16" t="s">
        <v>51</v>
      </c>
      <c r="H353" s="16" t="s">
        <v>125</v>
      </c>
      <c r="I353" s="16" t="s">
        <v>56</v>
      </c>
      <c r="J353" s="16" t="s">
        <v>91</v>
      </c>
      <c r="K353" s="18">
        <v>37381.870000000003</v>
      </c>
      <c r="L353" s="18">
        <v>35388.379999999997</v>
      </c>
      <c r="M353" s="19">
        <v>2</v>
      </c>
      <c r="N353" s="20">
        <v>0.2</v>
      </c>
      <c r="O353" s="19" t="s">
        <v>136</v>
      </c>
      <c r="P353" s="19" t="s">
        <v>98</v>
      </c>
      <c r="Q353" s="19" t="str">
        <f>TRIM(SalesData[[#This Row],[Customer_Name]])</f>
        <v>Pooja Mishra</v>
      </c>
      <c r="R353" s="21">
        <f>SalesData[[#This Row],[Sales]]-SalesData[[#This Row],[Cost]]</f>
        <v>1993.4900000000052</v>
      </c>
      <c r="S353" s="22">
        <f>IFERROR(SalesData[[#This Row],[Profit]]/SalesData[[#This Row],[Sales]],0)</f>
        <v>5.3327722770423337E-2</v>
      </c>
      <c r="T353" s="19">
        <f>YEAR(SalesData[[#This Row],[Order_Date]])</f>
        <v>2025</v>
      </c>
      <c r="U353" s="19" t="str">
        <f>TEXT(SalesData[[#This Row],[Order_Date]],"mmm")</f>
        <v>Sept</v>
      </c>
      <c r="V353" s="19" t="str">
        <f>"Q"&amp;ROUNDUP(MONTH(SalesData[[#This Row],[Order_Date]])/3,0)</f>
        <v>Q3</v>
      </c>
      <c r="W353" s="19" t="str">
        <f>IF(SalesData[[#This Row],[Sales]]&gt;=50000,"High",IF(AND(SalesData[[#This Row],[Sales]]&gt;= 20000, SalesData[[#This Row],[Sales]]&lt; 50000),"Medium","Low"))</f>
        <v>Medium</v>
      </c>
      <c r="X353" s="19" t="str">
        <f>IF(SalesData[[#This Row],[Profit]]&gt;0,"Profit","Loss")</f>
        <v>Profit</v>
      </c>
      <c r="Y353" s="19" t="str">
        <f>IF(AND(SalesData[[#This Row],[Sales]]&gt;= 50000, SalesData[[#This Row],[Quantity]]&gt;=2),"Yes","No")</f>
        <v>No</v>
      </c>
      <c r="Z353" s="19" t="str">
        <f>UPPER(SalesData[[#This Row],[Customer_Name]])</f>
        <v>POOJA MISHRA</v>
      </c>
      <c r="AA353" s="19" t="str">
        <f>LOWER(SalesData[[#This Row],[Customer_Name]])</f>
        <v>pooja mishra</v>
      </c>
      <c r="AB353" s="19">
        <f>LEN(SalesData[[#This Row],[Customer_Name]])</f>
        <v>12</v>
      </c>
      <c r="AC353" s="19" t="str">
        <f>LEFT(SalesData[[#This Row],[Order_ID]],3)</f>
        <v>ORD</v>
      </c>
      <c r="AD353" s="19" t="str">
        <f>RIGHT(SalesData[[#This Row],[Order_ID]],4)</f>
        <v>0945</v>
      </c>
      <c r="AE353" s="19" t="str">
        <f>_xlfn.CONCAT(SalesData[[#This Row],[Clean_Customer_Name]],"-",SalesData[[#This Row],[Region]])</f>
        <v>Pooja Mishra-West</v>
      </c>
      <c r="AF353" s="19" t="str">
        <f>MID(SalesData[[#This Row],[Order_ID]],4,4)</f>
        <v>0945</v>
      </c>
      <c r="AG353" s="19" t="e">
        <f ca="1">_xlfn.SINGLE(_xlfn.XLOOKUP(SalesData[[#This Row],[Product]],Product_Master!A:A,Product_Master!B:B,"Not Found"))</f>
        <v>#NAME?</v>
      </c>
      <c r="AH353" s="19" t="str">
        <f>VLOOKUP(SalesData[[#This Row],[Product]],Product_Master!$A$1:$B$21,2,FALSE)</f>
        <v>Sneha</v>
      </c>
      <c r="AI353" s="16"/>
    </row>
    <row r="354" spans="1:35" ht="13.8">
      <c r="A354" s="16" t="s">
        <v>577</v>
      </c>
      <c r="B354" s="17">
        <v>45408</v>
      </c>
      <c r="C354" s="16" t="s">
        <v>158</v>
      </c>
      <c r="D354" s="16" t="s">
        <v>159</v>
      </c>
      <c r="E354" s="16" t="s">
        <v>110</v>
      </c>
      <c r="F354" s="16" t="s">
        <v>111</v>
      </c>
      <c r="G354" s="16" t="s">
        <v>40</v>
      </c>
      <c r="H354" s="16" t="s">
        <v>112</v>
      </c>
      <c r="I354" s="16" t="s">
        <v>23</v>
      </c>
      <c r="J354" s="16" t="s">
        <v>75</v>
      </c>
      <c r="K354" s="18">
        <v>10244.57</v>
      </c>
      <c r="L354" s="18">
        <v>4704.24</v>
      </c>
      <c r="M354" s="19">
        <v>4</v>
      </c>
      <c r="N354" s="20">
        <v>0.15</v>
      </c>
      <c r="O354" s="19" t="s">
        <v>136</v>
      </c>
      <c r="P354" s="19" t="s">
        <v>26</v>
      </c>
      <c r="Q354" s="19" t="str">
        <f>TRIM(SalesData[[#This Row],[Customer_Name]])</f>
        <v>Pooja Mishra</v>
      </c>
      <c r="R354" s="21">
        <f>SalesData[[#This Row],[Sales]]-SalesData[[#This Row],[Cost]]</f>
        <v>5540.33</v>
      </c>
      <c r="S354" s="22">
        <f>IFERROR(SalesData[[#This Row],[Profit]]/SalesData[[#This Row],[Sales]],0)</f>
        <v>0.54080649553861215</v>
      </c>
      <c r="T354" s="19">
        <f>YEAR(SalesData[[#This Row],[Order_Date]])</f>
        <v>2024</v>
      </c>
      <c r="U354" s="19" t="str">
        <f>TEXT(SalesData[[#This Row],[Order_Date]],"mmm")</f>
        <v>Apr</v>
      </c>
      <c r="V354" s="19" t="str">
        <f>"Q"&amp;ROUNDUP(MONTH(SalesData[[#This Row],[Order_Date]])/3,0)</f>
        <v>Q2</v>
      </c>
      <c r="W354" s="19" t="str">
        <f>IF(SalesData[[#This Row],[Sales]]&gt;=50000,"High",IF(AND(SalesData[[#This Row],[Sales]]&gt;= 20000, SalesData[[#This Row],[Sales]]&lt; 50000),"Medium","Low"))</f>
        <v>Low</v>
      </c>
      <c r="X354" s="19" t="str">
        <f>IF(SalesData[[#This Row],[Profit]]&gt;0,"Profit","Loss")</f>
        <v>Profit</v>
      </c>
      <c r="Y354" s="19" t="str">
        <f>IF(AND(SalesData[[#This Row],[Sales]]&gt;= 50000, SalesData[[#This Row],[Quantity]]&gt;=2),"Yes","No")</f>
        <v>No</v>
      </c>
      <c r="Z354" s="19" t="str">
        <f>UPPER(SalesData[[#This Row],[Customer_Name]])</f>
        <v>POOJA MISHRA</v>
      </c>
      <c r="AA354" s="19" t="str">
        <f>LOWER(SalesData[[#This Row],[Customer_Name]])</f>
        <v>pooja mishra</v>
      </c>
      <c r="AB354" s="19">
        <f>LEN(SalesData[[#This Row],[Customer_Name]])</f>
        <v>12</v>
      </c>
      <c r="AC354" s="19" t="str">
        <f>LEFT(SalesData[[#This Row],[Order_ID]],3)</f>
        <v>ORD</v>
      </c>
      <c r="AD354" s="19" t="str">
        <f>RIGHT(SalesData[[#This Row],[Order_ID]],4)</f>
        <v>0424</v>
      </c>
      <c r="AE354" s="19" t="str">
        <f>_xlfn.CONCAT(SalesData[[#This Row],[Clean_Customer_Name]],"-",SalesData[[#This Row],[Region]])</f>
        <v>Pooja Mishra-North</v>
      </c>
      <c r="AF354" s="19" t="str">
        <f>MID(SalesData[[#This Row],[Order_ID]],4,4)</f>
        <v>0424</v>
      </c>
      <c r="AG354" s="19" t="e">
        <f ca="1">_xlfn.SINGLE(_xlfn.XLOOKUP(SalesData[[#This Row],[Product]],Product_Master!A:A,Product_Master!B:B,"Not Found"))</f>
        <v>#NAME?</v>
      </c>
      <c r="AH354" s="19" t="str">
        <f>VLOOKUP(SalesData[[#This Row],[Product]],Product_Master!$A$1:$B$21,2,FALSE)</f>
        <v>Vikas</v>
      </c>
      <c r="AI354" s="16"/>
    </row>
    <row r="355" spans="1:35" ht="13.8">
      <c r="A355" s="16" t="s">
        <v>677</v>
      </c>
      <c r="B355" s="17">
        <v>45814</v>
      </c>
      <c r="C355" s="16" t="s">
        <v>158</v>
      </c>
      <c r="D355" s="16" t="s">
        <v>159</v>
      </c>
      <c r="E355" s="16" t="s">
        <v>110</v>
      </c>
      <c r="F355" s="16" t="s">
        <v>111</v>
      </c>
      <c r="G355" s="16" t="s">
        <v>40</v>
      </c>
      <c r="H355" s="16" t="s">
        <v>112</v>
      </c>
      <c r="I355" s="16" t="s">
        <v>42</v>
      </c>
      <c r="J355" s="16" t="s">
        <v>68</v>
      </c>
      <c r="K355" s="18">
        <v>11911.92</v>
      </c>
      <c r="L355" s="18">
        <v>5063.76</v>
      </c>
      <c r="M355" s="19">
        <v>4</v>
      </c>
      <c r="N355" s="20">
        <v>0</v>
      </c>
      <c r="O355" s="19" t="s">
        <v>136</v>
      </c>
      <c r="P355" s="19" t="s">
        <v>45</v>
      </c>
      <c r="Q355" s="19" t="str">
        <f>TRIM(SalesData[[#This Row],[Customer_Name]])</f>
        <v>Pooja Mishra</v>
      </c>
      <c r="R355" s="21">
        <f>SalesData[[#This Row],[Sales]]-SalesData[[#This Row],[Cost]]</f>
        <v>6848.16</v>
      </c>
      <c r="S355" s="22">
        <f>IFERROR(SalesData[[#This Row],[Profit]]/SalesData[[#This Row],[Sales]],0)</f>
        <v>0.57489976426973988</v>
      </c>
      <c r="T355" s="19">
        <f>YEAR(SalesData[[#This Row],[Order_Date]])</f>
        <v>2025</v>
      </c>
      <c r="U355" s="19" t="str">
        <f>TEXT(SalesData[[#This Row],[Order_Date]],"mmm")</f>
        <v>Jun</v>
      </c>
      <c r="V355" s="19" t="str">
        <f>"Q"&amp;ROUNDUP(MONTH(SalesData[[#This Row],[Order_Date]])/3,0)</f>
        <v>Q2</v>
      </c>
      <c r="W355" s="19" t="str">
        <f>IF(SalesData[[#This Row],[Sales]]&gt;=50000,"High",IF(AND(SalesData[[#This Row],[Sales]]&gt;= 20000, SalesData[[#This Row],[Sales]]&lt; 50000),"Medium","Low"))</f>
        <v>Low</v>
      </c>
      <c r="X355" s="19" t="str">
        <f>IF(SalesData[[#This Row],[Profit]]&gt;0,"Profit","Loss")</f>
        <v>Profit</v>
      </c>
      <c r="Y355" s="19" t="str">
        <f>IF(AND(SalesData[[#This Row],[Sales]]&gt;= 50000, SalesData[[#This Row],[Quantity]]&gt;=2),"Yes","No")</f>
        <v>No</v>
      </c>
      <c r="Z355" s="19" t="str">
        <f>UPPER(SalesData[[#This Row],[Customer_Name]])</f>
        <v>POOJA MISHRA</v>
      </c>
      <c r="AA355" s="19" t="str">
        <f>LOWER(SalesData[[#This Row],[Customer_Name]])</f>
        <v>pooja mishra</v>
      </c>
      <c r="AB355" s="19">
        <f>LEN(SalesData[[#This Row],[Customer_Name]])</f>
        <v>12</v>
      </c>
      <c r="AC355" s="19" t="str">
        <f>LEFT(SalesData[[#This Row],[Order_ID]],3)</f>
        <v>ORD</v>
      </c>
      <c r="AD355" s="19" t="str">
        <f>RIGHT(SalesData[[#This Row],[Order_ID]],4)</f>
        <v>0524</v>
      </c>
      <c r="AE355" s="19" t="str">
        <f>_xlfn.CONCAT(SalesData[[#This Row],[Clean_Customer_Name]],"-",SalesData[[#This Row],[Region]])</f>
        <v>Pooja Mishra-East</v>
      </c>
      <c r="AF355" s="19" t="str">
        <f>MID(SalesData[[#This Row],[Order_ID]],4,4)</f>
        <v>0524</v>
      </c>
      <c r="AG355" s="19" t="e">
        <f ca="1">_xlfn.SINGLE(_xlfn.XLOOKUP(SalesData[[#This Row],[Product]],Product_Master!A:A,Product_Master!B:B,"Not Found"))</f>
        <v>#NAME?</v>
      </c>
      <c r="AH355" s="19" t="str">
        <f>VLOOKUP(SalesData[[#This Row],[Product]],Product_Master!$A$1:$B$21,2,FALSE)</f>
        <v>Vikas</v>
      </c>
      <c r="AI355" s="16"/>
    </row>
    <row r="356" spans="1:35" ht="13.8">
      <c r="A356" s="16" t="s">
        <v>730</v>
      </c>
      <c r="B356" s="17">
        <v>45620</v>
      </c>
      <c r="C356" s="16" t="s">
        <v>158</v>
      </c>
      <c r="D356" s="16" t="s">
        <v>159</v>
      </c>
      <c r="E356" s="16" t="s">
        <v>172</v>
      </c>
      <c r="F356" s="16" t="s">
        <v>173</v>
      </c>
      <c r="G356" s="16" t="s">
        <v>40</v>
      </c>
      <c r="H356" s="16" t="s">
        <v>41</v>
      </c>
      <c r="I356" s="16" t="s">
        <v>84</v>
      </c>
      <c r="J356" s="16" t="s">
        <v>85</v>
      </c>
      <c r="K356" s="18">
        <v>2917.16</v>
      </c>
      <c r="L356" s="18">
        <v>2750.7</v>
      </c>
      <c r="M356" s="19">
        <v>3</v>
      </c>
      <c r="N356" s="20">
        <v>0.1</v>
      </c>
      <c r="O356" s="19" t="s">
        <v>76</v>
      </c>
      <c r="P356" s="19" t="s">
        <v>77</v>
      </c>
      <c r="Q356" s="19" t="str">
        <f>TRIM(SalesData[[#This Row],[Customer_Name]])</f>
        <v>Pooja Mishra</v>
      </c>
      <c r="R356" s="21">
        <f>SalesData[[#This Row],[Sales]]-SalesData[[#This Row],[Cost]]</f>
        <v>166.46000000000004</v>
      </c>
      <c r="S356" s="22">
        <f>IFERROR(SalesData[[#This Row],[Profit]]/SalesData[[#This Row],[Sales]],0)</f>
        <v>5.7062348311371351E-2</v>
      </c>
      <c r="T356" s="19">
        <f>YEAR(SalesData[[#This Row],[Order_Date]])</f>
        <v>2024</v>
      </c>
      <c r="U356" s="19" t="str">
        <f>TEXT(SalesData[[#This Row],[Order_Date]],"mmm")</f>
        <v>Nov</v>
      </c>
      <c r="V356" s="19" t="str">
        <f>"Q"&amp;ROUNDUP(MONTH(SalesData[[#This Row],[Order_Date]])/3,0)</f>
        <v>Q4</v>
      </c>
      <c r="W356" s="19" t="str">
        <f>IF(SalesData[[#This Row],[Sales]]&gt;=50000,"High",IF(AND(SalesData[[#This Row],[Sales]]&gt;= 20000, SalesData[[#This Row],[Sales]]&lt; 50000),"Medium","Low"))</f>
        <v>Low</v>
      </c>
      <c r="X356" s="19" t="str">
        <f>IF(SalesData[[#This Row],[Profit]]&gt;0,"Profit","Loss")</f>
        <v>Profit</v>
      </c>
      <c r="Y356" s="19" t="str">
        <f>IF(AND(SalesData[[#This Row],[Sales]]&gt;= 50000, SalesData[[#This Row],[Quantity]]&gt;=2),"Yes","No")</f>
        <v>No</v>
      </c>
      <c r="Z356" s="19" t="str">
        <f>UPPER(SalesData[[#This Row],[Customer_Name]])</f>
        <v>POOJA MISHRA</v>
      </c>
      <c r="AA356" s="19" t="str">
        <f>LOWER(SalesData[[#This Row],[Customer_Name]])</f>
        <v>pooja mishra</v>
      </c>
      <c r="AB356" s="19">
        <f>LEN(SalesData[[#This Row],[Customer_Name]])</f>
        <v>12</v>
      </c>
      <c r="AC356" s="19" t="str">
        <f>LEFT(SalesData[[#This Row],[Order_ID]],3)</f>
        <v>ORD</v>
      </c>
      <c r="AD356" s="19" t="str">
        <f>RIGHT(SalesData[[#This Row],[Order_ID]],4)</f>
        <v>0577</v>
      </c>
      <c r="AE356" s="19" t="str">
        <f>_xlfn.CONCAT(SalesData[[#This Row],[Clean_Customer_Name]],"-",SalesData[[#This Row],[Region]])</f>
        <v>Pooja Mishra-South</v>
      </c>
      <c r="AF356" s="19" t="str">
        <f>MID(SalesData[[#This Row],[Order_ID]],4,4)</f>
        <v>0577</v>
      </c>
      <c r="AG356" s="19" t="e">
        <f ca="1">_xlfn.SINGLE(_xlfn.XLOOKUP(SalesData[[#This Row],[Product]],Product_Master!A:A,Product_Master!B:B,"Not Found"))</f>
        <v>#NAME?</v>
      </c>
      <c r="AH356" s="19" t="str">
        <f>VLOOKUP(SalesData[[#This Row],[Product]],Product_Master!$A$1:$B$21,2,FALSE)</f>
        <v>Pooja</v>
      </c>
      <c r="AI356" s="16"/>
    </row>
    <row r="357" spans="1:35" ht="13.8">
      <c r="A357" s="16" t="s">
        <v>184</v>
      </c>
      <c r="B357" s="17">
        <v>45972</v>
      </c>
      <c r="C357" s="16" t="s">
        <v>158</v>
      </c>
      <c r="D357" s="16" t="s">
        <v>159</v>
      </c>
      <c r="E357" s="16" t="s">
        <v>132</v>
      </c>
      <c r="F357" s="16" t="s">
        <v>133</v>
      </c>
      <c r="G357" s="16" t="s">
        <v>40</v>
      </c>
      <c r="H357" s="16" t="s">
        <v>41</v>
      </c>
      <c r="I357" s="16" t="s">
        <v>23</v>
      </c>
      <c r="J357" s="16" t="s">
        <v>33</v>
      </c>
      <c r="K357" s="18">
        <v>2741.64</v>
      </c>
      <c r="L357" s="18">
        <v>768.48</v>
      </c>
      <c r="M357" s="19">
        <v>3</v>
      </c>
      <c r="N357" s="20">
        <v>0</v>
      </c>
      <c r="O357" s="19" t="s">
        <v>44</v>
      </c>
      <c r="P357" s="19" t="s">
        <v>45</v>
      </c>
      <c r="Q357" s="19" t="str">
        <f>TRIM(SalesData[[#This Row],[Customer_Name]])</f>
        <v>Pooja Mishra</v>
      </c>
      <c r="R357" s="21">
        <f>SalesData[[#This Row],[Sales]]-SalesData[[#This Row],[Cost]]</f>
        <v>1973.1599999999999</v>
      </c>
      <c r="S357" s="22">
        <f>IFERROR(SalesData[[#This Row],[Profit]]/SalesData[[#This Row],[Sales]],0)</f>
        <v>0.7197006171488598</v>
      </c>
      <c r="T357" s="19">
        <f>YEAR(SalesData[[#This Row],[Order_Date]])</f>
        <v>2025</v>
      </c>
      <c r="U357" s="19" t="str">
        <f>TEXT(SalesData[[#This Row],[Order_Date]],"mmm")</f>
        <v>Nov</v>
      </c>
      <c r="V357" s="19" t="str">
        <f>"Q"&amp;ROUNDUP(MONTH(SalesData[[#This Row],[Order_Date]])/3,0)</f>
        <v>Q4</v>
      </c>
      <c r="W357" s="19" t="str">
        <f>IF(SalesData[[#This Row],[Sales]]&gt;=50000,"High",IF(AND(SalesData[[#This Row],[Sales]]&gt;= 20000, SalesData[[#This Row],[Sales]]&lt; 50000),"Medium","Low"))</f>
        <v>Low</v>
      </c>
      <c r="X357" s="19" t="str">
        <f>IF(SalesData[[#This Row],[Profit]]&gt;0,"Profit","Loss")</f>
        <v>Profit</v>
      </c>
      <c r="Y357" s="19" t="str">
        <f>IF(AND(SalesData[[#This Row],[Sales]]&gt;= 50000, SalesData[[#This Row],[Quantity]]&gt;=2),"Yes","No")</f>
        <v>No</v>
      </c>
      <c r="Z357" s="19" t="str">
        <f>UPPER(SalesData[[#This Row],[Customer_Name]])</f>
        <v>POOJA MISHRA</v>
      </c>
      <c r="AA357" s="19" t="str">
        <f>LOWER(SalesData[[#This Row],[Customer_Name]])</f>
        <v>pooja mishra</v>
      </c>
      <c r="AB357" s="19">
        <f>LEN(SalesData[[#This Row],[Customer_Name]])</f>
        <v>12</v>
      </c>
      <c r="AC357" s="19" t="str">
        <f>LEFT(SalesData[[#This Row],[Order_ID]],3)</f>
        <v>ORD</v>
      </c>
      <c r="AD357" s="19" t="str">
        <f>RIGHT(SalesData[[#This Row],[Order_ID]],4)</f>
        <v>0047</v>
      </c>
      <c r="AE357" s="19" t="str">
        <f>_xlfn.CONCAT(SalesData[[#This Row],[Clean_Customer_Name]],"-",SalesData[[#This Row],[Region]])</f>
        <v>Pooja Mishra-North</v>
      </c>
      <c r="AF357" s="19" t="str">
        <f>MID(SalesData[[#This Row],[Order_ID]],4,4)</f>
        <v>0047</v>
      </c>
      <c r="AG357" s="19" t="e">
        <f ca="1">_xlfn.SINGLE(_xlfn.XLOOKUP(SalesData[[#This Row],[Product]],Product_Master!A:A,Product_Master!B:B,"Not Found"))</f>
        <v>#NAME?</v>
      </c>
      <c r="AH357" s="19" t="str">
        <f>VLOOKUP(SalesData[[#This Row],[Product]],Product_Master!$A$1:$B$21,2,FALSE)</f>
        <v>Kavya</v>
      </c>
      <c r="AI357" s="16"/>
    </row>
    <row r="358" spans="1:35" ht="13.8">
      <c r="A358" s="16" t="s">
        <v>572</v>
      </c>
      <c r="B358" s="17">
        <v>45456</v>
      </c>
      <c r="C358" s="16" t="s">
        <v>158</v>
      </c>
      <c r="D358" s="16" t="s">
        <v>159</v>
      </c>
      <c r="E358" s="16" t="s">
        <v>132</v>
      </c>
      <c r="F358" s="16" t="s">
        <v>133</v>
      </c>
      <c r="G358" s="16" t="s">
        <v>40</v>
      </c>
      <c r="H358" s="16" t="s">
        <v>41</v>
      </c>
      <c r="I358" s="16" t="s">
        <v>84</v>
      </c>
      <c r="J358" s="16" t="s">
        <v>142</v>
      </c>
      <c r="K358" s="18">
        <v>955.23</v>
      </c>
      <c r="L358" s="18">
        <v>252.41</v>
      </c>
      <c r="M358" s="19">
        <v>1</v>
      </c>
      <c r="N358" s="20">
        <v>0.15</v>
      </c>
      <c r="O358" s="19" t="s">
        <v>44</v>
      </c>
      <c r="P358" s="19" t="s">
        <v>58</v>
      </c>
      <c r="Q358" s="19" t="str">
        <f>TRIM(SalesData[[#This Row],[Customer_Name]])</f>
        <v>Pooja Mishra</v>
      </c>
      <c r="R358" s="21">
        <f>SalesData[[#This Row],[Sales]]-SalesData[[#This Row],[Cost]]</f>
        <v>702.82</v>
      </c>
      <c r="S358" s="22">
        <f>IFERROR(SalesData[[#This Row],[Profit]]/SalesData[[#This Row],[Sales]],0)</f>
        <v>0.73575997403766635</v>
      </c>
      <c r="T358" s="19">
        <f>YEAR(SalesData[[#This Row],[Order_Date]])</f>
        <v>2024</v>
      </c>
      <c r="U358" s="19" t="str">
        <f>TEXT(SalesData[[#This Row],[Order_Date]],"mmm")</f>
        <v>Jun</v>
      </c>
      <c r="V358" s="19" t="str">
        <f>"Q"&amp;ROUNDUP(MONTH(SalesData[[#This Row],[Order_Date]])/3,0)</f>
        <v>Q2</v>
      </c>
      <c r="W358" s="19" t="str">
        <f>IF(SalesData[[#This Row],[Sales]]&gt;=50000,"High",IF(AND(SalesData[[#This Row],[Sales]]&gt;= 20000, SalesData[[#This Row],[Sales]]&lt; 50000),"Medium","Low"))</f>
        <v>Low</v>
      </c>
      <c r="X358" s="19" t="str">
        <f>IF(SalesData[[#This Row],[Profit]]&gt;0,"Profit","Loss")</f>
        <v>Profit</v>
      </c>
      <c r="Y358" s="19" t="str">
        <f>IF(AND(SalesData[[#This Row],[Sales]]&gt;= 50000, SalesData[[#This Row],[Quantity]]&gt;=2),"Yes","No")</f>
        <v>No</v>
      </c>
      <c r="Z358" s="19" t="str">
        <f>UPPER(SalesData[[#This Row],[Customer_Name]])</f>
        <v>POOJA MISHRA</v>
      </c>
      <c r="AA358" s="19" t="str">
        <f>LOWER(SalesData[[#This Row],[Customer_Name]])</f>
        <v>pooja mishra</v>
      </c>
      <c r="AB358" s="19">
        <f>LEN(SalesData[[#This Row],[Customer_Name]])</f>
        <v>12</v>
      </c>
      <c r="AC358" s="19" t="str">
        <f>LEFT(SalesData[[#This Row],[Order_ID]],3)</f>
        <v>ORD</v>
      </c>
      <c r="AD358" s="19" t="str">
        <f>RIGHT(SalesData[[#This Row],[Order_ID]],4)</f>
        <v>0419</v>
      </c>
      <c r="AE358" s="19" t="str">
        <f>_xlfn.CONCAT(SalesData[[#This Row],[Clean_Customer_Name]],"-",SalesData[[#This Row],[Region]])</f>
        <v>Pooja Mishra-South</v>
      </c>
      <c r="AF358" s="19" t="str">
        <f>MID(SalesData[[#This Row],[Order_ID]],4,4)</f>
        <v>0419</v>
      </c>
      <c r="AG358" s="19" t="e">
        <f ca="1">_xlfn.SINGLE(_xlfn.XLOOKUP(SalesData[[#This Row],[Product]],Product_Master!A:A,Product_Master!B:B,"Not Found"))</f>
        <v>#NAME?</v>
      </c>
      <c r="AH358" s="19" t="str">
        <f>VLOOKUP(SalesData[[#This Row],[Product]],Product_Master!$A$1:$B$21,2,FALSE)</f>
        <v>Kavya</v>
      </c>
      <c r="AI358" s="16"/>
    </row>
    <row r="359" spans="1:35" ht="13.8">
      <c r="A359" s="16" t="s">
        <v>948</v>
      </c>
      <c r="B359" s="17">
        <v>45852</v>
      </c>
      <c r="C359" s="16" t="s">
        <v>158</v>
      </c>
      <c r="D359" s="16" t="s">
        <v>159</v>
      </c>
      <c r="E359" s="16" t="s">
        <v>132</v>
      </c>
      <c r="F359" s="16" t="s">
        <v>133</v>
      </c>
      <c r="G359" s="16" t="s">
        <v>40</v>
      </c>
      <c r="H359" s="16" t="s">
        <v>41</v>
      </c>
      <c r="I359" s="16" t="s">
        <v>42</v>
      </c>
      <c r="J359" s="16" t="s">
        <v>43</v>
      </c>
      <c r="K359" s="18">
        <v>1119.75</v>
      </c>
      <c r="L359" s="18">
        <v>742.98</v>
      </c>
      <c r="M359" s="19">
        <v>3</v>
      </c>
      <c r="N359" s="20">
        <v>0</v>
      </c>
      <c r="O359" s="19" t="s">
        <v>76</v>
      </c>
      <c r="P359" s="19" t="s">
        <v>98</v>
      </c>
      <c r="Q359" s="19" t="str">
        <f>TRIM(SalesData[[#This Row],[Customer_Name]])</f>
        <v>Pooja Mishra</v>
      </c>
      <c r="R359" s="21">
        <f>SalesData[[#This Row],[Sales]]-SalesData[[#This Row],[Cost]]</f>
        <v>376.77</v>
      </c>
      <c r="S359" s="22">
        <f>IFERROR(SalesData[[#This Row],[Profit]]/SalesData[[#This Row],[Sales]],0)</f>
        <v>0.3364768921634293</v>
      </c>
      <c r="T359" s="19">
        <f>YEAR(SalesData[[#This Row],[Order_Date]])</f>
        <v>2025</v>
      </c>
      <c r="U359" s="19" t="str">
        <f>TEXT(SalesData[[#This Row],[Order_Date]],"mmm")</f>
        <v>Jul</v>
      </c>
      <c r="V359" s="19" t="str">
        <f>"Q"&amp;ROUNDUP(MONTH(SalesData[[#This Row],[Order_Date]])/3,0)</f>
        <v>Q3</v>
      </c>
      <c r="W359" s="19" t="str">
        <f>IF(SalesData[[#This Row],[Sales]]&gt;=50000,"High",IF(AND(SalesData[[#This Row],[Sales]]&gt;= 20000, SalesData[[#This Row],[Sales]]&lt; 50000),"Medium","Low"))</f>
        <v>Low</v>
      </c>
      <c r="X359" s="19" t="str">
        <f>IF(SalesData[[#This Row],[Profit]]&gt;0,"Profit","Loss")</f>
        <v>Profit</v>
      </c>
      <c r="Y359" s="19" t="str">
        <f>IF(AND(SalesData[[#This Row],[Sales]]&gt;= 50000, SalesData[[#This Row],[Quantity]]&gt;=2),"Yes","No")</f>
        <v>No</v>
      </c>
      <c r="Z359" s="19" t="str">
        <f>UPPER(SalesData[[#This Row],[Customer_Name]])</f>
        <v>POOJA MISHRA</v>
      </c>
      <c r="AA359" s="19" t="str">
        <f>LOWER(SalesData[[#This Row],[Customer_Name]])</f>
        <v>pooja mishra</v>
      </c>
      <c r="AB359" s="19">
        <f>LEN(SalesData[[#This Row],[Customer_Name]])</f>
        <v>12</v>
      </c>
      <c r="AC359" s="19" t="str">
        <f>LEFT(SalesData[[#This Row],[Order_ID]],3)</f>
        <v>ORD</v>
      </c>
      <c r="AD359" s="19" t="str">
        <f>RIGHT(SalesData[[#This Row],[Order_ID]],4)</f>
        <v>0795</v>
      </c>
      <c r="AE359" s="19" t="str">
        <f>_xlfn.CONCAT(SalesData[[#This Row],[Clean_Customer_Name]],"-",SalesData[[#This Row],[Region]])</f>
        <v>Pooja Mishra-East</v>
      </c>
      <c r="AF359" s="19" t="str">
        <f>MID(SalesData[[#This Row],[Order_ID]],4,4)</f>
        <v>0795</v>
      </c>
      <c r="AG359" s="19" t="e">
        <f ca="1">_xlfn.SINGLE(_xlfn.XLOOKUP(SalesData[[#This Row],[Product]],Product_Master!A:A,Product_Master!B:B,"Not Found"))</f>
        <v>#NAME?</v>
      </c>
      <c r="AH359" s="19" t="str">
        <f>VLOOKUP(SalesData[[#This Row],[Product]],Product_Master!$A$1:$B$21,2,FALSE)</f>
        <v>Kavya</v>
      </c>
      <c r="AI359" s="16"/>
    </row>
    <row r="360" spans="1:35" ht="13.8">
      <c r="A360" s="16" t="s">
        <v>1148</v>
      </c>
      <c r="B360" s="17">
        <v>45966</v>
      </c>
      <c r="C360" s="16" t="s">
        <v>158</v>
      </c>
      <c r="D360" s="16" t="s">
        <v>159</v>
      </c>
      <c r="E360" s="16" t="s">
        <v>132</v>
      </c>
      <c r="F360" s="16" t="s">
        <v>133</v>
      </c>
      <c r="G360" s="16" t="s">
        <v>40</v>
      </c>
      <c r="H360" s="16" t="s">
        <v>41</v>
      </c>
      <c r="I360" s="16" t="s">
        <v>56</v>
      </c>
      <c r="J360" s="16" t="s">
        <v>191</v>
      </c>
      <c r="K360" s="18">
        <v>569.79</v>
      </c>
      <c r="L360" s="18">
        <v>261.70999999999998</v>
      </c>
      <c r="M360" s="19">
        <v>1</v>
      </c>
      <c r="N360" s="20">
        <v>0.05</v>
      </c>
      <c r="O360" s="19" t="s">
        <v>76</v>
      </c>
      <c r="P360" s="19" t="s">
        <v>58</v>
      </c>
      <c r="Q360" s="19" t="str">
        <f>TRIM(SalesData[[#This Row],[Customer_Name]])</f>
        <v>Pooja Mishra</v>
      </c>
      <c r="R360" s="21">
        <f>SalesData[[#This Row],[Sales]]-SalesData[[#This Row],[Cost]]</f>
        <v>308.08</v>
      </c>
      <c r="S360" s="22">
        <f>IFERROR(SalesData[[#This Row],[Profit]]/SalesData[[#This Row],[Sales]],0)</f>
        <v>0.54069042980747295</v>
      </c>
      <c r="T360" s="19">
        <f>YEAR(SalesData[[#This Row],[Order_Date]])</f>
        <v>2025</v>
      </c>
      <c r="U360" s="19" t="str">
        <f>TEXT(SalesData[[#This Row],[Order_Date]],"mmm")</f>
        <v>Nov</v>
      </c>
      <c r="V360" s="19" t="str">
        <f>"Q"&amp;ROUNDUP(MONTH(SalesData[[#This Row],[Order_Date]])/3,0)</f>
        <v>Q4</v>
      </c>
      <c r="W360" s="19" t="str">
        <f>IF(SalesData[[#This Row],[Sales]]&gt;=50000,"High",IF(AND(SalesData[[#This Row],[Sales]]&gt;= 20000, SalesData[[#This Row],[Sales]]&lt; 50000),"Medium","Low"))</f>
        <v>Low</v>
      </c>
      <c r="X360" s="19" t="str">
        <f>IF(SalesData[[#This Row],[Profit]]&gt;0,"Profit","Loss")</f>
        <v>Profit</v>
      </c>
      <c r="Y360" s="19" t="str">
        <f>IF(AND(SalesData[[#This Row],[Sales]]&gt;= 50000, SalesData[[#This Row],[Quantity]]&gt;=2),"Yes","No")</f>
        <v>No</v>
      </c>
      <c r="Z360" s="19" t="str">
        <f>UPPER(SalesData[[#This Row],[Customer_Name]])</f>
        <v>POOJA MISHRA</v>
      </c>
      <c r="AA360" s="19" t="str">
        <f>LOWER(SalesData[[#This Row],[Customer_Name]])</f>
        <v>pooja mishra</v>
      </c>
      <c r="AB360" s="19">
        <f>LEN(SalesData[[#This Row],[Customer_Name]])</f>
        <v>12</v>
      </c>
      <c r="AC360" s="19" t="str">
        <f>LEFT(SalesData[[#This Row],[Order_ID]],3)</f>
        <v>ORD</v>
      </c>
      <c r="AD360" s="19" t="str">
        <f>RIGHT(SalesData[[#This Row],[Order_ID]],4)</f>
        <v>0995</v>
      </c>
      <c r="AE360" s="19" t="str">
        <f>_xlfn.CONCAT(SalesData[[#This Row],[Clean_Customer_Name]],"-",SalesData[[#This Row],[Region]])</f>
        <v>Pooja Mishra-West</v>
      </c>
      <c r="AF360" s="19" t="str">
        <f>MID(SalesData[[#This Row],[Order_ID]],4,4)</f>
        <v>0995</v>
      </c>
      <c r="AG360" s="19" t="e">
        <f ca="1">_xlfn.SINGLE(_xlfn.XLOOKUP(SalesData[[#This Row],[Product]],Product_Master!A:A,Product_Master!B:B,"Not Found"))</f>
        <v>#NAME?</v>
      </c>
      <c r="AH360" s="19" t="str">
        <f>VLOOKUP(SalesData[[#This Row],[Product]],Product_Master!$A$1:$B$21,2,FALSE)</f>
        <v>Kavya</v>
      </c>
      <c r="AI360" s="16"/>
    </row>
    <row r="361" spans="1:35" ht="13.8">
      <c r="A361" s="16" t="s">
        <v>545</v>
      </c>
      <c r="B361" s="17">
        <v>45698</v>
      </c>
      <c r="C361" s="16" t="s">
        <v>158</v>
      </c>
      <c r="D361" s="16" t="s">
        <v>159</v>
      </c>
      <c r="E361" s="16" t="s">
        <v>38</v>
      </c>
      <c r="F361" s="16" t="s">
        <v>39</v>
      </c>
      <c r="G361" s="16" t="s">
        <v>40</v>
      </c>
      <c r="H361" s="16" t="s">
        <v>41</v>
      </c>
      <c r="I361" s="16" t="s">
        <v>56</v>
      </c>
      <c r="J361" s="16" t="s">
        <v>57</v>
      </c>
      <c r="K361" s="18">
        <v>839.03</v>
      </c>
      <c r="L361" s="18">
        <v>518.12</v>
      </c>
      <c r="M361" s="19">
        <v>1</v>
      </c>
      <c r="N361" s="20">
        <v>0.15</v>
      </c>
      <c r="O361" s="19" t="s">
        <v>34</v>
      </c>
      <c r="P361" s="19" t="s">
        <v>98</v>
      </c>
      <c r="Q361" s="19" t="str">
        <f>TRIM(SalesData[[#This Row],[Customer_Name]])</f>
        <v>Pooja Mishra</v>
      </c>
      <c r="R361" s="21">
        <f>SalesData[[#This Row],[Sales]]-SalesData[[#This Row],[Cost]]</f>
        <v>320.90999999999997</v>
      </c>
      <c r="S361" s="22">
        <f>IFERROR(SalesData[[#This Row],[Profit]]/SalesData[[#This Row],[Sales]],0)</f>
        <v>0.38247738459888203</v>
      </c>
      <c r="T361" s="19">
        <f>YEAR(SalesData[[#This Row],[Order_Date]])</f>
        <v>2025</v>
      </c>
      <c r="U361" s="19" t="str">
        <f>TEXT(SalesData[[#This Row],[Order_Date]],"mmm")</f>
        <v>Feb</v>
      </c>
      <c r="V361" s="19" t="str">
        <f>"Q"&amp;ROUNDUP(MONTH(SalesData[[#This Row],[Order_Date]])/3,0)</f>
        <v>Q1</v>
      </c>
      <c r="W361" s="19" t="str">
        <f>IF(SalesData[[#This Row],[Sales]]&gt;=50000,"High",IF(AND(SalesData[[#This Row],[Sales]]&gt;= 20000, SalesData[[#This Row],[Sales]]&lt; 50000),"Medium","Low"))</f>
        <v>Low</v>
      </c>
      <c r="X361" s="19" t="str">
        <f>IF(SalesData[[#This Row],[Profit]]&gt;0,"Profit","Loss")</f>
        <v>Profit</v>
      </c>
      <c r="Y361" s="19" t="str">
        <f>IF(AND(SalesData[[#This Row],[Sales]]&gt;= 50000, SalesData[[#This Row],[Quantity]]&gt;=2),"Yes","No")</f>
        <v>No</v>
      </c>
      <c r="Z361" s="19" t="str">
        <f>UPPER(SalesData[[#This Row],[Customer_Name]])</f>
        <v>POOJA MISHRA</v>
      </c>
      <c r="AA361" s="19" t="str">
        <f>LOWER(SalesData[[#This Row],[Customer_Name]])</f>
        <v>pooja mishra</v>
      </c>
      <c r="AB361" s="19">
        <f>LEN(SalesData[[#This Row],[Customer_Name]])</f>
        <v>12</v>
      </c>
      <c r="AC361" s="19" t="str">
        <f>LEFT(SalesData[[#This Row],[Order_ID]],3)</f>
        <v>ORD</v>
      </c>
      <c r="AD361" s="19" t="str">
        <f>RIGHT(SalesData[[#This Row],[Order_ID]],4)</f>
        <v>0392</v>
      </c>
      <c r="AE361" s="19" t="str">
        <f>_xlfn.CONCAT(SalesData[[#This Row],[Clean_Customer_Name]],"-",SalesData[[#This Row],[Region]])</f>
        <v>Pooja Mishra-West</v>
      </c>
      <c r="AF361" s="19" t="str">
        <f>MID(SalesData[[#This Row],[Order_ID]],4,4)</f>
        <v>0392</v>
      </c>
      <c r="AG361" s="19" t="e">
        <f ca="1">_xlfn.SINGLE(_xlfn.XLOOKUP(SalesData[[#This Row],[Product]],Product_Master!A:A,Product_Master!B:B,"Not Found"))</f>
        <v>#NAME?</v>
      </c>
      <c r="AH361" s="19" t="str">
        <f>VLOOKUP(SalesData[[#This Row],[Product]],Product_Master!$A$1:$B$21,2,FALSE)</f>
        <v>Manish</v>
      </c>
      <c r="AI361" s="16"/>
    </row>
    <row r="362" spans="1:35" ht="13.8">
      <c r="A362" s="16" t="s">
        <v>600</v>
      </c>
      <c r="B362" s="17">
        <v>45922</v>
      </c>
      <c r="C362" s="16" t="s">
        <v>158</v>
      </c>
      <c r="D362" s="16" t="s">
        <v>159</v>
      </c>
      <c r="E362" s="16" t="s">
        <v>38</v>
      </c>
      <c r="F362" s="16" t="s">
        <v>39</v>
      </c>
      <c r="G362" s="16" t="s">
        <v>40</v>
      </c>
      <c r="H362" s="16" t="s">
        <v>41</v>
      </c>
      <c r="I362" s="16" t="s">
        <v>23</v>
      </c>
      <c r="J362" s="16" t="s">
        <v>33</v>
      </c>
      <c r="K362" s="18">
        <v>7151.44</v>
      </c>
      <c r="L362" s="18">
        <v>2682.4</v>
      </c>
      <c r="M362" s="19">
        <v>5</v>
      </c>
      <c r="N362" s="20">
        <v>0.2</v>
      </c>
      <c r="O362" s="19" t="s">
        <v>136</v>
      </c>
      <c r="P362" s="19" t="s">
        <v>58</v>
      </c>
      <c r="Q362" s="19" t="str">
        <f>TRIM(SalesData[[#This Row],[Customer_Name]])</f>
        <v>Pooja Mishra</v>
      </c>
      <c r="R362" s="21">
        <f>SalesData[[#This Row],[Sales]]-SalesData[[#This Row],[Cost]]</f>
        <v>4469.0399999999991</v>
      </c>
      <c r="S362" s="22">
        <f>IFERROR(SalesData[[#This Row],[Profit]]/SalesData[[#This Row],[Sales]],0)</f>
        <v>0.62491470249348369</v>
      </c>
      <c r="T362" s="19">
        <f>YEAR(SalesData[[#This Row],[Order_Date]])</f>
        <v>2025</v>
      </c>
      <c r="U362" s="19" t="str">
        <f>TEXT(SalesData[[#This Row],[Order_Date]],"mmm")</f>
        <v>Sept</v>
      </c>
      <c r="V362" s="19" t="str">
        <f>"Q"&amp;ROUNDUP(MONTH(SalesData[[#This Row],[Order_Date]])/3,0)</f>
        <v>Q3</v>
      </c>
      <c r="W362" s="19" t="str">
        <f>IF(SalesData[[#This Row],[Sales]]&gt;=50000,"High",IF(AND(SalesData[[#This Row],[Sales]]&gt;= 20000, SalesData[[#This Row],[Sales]]&lt; 50000),"Medium","Low"))</f>
        <v>Low</v>
      </c>
      <c r="X362" s="19" t="str">
        <f>IF(SalesData[[#This Row],[Profit]]&gt;0,"Profit","Loss")</f>
        <v>Profit</v>
      </c>
      <c r="Y362" s="19" t="str">
        <f>IF(AND(SalesData[[#This Row],[Sales]]&gt;= 50000, SalesData[[#This Row],[Quantity]]&gt;=2),"Yes","No")</f>
        <v>No</v>
      </c>
      <c r="Z362" s="19" t="str">
        <f>UPPER(SalesData[[#This Row],[Customer_Name]])</f>
        <v>POOJA MISHRA</v>
      </c>
      <c r="AA362" s="19" t="str">
        <f>LOWER(SalesData[[#This Row],[Customer_Name]])</f>
        <v>pooja mishra</v>
      </c>
      <c r="AB362" s="19">
        <f>LEN(SalesData[[#This Row],[Customer_Name]])</f>
        <v>12</v>
      </c>
      <c r="AC362" s="19" t="str">
        <f>LEFT(SalesData[[#This Row],[Order_ID]],3)</f>
        <v>ORD</v>
      </c>
      <c r="AD362" s="19" t="str">
        <f>RIGHT(SalesData[[#This Row],[Order_ID]],4)</f>
        <v>0447</v>
      </c>
      <c r="AE362" s="19" t="str">
        <f>_xlfn.CONCAT(SalesData[[#This Row],[Clean_Customer_Name]],"-",SalesData[[#This Row],[Region]])</f>
        <v>Pooja Mishra-North</v>
      </c>
      <c r="AF362" s="19" t="str">
        <f>MID(SalesData[[#This Row],[Order_ID]],4,4)</f>
        <v>0447</v>
      </c>
      <c r="AG362" s="19" t="e">
        <f ca="1">_xlfn.SINGLE(_xlfn.XLOOKUP(SalesData[[#This Row],[Product]],Product_Master!A:A,Product_Master!B:B,"Not Found"))</f>
        <v>#NAME?</v>
      </c>
      <c r="AH362" s="19" t="str">
        <f>VLOOKUP(SalesData[[#This Row],[Product]],Product_Master!$A$1:$B$21,2,FALSE)</f>
        <v>Manish</v>
      </c>
      <c r="AI362" s="16"/>
    </row>
    <row r="363" spans="1:35" ht="13.8">
      <c r="A363" s="16" t="s">
        <v>992</v>
      </c>
      <c r="B363" s="17">
        <v>45811</v>
      </c>
      <c r="C363" s="16" t="s">
        <v>158</v>
      </c>
      <c r="D363" s="16" t="s">
        <v>159</v>
      </c>
      <c r="E363" s="16" t="s">
        <v>38</v>
      </c>
      <c r="F363" s="16" t="s">
        <v>39</v>
      </c>
      <c r="G363" s="16" t="s">
        <v>40</v>
      </c>
      <c r="H363" s="16" t="s">
        <v>41</v>
      </c>
      <c r="I363" s="16" t="s">
        <v>84</v>
      </c>
      <c r="J363" s="16" t="s">
        <v>85</v>
      </c>
      <c r="K363" s="18">
        <v>2713.54</v>
      </c>
      <c r="L363" s="18">
        <v>1017.54</v>
      </c>
      <c r="M363" s="19">
        <v>2</v>
      </c>
      <c r="N363" s="20">
        <v>0.2</v>
      </c>
      <c r="O363" s="19" t="s">
        <v>136</v>
      </c>
      <c r="P363" s="19" t="s">
        <v>58</v>
      </c>
      <c r="Q363" s="19" t="str">
        <f>TRIM(SalesData[[#This Row],[Customer_Name]])</f>
        <v>Pooja Mishra</v>
      </c>
      <c r="R363" s="21">
        <f>SalesData[[#This Row],[Sales]]-SalesData[[#This Row],[Cost]]</f>
        <v>1696</v>
      </c>
      <c r="S363" s="22">
        <f>IFERROR(SalesData[[#This Row],[Profit]]/SalesData[[#This Row],[Sales]],0)</f>
        <v>0.62501381958622315</v>
      </c>
      <c r="T363" s="19">
        <f>YEAR(SalesData[[#This Row],[Order_Date]])</f>
        <v>2025</v>
      </c>
      <c r="U363" s="19" t="str">
        <f>TEXT(SalesData[[#This Row],[Order_Date]],"mmm")</f>
        <v>Jun</v>
      </c>
      <c r="V363" s="19" t="str">
        <f>"Q"&amp;ROUNDUP(MONTH(SalesData[[#This Row],[Order_Date]])/3,0)</f>
        <v>Q2</v>
      </c>
      <c r="W363" s="19" t="str">
        <f>IF(SalesData[[#This Row],[Sales]]&gt;=50000,"High",IF(AND(SalesData[[#This Row],[Sales]]&gt;= 20000, SalesData[[#This Row],[Sales]]&lt; 50000),"Medium","Low"))</f>
        <v>Low</v>
      </c>
      <c r="X363" s="19" t="str">
        <f>IF(SalesData[[#This Row],[Profit]]&gt;0,"Profit","Loss")</f>
        <v>Profit</v>
      </c>
      <c r="Y363" s="19" t="str">
        <f>IF(AND(SalesData[[#This Row],[Sales]]&gt;= 50000, SalesData[[#This Row],[Quantity]]&gt;=2),"Yes","No")</f>
        <v>No</v>
      </c>
      <c r="Z363" s="19" t="str">
        <f>UPPER(SalesData[[#This Row],[Customer_Name]])</f>
        <v>POOJA MISHRA</v>
      </c>
      <c r="AA363" s="19" t="str">
        <f>LOWER(SalesData[[#This Row],[Customer_Name]])</f>
        <v>pooja mishra</v>
      </c>
      <c r="AB363" s="19">
        <f>LEN(SalesData[[#This Row],[Customer_Name]])</f>
        <v>12</v>
      </c>
      <c r="AC363" s="19" t="str">
        <f>LEFT(SalesData[[#This Row],[Order_ID]],3)</f>
        <v>ORD</v>
      </c>
      <c r="AD363" s="19" t="str">
        <f>RIGHT(SalesData[[#This Row],[Order_ID]],4)</f>
        <v>0839</v>
      </c>
      <c r="AE363" s="19" t="str">
        <f>_xlfn.CONCAT(SalesData[[#This Row],[Clean_Customer_Name]],"-",SalesData[[#This Row],[Region]])</f>
        <v>Pooja Mishra-South</v>
      </c>
      <c r="AF363" s="19" t="str">
        <f>MID(SalesData[[#This Row],[Order_ID]],4,4)</f>
        <v>0839</v>
      </c>
      <c r="AG363" s="19" t="e">
        <f ca="1">_xlfn.SINGLE(_xlfn.XLOOKUP(SalesData[[#This Row],[Product]],Product_Master!A:A,Product_Master!B:B,"Not Found"))</f>
        <v>#NAME?</v>
      </c>
      <c r="AH363" s="19" t="str">
        <f>VLOOKUP(SalesData[[#This Row],[Product]],Product_Master!$A$1:$B$21,2,FALSE)</f>
        <v>Manish</v>
      </c>
      <c r="AI363" s="16"/>
    </row>
    <row r="364" spans="1:35" ht="13.8">
      <c r="A364" s="16" t="s">
        <v>443</v>
      </c>
      <c r="B364" s="17">
        <v>45740</v>
      </c>
      <c r="C364" s="16" t="s">
        <v>158</v>
      </c>
      <c r="D364" s="16" t="s">
        <v>159</v>
      </c>
      <c r="E364" s="16" t="s">
        <v>87</v>
      </c>
      <c r="F364" s="16" t="s">
        <v>88</v>
      </c>
      <c r="G364" s="16" t="s">
        <v>89</v>
      </c>
      <c r="H364" s="16" t="s">
        <v>90</v>
      </c>
      <c r="I364" s="16" t="s">
        <v>23</v>
      </c>
      <c r="J364" s="16" t="s">
        <v>33</v>
      </c>
      <c r="K364" s="18">
        <v>12248.48</v>
      </c>
      <c r="L364" s="18">
        <v>6939.24</v>
      </c>
      <c r="M364" s="19">
        <v>4</v>
      </c>
      <c r="N364" s="20">
        <v>0</v>
      </c>
      <c r="O364" s="19" t="s">
        <v>25</v>
      </c>
      <c r="P364" s="19" t="s">
        <v>77</v>
      </c>
      <c r="Q364" s="19" t="str">
        <f>TRIM(SalesData[[#This Row],[Customer_Name]])</f>
        <v>Pooja Mishra</v>
      </c>
      <c r="R364" s="21">
        <f>SalesData[[#This Row],[Sales]]-SalesData[[#This Row],[Cost]]</f>
        <v>5309.24</v>
      </c>
      <c r="S364" s="22">
        <f>IFERROR(SalesData[[#This Row],[Profit]]/SalesData[[#This Row],[Sales]],0)</f>
        <v>0.43346113150366411</v>
      </c>
      <c r="T364" s="19">
        <f>YEAR(SalesData[[#This Row],[Order_Date]])</f>
        <v>2025</v>
      </c>
      <c r="U364" s="19" t="str">
        <f>TEXT(SalesData[[#This Row],[Order_Date]],"mmm")</f>
        <v>Mar</v>
      </c>
      <c r="V364" s="19" t="str">
        <f>"Q"&amp;ROUNDUP(MONTH(SalesData[[#This Row],[Order_Date]])/3,0)</f>
        <v>Q1</v>
      </c>
      <c r="W364" s="19" t="str">
        <f>IF(SalesData[[#This Row],[Sales]]&gt;=50000,"High",IF(AND(SalesData[[#This Row],[Sales]]&gt;= 20000, SalesData[[#This Row],[Sales]]&lt; 50000),"Medium","Low"))</f>
        <v>Low</v>
      </c>
      <c r="X364" s="19" t="str">
        <f>IF(SalesData[[#This Row],[Profit]]&gt;0,"Profit","Loss")</f>
        <v>Profit</v>
      </c>
      <c r="Y364" s="19" t="str">
        <f>IF(AND(SalesData[[#This Row],[Sales]]&gt;= 50000, SalesData[[#This Row],[Quantity]]&gt;=2),"Yes","No")</f>
        <v>No</v>
      </c>
      <c r="Z364" s="19" t="str">
        <f>UPPER(SalesData[[#This Row],[Customer_Name]])</f>
        <v>POOJA MISHRA</v>
      </c>
      <c r="AA364" s="19" t="str">
        <f>LOWER(SalesData[[#This Row],[Customer_Name]])</f>
        <v>pooja mishra</v>
      </c>
      <c r="AB364" s="19">
        <f>LEN(SalesData[[#This Row],[Customer_Name]])</f>
        <v>12</v>
      </c>
      <c r="AC364" s="19" t="str">
        <f>LEFT(SalesData[[#This Row],[Order_ID]],3)</f>
        <v>ORD</v>
      </c>
      <c r="AD364" s="19" t="str">
        <f>RIGHT(SalesData[[#This Row],[Order_ID]],4)</f>
        <v>0290</v>
      </c>
      <c r="AE364" s="19" t="str">
        <f>_xlfn.CONCAT(SalesData[[#This Row],[Clean_Customer_Name]],"-",SalesData[[#This Row],[Region]])</f>
        <v>Pooja Mishra-North</v>
      </c>
      <c r="AF364" s="19" t="str">
        <f>MID(SalesData[[#This Row],[Order_ID]],4,4)</f>
        <v>0290</v>
      </c>
      <c r="AG364" s="19" t="e">
        <f ca="1">_xlfn.SINGLE(_xlfn.XLOOKUP(SalesData[[#This Row],[Product]],Product_Master!A:A,Product_Master!B:B,"Not Found"))</f>
        <v>#NAME?</v>
      </c>
      <c r="AH364" s="19" t="str">
        <f>VLOOKUP(SalesData[[#This Row],[Product]],Product_Master!$A$1:$B$21,2,FALSE)</f>
        <v>Rahul</v>
      </c>
      <c r="AI364" s="16"/>
    </row>
    <row r="365" spans="1:35" ht="13.8">
      <c r="A365" s="16" t="s">
        <v>686</v>
      </c>
      <c r="B365" s="17">
        <v>45524</v>
      </c>
      <c r="C365" s="16" t="s">
        <v>158</v>
      </c>
      <c r="D365" s="16" t="s">
        <v>159</v>
      </c>
      <c r="E365" s="16" t="s">
        <v>87</v>
      </c>
      <c r="F365" s="16" t="s">
        <v>88</v>
      </c>
      <c r="G365" s="16" t="s">
        <v>89</v>
      </c>
      <c r="H365" s="16" t="s">
        <v>90</v>
      </c>
      <c r="I365" s="16" t="s">
        <v>56</v>
      </c>
      <c r="J365" s="16" t="s">
        <v>57</v>
      </c>
      <c r="K365" s="18">
        <v>2961.35</v>
      </c>
      <c r="L365" s="18">
        <v>1779.07</v>
      </c>
      <c r="M365" s="19">
        <v>1</v>
      </c>
      <c r="N365" s="20">
        <v>0.1</v>
      </c>
      <c r="O365" s="19" t="s">
        <v>76</v>
      </c>
      <c r="P365" s="19" t="s">
        <v>45</v>
      </c>
      <c r="Q365" s="19" t="str">
        <f>TRIM(SalesData[[#This Row],[Customer_Name]])</f>
        <v>Pooja Mishra</v>
      </c>
      <c r="R365" s="21">
        <f>SalesData[[#This Row],[Sales]]-SalesData[[#This Row],[Cost]]</f>
        <v>1182.28</v>
      </c>
      <c r="S365" s="22">
        <f>IFERROR(SalesData[[#This Row],[Profit]]/SalesData[[#This Row],[Sales]],0)</f>
        <v>0.39923683455180914</v>
      </c>
      <c r="T365" s="19">
        <f>YEAR(SalesData[[#This Row],[Order_Date]])</f>
        <v>2024</v>
      </c>
      <c r="U365" s="19" t="str">
        <f>TEXT(SalesData[[#This Row],[Order_Date]],"mmm")</f>
        <v>Aug</v>
      </c>
      <c r="V365" s="19" t="str">
        <f>"Q"&amp;ROUNDUP(MONTH(SalesData[[#This Row],[Order_Date]])/3,0)</f>
        <v>Q3</v>
      </c>
      <c r="W365" s="19" t="str">
        <f>IF(SalesData[[#This Row],[Sales]]&gt;=50000,"High",IF(AND(SalesData[[#This Row],[Sales]]&gt;= 20000, SalesData[[#This Row],[Sales]]&lt; 50000),"Medium","Low"))</f>
        <v>Low</v>
      </c>
      <c r="X365" s="19" t="str">
        <f>IF(SalesData[[#This Row],[Profit]]&gt;0,"Profit","Loss")</f>
        <v>Profit</v>
      </c>
      <c r="Y365" s="19" t="str">
        <f>IF(AND(SalesData[[#This Row],[Sales]]&gt;= 50000, SalesData[[#This Row],[Quantity]]&gt;=2),"Yes","No")</f>
        <v>No</v>
      </c>
      <c r="Z365" s="19" t="str">
        <f>UPPER(SalesData[[#This Row],[Customer_Name]])</f>
        <v>POOJA MISHRA</v>
      </c>
      <c r="AA365" s="19" t="str">
        <f>LOWER(SalesData[[#This Row],[Customer_Name]])</f>
        <v>pooja mishra</v>
      </c>
      <c r="AB365" s="19">
        <f>LEN(SalesData[[#This Row],[Customer_Name]])</f>
        <v>12</v>
      </c>
      <c r="AC365" s="19" t="str">
        <f>LEFT(SalesData[[#This Row],[Order_ID]],3)</f>
        <v>ORD</v>
      </c>
      <c r="AD365" s="19" t="str">
        <f>RIGHT(SalesData[[#This Row],[Order_ID]],4)</f>
        <v>0533</v>
      </c>
      <c r="AE365" s="19" t="str">
        <f>_xlfn.CONCAT(SalesData[[#This Row],[Clean_Customer_Name]],"-",SalesData[[#This Row],[Region]])</f>
        <v>Pooja Mishra-West</v>
      </c>
      <c r="AF365" s="19" t="str">
        <f>MID(SalesData[[#This Row],[Order_ID]],4,4)</f>
        <v>0533</v>
      </c>
      <c r="AG365" s="19" t="e">
        <f ca="1">_xlfn.SINGLE(_xlfn.XLOOKUP(SalesData[[#This Row],[Product]],Product_Master!A:A,Product_Master!B:B,"Not Found"))</f>
        <v>#NAME?</v>
      </c>
      <c r="AH365" s="19" t="str">
        <f>VLOOKUP(SalesData[[#This Row],[Product]],Product_Master!$A$1:$B$21,2,FALSE)</f>
        <v>Rahul</v>
      </c>
      <c r="AI365" s="16"/>
    </row>
    <row r="366" spans="1:35" ht="13.8">
      <c r="A366" s="16" t="s">
        <v>896</v>
      </c>
      <c r="B366" s="17">
        <v>45640</v>
      </c>
      <c r="C366" s="16" t="s">
        <v>158</v>
      </c>
      <c r="D366" s="16" t="s">
        <v>159</v>
      </c>
      <c r="E366" s="16" t="s">
        <v>87</v>
      </c>
      <c r="F366" s="16" t="s">
        <v>88</v>
      </c>
      <c r="G366" s="16" t="s">
        <v>89</v>
      </c>
      <c r="H366" s="16" t="s">
        <v>90</v>
      </c>
      <c r="I366" s="16" t="s">
        <v>56</v>
      </c>
      <c r="J366" s="16" t="s">
        <v>91</v>
      </c>
      <c r="K366" s="18">
        <v>4853.49</v>
      </c>
      <c r="L366" s="18">
        <v>3313.74</v>
      </c>
      <c r="M366" s="19">
        <v>2</v>
      </c>
      <c r="N366" s="20">
        <v>0.05</v>
      </c>
      <c r="O366" s="19" t="s">
        <v>76</v>
      </c>
      <c r="P366" s="19" t="s">
        <v>58</v>
      </c>
      <c r="Q366" s="19" t="str">
        <f>TRIM(SalesData[[#This Row],[Customer_Name]])</f>
        <v>Pooja Mishra</v>
      </c>
      <c r="R366" s="21">
        <f>SalesData[[#This Row],[Sales]]-SalesData[[#This Row],[Cost]]</f>
        <v>1539.75</v>
      </c>
      <c r="S366" s="22">
        <f>IFERROR(SalesData[[#This Row],[Profit]]/SalesData[[#This Row],[Sales]],0)</f>
        <v>0.317245940549996</v>
      </c>
      <c r="T366" s="19">
        <f>YEAR(SalesData[[#This Row],[Order_Date]])</f>
        <v>2024</v>
      </c>
      <c r="U366" s="19" t="str">
        <f>TEXT(SalesData[[#This Row],[Order_Date]],"mmm")</f>
        <v>Dec</v>
      </c>
      <c r="V366" s="19" t="str">
        <f>"Q"&amp;ROUNDUP(MONTH(SalesData[[#This Row],[Order_Date]])/3,0)</f>
        <v>Q4</v>
      </c>
      <c r="W366" s="19" t="str">
        <f>IF(SalesData[[#This Row],[Sales]]&gt;=50000,"High",IF(AND(SalesData[[#This Row],[Sales]]&gt;= 20000, SalesData[[#This Row],[Sales]]&lt; 50000),"Medium","Low"))</f>
        <v>Low</v>
      </c>
      <c r="X366" s="19" t="str">
        <f>IF(SalesData[[#This Row],[Profit]]&gt;0,"Profit","Loss")</f>
        <v>Profit</v>
      </c>
      <c r="Y366" s="19" t="str">
        <f>IF(AND(SalesData[[#This Row],[Sales]]&gt;= 50000, SalesData[[#This Row],[Quantity]]&gt;=2),"Yes","No")</f>
        <v>No</v>
      </c>
      <c r="Z366" s="19" t="str">
        <f>UPPER(SalesData[[#This Row],[Customer_Name]])</f>
        <v>POOJA MISHRA</v>
      </c>
      <c r="AA366" s="19" t="str">
        <f>LOWER(SalesData[[#This Row],[Customer_Name]])</f>
        <v>pooja mishra</v>
      </c>
      <c r="AB366" s="19">
        <f>LEN(SalesData[[#This Row],[Customer_Name]])</f>
        <v>12</v>
      </c>
      <c r="AC366" s="19" t="str">
        <f>LEFT(SalesData[[#This Row],[Order_ID]],3)</f>
        <v>ORD</v>
      </c>
      <c r="AD366" s="19" t="str">
        <f>RIGHT(SalesData[[#This Row],[Order_ID]],4)</f>
        <v>0743</v>
      </c>
      <c r="AE366" s="19" t="str">
        <f>_xlfn.CONCAT(SalesData[[#This Row],[Clean_Customer_Name]],"-",SalesData[[#This Row],[Region]])</f>
        <v>Pooja Mishra-West</v>
      </c>
      <c r="AF366" s="19" t="str">
        <f>MID(SalesData[[#This Row],[Order_ID]],4,4)</f>
        <v>0743</v>
      </c>
      <c r="AG366" s="19" t="e">
        <f ca="1">_xlfn.SINGLE(_xlfn.XLOOKUP(SalesData[[#This Row],[Product]],Product_Master!A:A,Product_Master!B:B,"Not Found"))</f>
        <v>#NAME?</v>
      </c>
      <c r="AH366" s="19" t="str">
        <f>VLOOKUP(SalesData[[#This Row],[Product]],Product_Master!$A$1:$B$21,2,FALSE)</f>
        <v>Rahul</v>
      </c>
      <c r="AI366" s="16"/>
    </row>
    <row r="367" spans="1:35" ht="13.8">
      <c r="A367" s="16" t="s">
        <v>943</v>
      </c>
      <c r="B367" s="17">
        <v>45668</v>
      </c>
      <c r="C367" s="16" t="s">
        <v>158</v>
      </c>
      <c r="D367" s="16" t="s">
        <v>159</v>
      </c>
      <c r="E367" s="16" t="s">
        <v>87</v>
      </c>
      <c r="F367" s="16" t="s">
        <v>88</v>
      </c>
      <c r="G367" s="16" t="s">
        <v>89</v>
      </c>
      <c r="H367" s="16" t="s">
        <v>90</v>
      </c>
      <c r="I367" s="16" t="s">
        <v>42</v>
      </c>
      <c r="J367" s="16" t="s">
        <v>162</v>
      </c>
      <c r="K367" s="18">
        <v>12922.44</v>
      </c>
      <c r="L367" s="18">
        <v>4882.7700000000004</v>
      </c>
      <c r="M367" s="19">
        <v>3</v>
      </c>
      <c r="N367" s="20">
        <v>0.2</v>
      </c>
      <c r="O367" s="19" t="s">
        <v>25</v>
      </c>
      <c r="P367" s="19" t="s">
        <v>58</v>
      </c>
      <c r="Q367" s="19" t="str">
        <f>TRIM(SalesData[[#This Row],[Customer_Name]])</f>
        <v>Pooja Mishra</v>
      </c>
      <c r="R367" s="21">
        <f>SalesData[[#This Row],[Sales]]-SalesData[[#This Row],[Cost]]</f>
        <v>8039.67</v>
      </c>
      <c r="S367" s="22">
        <f>IFERROR(SalesData[[#This Row],[Profit]]/SalesData[[#This Row],[Sales]],0)</f>
        <v>0.62214798443637576</v>
      </c>
      <c r="T367" s="19">
        <f>YEAR(SalesData[[#This Row],[Order_Date]])</f>
        <v>2025</v>
      </c>
      <c r="U367" s="19" t="str">
        <f>TEXT(SalesData[[#This Row],[Order_Date]],"mmm")</f>
        <v>Jan</v>
      </c>
      <c r="V367" s="19" t="str">
        <f>"Q"&amp;ROUNDUP(MONTH(SalesData[[#This Row],[Order_Date]])/3,0)</f>
        <v>Q1</v>
      </c>
      <c r="W367" s="19" t="str">
        <f>IF(SalesData[[#This Row],[Sales]]&gt;=50000,"High",IF(AND(SalesData[[#This Row],[Sales]]&gt;= 20000, SalesData[[#This Row],[Sales]]&lt; 50000),"Medium","Low"))</f>
        <v>Low</v>
      </c>
      <c r="X367" s="19" t="str">
        <f>IF(SalesData[[#This Row],[Profit]]&gt;0,"Profit","Loss")</f>
        <v>Profit</v>
      </c>
      <c r="Y367" s="19" t="str">
        <f>IF(AND(SalesData[[#This Row],[Sales]]&gt;= 50000, SalesData[[#This Row],[Quantity]]&gt;=2),"Yes","No")</f>
        <v>No</v>
      </c>
      <c r="Z367" s="19" t="str">
        <f>UPPER(SalesData[[#This Row],[Customer_Name]])</f>
        <v>POOJA MISHRA</v>
      </c>
      <c r="AA367" s="19" t="str">
        <f>LOWER(SalesData[[#This Row],[Customer_Name]])</f>
        <v>pooja mishra</v>
      </c>
      <c r="AB367" s="19">
        <f>LEN(SalesData[[#This Row],[Customer_Name]])</f>
        <v>12</v>
      </c>
      <c r="AC367" s="19" t="str">
        <f>LEFT(SalesData[[#This Row],[Order_ID]],3)</f>
        <v>ORD</v>
      </c>
      <c r="AD367" s="19" t="str">
        <f>RIGHT(SalesData[[#This Row],[Order_ID]],4)</f>
        <v>0790</v>
      </c>
      <c r="AE367" s="19" t="str">
        <f>_xlfn.CONCAT(SalesData[[#This Row],[Clean_Customer_Name]],"-",SalesData[[#This Row],[Region]])</f>
        <v>Pooja Mishra-East</v>
      </c>
      <c r="AF367" s="19" t="str">
        <f>MID(SalesData[[#This Row],[Order_ID]],4,4)</f>
        <v>0790</v>
      </c>
      <c r="AG367" s="19" t="e">
        <f ca="1">_xlfn.SINGLE(_xlfn.XLOOKUP(SalesData[[#This Row],[Product]],Product_Master!A:A,Product_Master!B:B,"Not Found"))</f>
        <v>#NAME?</v>
      </c>
      <c r="AH367" s="19" t="str">
        <f>VLOOKUP(SalesData[[#This Row],[Product]],Product_Master!$A$1:$B$21,2,FALSE)</f>
        <v>Rahul</v>
      </c>
      <c r="AI367" s="16"/>
    </row>
    <row r="368" spans="1:35" ht="13.8">
      <c r="A368" s="16" t="s">
        <v>662</v>
      </c>
      <c r="B368" s="17">
        <v>45301</v>
      </c>
      <c r="C368" s="16" t="s">
        <v>158</v>
      </c>
      <c r="D368" s="16" t="s">
        <v>159</v>
      </c>
      <c r="E368" s="16" t="s">
        <v>182</v>
      </c>
      <c r="F368" s="16" t="s">
        <v>183</v>
      </c>
      <c r="G368" s="16" t="s">
        <v>89</v>
      </c>
      <c r="H368" s="16" t="s">
        <v>90</v>
      </c>
      <c r="I368" s="16" t="s">
        <v>56</v>
      </c>
      <c r="J368" s="16" t="s">
        <v>57</v>
      </c>
      <c r="K368" s="18">
        <v>19972.2</v>
      </c>
      <c r="L368" s="18">
        <v>17093.73</v>
      </c>
      <c r="M368" s="19">
        <v>3</v>
      </c>
      <c r="N368" s="20">
        <v>0.1</v>
      </c>
      <c r="O368" s="19" t="s">
        <v>25</v>
      </c>
      <c r="P368" s="19" t="s">
        <v>58</v>
      </c>
      <c r="Q368" s="19" t="str">
        <f>TRIM(SalesData[[#This Row],[Customer_Name]])</f>
        <v>Pooja Mishra</v>
      </c>
      <c r="R368" s="21">
        <f>SalesData[[#This Row],[Sales]]-SalesData[[#This Row],[Cost]]</f>
        <v>2878.4700000000012</v>
      </c>
      <c r="S368" s="22">
        <f>IFERROR(SalesData[[#This Row],[Profit]]/SalesData[[#This Row],[Sales]],0)</f>
        <v>0.14412383212665611</v>
      </c>
      <c r="T368" s="19">
        <f>YEAR(SalesData[[#This Row],[Order_Date]])</f>
        <v>2024</v>
      </c>
      <c r="U368" s="19" t="str">
        <f>TEXT(SalesData[[#This Row],[Order_Date]],"mmm")</f>
        <v>Jan</v>
      </c>
      <c r="V368" s="19" t="str">
        <f>"Q"&amp;ROUNDUP(MONTH(SalesData[[#This Row],[Order_Date]])/3,0)</f>
        <v>Q1</v>
      </c>
      <c r="W368" s="19" t="str">
        <f>IF(SalesData[[#This Row],[Sales]]&gt;=50000,"High",IF(AND(SalesData[[#This Row],[Sales]]&gt;= 20000, SalesData[[#This Row],[Sales]]&lt; 50000),"Medium","Low"))</f>
        <v>Low</v>
      </c>
      <c r="X368" s="19" t="str">
        <f>IF(SalesData[[#This Row],[Profit]]&gt;0,"Profit","Loss")</f>
        <v>Profit</v>
      </c>
      <c r="Y368" s="19" t="str">
        <f>IF(AND(SalesData[[#This Row],[Sales]]&gt;= 50000, SalesData[[#This Row],[Quantity]]&gt;=2),"Yes","No")</f>
        <v>No</v>
      </c>
      <c r="Z368" s="19" t="str">
        <f>UPPER(SalesData[[#This Row],[Customer_Name]])</f>
        <v>POOJA MISHRA</v>
      </c>
      <c r="AA368" s="19" t="str">
        <f>LOWER(SalesData[[#This Row],[Customer_Name]])</f>
        <v>pooja mishra</v>
      </c>
      <c r="AB368" s="19">
        <f>LEN(SalesData[[#This Row],[Customer_Name]])</f>
        <v>12</v>
      </c>
      <c r="AC368" s="19" t="str">
        <f>LEFT(SalesData[[#This Row],[Order_ID]],3)</f>
        <v>ORD</v>
      </c>
      <c r="AD368" s="19" t="str">
        <f>RIGHT(SalesData[[#This Row],[Order_ID]],4)</f>
        <v>0509</v>
      </c>
      <c r="AE368" s="19" t="str">
        <f>_xlfn.CONCAT(SalesData[[#This Row],[Clean_Customer_Name]],"-",SalesData[[#This Row],[Region]])</f>
        <v>Pooja Mishra-West</v>
      </c>
      <c r="AF368" s="19" t="str">
        <f>MID(SalesData[[#This Row],[Order_ID]],4,4)</f>
        <v>0509</v>
      </c>
      <c r="AG368" s="19" t="e">
        <f ca="1">_xlfn.SINGLE(_xlfn.XLOOKUP(SalesData[[#This Row],[Product]],Product_Master!A:A,Product_Master!B:B,"Not Found"))</f>
        <v>#NAME?</v>
      </c>
      <c r="AH368" s="19" t="str">
        <f>VLOOKUP(SalesData[[#This Row],[Product]],Product_Master!$A$1:$B$21,2,FALSE)</f>
        <v>Priya</v>
      </c>
      <c r="AI368" s="16"/>
    </row>
    <row r="369" spans="1:35" ht="13.8">
      <c r="A369" s="16" t="s">
        <v>218</v>
      </c>
      <c r="B369" s="17">
        <v>45969</v>
      </c>
      <c r="C369" s="16" t="s">
        <v>158</v>
      </c>
      <c r="D369" s="16" t="s">
        <v>159</v>
      </c>
      <c r="E369" s="16" t="s">
        <v>187</v>
      </c>
      <c r="F369" s="16" t="s">
        <v>188</v>
      </c>
      <c r="G369" s="16" t="s">
        <v>89</v>
      </c>
      <c r="H369" s="16" t="s">
        <v>189</v>
      </c>
      <c r="I369" s="16" t="s">
        <v>56</v>
      </c>
      <c r="J369" s="16" t="s">
        <v>91</v>
      </c>
      <c r="K369" s="18">
        <v>31767.599999999999</v>
      </c>
      <c r="L369" s="18">
        <v>15077.55</v>
      </c>
      <c r="M369" s="19">
        <v>3</v>
      </c>
      <c r="N369" s="20">
        <v>0</v>
      </c>
      <c r="O369" s="19" t="s">
        <v>136</v>
      </c>
      <c r="P369" s="19" t="s">
        <v>98</v>
      </c>
      <c r="Q369" s="19" t="str">
        <f>TRIM(SalesData[[#This Row],[Customer_Name]])</f>
        <v>Pooja Mishra</v>
      </c>
      <c r="R369" s="21">
        <f>SalesData[[#This Row],[Sales]]-SalesData[[#This Row],[Cost]]</f>
        <v>16690.05</v>
      </c>
      <c r="S369" s="22">
        <f>IFERROR(SalesData[[#This Row],[Profit]]/SalesData[[#This Row],[Sales]],0)</f>
        <v>0.52537963207796623</v>
      </c>
      <c r="T369" s="19">
        <f>YEAR(SalesData[[#This Row],[Order_Date]])</f>
        <v>2025</v>
      </c>
      <c r="U369" s="19" t="str">
        <f>TEXT(SalesData[[#This Row],[Order_Date]],"mmm")</f>
        <v>Nov</v>
      </c>
      <c r="V369" s="19" t="str">
        <f>"Q"&amp;ROUNDUP(MONTH(SalesData[[#This Row],[Order_Date]])/3,0)</f>
        <v>Q4</v>
      </c>
      <c r="W369" s="19" t="str">
        <f>IF(SalesData[[#This Row],[Sales]]&gt;=50000,"High",IF(AND(SalesData[[#This Row],[Sales]]&gt;= 20000, SalesData[[#This Row],[Sales]]&lt; 50000),"Medium","Low"))</f>
        <v>Medium</v>
      </c>
      <c r="X369" s="19" t="str">
        <f>IF(SalesData[[#This Row],[Profit]]&gt;0,"Profit","Loss")</f>
        <v>Profit</v>
      </c>
      <c r="Y369" s="19" t="str">
        <f>IF(AND(SalesData[[#This Row],[Sales]]&gt;= 50000, SalesData[[#This Row],[Quantity]]&gt;=2),"Yes","No")</f>
        <v>No</v>
      </c>
      <c r="Z369" s="19" t="str">
        <f>UPPER(SalesData[[#This Row],[Customer_Name]])</f>
        <v>POOJA MISHRA</v>
      </c>
      <c r="AA369" s="19" t="str">
        <f>LOWER(SalesData[[#This Row],[Customer_Name]])</f>
        <v>pooja mishra</v>
      </c>
      <c r="AB369" s="19">
        <f>LEN(SalesData[[#This Row],[Customer_Name]])</f>
        <v>12</v>
      </c>
      <c r="AC369" s="19" t="str">
        <f>LEFT(SalesData[[#This Row],[Order_ID]],3)</f>
        <v>ORD</v>
      </c>
      <c r="AD369" s="19" t="str">
        <f>RIGHT(SalesData[[#This Row],[Order_ID]],4)</f>
        <v>0069</v>
      </c>
      <c r="AE369" s="19" t="str">
        <f>_xlfn.CONCAT(SalesData[[#This Row],[Clean_Customer_Name]],"-",SalesData[[#This Row],[Region]])</f>
        <v>Pooja Mishra-West</v>
      </c>
      <c r="AF369" s="19" t="str">
        <f>MID(SalesData[[#This Row],[Order_ID]],4,4)</f>
        <v>0069</v>
      </c>
      <c r="AG369" s="19" t="e">
        <f ca="1">_xlfn.SINGLE(_xlfn.XLOOKUP(SalesData[[#This Row],[Product]],Product_Master!A:A,Product_Master!B:B,"Not Found"))</f>
        <v>#NAME?</v>
      </c>
      <c r="AH369" s="19" t="str">
        <f>VLOOKUP(SalesData[[#This Row],[Product]],Product_Master!$A$1:$B$21,2,FALSE)</f>
        <v>Amit</v>
      </c>
      <c r="AI369" s="16"/>
    </row>
    <row r="370" spans="1:35" ht="13.8">
      <c r="A370" s="16" t="s">
        <v>360</v>
      </c>
      <c r="B370" s="17">
        <v>45367</v>
      </c>
      <c r="C370" s="16" t="s">
        <v>158</v>
      </c>
      <c r="D370" s="16" t="s">
        <v>159</v>
      </c>
      <c r="E370" s="16" t="s">
        <v>187</v>
      </c>
      <c r="F370" s="16" t="s">
        <v>188</v>
      </c>
      <c r="G370" s="16" t="s">
        <v>89</v>
      </c>
      <c r="H370" s="16" t="s">
        <v>189</v>
      </c>
      <c r="I370" s="16" t="s">
        <v>84</v>
      </c>
      <c r="J370" s="16" t="s">
        <v>142</v>
      </c>
      <c r="K370" s="18">
        <v>40998.67</v>
      </c>
      <c r="L370" s="18">
        <v>22018.720000000001</v>
      </c>
      <c r="M370" s="19">
        <v>4</v>
      </c>
      <c r="N370" s="20">
        <v>0.1</v>
      </c>
      <c r="O370" s="19" t="s">
        <v>34</v>
      </c>
      <c r="P370" s="19" t="s">
        <v>58</v>
      </c>
      <c r="Q370" s="19" t="str">
        <f>TRIM(SalesData[[#This Row],[Customer_Name]])</f>
        <v>Pooja Mishra</v>
      </c>
      <c r="R370" s="21">
        <f>SalesData[[#This Row],[Sales]]-SalesData[[#This Row],[Cost]]</f>
        <v>18979.949999999997</v>
      </c>
      <c r="S370" s="22">
        <f>IFERROR(SalesData[[#This Row],[Profit]]/SalesData[[#This Row],[Sales]],0)</f>
        <v>0.46294062709839118</v>
      </c>
      <c r="T370" s="19">
        <f>YEAR(SalesData[[#This Row],[Order_Date]])</f>
        <v>2024</v>
      </c>
      <c r="U370" s="19" t="str">
        <f>TEXT(SalesData[[#This Row],[Order_Date]],"mmm")</f>
        <v>Mar</v>
      </c>
      <c r="V370" s="19" t="str">
        <f>"Q"&amp;ROUNDUP(MONTH(SalesData[[#This Row],[Order_Date]])/3,0)</f>
        <v>Q1</v>
      </c>
      <c r="W370" s="19" t="str">
        <f>IF(SalesData[[#This Row],[Sales]]&gt;=50000,"High",IF(AND(SalesData[[#This Row],[Sales]]&gt;= 20000, SalesData[[#This Row],[Sales]]&lt; 50000),"Medium","Low"))</f>
        <v>Medium</v>
      </c>
      <c r="X370" s="19" t="str">
        <f>IF(SalesData[[#This Row],[Profit]]&gt;0,"Profit","Loss")</f>
        <v>Profit</v>
      </c>
      <c r="Y370" s="19" t="str">
        <f>IF(AND(SalesData[[#This Row],[Sales]]&gt;= 50000, SalesData[[#This Row],[Quantity]]&gt;=2),"Yes","No")</f>
        <v>No</v>
      </c>
      <c r="Z370" s="19" t="str">
        <f>UPPER(SalesData[[#This Row],[Customer_Name]])</f>
        <v>POOJA MISHRA</v>
      </c>
      <c r="AA370" s="19" t="str">
        <f>LOWER(SalesData[[#This Row],[Customer_Name]])</f>
        <v>pooja mishra</v>
      </c>
      <c r="AB370" s="19">
        <f>LEN(SalesData[[#This Row],[Customer_Name]])</f>
        <v>12</v>
      </c>
      <c r="AC370" s="19" t="str">
        <f>LEFT(SalesData[[#This Row],[Order_ID]],3)</f>
        <v>ORD</v>
      </c>
      <c r="AD370" s="19" t="str">
        <f>RIGHT(SalesData[[#This Row],[Order_ID]],4)</f>
        <v>0207</v>
      </c>
      <c r="AE370" s="19" t="str">
        <f>_xlfn.CONCAT(SalesData[[#This Row],[Clean_Customer_Name]],"-",SalesData[[#This Row],[Region]])</f>
        <v>Pooja Mishra-South</v>
      </c>
      <c r="AF370" s="19" t="str">
        <f>MID(SalesData[[#This Row],[Order_ID]],4,4)</f>
        <v>0207</v>
      </c>
      <c r="AG370" s="19" t="e">
        <f ca="1">_xlfn.SINGLE(_xlfn.XLOOKUP(SalesData[[#This Row],[Product]],Product_Master!A:A,Product_Master!B:B,"Not Found"))</f>
        <v>#NAME?</v>
      </c>
      <c r="AH370" s="19" t="str">
        <f>VLOOKUP(SalesData[[#This Row],[Product]],Product_Master!$A$1:$B$21,2,FALSE)</f>
        <v>Amit</v>
      </c>
      <c r="AI370" s="16"/>
    </row>
    <row r="371" spans="1:35" ht="13.8">
      <c r="A371" s="16" t="s">
        <v>165</v>
      </c>
      <c r="B371" s="17">
        <v>45443</v>
      </c>
      <c r="C371" s="16" t="s">
        <v>158</v>
      </c>
      <c r="D371" s="16" t="s">
        <v>159</v>
      </c>
      <c r="E371" s="16" t="s">
        <v>95</v>
      </c>
      <c r="F371" s="16" t="s">
        <v>96</v>
      </c>
      <c r="G371" s="16" t="s">
        <v>89</v>
      </c>
      <c r="H371" s="16" t="s">
        <v>97</v>
      </c>
      <c r="I371" s="16" t="s">
        <v>56</v>
      </c>
      <c r="J371" s="16" t="s">
        <v>57</v>
      </c>
      <c r="K371" s="18">
        <v>21943.8</v>
      </c>
      <c r="L371" s="18">
        <v>12956.84</v>
      </c>
      <c r="M371" s="19">
        <v>4</v>
      </c>
      <c r="N371" s="20">
        <v>0</v>
      </c>
      <c r="O371" s="19" t="s">
        <v>44</v>
      </c>
      <c r="P371" s="19" t="s">
        <v>58</v>
      </c>
      <c r="Q371" s="19" t="str">
        <f>TRIM(SalesData[[#This Row],[Customer_Name]])</f>
        <v>Pooja Mishra</v>
      </c>
      <c r="R371" s="21">
        <f>SalesData[[#This Row],[Sales]]-SalesData[[#This Row],[Cost]]</f>
        <v>8986.9599999999991</v>
      </c>
      <c r="S371" s="22">
        <f>IFERROR(SalesData[[#This Row],[Profit]]/SalesData[[#This Row],[Sales]],0)</f>
        <v>0.40954438155652162</v>
      </c>
      <c r="T371" s="19">
        <f>YEAR(SalesData[[#This Row],[Order_Date]])</f>
        <v>2024</v>
      </c>
      <c r="U371" s="19" t="str">
        <f>TEXT(SalesData[[#This Row],[Order_Date]],"mmm")</f>
        <v>May</v>
      </c>
      <c r="V371" s="19" t="str">
        <f>"Q"&amp;ROUNDUP(MONTH(SalesData[[#This Row],[Order_Date]])/3,0)</f>
        <v>Q2</v>
      </c>
      <c r="W371" s="19" t="str">
        <f>IF(SalesData[[#This Row],[Sales]]&gt;=50000,"High",IF(AND(SalesData[[#This Row],[Sales]]&gt;= 20000, SalesData[[#This Row],[Sales]]&lt; 50000),"Medium","Low"))</f>
        <v>Medium</v>
      </c>
      <c r="X371" s="19" t="str">
        <f>IF(SalesData[[#This Row],[Profit]]&gt;0,"Profit","Loss")</f>
        <v>Profit</v>
      </c>
      <c r="Y371" s="19" t="str">
        <f>IF(AND(SalesData[[#This Row],[Sales]]&gt;= 50000, SalesData[[#This Row],[Quantity]]&gt;=2),"Yes","No")</f>
        <v>No</v>
      </c>
      <c r="Z371" s="19" t="str">
        <f>UPPER(SalesData[[#This Row],[Customer_Name]])</f>
        <v>POOJA MISHRA</v>
      </c>
      <c r="AA371" s="19" t="str">
        <f>LOWER(SalesData[[#This Row],[Customer_Name]])</f>
        <v>pooja mishra</v>
      </c>
      <c r="AB371" s="19">
        <f>LEN(SalesData[[#This Row],[Customer_Name]])</f>
        <v>12</v>
      </c>
      <c r="AC371" s="19" t="str">
        <f>LEFT(SalesData[[#This Row],[Order_ID]],3)</f>
        <v>ORD</v>
      </c>
      <c r="AD371" s="19" t="str">
        <f>RIGHT(SalesData[[#This Row],[Order_ID]],4)</f>
        <v>0039</v>
      </c>
      <c r="AE371" s="19" t="str">
        <f>_xlfn.CONCAT(SalesData[[#This Row],[Clean_Customer_Name]],"-",SalesData[[#This Row],[Region]])</f>
        <v>Pooja Mishra-West</v>
      </c>
      <c r="AF371" s="19" t="str">
        <f>MID(SalesData[[#This Row],[Order_ID]],4,4)</f>
        <v>0039</v>
      </c>
      <c r="AG371" s="19" t="e">
        <f ca="1">_xlfn.SINGLE(_xlfn.XLOOKUP(SalesData[[#This Row],[Product]],Product_Master!A:A,Product_Master!B:B,"Not Found"))</f>
        <v>#NAME?</v>
      </c>
      <c r="AH371" s="19" t="str">
        <f>VLOOKUP(SalesData[[#This Row],[Product]],Product_Master!$A$1:$B$21,2,FALSE)</f>
        <v>Neha</v>
      </c>
      <c r="AI371" s="16"/>
    </row>
    <row r="372" spans="1:35" ht="13.8">
      <c r="A372" s="16" t="s">
        <v>508</v>
      </c>
      <c r="B372" s="17">
        <v>45621</v>
      </c>
      <c r="C372" s="16" t="s">
        <v>158</v>
      </c>
      <c r="D372" s="16" t="s">
        <v>159</v>
      </c>
      <c r="E372" s="16" t="s">
        <v>95</v>
      </c>
      <c r="F372" s="16" t="s">
        <v>96</v>
      </c>
      <c r="G372" s="16" t="s">
        <v>89</v>
      </c>
      <c r="H372" s="16" t="s">
        <v>97</v>
      </c>
      <c r="I372" s="16" t="s">
        <v>56</v>
      </c>
      <c r="J372" s="16" t="s">
        <v>57</v>
      </c>
      <c r="K372" s="18">
        <v>12967.68</v>
      </c>
      <c r="L372" s="18">
        <v>13357.2</v>
      </c>
      <c r="M372" s="19">
        <v>4</v>
      </c>
      <c r="N372" s="20">
        <v>0.2</v>
      </c>
      <c r="O372" s="19" t="s">
        <v>76</v>
      </c>
      <c r="P372" s="19" t="s">
        <v>58</v>
      </c>
      <c r="Q372" s="19" t="str">
        <f>TRIM(SalesData[[#This Row],[Customer_Name]])</f>
        <v>Pooja Mishra</v>
      </c>
      <c r="R372" s="21">
        <f>SalesData[[#This Row],[Sales]]-SalesData[[#This Row],[Cost]]</f>
        <v>-389.52000000000044</v>
      </c>
      <c r="S372" s="22">
        <f>IFERROR(SalesData[[#This Row],[Profit]]/SalesData[[#This Row],[Sales]],0)</f>
        <v>-3.003775540420495E-2</v>
      </c>
      <c r="T372" s="19">
        <f>YEAR(SalesData[[#This Row],[Order_Date]])</f>
        <v>2024</v>
      </c>
      <c r="U372" s="19" t="str">
        <f>TEXT(SalesData[[#This Row],[Order_Date]],"mmm")</f>
        <v>Nov</v>
      </c>
      <c r="V372" s="19" t="str">
        <f>"Q"&amp;ROUNDUP(MONTH(SalesData[[#This Row],[Order_Date]])/3,0)</f>
        <v>Q4</v>
      </c>
      <c r="W372" s="19" t="str">
        <f>IF(SalesData[[#This Row],[Sales]]&gt;=50000,"High",IF(AND(SalesData[[#This Row],[Sales]]&gt;= 20000, SalesData[[#This Row],[Sales]]&lt; 50000),"Medium","Low"))</f>
        <v>Low</v>
      </c>
      <c r="X372" s="19" t="str">
        <f>IF(SalesData[[#This Row],[Profit]]&gt;0,"Profit","Loss")</f>
        <v>Loss</v>
      </c>
      <c r="Y372" s="19" t="str">
        <f>IF(AND(SalesData[[#This Row],[Sales]]&gt;= 50000, SalesData[[#This Row],[Quantity]]&gt;=2),"Yes","No")</f>
        <v>No</v>
      </c>
      <c r="Z372" s="19" t="str">
        <f>UPPER(SalesData[[#This Row],[Customer_Name]])</f>
        <v>POOJA MISHRA</v>
      </c>
      <c r="AA372" s="19" t="str">
        <f>LOWER(SalesData[[#This Row],[Customer_Name]])</f>
        <v>pooja mishra</v>
      </c>
      <c r="AB372" s="19">
        <f>LEN(SalesData[[#This Row],[Customer_Name]])</f>
        <v>12</v>
      </c>
      <c r="AC372" s="19" t="str">
        <f>LEFT(SalesData[[#This Row],[Order_ID]],3)</f>
        <v>ORD</v>
      </c>
      <c r="AD372" s="19" t="str">
        <f>RIGHT(SalesData[[#This Row],[Order_ID]],4)</f>
        <v>0355</v>
      </c>
      <c r="AE372" s="19" t="str">
        <f>_xlfn.CONCAT(SalesData[[#This Row],[Clean_Customer_Name]],"-",SalesData[[#This Row],[Region]])</f>
        <v>Pooja Mishra-West</v>
      </c>
      <c r="AF372" s="19" t="str">
        <f>MID(SalesData[[#This Row],[Order_ID]],4,4)</f>
        <v>0355</v>
      </c>
      <c r="AG372" s="19" t="e">
        <f ca="1">_xlfn.SINGLE(_xlfn.XLOOKUP(SalesData[[#This Row],[Product]],Product_Master!A:A,Product_Master!B:B,"Not Found"))</f>
        <v>#NAME?</v>
      </c>
      <c r="AH372" s="19" t="str">
        <f>VLOOKUP(SalesData[[#This Row],[Product]],Product_Master!$A$1:$B$21,2,FALSE)</f>
        <v>Neha</v>
      </c>
      <c r="AI372" s="16"/>
    </row>
    <row r="373" spans="1:35" ht="13.8">
      <c r="A373" s="16" t="s">
        <v>666</v>
      </c>
      <c r="B373" s="17">
        <v>45796</v>
      </c>
      <c r="C373" s="16" t="s">
        <v>158</v>
      </c>
      <c r="D373" s="16" t="s">
        <v>159</v>
      </c>
      <c r="E373" s="16" t="s">
        <v>193</v>
      </c>
      <c r="F373" s="16" t="s">
        <v>194</v>
      </c>
      <c r="G373" s="16" t="s">
        <v>89</v>
      </c>
      <c r="H373" s="16" t="s">
        <v>90</v>
      </c>
      <c r="I373" s="16" t="s">
        <v>84</v>
      </c>
      <c r="J373" s="16" t="s">
        <v>134</v>
      </c>
      <c r="K373" s="18">
        <v>4755.88</v>
      </c>
      <c r="L373" s="18">
        <v>2684.4</v>
      </c>
      <c r="M373" s="19">
        <v>5</v>
      </c>
      <c r="N373" s="20">
        <v>0.2</v>
      </c>
      <c r="O373" s="19" t="s">
        <v>44</v>
      </c>
      <c r="P373" s="19" t="s">
        <v>26</v>
      </c>
      <c r="Q373" s="19" t="str">
        <f>TRIM(SalesData[[#This Row],[Customer_Name]])</f>
        <v>Pooja Mishra</v>
      </c>
      <c r="R373" s="21">
        <f>SalesData[[#This Row],[Sales]]-SalesData[[#This Row],[Cost]]</f>
        <v>2071.48</v>
      </c>
      <c r="S373" s="22">
        <f>IFERROR(SalesData[[#This Row],[Profit]]/SalesData[[#This Row],[Sales]],0)</f>
        <v>0.43556187288156978</v>
      </c>
      <c r="T373" s="19">
        <f>YEAR(SalesData[[#This Row],[Order_Date]])</f>
        <v>2025</v>
      </c>
      <c r="U373" s="19" t="str">
        <f>TEXT(SalesData[[#This Row],[Order_Date]],"mmm")</f>
        <v>May</v>
      </c>
      <c r="V373" s="19" t="str">
        <f>"Q"&amp;ROUNDUP(MONTH(SalesData[[#This Row],[Order_Date]])/3,0)</f>
        <v>Q2</v>
      </c>
      <c r="W373" s="19" t="str">
        <f>IF(SalesData[[#This Row],[Sales]]&gt;=50000,"High",IF(AND(SalesData[[#This Row],[Sales]]&gt;= 20000, SalesData[[#This Row],[Sales]]&lt; 50000),"Medium","Low"))</f>
        <v>Low</v>
      </c>
      <c r="X373" s="19" t="str">
        <f>IF(SalesData[[#This Row],[Profit]]&gt;0,"Profit","Loss")</f>
        <v>Profit</v>
      </c>
      <c r="Y373" s="19" t="str">
        <f>IF(AND(SalesData[[#This Row],[Sales]]&gt;= 50000, SalesData[[#This Row],[Quantity]]&gt;=2),"Yes","No")</f>
        <v>No</v>
      </c>
      <c r="Z373" s="19" t="str">
        <f>UPPER(SalesData[[#This Row],[Customer_Name]])</f>
        <v>POOJA MISHRA</v>
      </c>
      <c r="AA373" s="19" t="str">
        <f>LOWER(SalesData[[#This Row],[Customer_Name]])</f>
        <v>pooja mishra</v>
      </c>
      <c r="AB373" s="19">
        <f>LEN(SalesData[[#This Row],[Customer_Name]])</f>
        <v>12</v>
      </c>
      <c r="AC373" s="19" t="str">
        <f>LEFT(SalesData[[#This Row],[Order_ID]],3)</f>
        <v>ORD</v>
      </c>
      <c r="AD373" s="19" t="str">
        <f>RIGHT(SalesData[[#This Row],[Order_ID]],4)</f>
        <v>0513</v>
      </c>
      <c r="AE373" s="19" t="str">
        <f>_xlfn.CONCAT(SalesData[[#This Row],[Clean_Customer_Name]],"-",SalesData[[#This Row],[Region]])</f>
        <v>Pooja Mishra-South</v>
      </c>
      <c r="AF373" s="19" t="str">
        <f>MID(SalesData[[#This Row],[Order_ID]],4,4)</f>
        <v>0513</v>
      </c>
      <c r="AG373" s="19" t="e">
        <f ca="1">_xlfn.SINGLE(_xlfn.XLOOKUP(SalesData[[#This Row],[Product]],Product_Master!A:A,Product_Master!B:B,"Not Found"))</f>
        <v>#NAME?</v>
      </c>
      <c r="AH373" s="19" t="str">
        <f>VLOOKUP(SalesData[[#This Row],[Product]],Product_Master!$A$1:$B$21,2,FALSE)</f>
        <v>Simran</v>
      </c>
      <c r="AI373" s="16"/>
    </row>
    <row r="374" spans="1:35" ht="13.8">
      <c r="A374" s="16" t="s">
        <v>366</v>
      </c>
      <c r="B374" s="17">
        <v>45783</v>
      </c>
      <c r="C374" s="16" t="s">
        <v>93</v>
      </c>
      <c r="D374" s="16" t="s">
        <v>94</v>
      </c>
      <c r="E374" s="16" t="s">
        <v>81</v>
      </c>
      <c r="F374" s="16" t="s">
        <v>82</v>
      </c>
      <c r="G374" s="16" t="s">
        <v>21</v>
      </c>
      <c r="H374" s="16" t="s">
        <v>83</v>
      </c>
      <c r="I374" s="16" t="s">
        <v>42</v>
      </c>
      <c r="J374" s="16" t="s">
        <v>43</v>
      </c>
      <c r="K374" s="18">
        <v>52465.99</v>
      </c>
      <c r="L374" s="18">
        <v>36174.480000000003</v>
      </c>
      <c r="M374" s="19">
        <v>2</v>
      </c>
      <c r="N374" s="20">
        <v>0.15</v>
      </c>
      <c r="O374" s="19" t="s">
        <v>76</v>
      </c>
      <c r="P374" s="19" t="s">
        <v>58</v>
      </c>
      <c r="Q374" s="19" t="str">
        <f>TRIM(SalesData[[#This Row],[Customer_Name]])</f>
        <v>Nisha Agarwal</v>
      </c>
      <c r="R374" s="21">
        <f>SalesData[[#This Row],[Sales]]-SalesData[[#This Row],[Cost]]</f>
        <v>16291.509999999995</v>
      </c>
      <c r="S374" s="22">
        <f>IFERROR(SalesData[[#This Row],[Profit]]/SalesData[[#This Row],[Sales]],0)</f>
        <v>0.31051563117364211</v>
      </c>
      <c r="T374" s="19">
        <f>YEAR(SalesData[[#This Row],[Order_Date]])</f>
        <v>2025</v>
      </c>
      <c r="U374" s="19" t="str">
        <f>TEXT(SalesData[[#This Row],[Order_Date]],"mmm")</f>
        <v>May</v>
      </c>
      <c r="V374" s="19" t="str">
        <f>"Q"&amp;ROUNDUP(MONTH(SalesData[[#This Row],[Order_Date]])/3,0)</f>
        <v>Q2</v>
      </c>
      <c r="W374" s="19" t="str">
        <f>IF(SalesData[[#This Row],[Sales]]&gt;=50000,"High",IF(AND(SalesData[[#This Row],[Sales]]&gt;= 20000, SalesData[[#This Row],[Sales]]&lt; 50000),"Medium","Low"))</f>
        <v>High</v>
      </c>
      <c r="X374" s="19" t="str">
        <f>IF(SalesData[[#This Row],[Profit]]&gt;0,"Profit","Loss")</f>
        <v>Profit</v>
      </c>
      <c r="Y374" s="19" t="str">
        <f>IF(AND(SalesData[[#This Row],[Sales]]&gt;= 50000, SalesData[[#This Row],[Quantity]]&gt;=2),"Yes","No")</f>
        <v>Yes</v>
      </c>
      <c r="Z374" s="19" t="str">
        <f>UPPER(SalesData[[#This Row],[Customer_Name]])</f>
        <v>NISHA AGARWAL</v>
      </c>
      <c r="AA374" s="19" t="str">
        <f>LOWER(SalesData[[#This Row],[Customer_Name]])</f>
        <v>nisha agarwal</v>
      </c>
      <c r="AB374" s="19">
        <f>LEN(SalesData[[#This Row],[Customer_Name]])</f>
        <v>13</v>
      </c>
      <c r="AC374" s="19" t="str">
        <f>LEFT(SalesData[[#This Row],[Order_ID]],3)</f>
        <v>ORD</v>
      </c>
      <c r="AD374" s="19" t="str">
        <f>RIGHT(SalesData[[#This Row],[Order_ID]],4)</f>
        <v>0213</v>
      </c>
      <c r="AE374" s="19" t="str">
        <f>_xlfn.CONCAT(SalesData[[#This Row],[Clean_Customer_Name]],"-",SalesData[[#This Row],[Region]])</f>
        <v>Nisha Agarwal-East</v>
      </c>
      <c r="AF374" s="19" t="str">
        <f>MID(SalesData[[#This Row],[Order_ID]],4,4)</f>
        <v>0213</v>
      </c>
      <c r="AG374" s="19" t="e">
        <f ca="1">_xlfn.SINGLE(_xlfn.XLOOKUP(SalesData[[#This Row],[Product]],Product_Master!A:A,Product_Master!B:B,"Not Found"))</f>
        <v>#NAME?</v>
      </c>
      <c r="AH374" s="19" t="str">
        <f>VLOOKUP(SalesData[[#This Row],[Product]],Product_Master!$A$1:$B$21,2,FALSE)</f>
        <v>Priya</v>
      </c>
      <c r="AI374" s="16"/>
    </row>
    <row r="375" spans="1:35" ht="13.8">
      <c r="A375" s="16" t="s">
        <v>397</v>
      </c>
      <c r="B375" s="17">
        <v>45741</v>
      </c>
      <c r="C375" s="16" t="s">
        <v>93</v>
      </c>
      <c r="D375" s="16" t="s">
        <v>94</v>
      </c>
      <c r="E375" s="16" t="s">
        <v>81</v>
      </c>
      <c r="F375" s="16" t="s">
        <v>82</v>
      </c>
      <c r="G375" s="16" t="s">
        <v>21</v>
      </c>
      <c r="H375" s="16" t="s">
        <v>83</v>
      </c>
      <c r="I375" s="16" t="s">
        <v>56</v>
      </c>
      <c r="J375" s="16" t="s">
        <v>91</v>
      </c>
      <c r="K375" s="18">
        <v>62710.16</v>
      </c>
      <c r="L375" s="18">
        <v>36286.28</v>
      </c>
      <c r="M375" s="19">
        <v>2</v>
      </c>
      <c r="N375" s="20">
        <v>0</v>
      </c>
      <c r="O375" s="19" t="s">
        <v>76</v>
      </c>
      <c r="P375" s="19" t="s">
        <v>45</v>
      </c>
      <c r="Q375" s="19" t="str">
        <f>TRIM(SalesData[[#This Row],[Customer_Name]])</f>
        <v>Nisha Agarwal</v>
      </c>
      <c r="R375" s="21">
        <f>SalesData[[#This Row],[Sales]]-SalesData[[#This Row],[Cost]]</f>
        <v>26423.880000000005</v>
      </c>
      <c r="S375" s="22">
        <f>IFERROR(SalesData[[#This Row],[Profit]]/SalesData[[#This Row],[Sales]],0)</f>
        <v>0.4213652141853888</v>
      </c>
      <c r="T375" s="19">
        <f>YEAR(SalesData[[#This Row],[Order_Date]])</f>
        <v>2025</v>
      </c>
      <c r="U375" s="19" t="str">
        <f>TEXT(SalesData[[#This Row],[Order_Date]],"mmm")</f>
        <v>Mar</v>
      </c>
      <c r="V375" s="19" t="str">
        <f>"Q"&amp;ROUNDUP(MONTH(SalesData[[#This Row],[Order_Date]])/3,0)</f>
        <v>Q1</v>
      </c>
      <c r="W375" s="19" t="str">
        <f>IF(SalesData[[#This Row],[Sales]]&gt;=50000,"High",IF(AND(SalesData[[#This Row],[Sales]]&gt;= 20000, SalesData[[#This Row],[Sales]]&lt; 50000),"Medium","Low"))</f>
        <v>High</v>
      </c>
      <c r="X375" s="19" t="str">
        <f>IF(SalesData[[#This Row],[Profit]]&gt;0,"Profit","Loss")</f>
        <v>Profit</v>
      </c>
      <c r="Y375" s="19" t="str">
        <f>IF(AND(SalesData[[#This Row],[Sales]]&gt;= 50000, SalesData[[#This Row],[Quantity]]&gt;=2),"Yes","No")</f>
        <v>Yes</v>
      </c>
      <c r="Z375" s="19" t="str">
        <f>UPPER(SalesData[[#This Row],[Customer_Name]])</f>
        <v>NISHA AGARWAL</v>
      </c>
      <c r="AA375" s="19" t="str">
        <f>LOWER(SalesData[[#This Row],[Customer_Name]])</f>
        <v>nisha agarwal</v>
      </c>
      <c r="AB375" s="19">
        <f>LEN(SalesData[[#This Row],[Customer_Name]])</f>
        <v>13</v>
      </c>
      <c r="AC375" s="19" t="str">
        <f>LEFT(SalesData[[#This Row],[Order_ID]],3)</f>
        <v>ORD</v>
      </c>
      <c r="AD375" s="19" t="str">
        <f>RIGHT(SalesData[[#This Row],[Order_ID]],4)</f>
        <v>0244</v>
      </c>
      <c r="AE375" s="19" t="str">
        <f>_xlfn.CONCAT(SalesData[[#This Row],[Clean_Customer_Name]],"-",SalesData[[#This Row],[Region]])</f>
        <v>Nisha Agarwal-West</v>
      </c>
      <c r="AF375" s="19" t="str">
        <f>MID(SalesData[[#This Row],[Order_ID]],4,4)</f>
        <v>0244</v>
      </c>
      <c r="AG375" s="19" t="e">
        <f ca="1">_xlfn.SINGLE(_xlfn.XLOOKUP(SalesData[[#This Row],[Product]],Product_Master!A:A,Product_Master!B:B,"Not Found"))</f>
        <v>#NAME?</v>
      </c>
      <c r="AH375" s="19" t="str">
        <f>VLOOKUP(SalesData[[#This Row],[Product]],Product_Master!$A$1:$B$21,2,FALSE)</f>
        <v>Priya</v>
      </c>
      <c r="AI375" s="16"/>
    </row>
    <row r="376" spans="1:35" ht="13.8">
      <c r="A376" s="16" t="s">
        <v>775</v>
      </c>
      <c r="B376" s="17">
        <v>45825</v>
      </c>
      <c r="C376" s="16" t="s">
        <v>93</v>
      </c>
      <c r="D376" s="16" t="s">
        <v>94</v>
      </c>
      <c r="E376" s="16" t="s">
        <v>81</v>
      </c>
      <c r="F376" s="16" t="s">
        <v>82</v>
      </c>
      <c r="G376" s="16" t="s">
        <v>21</v>
      </c>
      <c r="H376" s="16" t="s">
        <v>83</v>
      </c>
      <c r="I376" s="16" t="s">
        <v>53</v>
      </c>
      <c r="J376" s="16" t="s">
        <v>102</v>
      </c>
      <c r="K376" s="18">
        <v>72538.679999999993</v>
      </c>
      <c r="L376" s="18">
        <v>54701.37</v>
      </c>
      <c r="M376" s="19">
        <v>3</v>
      </c>
      <c r="N376" s="20">
        <v>0.2</v>
      </c>
      <c r="O376" s="19" t="s">
        <v>34</v>
      </c>
      <c r="P376" s="19" t="s">
        <v>58</v>
      </c>
      <c r="Q376" s="19" t="str">
        <f>TRIM(SalesData[[#This Row],[Customer_Name]])</f>
        <v>Nisha Agarwal</v>
      </c>
      <c r="R376" s="21">
        <f>SalesData[[#This Row],[Sales]]-SalesData[[#This Row],[Cost]]</f>
        <v>17837.30999999999</v>
      </c>
      <c r="S376" s="22">
        <f>IFERROR(SalesData[[#This Row],[Profit]]/SalesData[[#This Row],[Sales]],0)</f>
        <v>0.24590066982194866</v>
      </c>
      <c r="T376" s="19">
        <f>YEAR(SalesData[[#This Row],[Order_Date]])</f>
        <v>2025</v>
      </c>
      <c r="U376" s="19" t="str">
        <f>TEXT(SalesData[[#This Row],[Order_Date]],"mmm")</f>
        <v>Jun</v>
      </c>
      <c r="V376" s="19" t="str">
        <f>"Q"&amp;ROUNDUP(MONTH(SalesData[[#This Row],[Order_Date]])/3,0)</f>
        <v>Q2</v>
      </c>
      <c r="W376" s="19" t="str">
        <f>IF(SalesData[[#This Row],[Sales]]&gt;=50000,"High",IF(AND(SalesData[[#This Row],[Sales]]&gt;= 20000, SalesData[[#This Row],[Sales]]&lt; 50000),"Medium","Low"))</f>
        <v>High</v>
      </c>
      <c r="X376" s="19" t="str">
        <f>IF(SalesData[[#This Row],[Profit]]&gt;0,"Profit","Loss")</f>
        <v>Profit</v>
      </c>
      <c r="Y376" s="19" t="str">
        <f>IF(AND(SalesData[[#This Row],[Sales]]&gt;= 50000, SalesData[[#This Row],[Quantity]]&gt;=2),"Yes","No")</f>
        <v>Yes</v>
      </c>
      <c r="Z376" s="19" t="str">
        <f>UPPER(SalesData[[#This Row],[Customer_Name]])</f>
        <v>NISHA AGARWAL</v>
      </c>
      <c r="AA376" s="19" t="str">
        <f>LOWER(SalesData[[#This Row],[Customer_Name]])</f>
        <v>nisha agarwal</v>
      </c>
      <c r="AB376" s="19">
        <f>LEN(SalesData[[#This Row],[Customer_Name]])</f>
        <v>13</v>
      </c>
      <c r="AC376" s="19" t="str">
        <f>LEFT(SalesData[[#This Row],[Order_ID]],3)</f>
        <v>ORD</v>
      </c>
      <c r="AD376" s="19" t="str">
        <f>RIGHT(SalesData[[#This Row],[Order_ID]],4)</f>
        <v>0622</v>
      </c>
      <c r="AE376" s="19" t="str">
        <f>_xlfn.CONCAT(SalesData[[#This Row],[Clean_Customer_Name]],"-",SalesData[[#This Row],[Region]])</f>
        <v>Nisha Agarwal-Central</v>
      </c>
      <c r="AF376" s="19" t="str">
        <f>MID(SalesData[[#This Row],[Order_ID]],4,4)</f>
        <v>0622</v>
      </c>
      <c r="AG376" s="19" t="e">
        <f ca="1">_xlfn.SINGLE(_xlfn.XLOOKUP(SalesData[[#This Row],[Product]],Product_Master!A:A,Product_Master!B:B,"Not Found"))</f>
        <v>#NAME?</v>
      </c>
      <c r="AH376" s="19" t="str">
        <f>VLOOKUP(SalesData[[#This Row],[Product]],Product_Master!$A$1:$B$21,2,FALSE)</f>
        <v>Priya</v>
      </c>
      <c r="AI376" s="16"/>
    </row>
    <row r="377" spans="1:35" ht="13.8">
      <c r="A377" s="16" t="s">
        <v>850</v>
      </c>
      <c r="B377" s="17">
        <v>45472</v>
      </c>
      <c r="C377" s="16" t="s">
        <v>93</v>
      </c>
      <c r="D377" s="16" t="s">
        <v>94</v>
      </c>
      <c r="E377" s="16" t="s">
        <v>81</v>
      </c>
      <c r="F377" s="16" t="s">
        <v>82</v>
      </c>
      <c r="G377" s="16" t="s">
        <v>21</v>
      </c>
      <c r="H377" s="16" t="s">
        <v>83</v>
      </c>
      <c r="I377" s="16" t="s">
        <v>56</v>
      </c>
      <c r="J377" s="16" t="s">
        <v>57</v>
      </c>
      <c r="K377" s="18">
        <v>54716.62</v>
      </c>
      <c r="L377" s="18">
        <v>38055.54</v>
      </c>
      <c r="M377" s="19">
        <v>2</v>
      </c>
      <c r="N377" s="20">
        <v>0</v>
      </c>
      <c r="O377" s="19" t="s">
        <v>25</v>
      </c>
      <c r="P377" s="19" t="s">
        <v>58</v>
      </c>
      <c r="Q377" s="19" t="str">
        <f>TRIM(SalesData[[#This Row],[Customer_Name]])</f>
        <v>Nisha Agarwal</v>
      </c>
      <c r="R377" s="21">
        <f>SalesData[[#This Row],[Sales]]-SalesData[[#This Row],[Cost]]</f>
        <v>16661.080000000002</v>
      </c>
      <c r="S377" s="22">
        <f>IFERROR(SalesData[[#This Row],[Profit]]/SalesData[[#This Row],[Sales]],0)</f>
        <v>0.30449760968422396</v>
      </c>
      <c r="T377" s="19">
        <f>YEAR(SalesData[[#This Row],[Order_Date]])</f>
        <v>2024</v>
      </c>
      <c r="U377" s="19" t="str">
        <f>TEXT(SalesData[[#This Row],[Order_Date]],"mmm")</f>
        <v>Jun</v>
      </c>
      <c r="V377" s="19" t="str">
        <f>"Q"&amp;ROUNDUP(MONTH(SalesData[[#This Row],[Order_Date]])/3,0)</f>
        <v>Q2</v>
      </c>
      <c r="W377" s="19" t="str">
        <f>IF(SalesData[[#This Row],[Sales]]&gt;=50000,"High",IF(AND(SalesData[[#This Row],[Sales]]&gt;= 20000, SalesData[[#This Row],[Sales]]&lt; 50000),"Medium","Low"))</f>
        <v>High</v>
      </c>
      <c r="X377" s="19" t="str">
        <f>IF(SalesData[[#This Row],[Profit]]&gt;0,"Profit","Loss")</f>
        <v>Profit</v>
      </c>
      <c r="Y377" s="19" t="str">
        <f>IF(AND(SalesData[[#This Row],[Sales]]&gt;= 50000, SalesData[[#This Row],[Quantity]]&gt;=2),"Yes","No")</f>
        <v>Yes</v>
      </c>
      <c r="Z377" s="19" t="str">
        <f>UPPER(SalesData[[#This Row],[Customer_Name]])</f>
        <v>NISHA AGARWAL</v>
      </c>
      <c r="AA377" s="19" t="str">
        <f>LOWER(SalesData[[#This Row],[Customer_Name]])</f>
        <v>nisha agarwal</v>
      </c>
      <c r="AB377" s="19">
        <f>LEN(SalesData[[#This Row],[Customer_Name]])</f>
        <v>13</v>
      </c>
      <c r="AC377" s="19" t="str">
        <f>LEFT(SalesData[[#This Row],[Order_ID]],3)</f>
        <v>ORD</v>
      </c>
      <c r="AD377" s="19" t="str">
        <f>RIGHT(SalesData[[#This Row],[Order_ID]],4)</f>
        <v>0697</v>
      </c>
      <c r="AE377" s="19" t="str">
        <f>_xlfn.CONCAT(SalesData[[#This Row],[Clean_Customer_Name]],"-",SalesData[[#This Row],[Region]])</f>
        <v>Nisha Agarwal-West</v>
      </c>
      <c r="AF377" s="19" t="str">
        <f>MID(SalesData[[#This Row],[Order_ID]],4,4)</f>
        <v>0697</v>
      </c>
      <c r="AG377" s="19" t="e">
        <f ca="1">_xlfn.SINGLE(_xlfn.XLOOKUP(SalesData[[#This Row],[Product]],Product_Master!A:A,Product_Master!B:B,"Not Found"))</f>
        <v>#NAME?</v>
      </c>
      <c r="AH377" s="19" t="str">
        <f>VLOOKUP(SalesData[[#This Row],[Product]],Product_Master!$A$1:$B$21,2,FALSE)</f>
        <v>Priya</v>
      </c>
      <c r="AI377" s="16"/>
    </row>
    <row r="378" spans="1:35" ht="13.8">
      <c r="A378" s="16" t="s">
        <v>520</v>
      </c>
      <c r="B378" s="17">
        <v>45647</v>
      </c>
      <c r="C378" s="16" t="s">
        <v>93</v>
      </c>
      <c r="D378" s="16" t="s">
        <v>94</v>
      </c>
      <c r="E378" s="16" t="s">
        <v>62</v>
      </c>
      <c r="F378" s="16" t="s">
        <v>63</v>
      </c>
      <c r="G378" s="16" t="s">
        <v>21</v>
      </c>
      <c r="H378" s="16" t="s">
        <v>64</v>
      </c>
      <c r="I378" s="16" t="s">
        <v>84</v>
      </c>
      <c r="J378" s="16" t="s">
        <v>85</v>
      </c>
      <c r="K378" s="18">
        <v>17957.34</v>
      </c>
      <c r="L378" s="18">
        <v>5041.32</v>
      </c>
      <c r="M378" s="19">
        <v>3</v>
      </c>
      <c r="N378" s="20">
        <v>0</v>
      </c>
      <c r="O378" s="19" t="s">
        <v>44</v>
      </c>
      <c r="P378" s="19" t="s">
        <v>98</v>
      </c>
      <c r="Q378" s="19" t="str">
        <f>TRIM(SalesData[[#This Row],[Customer_Name]])</f>
        <v>Nisha Agarwal</v>
      </c>
      <c r="R378" s="21">
        <f>SalesData[[#This Row],[Sales]]-SalesData[[#This Row],[Cost]]</f>
        <v>12916.02</v>
      </c>
      <c r="S378" s="22">
        <f>IFERROR(SalesData[[#This Row],[Profit]]/SalesData[[#This Row],[Sales]],0)</f>
        <v>0.71926131598555243</v>
      </c>
      <c r="T378" s="19">
        <f>YEAR(SalesData[[#This Row],[Order_Date]])</f>
        <v>2024</v>
      </c>
      <c r="U378" s="19" t="str">
        <f>TEXT(SalesData[[#This Row],[Order_Date]],"mmm")</f>
        <v>Dec</v>
      </c>
      <c r="V378" s="19" t="str">
        <f>"Q"&amp;ROUNDUP(MONTH(SalesData[[#This Row],[Order_Date]])/3,0)</f>
        <v>Q4</v>
      </c>
      <c r="W378" s="19" t="str">
        <f>IF(SalesData[[#This Row],[Sales]]&gt;=50000,"High",IF(AND(SalesData[[#This Row],[Sales]]&gt;= 20000, SalesData[[#This Row],[Sales]]&lt; 50000),"Medium","Low"))</f>
        <v>Low</v>
      </c>
      <c r="X378" s="19" t="str">
        <f>IF(SalesData[[#This Row],[Profit]]&gt;0,"Profit","Loss")</f>
        <v>Profit</v>
      </c>
      <c r="Y378" s="19" t="str">
        <f>IF(AND(SalesData[[#This Row],[Sales]]&gt;= 50000, SalesData[[#This Row],[Quantity]]&gt;=2),"Yes","No")</f>
        <v>No</v>
      </c>
      <c r="Z378" s="19" t="str">
        <f>UPPER(SalesData[[#This Row],[Customer_Name]])</f>
        <v>NISHA AGARWAL</v>
      </c>
      <c r="AA378" s="19" t="str">
        <f>LOWER(SalesData[[#This Row],[Customer_Name]])</f>
        <v>nisha agarwal</v>
      </c>
      <c r="AB378" s="19">
        <f>LEN(SalesData[[#This Row],[Customer_Name]])</f>
        <v>13</v>
      </c>
      <c r="AC378" s="19" t="str">
        <f>LEFT(SalesData[[#This Row],[Order_ID]],3)</f>
        <v>ORD</v>
      </c>
      <c r="AD378" s="19" t="str">
        <f>RIGHT(SalesData[[#This Row],[Order_ID]],4)</f>
        <v>0367</v>
      </c>
      <c r="AE378" s="19" t="str">
        <f>_xlfn.CONCAT(SalesData[[#This Row],[Clean_Customer_Name]],"-",SalesData[[#This Row],[Region]])</f>
        <v>Nisha Agarwal-South</v>
      </c>
      <c r="AF378" s="19" t="str">
        <f>MID(SalesData[[#This Row],[Order_ID]],4,4)</f>
        <v>0367</v>
      </c>
      <c r="AG378" s="19" t="e">
        <f ca="1">_xlfn.SINGLE(_xlfn.XLOOKUP(SalesData[[#This Row],[Product]],Product_Master!A:A,Product_Master!B:B,"Not Found"))</f>
        <v>#NAME?</v>
      </c>
      <c r="AH378" s="19" t="str">
        <f>VLOOKUP(SalesData[[#This Row],[Product]],Product_Master!$A$1:$B$21,2,FALSE)</f>
        <v>Amit</v>
      </c>
      <c r="AI378" s="16"/>
    </row>
    <row r="379" spans="1:35" ht="13.8">
      <c r="A379" s="16" t="s">
        <v>657</v>
      </c>
      <c r="B379" s="17">
        <v>45854</v>
      </c>
      <c r="C379" s="16" t="s">
        <v>93</v>
      </c>
      <c r="D379" s="16" t="s">
        <v>94</v>
      </c>
      <c r="E379" s="16" t="s">
        <v>62</v>
      </c>
      <c r="F379" s="16" t="s">
        <v>63</v>
      </c>
      <c r="G379" s="16" t="s">
        <v>21</v>
      </c>
      <c r="H379" s="16" t="s">
        <v>64</v>
      </c>
      <c r="I379" s="16" t="s">
        <v>23</v>
      </c>
      <c r="J379" s="16" t="s">
        <v>33</v>
      </c>
      <c r="K379" s="18">
        <v>10855.37</v>
      </c>
      <c r="L379" s="18">
        <v>5644.23</v>
      </c>
      <c r="M379" s="19">
        <v>3</v>
      </c>
      <c r="N379" s="20">
        <v>0.2</v>
      </c>
      <c r="O379" s="19" t="s">
        <v>44</v>
      </c>
      <c r="P379" s="19" t="s">
        <v>77</v>
      </c>
      <c r="Q379" s="19" t="str">
        <f>TRIM(SalesData[[#This Row],[Customer_Name]])</f>
        <v>Nisha Agarwal</v>
      </c>
      <c r="R379" s="21">
        <f>SalesData[[#This Row],[Sales]]-SalesData[[#This Row],[Cost]]</f>
        <v>5211.1400000000012</v>
      </c>
      <c r="S379" s="22">
        <f>IFERROR(SalesData[[#This Row],[Profit]]/SalesData[[#This Row],[Sales]],0)</f>
        <v>0.48005180845977619</v>
      </c>
      <c r="T379" s="19">
        <f>YEAR(SalesData[[#This Row],[Order_Date]])</f>
        <v>2025</v>
      </c>
      <c r="U379" s="19" t="str">
        <f>TEXT(SalesData[[#This Row],[Order_Date]],"mmm")</f>
        <v>Jul</v>
      </c>
      <c r="V379" s="19" t="str">
        <f>"Q"&amp;ROUNDUP(MONTH(SalesData[[#This Row],[Order_Date]])/3,0)</f>
        <v>Q3</v>
      </c>
      <c r="W379" s="19" t="str">
        <f>IF(SalesData[[#This Row],[Sales]]&gt;=50000,"High",IF(AND(SalesData[[#This Row],[Sales]]&gt;= 20000, SalesData[[#This Row],[Sales]]&lt; 50000),"Medium","Low"))</f>
        <v>Low</v>
      </c>
      <c r="X379" s="19" t="str">
        <f>IF(SalesData[[#This Row],[Profit]]&gt;0,"Profit","Loss")</f>
        <v>Profit</v>
      </c>
      <c r="Y379" s="19" t="str">
        <f>IF(AND(SalesData[[#This Row],[Sales]]&gt;= 50000, SalesData[[#This Row],[Quantity]]&gt;=2),"Yes","No")</f>
        <v>No</v>
      </c>
      <c r="Z379" s="19" t="str">
        <f>UPPER(SalesData[[#This Row],[Customer_Name]])</f>
        <v>NISHA AGARWAL</v>
      </c>
      <c r="AA379" s="19" t="str">
        <f>LOWER(SalesData[[#This Row],[Customer_Name]])</f>
        <v>nisha agarwal</v>
      </c>
      <c r="AB379" s="19">
        <f>LEN(SalesData[[#This Row],[Customer_Name]])</f>
        <v>13</v>
      </c>
      <c r="AC379" s="19" t="str">
        <f>LEFT(SalesData[[#This Row],[Order_ID]],3)</f>
        <v>ORD</v>
      </c>
      <c r="AD379" s="19" t="str">
        <f>RIGHT(SalesData[[#This Row],[Order_ID]],4)</f>
        <v>0504</v>
      </c>
      <c r="AE379" s="19" t="str">
        <f>_xlfn.CONCAT(SalesData[[#This Row],[Clean_Customer_Name]],"-",SalesData[[#This Row],[Region]])</f>
        <v>Nisha Agarwal-North</v>
      </c>
      <c r="AF379" s="19" t="str">
        <f>MID(SalesData[[#This Row],[Order_ID]],4,4)</f>
        <v>0504</v>
      </c>
      <c r="AG379" s="19" t="e">
        <f ca="1">_xlfn.SINGLE(_xlfn.XLOOKUP(SalesData[[#This Row],[Product]],Product_Master!A:A,Product_Master!B:B,"Not Found"))</f>
        <v>#NAME?</v>
      </c>
      <c r="AH379" s="19" t="str">
        <f>VLOOKUP(SalesData[[#This Row],[Product]],Product_Master!$A$1:$B$21,2,FALSE)</f>
        <v>Amit</v>
      </c>
      <c r="AI379" s="16"/>
    </row>
    <row r="380" spans="1:35" ht="13.8">
      <c r="A380" s="16" t="s">
        <v>574</v>
      </c>
      <c r="B380" s="17">
        <v>45951</v>
      </c>
      <c r="C380" s="16" t="s">
        <v>93</v>
      </c>
      <c r="D380" s="16" t="s">
        <v>94</v>
      </c>
      <c r="E380" s="16" t="s">
        <v>19</v>
      </c>
      <c r="F380" s="16" t="s">
        <v>20</v>
      </c>
      <c r="G380" s="16" t="s">
        <v>21</v>
      </c>
      <c r="H380" s="16" t="s">
        <v>22</v>
      </c>
      <c r="I380" s="16" t="s">
        <v>84</v>
      </c>
      <c r="J380" s="16" t="s">
        <v>142</v>
      </c>
      <c r="K380" s="18">
        <v>15969.46</v>
      </c>
      <c r="L380" s="18">
        <v>5948.1</v>
      </c>
      <c r="M380" s="19">
        <v>2</v>
      </c>
      <c r="N380" s="20">
        <v>0.1</v>
      </c>
      <c r="O380" s="19" t="s">
        <v>136</v>
      </c>
      <c r="P380" s="19" t="s">
        <v>58</v>
      </c>
      <c r="Q380" s="19" t="str">
        <f>TRIM(SalesData[[#This Row],[Customer_Name]])</f>
        <v>Nisha Agarwal</v>
      </c>
      <c r="R380" s="21">
        <f>SalesData[[#This Row],[Sales]]-SalesData[[#This Row],[Cost]]</f>
        <v>10021.359999999999</v>
      </c>
      <c r="S380" s="22">
        <f>IFERROR(SalesData[[#This Row],[Profit]]/SalesData[[#This Row],[Sales]],0)</f>
        <v>0.62753280323818084</v>
      </c>
      <c r="T380" s="19">
        <f>YEAR(SalesData[[#This Row],[Order_Date]])</f>
        <v>2025</v>
      </c>
      <c r="U380" s="19" t="str">
        <f>TEXT(SalesData[[#This Row],[Order_Date]],"mmm")</f>
        <v>Oct</v>
      </c>
      <c r="V380" s="19" t="str">
        <f>"Q"&amp;ROUNDUP(MONTH(SalesData[[#This Row],[Order_Date]])/3,0)</f>
        <v>Q4</v>
      </c>
      <c r="W380" s="19" t="str">
        <f>IF(SalesData[[#This Row],[Sales]]&gt;=50000,"High",IF(AND(SalesData[[#This Row],[Sales]]&gt;= 20000, SalesData[[#This Row],[Sales]]&lt; 50000),"Medium","Low"))</f>
        <v>Low</v>
      </c>
      <c r="X380" s="19" t="str">
        <f>IF(SalesData[[#This Row],[Profit]]&gt;0,"Profit","Loss")</f>
        <v>Profit</v>
      </c>
      <c r="Y380" s="19" t="str">
        <f>IF(AND(SalesData[[#This Row],[Sales]]&gt;= 50000, SalesData[[#This Row],[Quantity]]&gt;=2),"Yes","No")</f>
        <v>No</v>
      </c>
      <c r="Z380" s="19" t="str">
        <f>UPPER(SalesData[[#This Row],[Customer_Name]])</f>
        <v>NISHA AGARWAL</v>
      </c>
      <c r="AA380" s="19" t="str">
        <f>LOWER(SalesData[[#This Row],[Customer_Name]])</f>
        <v>nisha agarwal</v>
      </c>
      <c r="AB380" s="19">
        <f>LEN(SalesData[[#This Row],[Customer_Name]])</f>
        <v>13</v>
      </c>
      <c r="AC380" s="19" t="str">
        <f>LEFT(SalesData[[#This Row],[Order_ID]],3)</f>
        <v>ORD</v>
      </c>
      <c r="AD380" s="19" t="str">
        <f>RIGHT(SalesData[[#This Row],[Order_ID]],4)</f>
        <v>0421</v>
      </c>
      <c r="AE380" s="19" t="str">
        <f>_xlfn.CONCAT(SalesData[[#This Row],[Clean_Customer_Name]],"-",SalesData[[#This Row],[Region]])</f>
        <v>Nisha Agarwal-South</v>
      </c>
      <c r="AF380" s="19" t="str">
        <f>MID(SalesData[[#This Row],[Order_ID]],4,4)</f>
        <v>0421</v>
      </c>
      <c r="AG380" s="19" t="e">
        <f ca="1">_xlfn.SINGLE(_xlfn.XLOOKUP(SalesData[[#This Row],[Product]],Product_Master!A:A,Product_Master!B:B,"Not Found"))</f>
        <v>#NAME?</v>
      </c>
      <c r="AH380" s="19" t="str">
        <f>VLOOKUP(SalesData[[#This Row],[Product]],Product_Master!$A$1:$B$21,2,FALSE)</f>
        <v>Neha</v>
      </c>
      <c r="AI380" s="16"/>
    </row>
    <row r="381" spans="1:35" ht="13.8">
      <c r="A381" s="16" t="s">
        <v>697</v>
      </c>
      <c r="B381" s="17">
        <v>45973</v>
      </c>
      <c r="C381" s="16" t="s">
        <v>93</v>
      </c>
      <c r="D381" s="16" t="s">
        <v>94</v>
      </c>
      <c r="E381" s="16" t="s">
        <v>19</v>
      </c>
      <c r="F381" s="16" t="s">
        <v>20</v>
      </c>
      <c r="G381" s="16" t="s">
        <v>21</v>
      </c>
      <c r="H381" s="16" t="s">
        <v>22</v>
      </c>
      <c r="I381" s="16" t="s">
        <v>56</v>
      </c>
      <c r="J381" s="16" t="s">
        <v>57</v>
      </c>
      <c r="K381" s="18">
        <v>12965.99</v>
      </c>
      <c r="L381" s="18">
        <v>5967.4</v>
      </c>
      <c r="M381" s="19">
        <v>2</v>
      </c>
      <c r="N381" s="20">
        <v>0.1</v>
      </c>
      <c r="O381" s="19" t="s">
        <v>44</v>
      </c>
      <c r="P381" s="19" t="s">
        <v>58</v>
      </c>
      <c r="Q381" s="19" t="str">
        <f>TRIM(SalesData[[#This Row],[Customer_Name]])</f>
        <v>Nisha Agarwal</v>
      </c>
      <c r="R381" s="21">
        <f>SalesData[[#This Row],[Sales]]-SalesData[[#This Row],[Cost]]</f>
        <v>6998.59</v>
      </c>
      <c r="S381" s="22">
        <f>IFERROR(SalesData[[#This Row],[Profit]]/SalesData[[#This Row],[Sales]],0)</f>
        <v>0.53976518568963883</v>
      </c>
      <c r="T381" s="19">
        <f>YEAR(SalesData[[#This Row],[Order_Date]])</f>
        <v>2025</v>
      </c>
      <c r="U381" s="19" t="str">
        <f>TEXT(SalesData[[#This Row],[Order_Date]],"mmm")</f>
        <v>Nov</v>
      </c>
      <c r="V381" s="19" t="str">
        <f>"Q"&amp;ROUNDUP(MONTH(SalesData[[#This Row],[Order_Date]])/3,0)</f>
        <v>Q4</v>
      </c>
      <c r="W381" s="19" t="str">
        <f>IF(SalesData[[#This Row],[Sales]]&gt;=50000,"High",IF(AND(SalesData[[#This Row],[Sales]]&gt;= 20000, SalesData[[#This Row],[Sales]]&lt; 50000),"Medium","Low"))</f>
        <v>Low</v>
      </c>
      <c r="X381" s="19" t="str">
        <f>IF(SalesData[[#This Row],[Profit]]&gt;0,"Profit","Loss")</f>
        <v>Profit</v>
      </c>
      <c r="Y381" s="19" t="str">
        <f>IF(AND(SalesData[[#This Row],[Sales]]&gt;= 50000, SalesData[[#This Row],[Quantity]]&gt;=2),"Yes","No")</f>
        <v>No</v>
      </c>
      <c r="Z381" s="19" t="str">
        <f>UPPER(SalesData[[#This Row],[Customer_Name]])</f>
        <v>NISHA AGARWAL</v>
      </c>
      <c r="AA381" s="19" t="str">
        <f>LOWER(SalesData[[#This Row],[Customer_Name]])</f>
        <v>nisha agarwal</v>
      </c>
      <c r="AB381" s="19">
        <f>LEN(SalesData[[#This Row],[Customer_Name]])</f>
        <v>13</v>
      </c>
      <c r="AC381" s="19" t="str">
        <f>LEFT(SalesData[[#This Row],[Order_ID]],3)</f>
        <v>ORD</v>
      </c>
      <c r="AD381" s="19" t="str">
        <f>RIGHT(SalesData[[#This Row],[Order_ID]],4)</f>
        <v>0544</v>
      </c>
      <c r="AE381" s="19" t="str">
        <f>_xlfn.CONCAT(SalesData[[#This Row],[Clean_Customer_Name]],"-",SalesData[[#This Row],[Region]])</f>
        <v>Nisha Agarwal-West</v>
      </c>
      <c r="AF381" s="19" t="str">
        <f>MID(SalesData[[#This Row],[Order_ID]],4,4)</f>
        <v>0544</v>
      </c>
      <c r="AG381" s="19" t="e">
        <f ca="1">_xlfn.SINGLE(_xlfn.XLOOKUP(SalesData[[#This Row],[Product]],Product_Master!A:A,Product_Master!B:B,"Not Found"))</f>
        <v>#NAME?</v>
      </c>
      <c r="AH381" s="19" t="str">
        <f>VLOOKUP(SalesData[[#This Row],[Product]],Product_Master!$A$1:$B$21,2,FALSE)</f>
        <v>Neha</v>
      </c>
      <c r="AI381" s="16"/>
    </row>
    <row r="382" spans="1:35" ht="13.8">
      <c r="A382" s="16" t="s">
        <v>951</v>
      </c>
      <c r="B382" s="17">
        <v>45469</v>
      </c>
      <c r="C382" s="16" t="s">
        <v>93</v>
      </c>
      <c r="D382" s="16" t="s">
        <v>94</v>
      </c>
      <c r="E382" s="16" t="s">
        <v>152</v>
      </c>
      <c r="F382" s="16" t="s">
        <v>153</v>
      </c>
      <c r="G382" s="16" t="s">
        <v>21</v>
      </c>
      <c r="H382" s="16" t="s">
        <v>32</v>
      </c>
      <c r="I382" s="16" t="s">
        <v>84</v>
      </c>
      <c r="J382" s="16" t="s">
        <v>142</v>
      </c>
      <c r="K382" s="18">
        <v>69296.23</v>
      </c>
      <c r="L382" s="18">
        <v>42614.15</v>
      </c>
      <c r="M382" s="19">
        <v>5</v>
      </c>
      <c r="N382" s="20">
        <v>0.05</v>
      </c>
      <c r="O382" s="19" t="s">
        <v>25</v>
      </c>
      <c r="P382" s="19" t="s">
        <v>26</v>
      </c>
      <c r="Q382" s="19" t="str">
        <f>TRIM(SalesData[[#This Row],[Customer_Name]])</f>
        <v>Nisha Agarwal</v>
      </c>
      <c r="R382" s="21">
        <f>SalesData[[#This Row],[Sales]]-SalesData[[#This Row],[Cost]]</f>
        <v>26682.079999999994</v>
      </c>
      <c r="S382" s="22">
        <f>IFERROR(SalesData[[#This Row],[Profit]]/SalesData[[#This Row],[Sales]],0)</f>
        <v>0.38504374624709015</v>
      </c>
      <c r="T382" s="19">
        <f>YEAR(SalesData[[#This Row],[Order_Date]])</f>
        <v>2024</v>
      </c>
      <c r="U382" s="19" t="str">
        <f>TEXT(SalesData[[#This Row],[Order_Date]],"mmm")</f>
        <v>Jun</v>
      </c>
      <c r="V382" s="19" t="str">
        <f>"Q"&amp;ROUNDUP(MONTH(SalesData[[#This Row],[Order_Date]])/3,0)</f>
        <v>Q2</v>
      </c>
      <c r="W382" s="19" t="str">
        <f>IF(SalesData[[#This Row],[Sales]]&gt;=50000,"High",IF(AND(SalesData[[#This Row],[Sales]]&gt;= 20000, SalesData[[#This Row],[Sales]]&lt; 50000),"Medium","Low"))</f>
        <v>High</v>
      </c>
      <c r="X382" s="19" t="str">
        <f>IF(SalesData[[#This Row],[Profit]]&gt;0,"Profit","Loss")</f>
        <v>Profit</v>
      </c>
      <c r="Y382" s="19" t="str">
        <f>IF(AND(SalesData[[#This Row],[Sales]]&gt;= 50000, SalesData[[#This Row],[Quantity]]&gt;=2),"Yes","No")</f>
        <v>Yes</v>
      </c>
      <c r="Z382" s="19" t="str">
        <f>UPPER(SalesData[[#This Row],[Customer_Name]])</f>
        <v>NISHA AGARWAL</v>
      </c>
      <c r="AA382" s="19" t="str">
        <f>LOWER(SalesData[[#This Row],[Customer_Name]])</f>
        <v>nisha agarwal</v>
      </c>
      <c r="AB382" s="19">
        <f>LEN(SalesData[[#This Row],[Customer_Name]])</f>
        <v>13</v>
      </c>
      <c r="AC382" s="19" t="str">
        <f>LEFT(SalesData[[#This Row],[Order_ID]],3)</f>
        <v>ORD</v>
      </c>
      <c r="AD382" s="19" t="str">
        <f>RIGHT(SalesData[[#This Row],[Order_ID]],4)</f>
        <v>0798</v>
      </c>
      <c r="AE382" s="19" t="str">
        <f>_xlfn.CONCAT(SalesData[[#This Row],[Clean_Customer_Name]],"-",SalesData[[#This Row],[Region]])</f>
        <v>Nisha Agarwal-South</v>
      </c>
      <c r="AF382" s="19" t="str">
        <f>MID(SalesData[[#This Row],[Order_ID]],4,4)</f>
        <v>0798</v>
      </c>
      <c r="AG382" s="19" t="e">
        <f ca="1">_xlfn.SINGLE(_xlfn.XLOOKUP(SalesData[[#This Row],[Product]],Product_Master!A:A,Product_Master!B:B,"Not Found"))</f>
        <v>#NAME?</v>
      </c>
      <c r="AH382" s="19" t="str">
        <f>VLOOKUP(SalesData[[#This Row],[Product]],Product_Master!$A$1:$B$21,2,FALSE)</f>
        <v>Simran</v>
      </c>
      <c r="AI382" s="16"/>
    </row>
    <row r="383" spans="1:35" ht="13.8">
      <c r="A383" s="16" t="s">
        <v>1139</v>
      </c>
      <c r="B383" s="17">
        <v>45488</v>
      </c>
      <c r="C383" s="16" t="s">
        <v>93</v>
      </c>
      <c r="D383" s="16" t="s">
        <v>94</v>
      </c>
      <c r="E383" s="16" t="s">
        <v>117</v>
      </c>
      <c r="F383" s="16" t="s">
        <v>118</v>
      </c>
      <c r="G383" s="16" t="s">
        <v>51</v>
      </c>
      <c r="H383" s="16" t="s">
        <v>119</v>
      </c>
      <c r="I383" s="16" t="s">
        <v>53</v>
      </c>
      <c r="J383" s="16" t="s">
        <v>54</v>
      </c>
      <c r="K383" s="18">
        <v>26098.82</v>
      </c>
      <c r="L383" s="18">
        <v>14803.95</v>
      </c>
      <c r="M383" s="19">
        <v>3</v>
      </c>
      <c r="N383" s="20">
        <v>0.15</v>
      </c>
      <c r="O383" s="19" t="s">
        <v>34</v>
      </c>
      <c r="P383" s="19" t="s">
        <v>58</v>
      </c>
      <c r="Q383" s="19" t="str">
        <f>TRIM(SalesData[[#This Row],[Customer_Name]])</f>
        <v>Nisha Agarwal</v>
      </c>
      <c r="R383" s="21">
        <f>SalesData[[#This Row],[Sales]]-SalesData[[#This Row],[Cost]]</f>
        <v>11294.869999999999</v>
      </c>
      <c r="S383" s="22">
        <f>IFERROR(SalesData[[#This Row],[Profit]]/SalesData[[#This Row],[Sales]],0)</f>
        <v>0.43277320583842482</v>
      </c>
      <c r="T383" s="19">
        <f>YEAR(SalesData[[#This Row],[Order_Date]])</f>
        <v>2024</v>
      </c>
      <c r="U383" s="19" t="str">
        <f>TEXT(SalesData[[#This Row],[Order_Date]],"mmm")</f>
        <v>Jul</v>
      </c>
      <c r="V383" s="19" t="str">
        <f>"Q"&amp;ROUNDUP(MONTH(SalesData[[#This Row],[Order_Date]])/3,0)</f>
        <v>Q3</v>
      </c>
      <c r="W383" s="19" t="str">
        <f>IF(SalesData[[#This Row],[Sales]]&gt;=50000,"High",IF(AND(SalesData[[#This Row],[Sales]]&gt;= 20000, SalesData[[#This Row],[Sales]]&lt; 50000),"Medium","Low"))</f>
        <v>Medium</v>
      </c>
      <c r="X383" s="19" t="str">
        <f>IF(SalesData[[#This Row],[Profit]]&gt;0,"Profit","Loss")</f>
        <v>Profit</v>
      </c>
      <c r="Y383" s="19" t="str">
        <f>IF(AND(SalesData[[#This Row],[Sales]]&gt;= 50000, SalesData[[#This Row],[Quantity]]&gt;=2),"Yes","No")</f>
        <v>No</v>
      </c>
      <c r="Z383" s="19" t="str">
        <f>UPPER(SalesData[[#This Row],[Customer_Name]])</f>
        <v>NISHA AGARWAL</v>
      </c>
      <c r="AA383" s="19" t="str">
        <f>LOWER(SalesData[[#This Row],[Customer_Name]])</f>
        <v>nisha agarwal</v>
      </c>
      <c r="AB383" s="19">
        <f>LEN(SalesData[[#This Row],[Customer_Name]])</f>
        <v>13</v>
      </c>
      <c r="AC383" s="19" t="str">
        <f>LEFT(SalesData[[#This Row],[Order_ID]],3)</f>
        <v>ORD</v>
      </c>
      <c r="AD383" s="19" t="str">
        <f>RIGHT(SalesData[[#This Row],[Order_ID]],4)</f>
        <v>0986</v>
      </c>
      <c r="AE383" s="19" t="str">
        <f>_xlfn.CONCAT(SalesData[[#This Row],[Clean_Customer_Name]],"-",SalesData[[#This Row],[Region]])</f>
        <v>Nisha Agarwal-Central</v>
      </c>
      <c r="AF383" s="19" t="str">
        <f>MID(SalesData[[#This Row],[Order_ID]],4,4)</f>
        <v>0986</v>
      </c>
      <c r="AG383" s="19" t="e">
        <f ca="1">_xlfn.SINGLE(_xlfn.XLOOKUP(SalesData[[#This Row],[Product]],Product_Master!A:A,Product_Master!B:B,"Not Found"))</f>
        <v>#NAME?</v>
      </c>
      <c r="AH383" s="19" t="str">
        <f>VLOOKUP(SalesData[[#This Row],[Product]],Product_Master!$A$1:$B$21,2,FALSE)</f>
        <v>Karan</v>
      </c>
      <c r="AI383" s="16"/>
    </row>
    <row r="384" spans="1:35" ht="13.8">
      <c r="A384" s="16" t="s">
        <v>703</v>
      </c>
      <c r="B384" s="17">
        <v>45997</v>
      </c>
      <c r="C384" s="16" t="s">
        <v>93</v>
      </c>
      <c r="D384" s="16" t="s">
        <v>94</v>
      </c>
      <c r="E384" s="16" t="s">
        <v>49</v>
      </c>
      <c r="F384" s="16" t="s">
        <v>50</v>
      </c>
      <c r="G384" s="16" t="s">
        <v>51</v>
      </c>
      <c r="H384" s="16" t="s">
        <v>52</v>
      </c>
      <c r="I384" s="16" t="s">
        <v>23</v>
      </c>
      <c r="J384" s="16" t="s">
        <v>24</v>
      </c>
      <c r="K384" s="18">
        <v>36835.519999999997</v>
      </c>
      <c r="L384" s="18">
        <v>27205.72</v>
      </c>
      <c r="M384" s="19">
        <v>4</v>
      </c>
      <c r="N384" s="20">
        <v>0</v>
      </c>
      <c r="O384" s="19" t="s">
        <v>136</v>
      </c>
      <c r="P384" s="19" t="s">
        <v>98</v>
      </c>
      <c r="Q384" s="19" t="str">
        <f>TRIM(SalesData[[#This Row],[Customer_Name]])</f>
        <v>Nisha Agarwal</v>
      </c>
      <c r="R384" s="21">
        <f>SalesData[[#This Row],[Sales]]-SalesData[[#This Row],[Cost]]</f>
        <v>9629.7999999999956</v>
      </c>
      <c r="S384" s="22">
        <f>IFERROR(SalesData[[#This Row],[Profit]]/SalesData[[#This Row],[Sales]],0)</f>
        <v>0.26142701392568901</v>
      </c>
      <c r="T384" s="19">
        <f>YEAR(SalesData[[#This Row],[Order_Date]])</f>
        <v>2025</v>
      </c>
      <c r="U384" s="19" t="str">
        <f>TEXT(SalesData[[#This Row],[Order_Date]],"mmm")</f>
        <v>Dec</v>
      </c>
      <c r="V384" s="19" t="str">
        <f>"Q"&amp;ROUNDUP(MONTH(SalesData[[#This Row],[Order_Date]])/3,0)</f>
        <v>Q4</v>
      </c>
      <c r="W384" s="19" t="str">
        <f>IF(SalesData[[#This Row],[Sales]]&gt;=50000,"High",IF(AND(SalesData[[#This Row],[Sales]]&gt;= 20000, SalesData[[#This Row],[Sales]]&lt; 50000),"Medium","Low"))</f>
        <v>Medium</v>
      </c>
      <c r="X384" s="19" t="str">
        <f>IF(SalesData[[#This Row],[Profit]]&gt;0,"Profit","Loss")</f>
        <v>Profit</v>
      </c>
      <c r="Y384" s="19" t="str">
        <f>IF(AND(SalesData[[#This Row],[Sales]]&gt;= 50000, SalesData[[#This Row],[Quantity]]&gt;=2),"Yes","No")</f>
        <v>No</v>
      </c>
      <c r="Z384" s="19" t="str">
        <f>UPPER(SalesData[[#This Row],[Customer_Name]])</f>
        <v>NISHA AGARWAL</v>
      </c>
      <c r="AA384" s="19" t="str">
        <f>LOWER(SalesData[[#This Row],[Customer_Name]])</f>
        <v>nisha agarwal</v>
      </c>
      <c r="AB384" s="19">
        <f>LEN(SalesData[[#This Row],[Customer_Name]])</f>
        <v>13</v>
      </c>
      <c r="AC384" s="19" t="str">
        <f>LEFT(SalesData[[#This Row],[Order_ID]],3)</f>
        <v>ORD</v>
      </c>
      <c r="AD384" s="19" t="str">
        <f>RIGHT(SalesData[[#This Row],[Order_ID]],4)</f>
        <v>0550</v>
      </c>
      <c r="AE384" s="19" t="str">
        <f>_xlfn.CONCAT(SalesData[[#This Row],[Clean_Customer_Name]],"-",SalesData[[#This Row],[Region]])</f>
        <v>Nisha Agarwal-North</v>
      </c>
      <c r="AF384" s="19" t="str">
        <f>MID(SalesData[[#This Row],[Order_ID]],4,4)</f>
        <v>0550</v>
      </c>
      <c r="AG384" s="19" t="e">
        <f ca="1">_xlfn.SINGLE(_xlfn.XLOOKUP(SalesData[[#This Row],[Product]],Product_Master!A:A,Product_Master!B:B,"Not Found"))</f>
        <v>#NAME?</v>
      </c>
      <c r="AH384" s="19" t="str">
        <f>VLOOKUP(SalesData[[#This Row],[Product]],Product_Master!$A$1:$B$21,2,FALSE)</f>
        <v>Rohan</v>
      </c>
      <c r="AI384" s="16"/>
    </row>
    <row r="385" spans="1:35" ht="13.8">
      <c r="A385" s="16" t="s">
        <v>1136</v>
      </c>
      <c r="B385" s="17">
        <v>45699</v>
      </c>
      <c r="C385" s="16" t="s">
        <v>93</v>
      </c>
      <c r="D385" s="16" t="s">
        <v>94</v>
      </c>
      <c r="E385" s="16" t="s">
        <v>49</v>
      </c>
      <c r="F385" s="16" t="s">
        <v>50</v>
      </c>
      <c r="G385" s="16" t="s">
        <v>51</v>
      </c>
      <c r="H385" s="16" t="s">
        <v>52</v>
      </c>
      <c r="I385" s="16" t="s">
        <v>42</v>
      </c>
      <c r="J385" s="16" t="s">
        <v>162</v>
      </c>
      <c r="K385" s="18">
        <v>24354.87</v>
      </c>
      <c r="L385" s="18">
        <v>18926.97</v>
      </c>
      <c r="M385" s="19">
        <v>3</v>
      </c>
      <c r="N385" s="20">
        <v>0.15</v>
      </c>
      <c r="O385" s="19" t="s">
        <v>25</v>
      </c>
      <c r="P385" s="19" t="s">
        <v>58</v>
      </c>
      <c r="Q385" s="19" t="str">
        <f>TRIM(SalesData[[#This Row],[Customer_Name]])</f>
        <v>Nisha Agarwal</v>
      </c>
      <c r="R385" s="21">
        <f>SalesData[[#This Row],[Sales]]-SalesData[[#This Row],[Cost]]</f>
        <v>5427.8999999999978</v>
      </c>
      <c r="S385" s="22">
        <f>IFERROR(SalesData[[#This Row],[Profit]]/SalesData[[#This Row],[Sales]],0)</f>
        <v>0.22286713088593771</v>
      </c>
      <c r="T385" s="19">
        <f>YEAR(SalesData[[#This Row],[Order_Date]])</f>
        <v>2025</v>
      </c>
      <c r="U385" s="19" t="str">
        <f>TEXT(SalesData[[#This Row],[Order_Date]],"mmm")</f>
        <v>Feb</v>
      </c>
      <c r="V385" s="19" t="str">
        <f>"Q"&amp;ROUNDUP(MONTH(SalesData[[#This Row],[Order_Date]])/3,0)</f>
        <v>Q1</v>
      </c>
      <c r="W385" s="19" t="str">
        <f>IF(SalesData[[#This Row],[Sales]]&gt;=50000,"High",IF(AND(SalesData[[#This Row],[Sales]]&gt;= 20000, SalesData[[#This Row],[Sales]]&lt; 50000),"Medium","Low"))</f>
        <v>Medium</v>
      </c>
      <c r="X385" s="19" t="str">
        <f>IF(SalesData[[#This Row],[Profit]]&gt;0,"Profit","Loss")</f>
        <v>Profit</v>
      </c>
      <c r="Y385" s="19" t="str">
        <f>IF(AND(SalesData[[#This Row],[Sales]]&gt;= 50000, SalesData[[#This Row],[Quantity]]&gt;=2),"Yes","No")</f>
        <v>No</v>
      </c>
      <c r="Z385" s="19" t="str">
        <f>UPPER(SalesData[[#This Row],[Customer_Name]])</f>
        <v>NISHA AGARWAL</v>
      </c>
      <c r="AA385" s="19" t="str">
        <f>LOWER(SalesData[[#This Row],[Customer_Name]])</f>
        <v>nisha agarwal</v>
      </c>
      <c r="AB385" s="19">
        <f>LEN(SalesData[[#This Row],[Customer_Name]])</f>
        <v>13</v>
      </c>
      <c r="AC385" s="19" t="str">
        <f>LEFT(SalesData[[#This Row],[Order_ID]],3)</f>
        <v>ORD</v>
      </c>
      <c r="AD385" s="19" t="str">
        <f>RIGHT(SalesData[[#This Row],[Order_ID]],4)</f>
        <v>0983</v>
      </c>
      <c r="AE385" s="19" t="str">
        <f>_xlfn.CONCAT(SalesData[[#This Row],[Clean_Customer_Name]],"-",SalesData[[#This Row],[Region]])</f>
        <v>Nisha Agarwal-East</v>
      </c>
      <c r="AF385" s="19" t="str">
        <f>MID(SalesData[[#This Row],[Order_ID]],4,4)</f>
        <v>0983</v>
      </c>
      <c r="AG385" s="19" t="e">
        <f ca="1">_xlfn.SINGLE(_xlfn.XLOOKUP(SalesData[[#This Row],[Product]],Product_Master!A:A,Product_Master!B:B,"Not Found"))</f>
        <v>#NAME?</v>
      </c>
      <c r="AH385" s="19" t="str">
        <f>VLOOKUP(SalesData[[#This Row],[Product]],Product_Master!$A$1:$B$21,2,FALSE)</f>
        <v>Rohan</v>
      </c>
      <c r="AI385" s="16"/>
    </row>
    <row r="386" spans="1:35" ht="13.8">
      <c r="A386" s="16" t="s">
        <v>394</v>
      </c>
      <c r="B386" s="17">
        <v>45295</v>
      </c>
      <c r="C386" s="16" t="s">
        <v>93</v>
      </c>
      <c r="D386" s="16" t="s">
        <v>94</v>
      </c>
      <c r="E386" s="16" t="s">
        <v>72</v>
      </c>
      <c r="F386" s="16" t="s">
        <v>73</v>
      </c>
      <c r="G386" s="16" t="s">
        <v>51</v>
      </c>
      <c r="H386" s="16" t="s">
        <v>74</v>
      </c>
      <c r="I386" s="16" t="s">
        <v>53</v>
      </c>
      <c r="J386" s="16" t="s">
        <v>102</v>
      </c>
      <c r="K386" s="18">
        <v>5628.62</v>
      </c>
      <c r="L386" s="18">
        <v>4382.79</v>
      </c>
      <c r="M386" s="19">
        <v>1</v>
      </c>
      <c r="N386" s="20">
        <v>0.2</v>
      </c>
      <c r="O386" s="19" t="s">
        <v>136</v>
      </c>
      <c r="P386" s="19" t="s">
        <v>26</v>
      </c>
      <c r="Q386" s="19" t="str">
        <f>TRIM(SalesData[[#This Row],[Customer_Name]])</f>
        <v>Nisha Agarwal</v>
      </c>
      <c r="R386" s="21">
        <f>SalesData[[#This Row],[Sales]]-SalesData[[#This Row],[Cost]]</f>
        <v>1245.83</v>
      </c>
      <c r="S386" s="22">
        <f>IFERROR(SalesData[[#This Row],[Profit]]/SalesData[[#This Row],[Sales]],0)</f>
        <v>0.22133844530275626</v>
      </c>
      <c r="T386" s="19">
        <f>YEAR(SalesData[[#This Row],[Order_Date]])</f>
        <v>2024</v>
      </c>
      <c r="U386" s="19" t="str">
        <f>TEXT(SalesData[[#This Row],[Order_Date]],"mmm")</f>
        <v>Jan</v>
      </c>
      <c r="V386" s="19" t="str">
        <f>"Q"&amp;ROUNDUP(MONTH(SalesData[[#This Row],[Order_Date]])/3,0)</f>
        <v>Q1</v>
      </c>
      <c r="W386" s="19" t="str">
        <f>IF(SalesData[[#This Row],[Sales]]&gt;=50000,"High",IF(AND(SalesData[[#This Row],[Sales]]&gt;= 20000, SalesData[[#This Row],[Sales]]&lt; 50000),"Medium","Low"))</f>
        <v>Low</v>
      </c>
      <c r="X386" s="19" t="str">
        <f>IF(SalesData[[#This Row],[Profit]]&gt;0,"Profit","Loss")</f>
        <v>Profit</v>
      </c>
      <c r="Y386" s="19" t="str">
        <f>IF(AND(SalesData[[#This Row],[Sales]]&gt;= 50000, SalesData[[#This Row],[Quantity]]&gt;=2),"Yes","No")</f>
        <v>No</v>
      </c>
      <c r="Z386" s="19" t="str">
        <f>UPPER(SalesData[[#This Row],[Customer_Name]])</f>
        <v>NISHA AGARWAL</v>
      </c>
      <c r="AA386" s="19" t="str">
        <f>LOWER(SalesData[[#This Row],[Customer_Name]])</f>
        <v>nisha agarwal</v>
      </c>
      <c r="AB386" s="19">
        <f>LEN(SalesData[[#This Row],[Customer_Name]])</f>
        <v>13</v>
      </c>
      <c r="AC386" s="19" t="str">
        <f>LEFT(SalesData[[#This Row],[Order_ID]],3)</f>
        <v>ORD</v>
      </c>
      <c r="AD386" s="19" t="str">
        <f>RIGHT(SalesData[[#This Row],[Order_ID]],4)</f>
        <v>0241</v>
      </c>
      <c r="AE386" s="19" t="str">
        <f>_xlfn.CONCAT(SalesData[[#This Row],[Clean_Customer_Name]],"-",SalesData[[#This Row],[Region]])</f>
        <v>Nisha Agarwal-Central</v>
      </c>
      <c r="AF386" s="19" t="str">
        <f>MID(SalesData[[#This Row],[Order_ID]],4,4)</f>
        <v>0241</v>
      </c>
      <c r="AG386" s="19" t="e">
        <f ca="1">_xlfn.SINGLE(_xlfn.XLOOKUP(SalesData[[#This Row],[Product]],Product_Master!A:A,Product_Master!B:B,"Not Found"))</f>
        <v>#NAME?</v>
      </c>
      <c r="AH386" s="19" t="str">
        <f>VLOOKUP(SalesData[[#This Row],[Product]],Product_Master!$A$1:$B$21,2,FALSE)</f>
        <v>Anjali</v>
      </c>
      <c r="AI386" s="16"/>
    </row>
    <row r="387" spans="1:35" ht="13.8">
      <c r="A387" s="16" t="s">
        <v>681</v>
      </c>
      <c r="B387" s="17">
        <v>45549</v>
      </c>
      <c r="C387" s="16" t="s">
        <v>93</v>
      </c>
      <c r="D387" s="16" t="s">
        <v>94</v>
      </c>
      <c r="E387" s="16" t="s">
        <v>72</v>
      </c>
      <c r="F387" s="16" t="s">
        <v>73</v>
      </c>
      <c r="G387" s="16" t="s">
        <v>51</v>
      </c>
      <c r="H387" s="16" t="s">
        <v>74</v>
      </c>
      <c r="I387" s="16" t="s">
        <v>42</v>
      </c>
      <c r="J387" s="16" t="s">
        <v>68</v>
      </c>
      <c r="K387" s="18">
        <v>6671.69</v>
      </c>
      <c r="L387" s="18">
        <v>3768.46</v>
      </c>
      <c r="M387" s="19">
        <v>1</v>
      </c>
      <c r="N387" s="20">
        <v>0</v>
      </c>
      <c r="O387" s="19" t="s">
        <v>25</v>
      </c>
      <c r="P387" s="19" t="s">
        <v>98</v>
      </c>
      <c r="Q387" s="19" t="str">
        <f>TRIM(SalesData[[#This Row],[Customer_Name]])</f>
        <v>Nisha Agarwal</v>
      </c>
      <c r="R387" s="21">
        <f>SalesData[[#This Row],[Sales]]-SalesData[[#This Row],[Cost]]</f>
        <v>2903.2299999999996</v>
      </c>
      <c r="S387" s="22">
        <f>IFERROR(SalesData[[#This Row],[Profit]]/SalesData[[#This Row],[Sales]],0)</f>
        <v>0.43515660949474566</v>
      </c>
      <c r="T387" s="19">
        <f>YEAR(SalesData[[#This Row],[Order_Date]])</f>
        <v>2024</v>
      </c>
      <c r="U387" s="19" t="str">
        <f>TEXT(SalesData[[#This Row],[Order_Date]],"mmm")</f>
        <v>Sept</v>
      </c>
      <c r="V387" s="19" t="str">
        <f>"Q"&amp;ROUNDUP(MONTH(SalesData[[#This Row],[Order_Date]])/3,0)</f>
        <v>Q3</v>
      </c>
      <c r="W387" s="19" t="str">
        <f>IF(SalesData[[#This Row],[Sales]]&gt;=50000,"High",IF(AND(SalesData[[#This Row],[Sales]]&gt;= 20000, SalesData[[#This Row],[Sales]]&lt; 50000),"Medium","Low"))</f>
        <v>Low</v>
      </c>
      <c r="X387" s="19" t="str">
        <f>IF(SalesData[[#This Row],[Profit]]&gt;0,"Profit","Loss")</f>
        <v>Profit</v>
      </c>
      <c r="Y387" s="19" t="str">
        <f>IF(AND(SalesData[[#This Row],[Sales]]&gt;= 50000, SalesData[[#This Row],[Quantity]]&gt;=2),"Yes","No")</f>
        <v>No</v>
      </c>
      <c r="Z387" s="19" t="str">
        <f>UPPER(SalesData[[#This Row],[Customer_Name]])</f>
        <v>NISHA AGARWAL</v>
      </c>
      <c r="AA387" s="19" t="str">
        <f>LOWER(SalesData[[#This Row],[Customer_Name]])</f>
        <v>nisha agarwal</v>
      </c>
      <c r="AB387" s="19">
        <f>LEN(SalesData[[#This Row],[Customer_Name]])</f>
        <v>13</v>
      </c>
      <c r="AC387" s="19" t="str">
        <f>LEFT(SalesData[[#This Row],[Order_ID]],3)</f>
        <v>ORD</v>
      </c>
      <c r="AD387" s="19" t="str">
        <f>RIGHT(SalesData[[#This Row],[Order_ID]],4)</f>
        <v>0528</v>
      </c>
      <c r="AE387" s="19" t="str">
        <f>_xlfn.CONCAT(SalesData[[#This Row],[Clean_Customer_Name]],"-",SalesData[[#This Row],[Region]])</f>
        <v>Nisha Agarwal-East</v>
      </c>
      <c r="AF387" s="19" t="str">
        <f>MID(SalesData[[#This Row],[Order_ID]],4,4)</f>
        <v>0528</v>
      </c>
      <c r="AG387" s="19" t="e">
        <f ca="1">_xlfn.SINGLE(_xlfn.XLOOKUP(SalesData[[#This Row],[Product]],Product_Master!A:A,Product_Master!B:B,"Not Found"))</f>
        <v>#NAME?</v>
      </c>
      <c r="AH387" s="19" t="str">
        <f>VLOOKUP(SalesData[[#This Row],[Product]],Product_Master!$A$1:$B$21,2,FALSE)</f>
        <v>Anjali</v>
      </c>
      <c r="AI387" s="16"/>
    </row>
    <row r="388" spans="1:35" ht="13.8">
      <c r="A388" s="16" t="s">
        <v>518</v>
      </c>
      <c r="B388" s="17">
        <v>45473</v>
      </c>
      <c r="C388" s="16" t="s">
        <v>93</v>
      </c>
      <c r="D388" s="16" t="s">
        <v>94</v>
      </c>
      <c r="E388" s="16" t="s">
        <v>123</v>
      </c>
      <c r="F388" s="16" t="s">
        <v>124</v>
      </c>
      <c r="G388" s="16" t="s">
        <v>51</v>
      </c>
      <c r="H388" s="16" t="s">
        <v>125</v>
      </c>
      <c r="I388" s="16" t="s">
        <v>23</v>
      </c>
      <c r="J388" s="16" t="s">
        <v>75</v>
      </c>
      <c r="K388" s="18">
        <v>31522.06</v>
      </c>
      <c r="L388" s="18">
        <v>19615.64</v>
      </c>
      <c r="M388" s="19">
        <v>1</v>
      </c>
      <c r="N388" s="20">
        <v>0.15</v>
      </c>
      <c r="O388" s="19" t="s">
        <v>34</v>
      </c>
      <c r="P388" s="19" t="s">
        <v>58</v>
      </c>
      <c r="Q388" s="19" t="str">
        <f>TRIM(SalesData[[#This Row],[Customer_Name]])</f>
        <v>Nisha Agarwal</v>
      </c>
      <c r="R388" s="21">
        <f>SalesData[[#This Row],[Sales]]-SalesData[[#This Row],[Cost]]</f>
        <v>11906.420000000002</v>
      </c>
      <c r="S388" s="22">
        <f>IFERROR(SalesData[[#This Row],[Profit]]/SalesData[[#This Row],[Sales]],0)</f>
        <v>0.37771706544559591</v>
      </c>
      <c r="T388" s="19">
        <f>YEAR(SalesData[[#This Row],[Order_Date]])</f>
        <v>2024</v>
      </c>
      <c r="U388" s="19" t="str">
        <f>TEXT(SalesData[[#This Row],[Order_Date]],"mmm")</f>
        <v>Jun</v>
      </c>
      <c r="V388" s="19" t="str">
        <f>"Q"&amp;ROUNDUP(MONTH(SalesData[[#This Row],[Order_Date]])/3,0)</f>
        <v>Q2</v>
      </c>
      <c r="W388" s="19" t="str">
        <f>IF(SalesData[[#This Row],[Sales]]&gt;=50000,"High",IF(AND(SalesData[[#This Row],[Sales]]&gt;= 20000, SalesData[[#This Row],[Sales]]&lt; 50000),"Medium","Low"))</f>
        <v>Medium</v>
      </c>
      <c r="X388" s="19" t="str">
        <f>IF(SalesData[[#This Row],[Profit]]&gt;0,"Profit","Loss")</f>
        <v>Profit</v>
      </c>
      <c r="Y388" s="19" t="str">
        <f>IF(AND(SalesData[[#This Row],[Sales]]&gt;= 50000, SalesData[[#This Row],[Quantity]]&gt;=2),"Yes","No")</f>
        <v>No</v>
      </c>
      <c r="Z388" s="19" t="str">
        <f>UPPER(SalesData[[#This Row],[Customer_Name]])</f>
        <v>NISHA AGARWAL</v>
      </c>
      <c r="AA388" s="19" t="str">
        <f>LOWER(SalesData[[#This Row],[Customer_Name]])</f>
        <v>nisha agarwal</v>
      </c>
      <c r="AB388" s="19">
        <f>LEN(SalesData[[#This Row],[Customer_Name]])</f>
        <v>13</v>
      </c>
      <c r="AC388" s="19" t="str">
        <f>LEFT(SalesData[[#This Row],[Order_ID]],3)</f>
        <v>ORD</v>
      </c>
      <c r="AD388" s="19" t="str">
        <f>RIGHT(SalesData[[#This Row],[Order_ID]],4)</f>
        <v>0365</v>
      </c>
      <c r="AE388" s="19" t="str">
        <f>_xlfn.CONCAT(SalesData[[#This Row],[Clean_Customer_Name]],"-",SalesData[[#This Row],[Region]])</f>
        <v>Nisha Agarwal-North</v>
      </c>
      <c r="AF388" s="19" t="str">
        <f>MID(SalesData[[#This Row],[Order_ID]],4,4)</f>
        <v>0365</v>
      </c>
      <c r="AG388" s="19" t="e">
        <f ca="1">_xlfn.SINGLE(_xlfn.XLOOKUP(SalesData[[#This Row],[Product]],Product_Master!A:A,Product_Master!B:B,"Not Found"))</f>
        <v>#NAME?</v>
      </c>
      <c r="AH388" s="19" t="str">
        <f>VLOOKUP(SalesData[[#This Row],[Product]],Product_Master!$A$1:$B$21,2,FALSE)</f>
        <v>Sneha</v>
      </c>
      <c r="AI388" s="16"/>
    </row>
    <row r="389" spans="1:35" ht="13.8">
      <c r="A389" s="16" t="s">
        <v>135</v>
      </c>
      <c r="B389" s="17">
        <v>45403</v>
      </c>
      <c r="C389" s="16" t="s">
        <v>93</v>
      </c>
      <c r="D389" s="16" t="s">
        <v>94</v>
      </c>
      <c r="E389" s="16" t="s">
        <v>110</v>
      </c>
      <c r="F389" s="16" t="s">
        <v>111</v>
      </c>
      <c r="G389" s="16" t="s">
        <v>40</v>
      </c>
      <c r="H389" s="16" t="s">
        <v>112</v>
      </c>
      <c r="I389" s="16" t="s">
        <v>53</v>
      </c>
      <c r="J389" s="16" t="s">
        <v>54</v>
      </c>
      <c r="K389" s="18">
        <v>6278.85</v>
      </c>
      <c r="L389" s="18">
        <v>2251.96</v>
      </c>
      <c r="M389" s="19">
        <v>2</v>
      </c>
      <c r="N389" s="20">
        <v>0.05</v>
      </c>
      <c r="O389" s="19" t="s">
        <v>136</v>
      </c>
      <c r="P389" s="19" t="s">
        <v>58</v>
      </c>
      <c r="Q389" s="19" t="str">
        <f>TRIM(SalesData[[#This Row],[Customer_Name]])</f>
        <v>Nisha Agarwal</v>
      </c>
      <c r="R389" s="21">
        <f>SalesData[[#This Row],[Sales]]-SalesData[[#This Row],[Cost]]</f>
        <v>4026.8900000000003</v>
      </c>
      <c r="S389" s="22">
        <f>IFERROR(SalesData[[#This Row],[Profit]]/SalesData[[#This Row],[Sales]],0)</f>
        <v>0.64134196548731059</v>
      </c>
      <c r="T389" s="19">
        <f>YEAR(SalesData[[#This Row],[Order_Date]])</f>
        <v>2024</v>
      </c>
      <c r="U389" s="19" t="str">
        <f>TEXT(SalesData[[#This Row],[Order_Date]],"mmm")</f>
        <v>Apr</v>
      </c>
      <c r="V389" s="19" t="str">
        <f>"Q"&amp;ROUNDUP(MONTH(SalesData[[#This Row],[Order_Date]])/3,0)</f>
        <v>Q2</v>
      </c>
      <c r="W389" s="19" t="str">
        <f>IF(SalesData[[#This Row],[Sales]]&gt;=50000,"High",IF(AND(SalesData[[#This Row],[Sales]]&gt;= 20000, SalesData[[#This Row],[Sales]]&lt; 50000),"Medium","Low"))</f>
        <v>Low</v>
      </c>
      <c r="X389" s="19" t="str">
        <f>IF(SalesData[[#This Row],[Profit]]&gt;0,"Profit","Loss")</f>
        <v>Profit</v>
      </c>
      <c r="Y389" s="19" t="str">
        <f>IF(AND(SalesData[[#This Row],[Sales]]&gt;= 50000, SalesData[[#This Row],[Quantity]]&gt;=2),"Yes","No")</f>
        <v>No</v>
      </c>
      <c r="Z389" s="19" t="str">
        <f>UPPER(SalesData[[#This Row],[Customer_Name]])</f>
        <v>NISHA AGARWAL</v>
      </c>
      <c r="AA389" s="19" t="str">
        <f>LOWER(SalesData[[#This Row],[Customer_Name]])</f>
        <v>nisha agarwal</v>
      </c>
      <c r="AB389" s="19">
        <f>LEN(SalesData[[#This Row],[Customer_Name]])</f>
        <v>13</v>
      </c>
      <c r="AC389" s="19" t="str">
        <f>LEFT(SalesData[[#This Row],[Order_ID]],3)</f>
        <v>ORD</v>
      </c>
      <c r="AD389" s="19" t="str">
        <f>RIGHT(SalesData[[#This Row],[Order_ID]],4)</f>
        <v>0024</v>
      </c>
      <c r="AE389" s="19" t="str">
        <f>_xlfn.CONCAT(SalesData[[#This Row],[Clean_Customer_Name]],"-",SalesData[[#This Row],[Region]])</f>
        <v>Nisha Agarwal-Central</v>
      </c>
      <c r="AF389" s="19" t="str">
        <f>MID(SalesData[[#This Row],[Order_ID]],4,4)</f>
        <v>0024</v>
      </c>
      <c r="AG389" s="19" t="e">
        <f ca="1">_xlfn.SINGLE(_xlfn.XLOOKUP(SalesData[[#This Row],[Product]],Product_Master!A:A,Product_Master!B:B,"Not Found"))</f>
        <v>#NAME?</v>
      </c>
      <c r="AH389" s="19" t="str">
        <f>VLOOKUP(SalesData[[#This Row],[Product]],Product_Master!$A$1:$B$21,2,FALSE)</f>
        <v>Vikas</v>
      </c>
      <c r="AI389" s="16"/>
    </row>
    <row r="390" spans="1:35" ht="13.8">
      <c r="A390" s="16" t="s">
        <v>1120</v>
      </c>
      <c r="B390" s="17">
        <v>45540</v>
      </c>
      <c r="C390" s="16" t="s">
        <v>93</v>
      </c>
      <c r="D390" s="16" t="s">
        <v>94</v>
      </c>
      <c r="E390" s="16" t="s">
        <v>110</v>
      </c>
      <c r="F390" s="16" t="s">
        <v>111</v>
      </c>
      <c r="G390" s="16" t="s">
        <v>40</v>
      </c>
      <c r="H390" s="16" t="s">
        <v>112</v>
      </c>
      <c r="I390" s="16" t="s">
        <v>84</v>
      </c>
      <c r="J390" s="16" t="s">
        <v>134</v>
      </c>
      <c r="K390" s="18">
        <v>8851.43</v>
      </c>
      <c r="L390" s="18">
        <v>2418.86</v>
      </c>
      <c r="M390" s="19">
        <v>2</v>
      </c>
      <c r="N390" s="20">
        <v>0.05</v>
      </c>
      <c r="O390" s="19" t="s">
        <v>76</v>
      </c>
      <c r="P390" s="19" t="s">
        <v>26</v>
      </c>
      <c r="Q390" s="19" t="str">
        <f>TRIM(SalesData[[#This Row],[Customer_Name]])</f>
        <v>Nisha Agarwal</v>
      </c>
      <c r="R390" s="21">
        <f>SalesData[[#This Row],[Sales]]-SalesData[[#This Row],[Cost]]</f>
        <v>6432.57</v>
      </c>
      <c r="S390" s="22">
        <f>IFERROR(SalesData[[#This Row],[Profit]]/SalesData[[#This Row],[Sales]],0)</f>
        <v>0.72672664190983827</v>
      </c>
      <c r="T390" s="19">
        <f>YEAR(SalesData[[#This Row],[Order_Date]])</f>
        <v>2024</v>
      </c>
      <c r="U390" s="19" t="str">
        <f>TEXT(SalesData[[#This Row],[Order_Date]],"mmm")</f>
        <v>Sept</v>
      </c>
      <c r="V390" s="19" t="str">
        <f>"Q"&amp;ROUNDUP(MONTH(SalesData[[#This Row],[Order_Date]])/3,0)</f>
        <v>Q3</v>
      </c>
      <c r="W390" s="19" t="str">
        <f>IF(SalesData[[#This Row],[Sales]]&gt;=50000,"High",IF(AND(SalesData[[#This Row],[Sales]]&gt;= 20000, SalesData[[#This Row],[Sales]]&lt; 50000),"Medium","Low"))</f>
        <v>Low</v>
      </c>
      <c r="X390" s="19" t="str">
        <f>IF(SalesData[[#This Row],[Profit]]&gt;0,"Profit","Loss")</f>
        <v>Profit</v>
      </c>
      <c r="Y390" s="19" t="str">
        <f>IF(AND(SalesData[[#This Row],[Sales]]&gt;= 50000, SalesData[[#This Row],[Quantity]]&gt;=2),"Yes","No")</f>
        <v>No</v>
      </c>
      <c r="Z390" s="19" t="str">
        <f>UPPER(SalesData[[#This Row],[Customer_Name]])</f>
        <v>NISHA AGARWAL</v>
      </c>
      <c r="AA390" s="19" t="str">
        <f>LOWER(SalesData[[#This Row],[Customer_Name]])</f>
        <v>nisha agarwal</v>
      </c>
      <c r="AB390" s="19">
        <f>LEN(SalesData[[#This Row],[Customer_Name]])</f>
        <v>13</v>
      </c>
      <c r="AC390" s="19" t="str">
        <f>LEFT(SalesData[[#This Row],[Order_ID]],3)</f>
        <v>ORD</v>
      </c>
      <c r="AD390" s="19" t="str">
        <f>RIGHT(SalesData[[#This Row],[Order_ID]],4)</f>
        <v>0967</v>
      </c>
      <c r="AE390" s="19" t="str">
        <f>_xlfn.CONCAT(SalesData[[#This Row],[Clean_Customer_Name]],"-",SalesData[[#This Row],[Region]])</f>
        <v>Nisha Agarwal-South</v>
      </c>
      <c r="AF390" s="19" t="str">
        <f>MID(SalesData[[#This Row],[Order_ID]],4,4)</f>
        <v>0967</v>
      </c>
      <c r="AG390" s="19" t="e">
        <f ca="1">_xlfn.SINGLE(_xlfn.XLOOKUP(SalesData[[#This Row],[Product]],Product_Master!A:A,Product_Master!B:B,"Not Found"))</f>
        <v>#NAME?</v>
      </c>
      <c r="AH390" s="19" t="str">
        <f>VLOOKUP(SalesData[[#This Row],[Product]],Product_Master!$A$1:$B$21,2,FALSE)</f>
        <v>Vikas</v>
      </c>
      <c r="AI390" s="16"/>
    </row>
    <row r="391" spans="1:35" ht="13.8">
      <c r="A391" s="16" t="s">
        <v>287</v>
      </c>
      <c r="B391" s="17">
        <v>45425</v>
      </c>
      <c r="C391" s="16" t="s">
        <v>93</v>
      </c>
      <c r="D391" s="16" t="s">
        <v>94</v>
      </c>
      <c r="E391" s="16" t="s">
        <v>172</v>
      </c>
      <c r="F391" s="16" t="s">
        <v>173</v>
      </c>
      <c r="G391" s="16" t="s">
        <v>40</v>
      </c>
      <c r="H391" s="16" t="s">
        <v>41</v>
      </c>
      <c r="I391" s="16" t="s">
        <v>53</v>
      </c>
      <c r="J391" s="16" t="s">
        <v>54</v>
      </c>
      <c r="K391" s="18">
        <v>15480.88</v>
      </c>
      <c r="L391" s="18">
        <v>4104</v>
      </c>
      <c r="M391" s="19">
        <v>5</v>
      </c>
      <c r="N391" s="20">
        <v>0.2</v>
      </c>
      <c r="O391" s="19" t="s">
        <v>44</v>
      </c>
      <c r="P391" s="19" t="s">
        <v>58</v>
      </c>
      <c r="Q391" s="19" t="str">
        <f>TRIM(SalesData[[#This Row],[Customer_Name]])</f>
        <v>Nisha Agarwal</v>
      </c>
      <c r="R391" s="21">
        <f>SalesData[[#This Row],[Sales]]-SalesData[[#This Row],[Cost]]</f>
        <v>11376.88</v>
      </c>
      <c r="S391" s="22">
        <f>IFERROR(SalesData[[#This Row],[Profit]]/SalesData[[#This Row],[Sales]],0)</f>
        <v>0.73489879128318281</v>
      </c>
      <c r="T391" s="19">
        <f>YEAR(SalesData[[#This Row],[Order_Date]])</f>
        <v>2024</v>
      </c>
      <c r="U391" s="19" t="str">
        <f>TEXT(SalesData[[#This Row],[Order_Date]],"mmm")</f>
        <v>May</v>
      </c>
      <c r="V391" s="19" t="str">
        <f>"Q"&amp;ROUNDUP(MONTH(SalesData[[#This Row],[Order_Date]])/3,0)</f>
        <v>Q2</v>
      </c>
      <c r="W391" s="19" t="str">
        <f>IF(SalesData[[#This Row],[Sales]]&gt;=50000,"High",IF(AND(SalesData[[#This Row],[Sales]]&gt;= 20000, SalesData[[#This Row],[Sales]]&lt; 50000),"Medium","Low"))</f>
        <v>Low</v>
      </c>
      <c r="X391" s="19" t="str">
        <f>IF(SalesData[[#This Row],[Profit]]&gt;0,"Profit","Loss")</f>
        <v>Profit</v>
      </c>
      <c r="Y391" s="19" t="str">
        <f>IF(AND(SalesData[[#This Row],[Sales]]&gt;= 50000, SalesData[[#This Row],[Quantity]]&gt;=2),"Yes","No")</f>
        <v>No</v>
      </c>
      <c r="Z391" s="19" t="str">
        <f>UPPER(SalesData[[#This Row],[Customer_Name]])</f>
        <v>NISHA AGARWAL</v>
      </c>
      <c r="AA391" s="19" t="str">
        <f>LOWER(SalesData[[#This Row],[Customer_Name]])</f>
        <v>nisha agarwal</v>
      </c>
      <c r="AB391" s="19">
        <f>LEN(SalesData[[#This Row],[Customer_Name]])</f>
        <v>13</v>
      </c>
      <c r="AC391" s="19" t="str">
        <f>LEFT(SalesData[[#This Row],[Order_ID]],3)</f>
        <v>ORD</v>
      </c>
      <c r="AD391" s="19" t="str">
        <f>RIGHT(SalesData[[#This Row],[Order_ID]],4)</f>
        <v>0134</v>
      </c>
      <c r="AE391" s="19" t="str">
        <f>_xlfn.CONCAT(SalesData[[#This Row],[Clean_Customer_Name]],"-",SalesData[[#This Row],[Region]])</f>
        <v>Nisha Agarwal-Central</v>
      </c>
      <c r="AF391" s="19" t="str">
        <f>MID(SalesData[[#This Row],[Order_ID]],4,4)</f>
        <v>0134</v>
      </c>
      <c r="AG391" s="19" t="e">
        <f ca="1">_xlfn.SINGLE(_xlfn.XLOOKUP(SalesData[[#This Row],[Product]],Product_Master!A:A,Product_Master!B:B,"Not Found"))</f>
        <v>#NAME?</v>
      </c>
      <c r="AH391" s="19" t="str">
        <f>VLOOKUP(SalesData[[#This Row],[Product]],Product_Master!$A$1:$B$21,2,FALSE)</f>
        <v>Pooja</v>
      </c>
      <c r="AI391" s="16"/>
    </row>
    <row r="392" spans="1:35" ht="13.8">
      <c r="A392" s="16" t="s">
        <v>1103</v>
      </c>
      <c r="B392" s="17">
        <v>45491</v>
      </c>
      <c r="C392" s="16" t="s">
        <v>93</v>
      </c>
      <c r="D392" s="16" t="s">
        <v>94</v>
      </c>
      <c r="E392" s="16" t="s">
        <v>106</v>
      </c>
      <c r="F392" s="16" t="s">
        <v>107</v>
      </c>
      <c r="G392" s="16" t="s">
        <v>40</v>
      </c>
      <c r="H392" s="16" t="s">
        <v>108</v>
      </c>
      <c r="I392" s="16" t="s">
        <v>53</v>
      </c>
      <c r="J392" s="16" t="s">
        <v>102</v>
      </c>
      <c r="K392" s="18">
        <v>5135.05</v>
      </c>
      <c r="L392" s="18">
        <v>2541.16</v>
      </c>
      <c r="M392" s="19">
        <v>4</v>
      </c>
      <c r="N392" s="20">
        <v>0.05</v>
      </c>
      <c r="O392" s="19" t="s">
        <v>44</v>
      </c>
      <c r="P392" s="19" t="s">
        <v>98</v>
      </c>
      <c r="Q392" s="19" t="str">
        <f>TRIM(SalesData[[#This Row],[Customer_Name]])</f>
        <v>Nisha Agarwal</v>
      </c>
      <c r="R392" s="21">
        <f>SalesData[[#This Row],[Sales]]-SalesData[[#This Row],[Cost]]</f>
        <v>2593.8900000000003</v>
      </c>
      <c r="S392" s="22">
        <f>IFERROR(SalesData[[#This Row],[Profit]]/SalesData[[#This Row],[Sales]],0)</f>
        <v>0.50513432196375896</v>
      </c>
      <c r="T392" s="19">
        <f>YEAR(SalesData[[#This Row],[Order_Date]])</f>
        <v>2024</v>
      </c>
      <c r="U392" s="19" t="str">
        <f>TEXT(SalesData[[#This Row],[Order_Date]],"mmm")</f>
        <v>Jul</v>
      </c>
      <c r="V392" s="19" t="str">
        <f>"Q"&amp;ROUNDUP(MONTH(SalesData[[#This Row],[Order_Date]])/3,0)</f>
        <v>Q3</v>
      </c>
      <c r="W392" s="19" t="str">
        <f>IF(SalesData[[#This Row],[Sales]]&gt;=50000,"High",IF(AND(SalesData[[#This Row],[Sales]]&gt;= 20000, SalesData[[#This Row],[Sales]]&lt; 50000),"Medium","Low"))</f>
        <v>Low</v>
      </c>
      <c r="X392" s="19" t="str">
        <f>IF(SalesData[[#This Row],[Profit]]&gt;0,"Profit","Loss")</f>
        <v>Profit</v>
      </c>
      <c r="Y392" s="19" t="str">
        <f>IF(AND(SalesData[[#This Row],[Sales]]&gt;= 50000, SalesData[[#This Row],[Quantity]]&gt;=2),"Yes","No")</f>
        <v>No</v>
      </c>
      <c r="Z392" s="19" t="str">
        <f>UPPER(SalesData[[#This Row],[Customer_Name]])</f>
        <v>NISHA AGARWAL</v>
      </c>
      <c r="AA392" s="19" t="str">
        <f>LOWER(SalesData[[#This Row],[Customer_Name]])</f>
        <v>nisha agarwal</v>
      </c>
      <c r="AB392" s="19">
        <f>LEN(SalesData[[#This Row],[Customer_Name]])</f>
        <v>13</v>
      </c>
      <c r="AC392" s="19" t="str">
        <f>LEFT(SalesData[[#This Row],[Order_ID]],3)</f>
        <v>ORD</v>
      </c>
      <c r="AD392" s="19" t="str">
        <f>RIGHT(SalesData[[#This Row],[Order_ID]],4)</f>
        <v>0950</v>
      </c>
      <c r="AE392" s="19" t="str">
        <f>_xlfn.CONCAT(SalesData[[#This Row],[Clean_Customer_Name]],"-",SalesData[[#This Row],[Region]])</f>
        <v>Nisha Agarwal-Central</v>
      </c>
      <c r="AF392" s="19" t="str">
        <f>MID(SalesData[[#This Row],[Order_ID]],4,4)</f>
        <v>0950</v>
      </c>
      <c r="AG392" s="19" t="e">
        <f ca="1">_xlfn.SINGLE(_xlfn.XLOOKUP(SalesData[[#This Row],[Product]],Product_Master!A:A,Product_Master!B:B,"Not Found"))</f>
        <v>#NAME?</v>
      </c>
      <c r="AH392" s="19" t="str">
        <f>VLOOKUP(SalesData[[#This Row],[Product]],Product_Master!$A$1:$B$21,2,FALSE)</f>
        <v>Aditya</v>
      </c>
      <c r="AI392" s="16"/>
    </row>
    <row r="393" spans="1:35" ht="13.8">
      <c r="A393" s="16" t="s">
        <v>947</v>
      </c>
      <c r="B393" s="17">
        <v>45632</v>
      </c>
      <c r="C393" s="16" t="s">
        <v>93</v>
      </c>
      <c r="D393" s="16" t="s">
        <v>94</v>
      </c>
      <c r="E393" s="16" t="s">
        <v>132</v>
      </c>
      <c r="F393" s="16" t="s">
        <v>133</v>
      </c>
      <c r="G393" s="16" t="s">
        <v>40</v>
      </c>
      <c r="H393" s="16" t="s">
        <v>41</v>
      </c>
      <c r="I393" s="16" t="s">
        <v>53</v>
      </c>
      <c r="J393" s="16" t="s">
        <v>102</v>
      </c>
      <c r="K393" s="18">
        <v>3979.4</v>
      </c>
      <c r="L393" s="18">
        <v>1075.3599999999999</v>
      </c>
      <c r="M393" s="19">
        <v>4</v>
      </c>
      <c r="N393" s="20">
        <v>0.05</v>
      </c>
      <c r="O393" s="19" t="s">
        <v>44</v>
      </c>
      <c r="P393" s="19" t="s">
        <v>58</v>
      </c>
      <c r="Q393" s="19" t="str">
        <f>TRIM(SalesData[[#This Row],[Customer_Name]])</f>
        <v>Nisha Agarwal</v>
      </c>
      <c r="R393" s="21">
        <f>SalesData[[#This Row],[Sales]]-SalesData[[#This Row],[Cost]]</f>
        <v>2904.04</v>
      </c>
      <c r="S393" s="22">
        <f>IFERROR(SalesData[[#This Row],[Profit]]/SalesData[[#This Row],[Sales]],0)</f>
        <v>0.72976830677991655</v>
      </c>
      <c r="T393" s="19">
        <f>YEAR(SalesData[[#This Row],[Order_Date]])</f>
        <v>2024</v>
      </c>
      <c r="U393" s="19" t="str">
        <f>TEXT(SalesData[[#This Row],[Order_Date]],"mmm")</f>
        <v>Dec</v>
      </c>
      <c r="V393" s="19" t="str">
        <f>"Q"&amp;ROUNDUP(MONTH(SalesData[[#This Row],[Order_Date]])/3,0)</f>
        <v>Q4</v>
      </c>
      <c r="W393" s="19" t="str">
        <f>IF(SalesData[[#This Row],[Sales]]&gt;=50000,"High",IF(AND(SalesData[[#This Row],[Sales]]&gt;= 20000, SalesData[[#This Row],[Sales]]&lt; 50000),"Medium","Low"))</f>
        <v>Low</v>
      </c>
      <c r="X393" s="19" t="str">
        <f>IF(SalesData[[#This Row],[Profit]]&gt;0,"Profit","Loss")</f>
        <v>Profit</v>
      </c>
      <c r="Y393" s="19" t="str">
        <f>IF(AND(SalesData[[#This Row],[Sales]]&gt;= 50000, SalesData[[#This Row],[Quantity]]&gt;=2),"Yes","No")</f>
        <v>No</v>
      </c>
      <c r="Z393" s="19" t="str">
        <f>UPPER(SalesData[[#This Row],[Customer_Name]])</f>
        <v>NISHA AGARWAL</v>
      </c>
      <c r="AA393" s="19" t="str">
        <f>LOWER(SalesData[[#This Row],[Customer_Name]])</f>
        <v>nisha agarwal</v>
      </c>
      <c r="AB393" s="19">
        <f>LEN(SalesData[[#This Row],[Customer_Name]])</f>
        <v>13</v>
      </c>
      <c r="AC393" s="19" t="str">
        <f>LEFT(SalesData[[#This Row],[Order_ID]],3)</f>
        <v>ORD</v>
      </c>
      <c r="AD393" s="19" t="str">
        <f>RIGHT(SalesData[[#This Row],[Order_ID]],4)</f>
        <v>0794</v>
      </c>
      <c r="AE393" s="19" t="str">
        <f>_xlfn.CONCAT(SalesData[[#This Row],[Clean_Customer_Name]],"-",SalesData[[#This Row],[Region]])</f>
        <v>Nisha Agarwal-Central</v>
      </c>
      <c r="AF393" s="19" t="str">
        <f>MID(SalesData[[#This Row],[Order_ID]],4,4)</f>
        <v>0794</v>
      </c>
      <c r="AG393" s="19" t="e">
        <f ca="1">_xlfn.SINGLE(_xlfn.XLOOKUP(SalesData[[#This Row],[Product]],Product_Master!A:A,Product_Master!B:B,"Not Found"))</f>
        <v>#NAME?</v>
      </c>
      <c r="AH393" s="19" t="str">
        <f>VLOOKUP(SalesData[[#This Row],[Product]],Product_Master!$A$1:$B$21,2,FALSE)</f>
        <v>Kavya</v>
      </c>
      <c r="AI393" s="16"/>
    </row>
    <row r="394" spans="1:35" ht="13.8">
      <c r="A394" s="16" t="s">
        <v>1117</v>
      </c>
      <c r="B394" s="17">
        <v>45541</v>
      </c>
      <c r="C394" s="16" t="s">
        <v>93</v>
      </c>
      <c r="D394" s="16" t="s">
        <v>94</v>
      </c>
      <c r="E394" s="16" t="s">
        <v>132</v>
      </c>
      <c r="F394" s="16" t="s">
        <v>133</v>
      </c>
      <c r="G394" s="16" t="s">
        <v>40</v>
      </c>
      <c r="H394" s="16" t="s">
        <v>41</v>
      </c>
      <c r="I394" s="16" t="s">
        <v>53</v>
      </c>
      <c r="J394" s="16" t="s">
        <v>54</v>
      </c>
      <c r="K394" s="18">
        <v>1984.41</v>
      </c>
      <c r="L394" s="18">
        <v>1144.8499999999999</v>
      </c>
      <c r="M394" s="19">
        <v>5</v>
      </c>
      <c r="N394" s="20">
        <v>0.15</v>
      </c>
      <c r="O394" s="19" t="s">
        <v>44</v>
      </c>
      <c r="P394" s="19" t="s">
        <v>58</v>
      </c>
      <c r="Q394" s="19" t="str">
        <f>TRIM(SalesData[[#This Row],[Customer_Name]])</f>
        <v>Nisha Agarwal</v>
      </c>
      <c r="R394" s="21">
        <f>SalesData[[#This Row],[Sales]]-SalesData[[#This Row],[Cost]]</f>
        <v>839.56000000000017</v>
      </c>
      <c r="S394" s="22">
        <f>IFERROR(SalesData[[#This Row],[Profit]]/SalesData[[#This Row],[Sales]],0)</f>
        <v>0.42307789216946101</v>
      </c>
      <c r="T394" s="19">
        <f>YEAR(SalesData[[#This Row],[Order_Date]])</f>
        <v>2024</v>
      </c>
      <c r="U394" s="19" t="str">
        <f>TEXT(SalesData[[#This Row],[Order_Date]],"mmm")</f>
        <v>Sept</v>
      </c>
      <c r="V394" s="19" t="str">
        <f>"Q"&amp;ROUNDUP(MONTH(SalesData[[#This Row],[Order_Date]])/3,0)</f>
        <v>Q3</v>
      </c>
      <c r="W394" s="19" t="str">
        <f>IF(SalesData[[#This Row],[Sales]]&gt;=50000,"High",IF(AND(SalesData[[#This Row],[Sales]]&gt;= 20000, SalesData[[#This Row],[Sales]]&lt; 50000),"Medium","Low"))</f>
        <v>Low</v>
      </c>
      <c r="X394" s="19" t="str">
        <f>IF(SalesData[[#This Row],[Profit]]&gt;0,"Profit","Loss")</f>
        <v>Profit</v>
      </c>
      <c r="Y394" s="19" t="str">
        <f>IF(AND(SalesData[[#This Row],[Sales]]&gt;= 50000, SalesData[[#This Row],[Quantity]]&gt;=2),"Yes","No")</f>
        <v>No</v>
      </c>
      <c r="Z394" s="19" t="str">
        <f>UPPER(SalesData[[#This Row],[Customer_Name]])</f>
        <v>NISHA AGARWAL</v>
      </c>
      <c r="AA394" s="19" t="str">
        <f>LOWER(SalesData[[#This Row],[Customer_Name]])</f>
        <v>nisha agarwal</v>
      </c>
      <c r="AB394" s="19">
        <f>LEN(SalesData[[#This Row],[Customer_Name]])</f>
        <v>13</v>
      </c>
      <c r="AC394" s="19" t="str">
        <f>LEFT(SalesData[[#This Row],[Order_ID]],3)</f>
        <v>ORD</v>
      </c>
      <c r="AD394" s="19" t="str">
        <f>RIGHT(SalesData[[#This Row],[Order_ID]],4)</f>
        <v>0964</v>
      </c>
      <c r="AE394" s="19" t="str">
        <f>_xlfn.CONCAT(SalesData[[#This Row],[Clean_Customer_Name]],"-",SalesData[[#This Row],[Region]])</f>
        <v>Nisha Agarwal-Central</v>
      </c>
      <c r="AF394" s="19" t="str">
        <f>MID(SalesData[[#This Row],[Order_ID]],4,4)</f>
        <v>0964</v>
      </c>
      <c r="AG394" s="19" t="e">
        <f ca="1">_xlfn.SINGLE(_xlfn.XLOOKUP(SalesData[[#This Row],[Product]],Product_Master!A:A,Product_Master!B:B,"Not Found"))</f>
        <v>#NAME?</v>
      </c>
      <c r="AH394" s="19" t="str">
        <f>VLOOKUP(SalesData[[#This Row],[Product]],Product_Master!$A$1:$B$21,2,FALSE)</f>
        <v>Kavya</v>
      </c>
      <c r="AI394" s="16"/>
    </row>
    <row r="395" spans="1:35" ht="13.8">
      <c r="A395" s="16" t="s">
        <v>1135</v>
      </c>
      <c r="B395" s="17">
        <v>45383</v>
      </c>
      <c r="C395" s="16" t="s">
        <v>93</v>
      </c>
      <c r="D395" s="16" t="s">
        <v>94</v>
      </c>
      <c r="E395" s="16" t="s">
        <v>132</v>
      </c>
      <c r="F395" s="16" t="s">
        <v>133</v>
      </c>
      <c r="G395" s="16" t="s">
        <v>40</v>
      </c>
      <c r="H395" s="16" t="s">
        <v>41</v>
      </c>
      <c r="I395" s="16" t="s">
        <v>53</v>
      </c>
      <c r="J395" s="16" t="s">
        <v>54</v>
      </c>
      <c r="K395" s="18">
        <v>909.17</v>
      </c>
      <c r="L395" s="18">
        <v>256.81</v>
      </c>
      <c r="M395" s="19">
        <v>1</v>
      </c>
      <c r="N395" s="20">
        <v>0.1</v>
      </c>
      <c r="O395" s="19" t="s">
        <v>76</v>
      </c>
      <c r="P395" s="19" t="s">
        <v>45</v>
      </c>
      <c r="Q395" s="19" t="str">
        <f>TRIM(SalesData[[#This Row],[Customer_Name]])</f>
        <v>Nisha Agarwal</v>
      </c>
      <c r="R395" s="21">
        <f>SalesData[[#This Row],[Sales]]-SalesData[[#This Row],[Cost]]</f>
        <v>652.3599999999999</v>
      </c>
      <c r="S395" s="22">
        <f>IFERROR(SalesData[[#This Row],[Profit]]/SalesData[[#This Row],[Sales]],0)</f>
        <v>0.71753357457901157</v>
      </c>
      <c r="T395" s="19">
        <f>YEAR(SalesData[[#This Row],[Order_Date]])</f>
        <v>2024</v>
      </c>
      <c r="U395" s="19" t="str">
        <f>TEXT(SalesData[[#This Row],[Order_Date]],"mmm")</f>
        <v>Apr</v>
      </c>
      <c r="V395" s="19" t="str">
        <f>"Q"&amp;ROUNDUP(MONTH(SalesData[[#This Row],[Order_Date]])/3,0)</f>
        <v>Q2</v>
      </c>
      <c r="W395" s="19" t="str">
        <f>IF(SalesData[[#This Row],[Sales]]&gt;=50000,"High",IF(AND(SalesData[[#This Row],[Sales]]&gt;= 20000, SalesData[[#This Row],[Sales]]&lt; 50000),"Medium","Low"))</f>
        <v>Low</v>
      </c>
      <c r="X395" s="19" t="str">
        <f>IF(SalesData[[#This Row],[Profit]]&gt;0,"Profit","Loss")</f>
        <v>Profit</v>
      </c>
      <c r="Y395" s="19" t="str">
        <f>IF(AND(SalesData[[#This Row],[Sales]]&gt;= 50000, SalesData[[#This Row],[Quantity]]&gt;=2),"Yes","No")</f>
        <v>No</v>
      </c>
      <c r="Z395" s="19" t="str">
        <f>UPPER(SalesData[[#This Row],[Customer_Name]])</f>
        <v>NISHA AGARWAL</v>
      </c>
      <c r="AA395" s="19" t="str">
        <f>LOWER(SalesData[[#This Row],[Customer_Name]])</f>
        <v>nisha agarwal</v>
      </c>
      <c r="AB395" s="19">
        <f>LEN(SalesData[[#This Row],[Customer_Name]])</f>
        <v>13</v>
      </c>
      <c r="AC395" s="19" t="str">
        <f>LEFT(SalesData[[#This Row],[Order_ID]],3)</f>
        <v>ORD</v>
      </c>
      <c r="AD395" s="19" t="str">
        <f>RIGHT(SalesData[[#This Row],[Order_ID]],4)</f>
        <v>0982</v>
      </c>
      <c r="AE395" s="19" t="str">
        <f>_xlfn.CONCAT(SalesData[[#This Row],[Clean_Customer_Name]],"-",SalesData[[#This Row],[Region]])</f>
        <v>Nisha Agarwal-Central</v>
      </c>
      <c r="AF395" s="19" t="str">
        <f>MID(SalesData[[#This Row],[Order_ID]],4,4)</f>
        <v>0982</v>
      </c>
      <c r="AG395" s="19" t="e">
        <f ca="1">_xlfn.SINGLE(_xlfn.XLOOKUP(SalesData[[#This Row],[Product]],Product_Master!A:A,Product_Master!B:B,"Not Found"))</f>
        <v>#NAME?</v>
      </c>
      <c r="AH395" s="19" t="str">
        <f>VLOOKUP(SalesData[[#This Row],[Product]],Product_Master!$A$1:$B$21,2,FALSE)</f>
        <v>Kavya</v>
      </c>
      <c r="AI395" s="16"/>
    </row>
    <row r="396" spans="1:35" ht="13.8">
      <c r="A396" s="16" t="s">
        <v>164</v>
      </c>
      <c r="B396" s="17">
        <v>46014</v>
      </c>
      <c r="C396" s="16" t="s">
        <v>93</v>
      </c>
      <c r="D396" s="16" t="s">
        <v>94</v>
      </c>
      <c r="E396" s="16" t="s">
        <v>38</v>
      </c>
      <c r="F396" s="16" t="s">
        <v>39</v>
      </c>
      <c r="G396" s="16" t="s">
        <v>40</v>
      </c>
      <c r="H396" s="16" t="s">
        <v>41</v>
      </c>
      <c r="I396" s="16" t="s">
        <v>56</v>
      </c>
      <c r="J396" s="16" t="s">
        <v>57</v>
      </c>
      <c r="K396" s="18">
        <v>2960.2</v>
      </c>
      <c r="L396" s="18">
        <v>2024.36</v>
      </c>
      <c r="M396" s="19">
        <v>4</v>
      </c>
      <c r="N396" s="20">
        <v>0.05</v>
      </c>
      <c r="O396" s="19" t="s">
        <v>34</v>
      </c>
      <c r="P396" s="19" t="s">
        <v>58</v>
      </c>
      <c r="Q396" s="19" t="str">
        <f>TRIM(SalesData[[#This Row],[Customer_Name]])</f>
        <v>Nisha Agarwal</v>
      </c>
      <c r="R396" s="21">
        <f>SalesData[[#This Row],[Sales]]-SalesData[[#This Row],[Cost]]</f>
        <v>935.83999999999992</v>
      </c>
      <c r="S396" s="22">
        <f>IFERROR(SalesData[[#This Row],[Profit]]/SalesData[[#This Row],[Sales]],0)</f>
        <v>0.31614080129720962</v>
      </c>
      <c r="T396" s="19">
        <f>YEAR(SalesData[[#This Row],[Order_Date]])</f>
        <v>2025</v>
      </c>
      <c r="U396" s="19" t="str">
        <f>TEXT(SalesData[[#This Row],[Order_Date]],"mmm")</f>
        <v>Dec</v>
      </c>
      <c r="V396" s="19" t="str">
        <f>"Q"&amp;ROUNDUP(MONTH(SalesData[[#This Row],[Order_Date]])/3,0)</f>
        <v>Q4</v>
      </c>
      <c r="W396" s="19" t="str">
        <f>IF(SalesData[[#This Row],[Sales]]&gt;=50000,"High",IF(AND(SalesData[[#This Row],[Sales]]&gt;= 20000, SalesData[[#This Row],[Sales]]&lt; 50000),"Medium","Low"))</f>
        <v>Low</v>
      </c>
      <c r="X396" s="19" t="str">
        <f>IF(SalesData[[#This Row],[Profit]]&gt;0,"Profit","Loss")</f>
        <v>Profit</v>
      </c>
      <c r="Y396" s="19" t="str">
        <f>IF(AND(SalesData[[#This Row],[Sales]]&gt;= 50000, SalesData[[#This Row],[Quantity]]&gt;=2),"Yes","No")</f>
        <v>No</v>
      </c>
      <c r="Z396" s="19" t="str">
        <f>UPPER(SalesData[[#This Row],[Customer_Name]])</f>
        <v>NISHA AGARWAL</v>
      </c>
      <c r="AA396" s="19" t="str">
        <f>LOWER(SalesData[[#This Row],[Customer_Name]])</f>
        <v>nisha agarwal</v>
      </c>
      <c r="AB396" s="19">
        <f>LEN(SalesData[[#This Row],[Customer_Name]])</f>
        <v>13</v>
      </c>
      <c r="AC396" s="19" t="str">
        <f>LEFT(SalesData[[#This Row],[Order_ID]],3)</f>
        <v>ORD</v>
      </c>
      <c r="AD396" s="19" t="str">
        <f>RIGHT(SalesData[[#This Row],[Order_ID]],4)</f>
        <v>0038</v>
      </c>
      <c r="AE396" s="19" t="str">
        <f>_xlfn.CONCAT(SalesData[[#This Row],[Clean_Customer_Name]],"-",SalesData[[#This Row],[Region]])</f>
        <v>Nisha Agarwal-West</v>
      </c>
      <c r="AF396" s="19" t="str">
        <f>MID(SalesData[[#This Row],[Order_ID]],4,4)</f>
        <v>0038</v>
      </c>
      <c r="AG396" s="19" t="e">
        <f ca="1">_xlfn.SINGLE(_xlfn.XLOOKUP(SalesData[[#This Row],[Product]],Product_Master!A:A,Product_Master!B:B,"Not Found"))</f>
        <v>#NAME?</v>
      </c>
      <c r="AH396" s="19" t="str">
        <f>VLOOKUP(SalesData[[#This Row],[Product]],Product_Master!$A$1:$B$21,2,FALSE)</f>
        <v>Manish</v>
      </c>
      <c r="AI396" s="16"/>
    </row>
    <row r="397" spans="1:35" ht="13.8">
      <c r="A397" s="16" t="s">
        <v>851</v>
      </c>
      <c r="B397" s="17">
        <v>45885</v>
      </c>
      <c r="C397" s="16" t="s">
        <v>93</v>
      </c>
      <c r="D397" s="16" t="s">
        <v>94</v>
      </c>
      <c r="E397" s="16" t="s">
        <v>38</v>
      </c>
      <c r="F397" s="16" t="s">
        <v>39</v>
      </c>
      <c r="G397" s="16" t="s">
        <v>40</v>
      </c>
      <c r="H397" s="16" t="s">
        <v>41</v>
      </c>
      <c r="I397" s="16" t="s">
        <v>42</v>
      </c>
      <c r="J397" s="16" t="s">
        <v>43</v>
      </c>
      <c r="K397" s="18">
        <v>4847.42</v>
      </c>
      <c r="L397" s="18">
        <v>1475.73</v>
      </c>
      <c r="M397" s="19">
        <v>3</v>
      </c>
      <c r="N397" s="20">
        <v>0.1</v>
      </c>
      <c r="O397" s="19" t="s">
        <v>76</v>
      </c>
      <c r="P397" s="19" t="s">
        <v>58</v>
      </c>
      <c r="Q397" s="19" t="str">
        <f>TRIM(SalesData[[#This Row],[Customer_Name]])</f>
        <v>Nisha Agarwal</v>
      </c>
      <c r="R397" s="21">
        <f>SalesData[[#This Row],[Sales]]-SalesData[[#This Row],[Cost]]</f>
        <v>3371.69</v>
      </c>
      <c r="S397" s="22">
        <f>IFERROR(SalesData[[#This Row],[Profit]]/SalesData[[#This Row],[Sales]],0)</f>
        <v>0.69556382570522046</v>
      </c>
      <c r="T397" s="19">
        <f>YEAR(SalesData[[#This Row],[Order_Date]])</f>
        <v>2025</v>
      </c>
      <c r="U397" s="19" t="str">
        <f>TEXT(SalesData[[#This Row],[Order_Date]],"mmm")</f>
        <v>Aug</v>
      </c>
      <c r="V397" s="19" t="str">
        <f>"Q"&amp;ROUNDUP(MONTH(SalesData[[#This Row],[Order_Date]])/3,0)</f>
        <v>Q3</v>
      </c>
      <c r="W397" s="19" t="str">
        <f>IF(SalesData[[#This Row],[Sales]]&gt;=50000,"High",IF(AND(SalesData[[#This Row],[Sales]]&gt;= 20000, SalesData[[#This Row],[Sales]]&lt; 50000),"Medium","Low"))</f>
        <v>Low</v>
      </c>
      <c r="X397" s="19" t="str">
        <f>IF(SalesData[[#This Row],[Profit]]&gt;0,"Profit","Loss")</f>
        <v>Profit</v>
      </c>
      <c r="Y397" s="19" t="str">
        <f>IF(AND(SalesData[[#This Row],[Sales]]&gt;= 50000, SalesData[[#This Row],[Quantity]]&gt;=2),"Yes","No")</f>
        <v>No</v>
      </c>
      <c r="Z397" s="19" t="str">
        <f>UPPER(SalesData[[#This Row],[Customer_Name]])</f>
        <v>NISHA AGARWAL</v>
      </c>
      <c r="AA397" s="19" t="str">
        <f>LOWER(SalesData[[#This Row],[Customer_Name]])</f>
        <v>nisha agarwal</v>
      </c>
      <c r="AB397" s="19">
        <f>LEN(SalesData[[#This Row],[Customer_Name]])</f>
        <v>13</v>
      </c>
      <c r="AC397" s="19" t="str">
        <f>LEFT(SalesData[[#This Row],[Order_ID]],3)</f>
        <v>ORD</v>
      </c>
      <c r="AD397" s="19" t="str">
        <f>RIGHT(SalesData[[#This Row],[Order_ID]],4)</f>
        <v>0698</v>
      </c>
      <c r="AE397" s="19" t="str">
        <f>_xlfn.CONCAT(SalesData[[#This Row],[Clean_Customer_Name]],"-",SalesData[[#This Row],[Region]])</f>
        <v>Nisha Agarwal-East</v>
      </c>
      <c r="AF397" s="19" t="str">
        <f>MID(SalesData[[#This Row],[Order_ID]],4,4)</f>
        <v>0698</v>
      </c>
      <c r="AG397" s="19" t="e">
        <f ca="1">_xlfn.SINGLE(_xlfn.XLOOKUP(SalesData[[#This Row],[Product]],Product_Master!A:A,Product_Master!B:B,"Not Found"))</f>
        <v>#NAME?</v>
      </c>
      <c r="AH397" s="19" t="str">
        <f>VLOOKUP(SalesData[[#This Row],[Product]],Product_Master!$A$1:$B$21,2,FALSE)</f>
        <v>Manish</v>
      </c>
      <c r="AI397" s="16"/>
    </row>
    <row r="398" spans="1:35" ht="13.8">
      <c r="A398" s="16" t="s">
        <v>980</v>
      </c>
      <c r="B398" s="17">
        <v>45478</v>
      </c>
      <c r="C398" s="16" t="s">
        <v>93</v>
      </c>
      <c r="D398" s="16" t="s">
        <v>94</v>
      </c>
      <c r="E398" s="16" t="s">
        <v>38</v>
      </c>
      <c r="F398" s="16" t="s">
        <v>39</v>
      </c>
      <c r="G398" s="16" t="s">
        <v>40</v>
      </c>
      <c r="H398" s="16" t="s">
        <v>41</v>
      </c>
      <c r="I398" s="16" t="s">
        <v>23</v>
      </c>
      <c r="J398" s="16" t="s">
        <v>75</v>
      </c>
      <c r="K398" s="18">
        <v>4557.6000000000004</v>
      </c>
      <c r="L398" s="18">
        <v>1818.12</v>
      </c>
      <c r="M398" s="19">
        <v>4</v>
      </c>
      <c r="N398" s="20">
        <v>0.1</v>
      </c>
      <c r="O398" s="19" t="s">
        <v>44</v>
      </c>
      <c r="P398" s="19" t="s">
        <v>98</v>
      </c>
      <c r="Q398" s="19" t="str">
        <f>TRIM(SalesData[[#This Row],[Customer_Name]])</f>
        <v>Nisha Agarwal</v>
      </c>
      <c r="R398" s="21">
        <f>SalesData[[#This Row],[Sales]]-SalesData[[#This Row],[Cost]]</f>
        <v>2739.4800000000005</v>
      </c>
      <c r="S398" s="22">
        <f>IFERROR(SalesData[[#This Row],[Profit]]/SalesData[[#This Row],[Sales]],0)</f>
        <v>0.6010795155344919</v>
      </c>
      <c r="T398" s="19">
        <f>YEAR(SalesData[[#This Row],[Order_Date]])</f>
        <v>2024</v>
      </c>
      <c r="U398" s="19" t="str">
        <f>TEXT(SalesData[[#This Row],[Order_Date]],"mmm")</f>
        <v>Jul</v>
      </c>
      <c r="V398" s="19" t="str">
        <f>"Q"&amp;ROUNDUP(MONTH(SalesData[[#This Row],[Order_Date]])/3,0)</f>
        <v>Q3</v>
      </c>
      <c r="W398" s="19" t="str">
        <f>IF(SalesData[[#This Row],[Sales]]&gt;=50000,"High",IF(AND(SalesData[[#This Row],[Sales]]&gt;= 20000, SalesData[[#This Row],[Sales]]&lt; 50000),"Medium","Low"))</f>
        <v>Low</v>
      </c>
      <c r="X398" s="19" t="str">
        <f>IF(SalesData[[#This Row],[Profit]]&gt;0,"Profit","Loss")</f>
        <v>Profit</v>
      </c>
      <c r="Y398" s="19" t="str">
        <f>IF(AND(SalesData[[#This Row],[Sales]]&gt;= 50000, SalesData[[#This Row],[Quantity]]&gt;=2),"Yes","No")</f>
        <v>No</v>
      </c>
      <c r="Z398" s="19" t="str">
        <f>UPPER(SalesData[[#This Row],[Customer_Name]])</f>
        <v>NISHA AGARWAL</v>
      </c>
      <c r="AA398" s="19" t="str">
        <f>LOWER(SalesData[[#This Row],[Customer_Name]])</f>
        <v>nisha agarwal</v>
      </c>
      <c r="AB398" s="19">
        <f>LEN(SalesData[[#This Row],[Customer_Name]])</f>
        <v>13</v>
      </c>
      <c r="AC398" s="19" t="str">
        <f>LEFT(SalesData[[#This Row],[Order_ID]],3)</f>
        <v>ORD</v>
      </c>
      <c r="AD398" s="19" t="str">
        <f>RIGHT(SalesData[[#This Row],[Order_ID]],4)</f>
        <v>0827</v>
      </c>
      <c r="AE398" s="19" t="str">
        <f>_xlfn.CONCAT(SalesData[[#This Row],[Clean_Customer_Name]],"-",SalesData[[#This Row],[Region]])</f>
        <v>Nisha Agarwal-North</v>
      </c>
      <c r="AF398" s="19" t="str">
        <f>MID(SalesData[[#This Row],[Order_ID]],4,4)</f>
        <v>0827</v>
      </c>
      <c r="AG398" s="19" t="e">
        <f ca="1">_xlfn.SINGLE(_xlfn.XLOOKUP(SalesData[[#This Row],[Product]],Product_Master!A:A,Product_Master!B:B,"Not Found"))</f>
        <v>#NAME?</v>
      </c>
      <c r="AH398" s="19" t="str">
        <f>VLOOKUP(SalesData[[#This Row],[Product]],Product_Master!$A$1:$B$21,2,FALSE)</f>
        <v>Manish</v>
      </c>
      <c r="AI398" s="16"/>
    </row>
    <row r="399" spans="1:35" ht="13.8">
      <c r="A399" s="16" t="s">
        <v>227</v>
      </c>
      <c r="B399" s="17">
        <v>45895</v>
      </c>
      <c r="C399" s="16" t="s">
        <v>93</v>
      </c>
      <c r="D399" s="16" t="s">
        <v>94</v>
      </c>
      <c r="E399" s="16" t="s">
        <v>87</v>
      </c>
      <c r="F399" s="16" t="s">
        <v>88</v>
      </c>
      <c r="G399" s="16" t="s">
        <v>89</v>
      </c>
      <c r="H399" s="16" t="s">
        <v>90</v>
      </c>
      <c r="I399" s="16" t="s">
        <v>84</v>
      </c>
      <c r="J399" s="16" t="s">
        <v>142</v>
      </c>
      <c r="K399" s="18">
        <v>25802.47</v>
      </c>
      <c r="L399" s="18">
        <v>9174.2000000000007</v>
      </c>
      <c r="M399" s="19">
        <v>5</v>
      </c>
      <c r="N399" s="20">
        <v>0.05</v>
      </c>
      <c r="O399" s="19" t="s">
        <v>44</v>
      </c>
      <c r="P399" s="19" t="s">
        <v>58</v>
      </c>
      <c r="Q399" s="19" t="str">
        <f>TRIM(SalesData[[#This Row],[Customer_Name]])</f>
        <v>Nisha Agarwal</v>
      </c>
      <c r="R399" s="21">
        <f>SalesData[[#This Row],[Sales]]-SalesData[[#This Row],[Cost]]</f>
        <v>16628.27</v>
      </c>
      <c r="S399" s="22">
        <f>IFERROR(SalesData[[#This Row],[Profit]]/SalesData[[#This Row],[Sales]],0)</f>
        <v>0.6444448922913194</v>
      </c>
      <c r="T399" s="19">
        <f>YEAR(SalesData[[#This Row],[Order_Date]])</f>
        <v>2025</v>
      </c>
      <c r="U399" s="19" t="str">
        <f>TEXT(SalesData[[#This Row],[Order_Date]],"mmm")</f>
        <v>Aug</v>
      </c>
      <c r="V399" s="19" t="str">
        <f>"Q"&amp;ROUNDUP(MONTH(SalesData[[#This Row],[Order_Date]])/3,0)</f>
        <v>Q3</v>
      </c>
      <c r="W399" s="19" t="str">
        <f>IF(SalesData[[#This Row],[Sales]]&gt;=50000,"High",IF(AND(SalesData[[#This Row],[Sales]]&gt;= 20000, SalesData[[#This Row],[Sales]]&lt; 50000),"Medium","Low"))</f>
        <v>Medium</v>
      </c>
      <c r="X399" s="19" t="str">
        <f>IF(SalesData[[#This Row],[Profit]]&gt;0,"Profit","Loss")</f>
        <v>Profit</v>
      </c>
      <c r="Y399" s="19" t="str">
        <f>IF(AND(SalesData[[#This Row],[Sales]]&gt;= 50000, SalesData[[#This Row],[Quantity]]&gt;=2),"Yes","No")</f>
        <v>No</v>
      </c>
      <c r="Z399" s="19" t="str">
        <f>UPPER(SalesData[[#This Row],[Customer_Name]])</f>
        <v>NISHA AGARWAL</v>
      </c>
      <c r="AA399" s="19" t="str">
        <f>LOWER(SalesData[[#This Row],[Customer_Name]])</f>
        <v>nisha agarwal</v>
      </c>
      <c r="AB399" s="19">
        <f>LEN(SalesData[[#This Row],[Customer_Name]])</f>
        <v>13</v>
      </c>
      <c r="AC399" s="19" t="str">
        <f>LEFT(SalesData[[#This Row],[Order_ID]],3)</f>
        <v>ORD</v>
      </c>
      <c r="AD399" s="19" t="str">
        <f>RIGHT(SalesData[[#This Row],[Order_ID]],4)</f>
        <v>0078</v>
      </c>
      <c r="AE399" s="19" t="str">
        <f>_xlfn.CONCAT(SalesData[[#This Row],[Clean_Customer_Name]],"-",SalesData[[#This Row],[Region]])</f>
        <v>Nisha Agarwal-South</v>
      </c>
      <c r="AF399" s="19" t="str">
        <f>MID(SalesData[[#This Row],[Order_ID]],4,4)</f>
        <v>0078</v>
      </c>
      <c r="AG399" s="19" t="e">
        <f ca="1">_xlfn.SINGLE(_xlfn.XLOOKUP(SalesData[[#This Row],[Product]],Product_Master!A:A,Product_Master!B:B,"Not Found"))</f>
        <v>#NAME?</v>
      </c>
      <c r="AH399" s="19" t="str">
        <f>VLOOKUP(SalesData[[#This Row],[Product]],Product_Master!$A$1:$B$21,2,FALSE)</f>
        <v>Rahul</v>
      </c>
      <c r="AI399" s="16"/>
    </row>
    <row r="400" spans="1:35" ht="13.8">
      <c r="A400" s="16" t="s">
        <v>880</v>
      </c>
      <c r="B400" s="17">
        <v>45434</v>
      </c>
      <c r="C400" s="16" t="s">
        <v>93</v>
      </c>
      <c r="D400" s="16" t="s">
        <v>94</v>
      </c>
      <c r="E400" s="16" t="s">
        <v>87</v>
      </c>
      <c r="F400" s="16" t="s">
        <v>88</v>
      </c>
      <c r="G400" s="16" t="s">
        <v>89</v>
      </c>
      <c r="H400" s="16" t="s">
        <v>90</v>
      </c>
      <c r="I400" s="16" t="s">
        <v>23</v>
      </c>
      <c r="J400" s="16" t="s">
        <v>24</v>
      </c>
      <c r="K400" s="18">
        <v>8409.56</v>
      </c>
      <c r="L400" s="18">
        <v>8310.4</v>
      </c>
      <c r="M400" s="19">
        <v>5</v>
      </c>
      <c r="N400" s="20">
        <v>0.2</v>
      </c>
      <c r="O400" s="19" t="s">
        <v>76</v>
      </c>
      <c r="P400" s="19" t="s">
        <v>98</v>
      </c>
      <c r="Q400" s="19" t="str">
        <f>TRIM(SalesData[[#This Row],[Customer_Name]])</f>
        <v>Nisha Agarwal</v>
      </c>
      <c r="R400" s="21">
        <f>SalesData[[#This Row],[Sales]]-SalesData[[#This Row],[Cost]]</f>
        <v>99.159999999999854</v>
      </c>
      <c r="S400" s="22">
        <f>IFERROR(SalesData[[#This Row],[Profit]]/SalesData[[#This Row],[Sales]],0)</f>
        <v>1.1791342234314264E-2</v>
      </c>
      <c r="T400" s="19">
        <f>YEAR(SalesData[[#This Row],[Order_Date]])</f>
        <v>2024</v>
      </c>
      <c r="U400" s="19" t="str">
        <f>TEXT(SalesData[[#This Row],[Order_Date]],"mmm")</f>
        <v>May</v>
      </c>
      <c r="V400" s="19" t="str">
        <f>"Q"&amp;ROUNDUP(MONTH(SalesData[[#This Row],[Order_Date]])/3,0)</f>
        <v>Q2</v>
      </c>
      <c r="W400" s="19" t="str">
        <f>IF(SalesData[[#This Row],[Sales]]&gt;=50000,"High",IF(AND(SalesData[[#This Row],[Sales]]&gt;= 20000, SalesData[[#This Row],[Sales]]&lt; 50000),"Medium","Low"))</f>
        <v>Low</v>
      </c>
      <c r="X400" s="19" t="str">
        <f>IF(SalesData[[#This Row],[Profit]]&gt;0,"Profit","Loss")</f>
        <v>Profit</v>
      </c>
      <c r="Y400" s="19" t="str">
        <f>IF(AND(SalesData[[#This Row],[Sales]]&gt;= 50000, SalesData[[#This Row],[Quantity]]&gt;=2),"Yes","No")</f>
        <v>No</v>
      </c>
      <c r="Z400" s="19" t="str">
        <f>UPPER(SalesData[[#This Row],[Customer_Name]])</f>
        <v>NISHA AGARWAL</v>
      </c>
      <c r="AA400" s="19" t="str">
        <f>LOWER(SalesData[[#This Row],[Customer_Name]])</f>
        <v>nisha agarwal</v>
      </c>
      <c r="AB400" s="19">
        <f>LEN(SalesData[[#This Row],[Customer_Name]])</f>
        <v>13</v>
      </c>
      <c r="AC400" s="19" t="str">
        <f>LEFT(SalesData[[#This Row],[Order_ID]],3)</f>
        <v>ORD</v>
      </c>
      <c r="AD400" s="19" t="str">
        <f>RIGHT(SalesData[[#This Row],[Order_ID]],4)</f>
        <v>0727</v>
      </c>
      <c r="AE400" s="19" t="str">
        <f>_xlfn.CONCAT(SalesData[[#This Row],[Clean_Customer_Name]],"-",SalesData[[#This Row],[Region]])</f>
        <v>Nisha Agarwal-North</v>
      </c>
      <c r="AF400" s="19" t="str">
        <f>MID(SalesData[[#This Row],[Order_ID]],4,4)</f>
        <v>0727</v>
      </c>
      <c r="AG400" s="19" t="e">
        <f ca="1">_xlfn.SINGLE(_xlfn.XLOOKUP(SalesData[[#This Row],[Product]],Product_Master!A:A,Product_Master!B:B,"Not Found"))</f>
        <v>#NAME?</v>
      </c>
      <c r="AH400" s="19" t="str">
        <f>VLOOKUP(SalesData[[#This Row],[Product]],Product_Master!$A$1:$B$21,2,FALSE)</f>
        <v>Rahul</v>
      </c>
      <c r="AI400" s="16"/>
    </row>
    <row r="401" spans="1:35" ht="13.8">
      <c r="A401" s="16" t="s">
        <v>912</v>
      </c>
      <c r="B401" s="17">
        <v>46022</v>
      </c>
      <c r="C401" s="16" t="s">
        <v>93</v>
      </c>
      <c r="D401" s="16" t="s">
        <v>94</v>
      </c>
      <c r="E401" s="16" t="s">
        <v>87</v>
      </c>
      <c r="F401" s="16" t="s">
        <v>88</v>
      </c>
      <c r="G401" s="16" t="s">
        <v>89</v>
      </c>
      <c r="H401" s="16" t="s">
        <v>90</v>
      </c>
      <c r="I401" s="16" t="s">
        <v>84</v>
      </c>
      <c r="J401" s="16" t="s">
        <v>142</v>
      </c>
      <c r="K401" s="18">
        <v>19766.580000000002</v>
      </c>
      <c r="L401" s="18">
        <v>9168.5499999999993</v>
      </c>
      <c r="M401" s="19">
        <v>5</v>
      </c>
      <c r="N401" s="20">
        <v>0.15</v>
      </c>
      <c r="O401" s="19" t="s">
        <v>44</v>
      </c>
      <c r="P401" s="19" t="s">
        <v>98</v>
      </c>
      <c r="Q401" s="19" t="str">
        <f>TRIM(SalesData[[#This Row],[Customer_Name]])</f>
        <v>Nisha Agarwal</v>
      </c>
      <c r="R401" s="21">
        <f>SalesData[[#This Row],[Sales]]-SalesData[[#This Row],[Cost]]</f>
        <v>10598.030000000002</v>
      </c>
      <c r="S401" s="22">
        <f>IFERROR(SalesData[[#This Row],[Profit]]/SalesData[[#This Row],[Sales]],0)</f>
        <v>0.5361590118270334</v>
      </c>
      <c r="T401" s="19">
        <f>YEAR(SalesData[[#This Row],[Order_Date]])</f>
        <v>2025</v>
      </c>
      <c r="U401" s="19" t="str">
        <f>TEXT(SalesData[[#This Row],[Order_Date]],"mmm")</f>
        <v>Dec</v>
      </c>
      <c r="V401" s="19" t="str">
        <f>"Q"&amp;ROUNDUP(MONTH(SalesData[[#This Row],[Order_Date]])/3,0)</f>
        <v>Q4</v>
      </c>
      <c r="W401" s="19" t="str">
        <f>IF(SalesData[[#This Row],[Sales]]&gt;=50000,"High",IF(AND(SalesData[[#This Row],[Sales]]&gt;= 20000, SalesData[[#This Row],[Sales]]&lt; 50000),"Medium","Low"))</f>
        <v>Low</v>
      </c>
      <c r="X401" s="19" t="str">
        <f>IF(SalesData[[#This Row],[Profit]]&gt;0,"Profit","Loss")</f>
        <v>Profit</v>
      </c>
      <c r="Y401" s="19" t="str">
        <f>IF(AND(SalesData[[#This Row],[Sales]]&gt;= 50000, SalesData[[#This Row],[Quantity]]&gt;=2),"Yes","No")</f>
        <v>No</v>
      </c>
      <c r="Z401" s="19" t="str">
        <f>UPPER(SalesData[[#This Row],[Customer_Name]])</f>
        <v>NISHA AGARWAL</v>
      </c>
      <c r="AA401" s="19" t="str">
        <f>LOWER(SalesData[[#This Row],[Customer_Name]])</f>
        <v>nisha agarwal</v>
      </c>
      <c r="AB401" s="19">
        <f>LEN(SalesData[[#This Row],[Customer_Name]])</f>
        <v>13</v>
      </c>
      <c r="AC401" s="19" t="str">
        <f>LEFT(SalesData[[#This Row],[Order_ID]],3)</f>
        <v>ORD</v>
      </c>
      <c r="AD401" s="19" t="str">
        <f>RIGHT(SalesData[[#This Row],[Order_ID]],4)</f>
        <v>0759</v>
      </c>
      <c r="AE401" s="19" t="str">
        <f>_xlfn.CONCAT(SalesData[[#This Row],[Clean_Customer_Name]],"-",SalesData[[#This Row],[Region]])</f>
        <v>Nisha Agarwal-South</v>
      </c>
      <c r="AF401" s="19" t="str">
        <f>MID(SalesData[[#This Row],[Order_ID]],4,4)</f>
        <v>0759</v>
      </c>
      <c r="AG401" s="19" t="e">
        <f ca="1">_xlfn.SINGLE(_xlfn.XLOOKUP(SalesData[[#This Row],[Product]],Product_Master!A:A,Product_Master!B:B,"Not Found"))</f>
        <v>#NAME?</v>
      </c>
      <c r="AH401" s="19" t="str">
        <f>VLOOKUP(SalesData[[#This Row],[Product]],Product_Master!$A$1:$B$21,2,FALSE)</f>
        <v>Rahul</v>
      </c>
      <c r="AI401" s="16"/>
    </row>
    <row r="402" spans="1:35" ht="13.8">
      <c r="A402" s="16" t="s">
        <v>967</v>
      </c>
      <c r="B402" s="17">
        <v>45571</v>
      </c>
      <c r="C402" s="16" t="s">
        <v>93</v>
      </c>
      <c r="D402" s="16" t="s">
        <v>94</v>
      </c>
      <c r="E402" s="16" t="s">
        <v>182</v>
      </c>
      <c r="F402" s="16" t="s">
        <v>183</v>
      </c>
      <c r="G402" s="16" t="s">
        <v>89</v>
      </c>
      <c r="H402" s="16" t="s">
        <v>90</v>
      </c>
      <c r="I402" s="16" t="s">
        <v>53</v>
      </c>
      <c r="J402" s="16" t="s">
        <v>102</v>
      </c>
      <c r="K402" s="18">
        <v>43934.92</v>
      </c>
      <c r="L402" s="18">
        <v>32345.35</v>
      </c>
      <c r="M402" s="19">
        <v>5</v>
      </c>
      <c r="N402" s="20">
        <v>0.2</v>
      </c>
      <c r="O402" s="19" t="s">
        <v>25</v>
      </c>
      <c r="P402" s="19" t="s">
        <v>58</v>
      </c>
      <c r="Q402" s="19" t="str">
        <f>TRIM(SalesData[[#This Row],[Customer_Name]])</f>
        <v>Nisha Agarwal</v>
      </c>
      <c r="R402" s="21">
        <f>SalesData[[#This Row],[Sales]]-SalesData[[#This Row],[Cost]]</f>
        <v>11589.57</v>
      </c>
      <c r="S402" s="22">
        <f>IFERROR(SalesData[[#This Row],[Profit]]/SalesData[[#This Row],[Sales]],0)</f>
        <v>0.26378948681367803</v>
      </c>
      <c r="T402" s="19">
        <f>YEAR(SalesData[[#This Row],[Order_Date]])</f>
        <v>2024</v>
      </c>
      <c r="U402" s="19" t="str">
        <f>TEXT(SalesData[[#This Row],[Order_Date]],"mmm")</f>
        <v>Oct</v>
      </c>
      <c r="V402" s="19" t="str">
        <f>"Q"&amp;ROUNDUP(MONTH(SalesData[[#This Row],[Order_Date]])/3,0)</f>
        <v>Q4</v>
      </c>
      <c r="W402" s="19" t="str">
        <f>IF(SalesData[[#This Row],[Sales]]&gt;=50000,"High",IF(AND(SalesData[[#This Row],[Sales]]&gt;= 20000, SalesData[[#This Row],[Sales]]&lt; 50000),"Medium","Low"))</f>
        <v>Medium</v>
      </c>
      <c r="X402" s="19" t="str">
        <f>IF(SalesData[[#This Row],[Profit]]&gt;0,"Profit","Loss")</f>
        <v>Profit</v>
      </c>
      <c r="Y402" s="19" t="str">
        <f>IF(AND(SalesData[[#This Row],[Sales]]&gt;= 50000, SalesData[[#This Row],[Quantity]]&gt;=2),"Yes","No")</f>
        <v>No</v>
      </c>
      <c r="Z402" s="19" t="str">
        <f>UPPER(SalesData[[#This Row],[Customer_Name]])</f>
        <v>NISHA AGARWAL</v>
      </c>
      <c r="AA402" s="19" t="str">
        <f>LOWER(SalesData[[#This Row],[Customer_Name]])</f>
        <v>nisha agarwal</v>
      </c>
      <c r="AB402" s="19">
        <f>LEN(SalesData[[#This Row],[Customer_Name]])</f>
        <v>13</v>
      </c>
      <c r="AC402" s="19" t="str">
        <f>LEFT(SalesData[[#This Row],[Order_ID]],3)</f>
        <v>ORD</v>
      </c>
      <c r="AD402" s="19" t="str">
        <f>RIGHT(SalesData[[#This Row],[Order_ID]],4)</f>
        <v>0814</v>
      </c>
      <c r="AE402" s="19" t="str">
        <f>_xlfn.CONCAT(SalesData[[#This Row],[Clean_Customer_Name]],"-",SalesData[[#This Row],[Region]])</f>
        <v>Nisha Agarwal-Central</v>
      </c>
      <c r="AF402" s="19" t="str">
        <f>MID(SalesData[[#This Row],[Order_ID]],4,4)</f>
        <v>0814</v>
      </c>
      <c r="AG402" s="19" t="e">
        <f ca="1">_xlfn.SINGLE(_xlfn.XLOOKUP(SalesData[[#This Row],[Product]],Product_Master!A:A,Product_Master!B:B,"Not Found"))</f>
        <v>#NAME?</v>
      </c>
      <c r="AH402" s="19" t="str">
        <f>VLOOKUP(SalesData[[#This Row],[Product]],Product_Master!$A$1:$B$21,2,FALSE)</f>
        <v>Priya</v>
      </c>
      <c r="AI402" s="16"/>
    </row>
    <row r="403" spans="1:35" ht="13.8">
      <c r="A403" s="16" t="s">
        <v>411</v>
      </c>
      <c r="B403" s="17">
        <v>45480</v>
      </c>
      <c r="C403" s="16" t="s">
        <v>93</v>
      </c>
      <c r="D403" s="16" t="s">
        <v>94</v>
      </c>
      <c r="E403" s="16" t="s">
        <v>187</v>
      </c>
      <c r="F403" s="16" t="s">
        <v>188</v>
      </c>
      <c r="G403" s="16" t="s">
        <v>89</v>
      </c>
      <c r="H403" s="16" t="s">
        <v>189</v>
      </c>
      <c r="I403" s="16" t="s">
        <v>56</v>
      </c>
      <c r="J403" s="16" t="s">
        <v>191</v>
      </c>
      <c r="K403" s="18">
        <v>50830</v>
      </c>
      <c r="L403" s="18">
        <v>30196.799999999999</v>
      </c>
      <c r="M403" s="19">
        <v>5</v>
      </c>
      <c r="N403" s="20">
        <v>0.2</v>
      </c>
      <c r="O403" s="19" t="s">
        <v>25</v>
      </c>
      <c r="P403" s="19" t="s">
        <v>58</v>
      </c>
      <c r="Q403" s="19" t="str">
        <f>TRIM(SalesData[[#This Row],[Customer_Name]])</f>
        <v>Nisha Agarwal</v>
      </c>
      <c r="R403" s="21">
        <f>SalesData[[#This Row],[Sales]]-SalesData[[#This Row],[Cost]]</f>
        <v>20633.2</v>
      </c>
      <c r="S403" s="22">
        <f>IFERROR(SalesData[[#This Row],[Profit]]/SalesData[[#This Row],[Sales]],0)</f>
        <v>0.40592563446783397</v>
      </c>
      <c r="T403" s="19">
        <f>YEAR(SalesData[[#This Row],[Order_Date]])</f>
        <v>2024</v>
      </c>
      <c r="U403" s="19" t="str">
        <f>TEXT(SalesData[[#This Row],[Order_Date]],"mmm")</f>
        <v>Jul</v>
      </c>
      <c r="V403" s="19" t="str">
        <f>"Q"&amp;ROUNDUP(MONTH(SalesData[[#This Row],[Order_Date]])/3,0)</f>
        <v>Q3</v>
      </c>
      <c r="W403" s="19" t="str">
        <f>IF(SalesData[[#This Row],[Sales]]&gt;=50000,"High",IF(AND(SalesData[[#This Row],[Sales]]&gt;= 20000, SalesData[[#This Row],[Sales]]&lt; 50000),"Medium","Low"))</f>
        <v>High</v>
      </c>
      <c r="X403" s="19" t="str">
        <f>IF(SalesData[[#This Row],[Profit]]&gt;0,"Profit","Loss")</f>
        <v>Profit</v>
      </c>
      <c r="Y403" s="19" t="str">
        <f>IF(AND(SalesData[[#This Row],[Sales]]&gt;= 50000, SalesData[[#This Row],[Quantity]]&gt;=2),"Yes","No")</f>
        <v>Yes</v>
      </c>
      <c r="Z403" s="19" t="str">
        <f>UPPER(SalesData[[#This Row],[Customer_Name]])</f>
        <v>NISHA AGARWAL</v>
      </c>
      <c r="AA403" s="19" t="str">
        <f>LOWER(SalesData[[#This Row],[Customer_Name]])</f>
        <v>nisha agarwal</v>
      </c>
      <c r="AB403" s="19">
        <f>LEN(SalesData[[#This Row],[Customer_Name]])</f>
        <v>13</v>
      </c>
      <c r="AC403" s="19" t="str">
        <f>LEFT(SalesData[[#This Row],[Order_ID]],3)</f>
        <v>ORD</v>
      </c>
      <c r="AD403" s="19" t="str">
        <f>RIGHT(SalesData[[#This Row],[Order_ID]],4)</f>
        <v>0258</v>
      </c>
      <c r="AE403" s="19" t="str">
        <f>_xlfn.CONCAT(SalesData[[#This Row],[Clean_Customer_Name]],"-",SalesData[[#This Row],[Region]])</f>
        <v>Nisha Agarwal-West</v>
      </c>
      <c r="AF403" s="19" t="str">
        <f>MID(SalesData[[#This Row],[Order_ID]],4,4)</f>
        <v>0258</v>
      </c>
      <c r="AG403" s="19" t="e">
        <f ca="1">_xlfn.SINGLE(_xlfn.XLOOKUP(SalesData[[#This Row],[Product]],Product_Master!A:A,Product_Master!B:B,"Not Found"))</f>
        <v>#NAME?</v>
      </c>
      <c r="AH403" s="19" t="str">
        <f>VLOOKUP(SalesData[[#This Row],[Product]],Product_Master!$A$1:$B$21,2,FALSE)</f>
        <v>Amit</v>
      </c>
      <c r="AI403" s="16"/>
    </row>
    <row r="404" spans="1:35" ht="13.8">
      <c r="A404" s="16" t="s">
        <v>92</v>
      </c>
      <c r="B404" s="17">
        <v>45889</v>
      </c>
      <c r="C404" s="16" t="s">
        <v>93</v>
      </c>
      <c r="D404" s="16" t="s">
        <v>94</v>
      </c>
      <c r="E404" s="16" t="s">
        <v>95</v>
      </c>
      <c r="F404" s="16" t="s">
        <v>96</v>
      </c>
      <c r="G404" s="16" t="s">
        <v>89</v>
      </c>
      <c r="H404" s="16" t="s">
        <v>97</v>
      </c>
      <c r="I404" s="16" t="s">
        <v>56</v>
      </c>
      <c r="J404" s="16" t="s">
        <v>91</v>
      </c>
      <c r="K404" s="18">
        <v>34148.36</v>
      </c>
      <c r="L404" s="18">
        <v>13613.6</v>
      </c>
      <c r="M404" s="19">
        <v>4</v>
      </c>
      <c r="N404" s="20">
        <v>0.05</v>
      </c>
      <c r="O404" s="19" t="s">
        <v>34</v>
      </c>
      <c r="P404" s="19" t="s">
        <v>98</v>
      </c>
      <c r="Q404" s="19" t="str">
        <f>TRIM(SalesData[[#This Row],[Customer_Name]])</f>
        <v>Nisha Agarwal</v>
      </c>
      <c r="R404" s="21">
        <f>SalesData[[#This Row],[Sales]]-SalesData[[#This Row],[Cost]]</f>
        <v>20534.760000000002</v>
      </c>
      <c r="S404" s="22">
        <f>IFERROR(SalesData[[#This Row],[Profit]]/SalesData[[#This Row],[Sales]],0)</f>
        <v>0.60133956652676734</v>
      </c>
      <c r="T404" s="19">
        <f>YEAR(SalesData[[#This Row],[Order_Date]])</f>
        <v>2025</v>
      </c>
      <c r="U404" s="19" t="str">
        <f>TEXT(SalesData[[#This Row],[Order_Date]],"mmm")</f>
        <v>Aug</v>
      </c>
      <c r="V404" s="19" t="str">
        <f>"Q"&amp;ROUNDUP(MONTH(SalesData[[#This Row],[Order_Date]])/3,0)</f>
        <v>Q3</v>
      </c>
      <c r="W404" s="19" t="str">
        <f>IF(SalesData[[#This Row],[Sales]]&gt;=50000,"High",IF(AND(SalesData[[#This Row],[Sales]]&gt;= 20000, SalesData[[#This Row],[Sales]]&lt; 50000),"Medium","Low"))</f>
        <v>Medium</v>
      </c>
      <c r="X404" s="19" t="str">
        <f>IF(SalesData[[#This Row],[Profit]]&gt;0,"Profit","Loss")</f>
        <v>Profit</v>
      </c>
      <c r="Y404" s="19" t="str">
        <f>IF(AND(SalesData[[#This Row],[Sales]]&gt;= 50000, SalesData[[#This Row],[Quantity]]&gt;=2),"Yes","No")</f>
        <v>No</v>
      </c>
      <c r="Z404" s="19" t="str">
        <f>UPPER(SalesData[[#This Row],[Customer_Name]])</f>
        <v>NISHA AGARWAL</v>
      </c>
      <c r="AA404" s="19" t="str">
        <f>LOWER(SalesData[[#This Row],[Customer_Name]])</f>
        <v>nisha agarwal</v>
      </c>
      <c r="AB404" s="19">
        <f>LEN(SalesData[[#This Row],[Customer_Name]])</f>
        <v>13</v>
      </c>
      <c r="AC404" s="19" t="str">
        <f>LEFT(SalesData[[#This Row],[Order_ID]],3)</f>
        <v>ORD</v>
      </c>
      <c r="AD404" s="19" t="str">
        <f>RIGHT(SalesData[[#This Row],[Order_ID]],4)</f>
        <v>0011</v>
      </c>
      <c r="AE404" s="19" t="str">
        <f>_xlfn.CONCAT(SalesData[[#This Row],[Clean_Customer_Name]],"-",SalesData[[#This Row],[Region]])</f>
        <v>Nisha Agarwal-West</v>
      </c>
      <c r="AF404" s="19" t="str">
        <f>MID(SalesData[[#This Row],[Order_ID]],4,4)</f>
        <v>0011</v>
      </c>
      <c r="AG404" s="19" t="e">
        <f ca="1">_xlfn.SINGLE(_xlfn.XLOOKUP(SalesData[[#This Row],[Product]],Product_Master!A:A,Product_Master!B:B,"Not Found"))</f>
        <v>#NAME?</v>
      </c>
      <c r="AH404" s="19" t="str">
        <f>VLOOKUP(SalesData[[#This Row],[Product]],Product_Master!$A$1:$B$21,2,FALSE)</f>
        <v>Neha</v>
      </c>
      <c r="AI404" s="16"/>
    </row>
    <row r="405" spans="1:35" ht="13.8">
      <c r="A405" s="16" t="s">
        <v>128</v>
      </c>
      <c r="B405" s="17">
        <v>45776</v>
      </c>
      <c r="C405" s="16" t="s">
        <v>93</v>
      </c>
      <c r="D405" s="16" t="s">
        <v>94</v>
      </c>
      <c r="E405" s="16" t="s">
        <v>95</v>
      </c>
      <c r="F405" s="16" t="s">
        <v>96</v>
      </c>
      <c r="G405" s="16" t="s">
        <v>89</v>
      </c>
      <c r="H405" s="16" t="s">
        <v>97</v>
      </c>
      <c r="I405" s="16" t="s">
        <v>42</v>
      </c>
      <c r="J405" s="16" t="s">
        <v>43</v>
      </c>
      <c r="K405" s="18">
        <v>15241.95</v>
      </c>
      <c r="L405" s="18">
        <v>7398.46</v>
      </c>
      <c r="M405" s="19">
        <v>2</v>
      </c>
      <c r="N405" s="20">
        <v>0.05</v>
      </c>
      <c r="O405" s="19" t="s">
        <v>25</v>
      </c>
      <c r="P405" s="19" t="s">
        <v>58</v>
      </c>
      <c r="Q405" s="19" t="str">
        <f>TRIM(SalesData[[#This Row],[Customer_Name]])</f>
        <v>Nisha Agarwal</v>
      </c>
      <c r="R405" s="21">
        <f>SalesData[[#This Row],[Sales]]-SalesData[[#This Row],[Cost]]</f>
        <v>7843.4900000000007</v>
      </c>
      <c r="S405" s="22">
        <f>IFERROR(SalesData[[#This Row],[Profit]]/SalesData[[#This Row],[Sales]],0)</f>
        <v>0.51459885382119741</v>
      </c>
      <c r="T405" s="19">
        <f>YEAR(SalesData[[#This Row],[Order_Date]])</f>
        <v>2025</v>
      </c>
      <c r="U405" s="19" t="str">
        <f>TEXT(SalesData[[#This Row],[Order_Date]],"mmm")</f>
        <v>Apr</v>
      </c>
      <c r="V405" s="19" t="str">
        <f>"Q"&amp;ROUNDUP(MONTH(SalesData[[#This Row],[Order_Date]])/3,0)</f>
        <v>Q2</v>
      </c>
      <c r="W405" s="19" t="str">
        <f>IF(SalesData[[#This Row],[Sales]]&gt;=50000,"High",IF(AND(SalesData[[#This Row],[Sales]]&gt;= 20000, SalesData[[#This Row],[Sales]]&lt; 50000),"Medium","Low"))</f>
        <v>Low</v>
      </c>
      <c r="X405" s="19" t="str">
        <f>IF(SalesData[[#This Row],[Profit]]&gt;0,"Profit","Loss")</f>
        <v>Profit</v>
      </c>
      <c r="Y405" s="19" t="str">
        <f>IF(AND(SalesData[[#This Row],[Sales]]&gt;= 50000, SalesData[[#This Row],[Quantity]]&gt;=2),"Yes","No")</f>
        <v>No</v>
      </c>
      <c r="Z405" s="19" t="str">
        <f>UPPER(SalesData[[#This Row],[Customer_Name]])</f>
        <v>NISHA AGARWAL</v>
      </c>
      <c r="AA405" s="19" t="str">
        <f>LOWER(SalesData[[#This Row],[Customer_Name]])</f>
        <v>nisha agarwal</v>
      </c>
      <c r="AB405" s="19">
        <f>LEN(SalesData[[#This Row],[Customer_Name]])</f>
        <v>13</v>
      </c>
      <c r="AC405" s="19" t="str">
        <f>LEFT(SalesData[[#This Row],[Order_ID]],3)</f>
        <v>ORD</v>
      </c>
      <c r="AD405" s="19" t="str">
        <f>RIGHT(SalesData[[#This Row],[Order_ID]],4)</f>
        <v>0022</v>
      </c>
      <c r="AE405" s="19" t="str">
        <f>_xlfn.CONCAT(SalesData[[#This Row],[Clean_Customer_Name]],"-",SalesData[[#This Row],[Region]])</f>
        <v>Nisha Agarwal-East</v>
      </c>
      <c r="AF405" s="19" t="str">
        <f>MID(SalesData[[#This Row],[Order_ID]],4,4)</f>
        <v>0022</v>
      </c>
      <c r="AG405" s="19" t="e">
        <f ca="1">_xlfn.SINGLE(_xlfn.XLOOKUP(SalesData[[#This Row],[Product]],Product_Master!A:A,Product_Master!B:B,"Not Found"))</f>
        <v>#NAME?</v>
      </c>
      <c r="AH405" s="19" t="str">
        <f>VLOOKUP(SalesData[[#This Row],[Product]],Product_Master!$A$1:$B$21,2,FALSE)</f>
        <v>Neha</v>
      </c>
      <c r="AI405" s="16"/>
    </row>
    <row r="406" spans="1:35" ht="13.8">
      <c r="A406" s="16" t="s">
        <v>773</v>
      </c>
      <c r="B406" s="17">
        <v>45321</v>
      </c>
      <c r="C406" s="16" t="s">
        <v>93</v>
      </c>
      <c r="D406" s="16" t="s">
        <v>94</v>
      </c>
      <c r="E406" s="16" t="s">
        <v>95</v>
      </c>
      <c r="F406" s="16" t="s">
        <v>96</v>
      </c>
      <c r="G406" s="16" t="s">
        <v>89</v>
      </c>
      <c r="H406" s="16" t="s">
        <v>97</v>
      </c>
      <c r="I406" s="16" t="s">
        <v>42</v>
      </c>
      <c r="J406" s="16" t="s">
        <v>43</v>
      </c>
      <c r="K406" s="18">
        <v>13864.91</v>
      </c>
      <c r="L406" s="18">
        <v>6571.62</v>
      </c>
      <c r="M406" s="19">
        <v>2</v>
      </c>
      <c r="N406" s="20">
        <v>0.15</v>
      </c>
      <c r="O406" s="19" t="s">
        <v>136</v>
      </c>
      <c r="P406" s="19" t="s">
        <v>58</v>
      </c>
      <c r="Q406" s="19" t="str">
        <f>TRIM(SalesData[[#This Row],[Customer_Name]])</f>
        <v>Nisha Agarwal</v>
      </c>
      <c r="R406" s="21">
        <f>SalesData[[#This Row],[Sales]]-SalesData[[#This Row],[Cost]]</f>
        <v>7293.29</v>
      </c>
      <c r="S406" s="22">
        <f>IFERROR(SalesData[[#This Row],[Profit]]/SalesData[[#This Row],[Sales]],0)</f>
        <v>0.52602505173131309</v>
      </c>
      <c r="T406" s="19">
        <f>YEAR(SalesData[[#This Row],[Order_Date]])</f>
        <v>2024</v>
      </c>
      <c r="U406" s="19" t="str">
        <f>TEXT(SalesData[[#This Row],[Order_Date]],"mmm")</f>
        <v>Jan</v>
      </c>
      <c r="V406" s="19" t="str">
        <f>"Q"&amp;ROUNDUP(MONTH(SalesData[[#This Row],[Order_Date]])/3,0)</f>
        <v>Q1</v>
      </c>
      <c r="W406" s="19" t="str">
        <f>IF(SalesData[[#This Row],[Sales]]&gt;=50000,"High",IF(AND(SalesData[[#This Row],[Sales]]&gt;= 20000, SalesData[[#This Row],[Sales]]&lt; 50000),"Medium","Low"))</f>
        <v>Low</v>
      </c>
      <c r="X406" s="19" t="str">
        <f>IF(SalesData[[#This Row],[Profit]]&gt;0,"Profit","Loss")</f>
        <v>Profit</v>
      </c>
      <c r="Y406" s="19" t="str">
        <f>IF(AND(SalesData[[#This Row],[Sales]]&gt;= 50000, SalesData[[#This Row],[Quantity]]&gt;=2),"Yes","No")</f>
        <v>No</v>
      </c>
      <c r="Z406" s="19" t="str">
        <f>UPPER(SalesData[[#This Row],[Customer_Name]])</f>
        <v>NISHA AGARWAL</v>
      </c>
      <c r="AA406" s="19" t="str">
        <f>LOWER(SalesData[[#This Row],[Customer_Name]])</f>
        <v>nisha agarwal</v>
      </c>
      <c r="AB406" s="19">
        <f>LEN(SalesData[[#This Row],[Customer_Name]])</f>
        <v>13</v>
      </c>
      <c r="AC406" s="19" t="str">
        <f>LEFT(SalesData[[#This Row],[Order_ID]],3)</f>
        <v>ORD</v>
      </c>
      <c r="AD406" s="19" t="str">
        <f>RIGHT(SalesData[[#This Row],[Order_ID]],4)</f>
        <v>0620</v>
      </c>
      <c r="AE406" s="19" t="str">
        <f>_xlfn.CONCAT(SalesData[[#This Row],[Clean_Customer_Name]],"-",SalesData[[#This Row],[Region]])</f>
        <v>Nisha Agarwal-East</v>
      </c>
      <c r="AF406" s="19" t="str">
        <f>MID(SalesData[[#This Row],[Order_ID]],4,4)</f>
        <v>0620</v>
      </c>
      <c r="AG406" s="19" t="e">
        <f ca="1">_xlfn.SINGLE(_xlfn.XLOOKUP(SalesData[[#This Row],[Product]],Product_Master!A:A,Product_Master!B:B,"Not Found"))</f>
        <v>#NAME?</v>
      </c>
      <c r="AH406" s="19" t="str">
        <f>VLOOKUP(SalesData[[#This Row],[Product]],Product_Master!$A$1:$B$21,2,FALSE)</f>
        <v>Neha</v>
      </c>
      <c r="AI406" s="16"/>
    </row>
    <row r="407" spans="1:35" ht="13.8">
      <c r="A407" s="16" t="s">
        <v>837</v>
      </c>
      <c r="B407" s="17">
        <v>45365</v>
      </c>
      <c r="C407" s="16" t="s">
        <v>93</v>
      </c>
      <c r="D407" s="16" t="s">
        <v>94</v>
      </c>
      <c r="E407" s="16" t="s">
        <v>95</v>
      </c>
      <c r="F407" s="16" t="s">
        <v>96</v>
      </c>
      <c r="G407" s="16" t="s">
        <v>89</v>
      </c>
      <c r="H407" s="16" t="s">
        <v>97</v>
      </c>
      <c r="I407" s="16" t="s">
        <v>84</v>
      </c>
      <c r="J407" s="16" t="s">
        <v>85</v>
      </c>
      <c r="K407" s="18">
        <v>6403.59</v>
      </c>
      <c r="L407" s="18">
        <v>3664.82</v>
      </c>
      <c r="M407" s="19">
        <v>1</v>
      </c>
      <c r="N407" s="20">
        <v>0</v>
      </c>
      <c r="O407" s="19" t="s">
        <v>136</v>
      </c>
      <c r="P407" s="19" t="s">
        <v>58</v>
      </c>
      <c r="Q407" s="19" t="str">
        <f>TRIM(SalesData[[#This Row],[Customer_Name]])</f>
        <v>Nisha Agarwal</v>
      </c>
      <c r="R407" s="21">
        <f>SalesData[[#This Row],[Sales]]-SalesData[[#This Row],[Cost]]</f>
        <v>2738.77</v>
      </c>
      <c r="S407" s="22">
        <f>IFERROR(SalesData[[#This Row],[Profit]]/SalesData[[#This Row],[Sales]],0)</f>
        <v>0.42769290351193628</v>
      </c>
      <c r="T407" s="19">
        <f>YEAR(SalesData[[#This Row],[Order_Date]])</f>
        <v>2024</v>
      </c>
      <c r="U407" s="19" t="str">
        <f>TEXT(SalesData[[#This Row],[Order_Date]],"mmm")</f>
        <v>Mar</v>
      </c>
      <c r="V407" s="19" t="str">
        <f>"Q"&amp;ROUNDUP(MONTH(SalesData[[#This Row],[Order_Date]])/3,0)</f>
        <v>Q1</v>
      </c>
      <c r="W407" s="19" t="str">
        <f>IF(SalesData[[#This Row],[Sales]]&gt;=50000,"High",IF(AND(SalesData[[#This Row],[Sales]]&gt;= 20000, SalesData[[#This Row],[Sales]]&lt; 50000),"Medium","Low"))</f>
        <v>Low</v>
      </c>
      <c r="X407" s="19" t="str">
        <f>IF(SalesData[[#This Row],[Profit]]&gt;0,"Profit","Loss")</f>
        <v>Profit</v>
      </c>
      <c r="Y407" s="19" t="str">
        <f>IF(AND(SalesData[[#This Row],[Sales]]&gt;= 50000, SalesData[[#This Row],[Quantity]]&gt;=2),"Yes","No")</f>
        <v>No</v>
      </c>
      <c r="Z407" s="19" t="str">
        <f>UPPER(SalesData[[#This Row],[Customer_Name]])</f>
        <v>NISHA AGARWAL</v>
      </c>
      <c r="AA407" s="19" t="str">
        <f>LOWER(SalesData[[#This Row],[Customer_Name]])</f>
        <v>nisha agarwal</v>
      </c>
      <c r="AB407" s="19">
        <f>LEN(SalesData[[#This Row],[Customer_Name]])</f>
        <v>13</v>
      </c>
      <c r="AC407" s="19" t="str">
        <f>LEFT(SalesData[[#This Row],[Order_ID]],3)</f>
        <v>ORD</v>
      </c>
      <c r="AD407" s="19" t="str">
        <f>RIGHT(SalesData[[#This Row],[Order_ID]],4)</f>
        <v>0684</v>
      </c>
      <c r="AE407" s="19" t="str">
        <f>_xlfn.CONCAT(SalesData[[#This Row],[Clean_Customer_Name]],"-",SalesData[[#This Row],[Region]])</f>
        <v>Nisha Agarwal-South</v>
      </c>
      <c r="AF407" s="19" t="str">
        <f>MID(SalesData[[#This Row],[Order_ID]],4,4)</f>
        <v>0684</v>
      </c>
      <c r="AG407" s="19" t="e">
        <f ca="1">_xlfn.SINGLE(_xlfn.XLOOKUP(SalesData[[#This Row],[Product]],Product_Master!A:A,Product_Master!B:B,"Not Found"))</f>
        <v>#NAME?</v>
      </c>
      <c r="AH407" s="19" t="str">
        <f>VLOOKUP(SalesData[[#This Row],[Product]],Product_Master!$A$1:$B$21,2,FALSE)</f>
        <v>Neha</v>
      </c>
      <c r="AI407" s="16"/>
    </row>
    <row r="408" spans="1:35" ht="13.8">
      <c r="A408" s="16" t="s">
        <v>768</v>
      </c>
      <c r="B408" s="17">
        <v>46015</v>
      </c>
      <c r="C408" s="16" t="s">
        <v>93</v>
      </c>
      <c r="D408" s="16" t="s">
        <v>94</v>
      </c>
      <c r="E408" s="16" t="s">
        <v>193</v>
      </c>
      <c r="F408" s="16" t="s">
        <v>194</v>
      </c>
      <c r="G408" s="16" t="s">
        <v>89</v>
      </c>
      <c r="H408" s="16" t="s">
        <v>90</v>
      </c>
      <c r="I408" s="16" t="s">
        <v>53</v>
      </c>
      <c r="J408" s="16" t="s">
        <v>54</v>
      </c>
      <c r="K408" s="18">
        <v>4366.87</v>
      </c>
      <c r="L408" s="18">
        <v>1478.13</v>
      </c>
      <c r="M408" s="19">
        <v>3</v>
      </c>
      <c r="N408" s="20">
        <v>0.1</v>
      </c>
      <c r="O408" s="19" t="s">
        <v>34</v>
      </c>
      <c r="P408" s="19" t="s">
        <v>77</v>
      </c>
      <c r="Q408" s="19" t="str">
        <f>TRIM(SalesData[[#This Row],[Customer_Name]])</f>
        <v>Nisha Agarwal</v>
      </c>
      <c r="R408" s="21">
        <f>SalesData[[#This Row],[Sales]]-SalesData[[#This Row],[Cost]]</f>
        <v>2888.74</v>
      </c>
      <c r="S408" s="22">
        <f>IFERROR(SalesData[[#This Row],[Profit]]/SalesData[[#This Row],[Sales]],0)</f>
        <v>0.66151270818687069</v>
      </c>
      <c r="T408" s="19">
        <f>YEAR(SalesData[[#This Row],[Order_Date]])</f>
        <v>2025</v>
      </c>
      <c r="U408" s="19" t="str">
        <f>TEXT(SalesData[[#This Row],[Order_Date]],"mmm")</f>
        <v>Dec</v>
      </c>
      <c r="V408" s="19" t="str">
        <f>"Q"&amp;ROUNDUP(MONTH(SalesData[[#This Row],[Order_Date]])/3,0)</f>
        <v>Q4</v>
      </c>
      <c r="W408" s="19" t="str">
        <f>IF(SalesData[[#This Row],[Sales]]&gt;=50000,"High",IF(AND(SalesData[[#This Row],[Sales]]&gt;= 20000, SalesData[[#This Row],[Sales]]&lt; 50000),"Medium","Low"))</f>
        <v>Low</v>
      </c>
      <c r="X408" s="19" t="str">
        <f>IF(SalesData[[#This Row],[Profit]]&gt;0,"Profit","Loss")</f>
        <v>Profit</v>
      </c>
      <c r="Y408" s="19" t="str">
        <f>IF(AND(SalesData[[#This Row],[Sales]]&gt;= 50000, SalesData[[#This Row],[Quantity]]&gt;=2),"Yes","No")</f>
        <v>No</v>
      </c>
      <c r="Z408" s="19" t="str">
        <f>UPPER(SalesData[[#This Row],[Customer_Name]])</f>
        <v>NISHA AGARWAL</v>
      </c>
      <c r="AA408" s="19" t="str">
        <f>LOWER(SalesData[[#This Row],[Customer_Name]])</f>
        <v>nisha agarwal</v>
      </c>
      <c r="AB408" s="19">
        <f>LEN(SalesData[[#This Row],[Customer_Name]])</f>
        <v>13</v>
      </c>
      <c r="AC408" s="19" t="str">
        <f>LEFT(SalesData[[#This Row],[Order_ID]],3)</f>
        <v>ORD</v>
      </c>
      <c r="AD408" s="19" t="str">
        <f>RIGHT(SalesData[[#This Row],[Order_ID]],4)</f>
        <v>0615</v>
      </c>
      <c r="AE408" s="19" t="str">
        <f>_xlfn.CONCAT(SalesData[[#This Row],[Clean_Customer_Name]],"-",SalesData[[#This Row],[Region]])</f>
        <v>Nisha Agarwal-Central</v>
      </c>
      <c r="AF408" s="19" t="str">
        <f>MID(SalesData[[#This Row],[Order_ID]],4,4)</f>
        <v>0615</v>
      </c>
      <c r="AG408" s="19" t="e">
        <f ca="1">_xlfn.SINGLE(_xlfn.XLOOKUP(SalesData[[#This Row],[Product]],Product_Master!A:A,Product_Master!B:B,"Not Found"))</f>
        <v>#NAME?</v>
      </c>
      <c r="AH408" s="19" t="str">
        <f>VLOOKUP(SalesData[[#This Row],[Product]],Product_Master!$A$1:$B$21,2,FALSE)</f>
        <v>Simran</v>
      </c>
      <c r="AI408" s="16"/>
    </row>
    <row r="409" spans="1:35" ht="13.8">
      <c r="A409" s="16" t="s">
        <v>627</v>
      </c>
      <c r="B409" s="17">
        <v>45887</v>
      </c>
      <c r="C409" s="16" t="s">
        <v>114</v>
      </c>
      <c r="D409" s="16" t="s">
        <v>115</v>
      </c>
      <c r="E409" s="16" t="s">
        <v>30</v>
      </c>
      <c r="F409" s="16" t="s">
        <v>31</v>
      </c>
      <c r="G409" s="16" t="s">
        <v>21</v>
      </c>
      <c r="H409" s="16" t="s">
        <v>32</v>
      </c>
      <c r="I409" s="16" t="s">
        <v>53</v>
      </c>
      <c r="J409" s="16" t="s">
        <v>102</v>
      </c>
      <c r="K409" s="18">
        <v>301960.05</v>
      </c>
      <c r="L409" s="18">
        <v>235446.45</v>
      </c>
      <c r="M409" s="19">
        <v>5</v>
      </c>
      <c r="N409" s="20">
        <v>0</v>
      </c>
      <c r="O409" s="19" t="s">
        <v>34</v>
      </c>
      <c r="P409" s="19" t="s">
        <v>45</v>
      </c>
      <c r="Q409" s="19" t="str">
        <f>TRIM(SalesData[[#This Row],[Customer_Name]])</f>
        <v>Nikhil Joshi</v>
      </c>
      <c r="R409" s="21">
        <f>SalesData[[#This Row],[Sales]]-SalesData[[#This Row],[Cost]]</f>
        <v>66513.599999999977</v>
      </c>
      <c r="S409" s="22">
        <f>IFERROR(SalesData[[#This Row],[Profit]]/SalesData[[#This Row],[Sales]],0)</f>
        <v>0.22027284735182678</v>
      </c>
      <c r="T409" s="19">
        <f>YEAR(SalesData[[#This Row],[Order_Date]])</f>
        <v>2025</v>
      </c>
      <c r="U409" s="19" t="str">
        <f>TEXT(SalesData[[#This Row],[Order_Date]],"mmm")</f>
        <v>Aug</v>
      </c>
      <c r="V409" s="19" t="str">
        <f>"Q"&amp;ROUNDUP(MONTH(SalesData[[#This Row],[Order_Date]])/3,0)</f>
        <v>Q3</v>
      </c>
      <c r="W409" s="19" t="str">
        <f>IF(SalesData[[#This Row],[Sales]]&gt;=50000,"High",IF(AND(SalesData[[#This Row],[Sales]]&gt;= 20000, SalesData[[#This Row],[Sales]]&lt; 50000),"Medium","Low"))</f>
        <v>High</v>
      </c>
      <c r="X409" s="19" t="str">
        <f>IF(SalesData[[#This Row],[Profit]]&gt;0,"Profit","Loss")</f>
        <v>Profit</v>
      </c>
      <c r="Y409" s="19" t="str">
        <f>IF(AND(SalesData[[#This Row],[Sales]]&gt;= 50000, SalesData[[#This Row],[Quantity]]&gt;=2),"Yes","No")</f>
        <v>Yes</v>
      </c>
      <c r="Z409" s="19" t="str">
        <f>UPPER(SalesData[[#This Row],[Customer_Name]])</f>
        <v>NIKHIL JOSHI</v>
      </c>
      <c r="AA409" s="19" t="str">
        <f>LOWER(SalesData[[#This Row],[Customer_Name]])</f>
        <v>nikhil joshi</v>
      </c>
      <c r="AB409" s="19">
        <f>LEN(SalesData[[#This Row],[Customer_Name]])</f>
        <v>12</v>
      </c>
      <c r="AC409" s="19" t="str">
        <f>LEFT(SalesData[[#This Row],[Order_ID]],3)</f>
        <v>ORD</v>
      </c>
      <c r="AD409" s="19" t="str">
        <f>RIGHT(SalesData[[#This Row],[Order_ID]],4)</f>
        <v>0474</v>
      </c>
      <c r="AE409" s="19" t="str">
        <f>_xlfn.CONCAT(SalesData[[#This Row],[Clean_Customer_Name]],"-",SalesData[[#This Row],[Region]])</f>
        <v>Nikhil Joshi-Central</v>
      </c>
      <c r="AF409" s="19" t="str">
        <f>MID(SalesData[[#This Row],[Order_ID]],4,4)</f>
        <v>0474</v>
      </c>
      <c r="AG409" s="19" t="e">
        <f ca="1">_xlfn.SINGLE(_xlfn.XLOOKUP(SalesData[[#This Row],[Product]],Product_Master!A:A,Product_Master!B:B,"Not Found"))</f>
        <v>#NAME?</v>
      </c>
      <c r="AH409" s="19" t="str">
        <f>VLOOKUP(SalesData[[#This Row],[Product]],Product_Master!$A$1:$B$21,2,FALSE)</f>
        <v>Rahul</v>
      </c>
      <c r="AI409" s="16"/>
    </row>
    <row r="410" spans="1:35" ht="13.8">
      <c r="A410" s="16" t="s">
        <v>647</v>
      </c>
      <c r="B410" s="17">
        <v>45962</v>
      </c>
      <c r="C410" s="16" t="s">
        <v>114</v>
      </c>
      <c r="D410" s="16" t="s">
        <v>115</v>
      </c>
      <c r="E410" s="16" t="s">
        <v>30</v>
      </c>
      <c r="F410" s="16" t="s">
        <v>31</v>
      </c>
      <c r="G410" s="16" t="s">
        <v>21</v>
      </c>
      <c r="H410" s="16" t="s">
        <v>32</v>
      </c>
      <c r="I410" s="16" t="s">
        <v>56</v>
      </c>
      <c r="J410" s="16" t="s">
        <v>91</v>
      </c>
      <c r="K410" s="18">
        <v>103159.33</v>
      </c>
      <c r="L410" s="18">
        <v>99605.119999999995</v>
      </c>
      <c r="M410" s="19">
        <v>2</v>
      </c>
      <c r="N410" s="20">
        <v>0.1</v>
      </c>
      <c r="O410" s="19" t="s">
        <v>25</v>
      </c>
      <c r="P410" s="19" t="s">
        <v>58</v>
      </c>
      <c r="Q410" s="19" t="str">
        <f>TRIM(SalesData[[#This Row],[Customer_Name]])</f>
        <v>Nikhil Joshi</v>
      </c>
      <c r="R410" s="21">
        <f>SalesData[[#This Row],[Sales]]-SalesData[[#This Row],[Cost]]</f>
        <v>3554.2100000000064</v>
      </c>
      <c r="S410" s="22">
        <f>IFERROR(SalesData[[#This Row],[Profit]]/SalesData[[#This Row],[Sales]],0)</f>
        <v>3.445359716857415E-2</v>
      </c>
      <c r="T410" s="19">
        <f>YEAR(SalesData[[#This Row],[Order_Date]])</f>
        <v>2025</v>
      </c>
      <c r="U410" s="19" t="str">
        <f>TEXT(SalesData[[#This Row],[Order_Date]],"mmm")</f>
        <v>Nov</v>
      </c>
      <c r="V410" s="19" t="str">
        <f>"Q"&amp;ROUNDUP(MONTH(SalesData[[#This Row],[Order_Date]])/3,0)</f>
        <v>Q4</v>
      </c>
      <c r="W410" s="19" t="str">
        <f>IF(SalesData[[#This Row],[Sales]]&gt;=50000,"High",IF(AND(SalesData[[#This Row],[Sales]]&gt;= 20000, SalesData[[#This Row],[Sales]]&lt; 50000),"Medium","Low"))</f>
        <v>High</v>
      </c>
      <c r="X410" s="19" t="str">
        <f>IF(SalesData[[#This Row],[Profit]]&gt;0,"Profit","Loss")</f>
        <v>Profit</v>
      </c>
      <c r="Y410" s="19" t="str">
        <f>IF(AND(SalesData[[#This Row],[Sales]]&gt;= 50000, SalesData[[#This Row],[Quantity]]&gt;=2),"Yes","No")</f>
        <v>Yes</v>
      </c>
      <c r="Z410" s="19" t="str">
        <f>UPPER(SalesData[[#This Row],[Customer_Name]])</f>
        <v>NIKHIL JOSHI</v>
      </c>
      <c r="AA410" s="19" t="str">
        <f>LOWER(SalesData[[#This Row],[Customer_Name]])</f>
        <v>nikhil joshi</v>
      </c>
      <c r="AB410" s="19">
        <f>LEN(SalesData[[#This Row],[Customer_Name]])</f>
        <v>12</v>
      </c>
      <c r="AC410" s="19" t="str">
        <f>LEFT(SalesData[[#This Row],[Order_ID]],3)</f>
        <v>ORD</v>
      </c>
      <c r="AD410" s="19" t="str">
        <f>RIGHT(SalesData[[#This Row],[Order_ID]],4)</f>
        <v>0494</v>
      </c>
      <c r="AE410" s="19" t="str">
        <f>_xlfn.CONCAT(SalesData[[#This Row],[Clean_Customer_Name]],"-",SalesData[[#This Row],[Region]])</f>
        <v>Nikhil Joshi-West</v>
      </c>
      <c r="AF410" s="19" t="str">
        <f>MID(SalesData[[#This Row],[Order_ID]],4,4)</f>
        <v>0494</v>
      </c>
      <c r="AG410" s="19" t="e">
        <f ca="1">_xlfn.SINGLE(_xlfn.XLOOKUP(SalesData[[#This Row],[Product]],Product_Master!A:A,Product_Master!B:B,"Not Found"))</f>
        <v>#NAME?</v>
      </c>
      <c r="AH410" s="19" t="str">
        <f>VLOOKUP(SalesData[[#This Row],[Product]],Product_Master!$A$1:$B$21,2,FALSE)</f>
        <v>Rahul</v>
      </c>
      <c r="AI410" s="16"/>
    </row>
    <row r="411" spans="1:35" ht="13.8">
      <c r="A411" s="16" t="s">
        <v>871</v>
      </c>
      <c r="B411" s="17">
        <v>45718</v>
      </c>
      <c r="C411" s="16" t="s">
        <v>114</v>
      </c>
      <c r="D411" s="16" t="s">
        <v>115</v>
      </c>
      <c r="E411" s="16" t="s">
        <v>30</v>
      </c>
      <c r="F411" s="16" t="s">
        <v>31</v>
      </c>
      <c r="G411" s="16" t="s">
        <v>21</v>
      </c>
      <c r="H411" s="16" t="s">
        <v>32</v>
      </c>
      <c r="I411" s="16" t="s">
        <v>84</v>
      </c>
      <c r="J411" s="16" t="s">
        <v>142</v>
      </c>
      <c r="K411" s="18">
        <v>251118.43</v>
      </c>
      <c r="L411" s="18">
        <v>260722.65</v>
      </c>
      <c r="M411" s="19">
        <v>5</v>
      </c>
      <c r="N411" s="20">
        <v>0.15</v>
      </c>
      <c r="O411" s="19" t="s">
        <v>136</v>
      </c>
      <c r="P411" s="19" t="s">
        <v>58</v>
      </c>
      <c r="Q411" s="19" t="str">
        <f>TRIM(SalesData[[#This Row],[Customer_Name]])</f>
        <v>Nikhil Joshi</v>
      </c>
      <c r="R411" s="21">
        <f>SalesData[[#This Row],[Sales]]-SalesData[[#This Row],[Cost]]</f>
        <v>-9604.2200000000012</v>
      </c>
      <c r="S411" s="22">
        <f>IFERROR(SalesData[[#This Row],[Profit]]/SalesData[[#This Row],[Sales]],0)</f>
        <v>-3.8245779093155373E-2</v>
      </c>
      <c r="T411" s="19">
        <f>YEAR(SalesData[[#This Row],[Order_Date]])</f>
        <v>2025</v>
      </c>
      <c r="U411" s="19" t="str">
        <f>TEXT(SalesData[[#This Row],[Order_Date]],"mmm")</f>
        <v>Mar</v>
      </c>
      <c r="V411" s="19" t="str">
        <f>"Q"&amp;ROUNDUP(MONTH(SalesData[[#This Row],[Order_Date]])/3,0)</f>
        <v>Q1</v>
      </c>
      <c r="W411" s="19" t="str">
        <f>IF(SalesData[[#This Row],[Sales]]&gt;=50000,"High",IF(AND(SalesData[[#This Row],[Sales]]&gt;= 20000, SalesData[[#This Row],[Sales]]&lt; 50000),"Medium","Low"))</f>
        <v>High</v>
      </c>
      <c r="X411" s="19" t="str">
        <f>IF(SalesData[[#This Row],[Profit]]&gt;0,"Profit","Loss")</f>
        <v>Loss</v>
      </c>
      <c r="Y411" s="19" t="str">
        <f>IF(AND(SalesData[[#This Row],[Sales]]&gt;= 50000, SalesData[[#This Row],[Quantity]]&gt;=2),"Yes","No")</f>
        <v>Yes</v>
      </c>
      <c r="Z411" s="19" t="str">
        <f>UPPER(SalesData[[#This Row],[Customer_Name]])</f>
        <v>NIKHIL JOSHI</v>
      </c>
      <c r="AA411" s="19" t="str">
        <f>LOWER(SalesData[[#This Row],[Customer_Name]])</f>
        <v>nikhil joshi</v>
      </c>
      <c r="AB411" s="19">
        <f>LEN(SalesData[[#This Row],[Customer_Name]])</f>
        <v>12</v>
      </c>
      <c r="AC411" s="19" t="str">
        <f>LEFT(SalesData[[#This Row],[Order_ID]],3)</f>
        <v>ORD</v>
      </c>
      <c r="AD411" s="19" t="str">
        <f>RIGHT(SalesData[[#This Row],[Order_ID]],4)</f>
        <v>0718</v>
      </c>
      <c r="AE411" s="19" t="str">
        <f>_xlfn.CONCAT(SalesData[[#This Row],[Clean_Customer_Name]],"-",SalesData[[#This Row],[Region]])</f>
        <v>Nikhil Joshi-South</v>
      </c>
      <c r="AF411" s="19" t="str">
        <f>MID(SalesData[[#This Row],[Order_ID]],4,4)</f>
        <v>0718</v>
      </c>
      <c r="AG411" s="19" t="e">
        <f ca="1">_xlfn.SINGLE(_xlfn.XLOOKUP(SalesData[[#This Row],[Product]],Product_Master!A:A,Product_Master!B:B,"Not Found"))</f>
        <v>#NAME?</v>
      </c>
      <c r="AH411" s="19" t="str">
        <f>VLOOKUP(SalesData[[#This Row],[Product]],Product_Master!$A$1:$B$21,2,FALSE)</f>
        <v>Rahul</v>
      </c>
      <c r="AI411" s="16"/>
    </row>
    <row r="412" spans="1:35" ht="13.8">
      <c r="A412" s="16" t="s">
        <v>990</v>
      </c>
      <c r="B412" s="17">
        <v>45882</v>
      </c>
      <c r="C412" s="16" t="s">
        <v>114</v>
      </c>
      <c r="D412" s="16" t="s">
        <v>115</v>
      </c>
      <c r="E412" s="16" t="s">
        <v>30</v>
      </c>
      <c r="F412" s="16" t="s">
        <v>31</v>
      </c>
      <c r="G412" s="16" t="s">
        <v>21</v>
      </c>
      <c r="H412" s="16" t="s">
        <v>32</v>
      </c>
      <c r="I412" s="16" t="s">
        <v>56</v>
      </c>
      <c r="J412" s="16" t="s">
        <v>91</v>
      </c>
      <c r="K412" s="18">
        <v>144765.07999999999</v>
      </c>
      <c r="L412" s="18">
        <v>145533.75</v>
      </c>
      <c r="M412" s="19">
        <v>3</v>
      </c>
      <c r="N412" s="20">
        <v>0.15</v>
      </c>
      <c r="O412" s="19" t="s">
        <v>136</v>
      </c>
      <c r="P412" s="19" t="s">
        <v>58</v>
      </c>
      <c r="Q412" s="19" t="str">
        <f>TRIM(SalesData[[#This Row],[Customer_Name]])</f>
        <v>Nikhil Joshi</v>
      </c>
      <c r="R412" s="21">
        <f>SalesData[[#This Row],[Sales]]-SalesData[[#This Row],[Cost]]</f>
        <v>-768.67000000001281</v>
      </c>
      <c r="S412" s="22">
        <f>IFERROR(SalesData[[#This Row],[Profit]]/SalesData[[#This Row],[Sales]],0)</f>
        <v>-5.3097749816462154E-3</v>
      </c>
      <c r="T412" s="19">
        <f>YEAR(SalesData[[#This Row],[Order_Date]])</f>
        <v>2025</v>
      </c>
      <c r="U412" s="19" t="str">
        <f>TEXT(SalesData[[#This Row],[Order_Date]],"mmm")</f>
        <v>Aug</v>
      </c>
      <c r="V412" s="19" t="str">
        <f>"Q"&amp;ROUNDUP(MONTH(SalesData[[#This Row],[Order_Date]])/3,0)</f>
        <v>Q3</v>
      </c>
      <c r="W412" s="19" t="str">
        <f>IF(SalesData[[#This Row],[Sales]]&gt;=50000,"High",IF(AND(SalesData[[#This Row],[Sales]]&gt;= 20000, SalesData[[#This Row],[Sales]]&lt; 50000),"Medium","Low"))</f>
        <v>High</v>
      </c>
      <c r="X412" s="19" t="str">
        <f>IF(SalesData[[#This Row],[Profit]]&gt;0,"Profit","Loss")</f>
        <v>Loss</v>
      </c>
      <c r="Y412" s="19" t="str">
        <f>IF(AND(SalesData[[#This Row],[Sales]]&gt;= 50000, SalesData[[#This Row],[Quantity]]&gt;=2),"Yes","No")</f>
        <v>Yes</v>
      </c>
      <c r="Z412" s="19" t="str">
        <f>UPPER(SalesData[[#This Row],[Customer_Name]])</f>
        <v>NIKHIL JOSHI</v>
      </c>
      <c r="AA412" s="19" t="str">
        <f>LOWER(SalesData[[#This Row],[Customer_Name]])</f>
        <v>nikhil joshi</v>
      </c>
      <c r="AB412" s="19">
        <f>LEN(SalesData[[#This Row],[Customer_Name]])</f>
        <v>12</v>
      </c>
      <c r="AC412" s="19" t="str">
        <f>LEFT(SalesData[[#This Row],[Order_ID]],3)</f>
        <v>ORD</v>
      </c>
      <c r="AD412" s="19" t="str">
        <f>RIGHT(SalesData[[#This Row],[Order_ID]],4)</f>
        <v>0837</v>
      </c>
      <c r="AE412" s="19" t="str">
        <f>_xlfn.CONCAT(SalesData[[#This Row],[Clean_Customer_Name]],"-",SalesData[[#This Row],[Region]])</f>
        <v>Nikhil Joshi-West</v>
      </c>
      <c r="AF412" s="19" t="str">
        <f>MID(SalesData[[#This Row],[Order_ID]],4,4)</f>
        <v>0837</v>
      </c>
      <c r="AG412" s="19" t="e">
        <f ca="1">_xlfn.SINGLE(_xlfn.XLOOKUP(SalesData[[#This Row],[Product]],Product_Master!A:A,Product_Master!B:B,"Not Found"))</f>
        <v>#NAME?</v>
      </c>
      <c r="AH412" s="19" t="str">
        <f>VLOOKUP(SalesData[[#This Row],[Product]],Product_Master!$A$1:$B$21,2,FALSE)</f>
        <v>Rahul</v>
      </c>
      <c r="AI412" s="16"/>
    </row>
    <row r="413" spans="1:35" ht="13.8">
      <c r="A413" s="16" t="s">
        <v>362</v>
      </c>
      <c r="B413" s="17">
        <v>45331</v>
      </c>
      <c r="C413" s="16" t="s">
        <v>114</v>
      </c>
      <c r="D413" s="16" t="s">
        <v>115</v>
      </c>
      <c r="E413" s="16" t="s">
        <v>81</v>
      </c>
      <c r="F413" s="16" t="s">
        <v>82</v>
      </c>
      <c r="G413" s="16" t="s">
        <v>21</v>
      </c>
      <c r="H413" s="16" t="s">
        <v>83</v>
      </c>
      <c r="I413" s="16" t="s">
        <v>23</v>
      </c>
      <c r="J413" s="16" t="s">
        <v>24</v>
      </c>
      <c r="K413" s="18">
        <v>51345.36</v>
      </c>
      <c r="L413" s="18">
        <v>37537.86</v>
      </c>
      <c r="M413" s="19">
        <v>2</v>
      </c>
      <c r="N413" s="20">
        <v>0.2</v>
      </c>
      <c r="O413" s="19" t="s">
        <v>136</v>
      </c>
      <c r="P413" s="19" t="s">
        <v>58</v>
      </c>
      <c r="Q413" s="19" t="str">
        <f>TRIM(SalesData[[#This Row],[Customer_Name]])</f>
        <v>Nikhil Joshi</v>
      </c>
      <c r="R413" s="21">
        <f>SalesData[[#This Row],[Sales]]-SalesData[[#This Row],[Cost]]</f>
        <v>13807.5</v>
      </c>
      <c r="S413" s="22">
        <f>IFERROR(SalesData[[#This Row],[Profit]]/SalesData[[#This Row],[Sales]],0)</f>
        <v>0.26891426995545459</v>
      </c>
      <c r="T413" s="19">
        <f>YEAR(SalesData[[#This Row],[Order_Date]])</f>
        <v>2024</v>
      </c>
      <c r="U413" s="19" t="str">
        <f>TEXT(SalesData[[#This Row],[Order_Date]],"mmm")</f>
        <v>Feb</v>
      </c>
      <c r="V413" s="19" t="str">
        <f>"Q"&amp;ROUNDUP(MONTH(SalesData[[#This Row],[Order_Date]])/3,0)</f>
        <v>Q1</v>
      </c>
      <c r="W413" s="19" t="str">
        <f>IF(SalesData[[#This Row],[Sales]]&gt;=50000,"High",IF(AND(SalesData[[#This Row],[Sales]]&gt;= 20000, SalesData[[#This Row],[Sales]]&lt; 50000),"Medium","Low"))</f>
        <v>High</v>
      </c>
      <c r="X413" s="19" t="str">
        <f>IF(SalesData[[#This Row],[Profit]]&gt;0,"Profit","Loss")</f>
        <v>Profit</v>
      </c>
      <c r="Y413" s="19" t="str">
        <f>IF(AND(SalesData[[#This Row],[Sales]]&gt;= 50000, SalesData[[#This Row],[Quantity]]&gt;=2),"Yes","No")</f>
        <v>Yes</v>
      </c>
      <c r="Z413" s="19" t="str">
        <f>UPPER(SalesData[[#This Row],[Customer_Name]])</f>
        <v>NIKHIL JOSHI</v>
      </c>
      <c r="AA413" s="19" t="str">
        <f>LOWER(SalesData[[#This Row],[Customer_Name]])</f>
        <v>nikhil joshi</v>
      </c>
      <c r="AB413" s="19">
        <f>LEN(SalesData[[#This Row],[Customer_Name]])</f>
        <v>12</v>
      </c>
      <c r="AC413" s="19" t="str">
        <f>LEFT(SalesData[[#This Row],[Order_ID]],3)</f>
        <v>ORD</v>
      </c>
      <c r="AD413" s="19" t="str">
        <f>RIGHT(SalesData[[#This Row],[Order_ID]],4)</f>
        <v>0209</v>
      </c>
      <c r="AE413" s="19" t="str">
        <f>_xlfn.CONCAT(SalesData[[#This Row],[Clean_Customer_Name]],"-",SalesData[[#This Row],[Region]])</f>
        <v>Nikhil Joshi-North</v>
      </c>
      <c r="AF413" s="19" t="str">
        <f>MID(SalesData[[#This Row],[Order_ID]],4,4)</f>
        <v>0209</v>
      </c>
      <c r="AG413" s="19" t="e">
        <f ca="1">_xlfn.SINGLE(_xlfn.XLOOKUP(SalesData[[#This Row],[Product]],Product_Master!A:A,Product_Master!B:B,"Not Found"))</f>
        <v>#NAME?</v>
      </c>
      <c r="AH413" s="19" t="str">
        <f>VLOOKUP(SalesData[[#This Row],[Product]],Product_Master!$A$1:$B$21,2,FALSE)</f>
        <v>Priya</v>
      </c>
      <c r="AI413" s="16"/>
    </row>
    <row r="414" spans="1:35" ht="13.8">
      <c r="A414" s="16" t="s">
        <v>753</v>
      </c>
      <c r="B414" s="17">
        <v>45590</v>
      </c>
      <c r="C414" s="16" t="s">
        <v>114</v>
      </c>
      <c r="D414" s="16" t="s">
        <v>115</v>
      </c>
      <c r="E414" s="16" t="s">
        <v>81</v>
      </c>
      <c r="F414" s="16" t="s">
        <v>82</v>
      </c>
      <c r="G414" s="16" t="s">
        <v>21</v>
      </c>
      <c r="H414" s="16" t="s">
        <v>83</v>
      </c>
      <c r="I414" s="16" t="s">
        <v>84</v>
      </c>
      <c r="J414" s="16" t="s">
        <v>85</v>
      </c>
      <c r="K414" s="18">
        <v>88846.49</v>
      </c>
      <c r="L414" s="18">
        <v>70531.759999999995</v>
      </c>
      <c r="M414" s="19">
        <v>4</v>
      </c>
      <c r="N414" s="20">
        <v>0.1</v>
      </c>
      <c r="O414" s="19" t="s">
        <v>136</v>
      </c>
      <c r="P414" s="19" t="s">
        <v>58</v>
      </c>
      <c r="Q414" s="19" t="str">
        <f>TRIM(SalesData[[#This Row],[Customer_Name]])</f>
        <v>Nikhil Joshi</v>
      </c>
      <c r="R414" s="21">
        <f>SalesData[[#This Row],[Sales]]-SalesData[[#This Row],[Cost]]</f>
        <v>18314.73000000001</v>
      </c>
      <c r="S414" s="22">
        <f>IFERROR(SalesData[[#This Row],[Profit]]/SalesData[[#This Row],[Sales]],0)</f>
        <v>0.20613903824450475</v>
      </c>
      <c r="T414" s="19">
        <f>YEAR(SalesData[[#This Row],[Order_Date]])</f>
        <v>2024</v>
      </c>
      <c r="U414" s="19" t="str">
        <f>TEXT(SalesData[[#This Row],[Order_Date]],"mmm")</f>
        <v>Oct</v>
      </c>
      <c r="V414" s="19" t="str">
        <f>"Q"&amp;ROUNDUP(MONTH(SalesData[[#This Row],[Order_Date]])/3,0)</f>
        <v>Q4</v>
      </c>
      <c r="W414" s="19" t="str">
        <f>IF(SalesData[[#This Row],[Sales]]&gt;=50000,"High",IF(AND(SalesData[[#This Row],[Sales]]&gt;= 20000, SalesData[[#This Row],[Sales]]&lt; 50000),"Medium","Low"))</f>
        <v>High</v>
      </c>
      <c r="X414" s="19" t="str">
        <f>IF(SalesData[[#This Row],[Profit]]&gt;0,"Profit","Loss")</f>
        <v>Profit</v>
      </c>
      <c r="Y414" s="19" t="str">
        <f>IF(AND(SalesData[[#This Row],[Sales]]&gt;= 50000, SalesData[[#This Row],[Quantity]]&gt;=2),"Yes","No")</f>
        <v>Yes</v>
      </c>
      <c r="Z414" s="19" t="str">
        <f>UPPER(SalesData[[#This Row],[Customer_Name]])</f>
        <v>NIKHIL JOSHI</v>
      </c>
      <c r="AA414" s="19" t="str">
        <f>LOWER(SalesData[[#This Row],[Customer_Name]])</f>
        <v>nikhil joshi</v>
      </c>
      <c r="AB414" s="19">
        <f>LEN(SalesData[[#This Row],[Customer_Name]])</f>
        <v>12</v>
      </c>
      <c r="AC414" s="19" t="str">
        <f>LEFT(SalesData[[#This Row],[Order_ID]],3)</f>
        <v>ORD</v>
      </c>
      <c r="AD414" s="19" t="str">
        <f>RIGHT(SalesData[[#This Row],[Order_ID]],4)</f>
        <v>0600</v>
      </c>
      <c r="AE414" s="19" t="str">
        <f>_xlfn.CONCAT(SalesData[[#This Row],[Clean_Customer_Name]],"-",SalesData[[#This Row],[Region]])</f>
        <v>Nikhil Joshi-South</v>
      </c>
      <c r="AF414" s="19" t="str">
        <f>MID(SalesData[[#This Row],[Order_ID]],4,4)</f>
        <v>0600</v>
      </c>
      <c r="AG414" s="19" t="e">
        <f ca="1">_xlfn.SINGLE(_xlfn.XLOOKUP(SalesData[[#This Row],[Product]],Product_Master!A:A,Product_Master!B:B,"Not Found"))</f>
        <v>#NAME?</v>
      </c>
      <c r="AH414" s="19" t="str">
        <f>VLOOKUP(SalesData[[#This Row],[Product]],Product_Master!$A$1:$B$21,2,FALSE)</f>
        <v>Priya</v>
      </c>
      <c r="AI414" s="16"/>
    </row>
    <row r="415" spans="1:35" ht="13.8">
      <c r="A415" s="16" t="s">
        <v>815</v>
      </c>
      <c r="B415" s="17">
        <v>45378</v>
      </c>
      <c r="C415" s="16" t="s">
        <v>114</v>
      </c>
      <c r="D415" s="16" t="s">
        <v>115</v>
      </c>
      <c r="E415" s="16" t="s">
        <v>81</v>
      </c>
      <c r="F415" s="16" t="s">
        <v>82</v>
      </c>
      <c r="G415" s="16" t="s">
        <v>21</v>
      </c>
      <c r="H415" s="16" t="s">
        <v>83</v>
      </c>
      <c r="I415" s="16" t="s">
        <v>84</v>
      </c>
      <c r="J415" s="16" t="s">
        <v>134</v>
      </c>
      <c r="K415" s="18">
        <v>55002.45</v>
      </c>
      <c r="L415" s="18">
        <v>36687.919999999998</v>
      </c>
      <c r="M415" s="19">
        <v>2</v>
      </c>
      <c r="N415" s="20">
        <v>0.15</v>
      </c>
      <c r="O415" s="19" t="s">
        <v>136</v>
      </c>
      <c r="P415" s="19" t="s">
        <v>26</v>
      </c>
      <c r="Q415" s="19" t="str">
        <f>TRIM(SalesData[[#This Row],[Customer_Name]])</f>
        <v>Nikhil Joshi</v>
      </c>
      <c r="R415" s="21">
        <f>SalesData[[#This Row],[Sales]]-SalesData[[#This Row],[Cost]]</f>
        <v>18314.53</v>
      </c>
      <c r="S415" s="22">
        <f>IFERROR(SalesData[[#This Row],[Profit]]/SalesData[[#This Row],[Sales]],0)</f>
        <v>0.33297662195047673</v>
      </c>
      <c r="T415" s="19">
        <f>YEAR(SalesData[[#This Row],[Order_Date]])</f>
        <v>2024</v>
      </c>
      <c r="U415" s="19" t="str">
        <f>TEXT(SalesData[[#This Row],[Order_Date]],"mmm")</f>
        <v>Mar</v>
      </c>
      <c r="V415" s="19" t="str">
        <f>"Q"&amp;ROUNDUP(MONTH(SalesData[[#This Row],[Order_Date]])/3,0)</f>
        <v>Q1</v>
      </c>
      <c r="W415" s="19" t="str">
        <f>IF(SalesData[[#This Row],[Sales]]&gt;=50000,"High",IF(AND(SalesData[[#This Row],[Sales]]&gt;= 20000, SalesData[[#This Row],[Sales]]&lt; 50000),"Medium","Low"))</f>
        <v>High</v>
      </c>
      <c r="X415" s="19" t="str">
        <f>IF(SalesData[[#This Row],[Profit]]&gt;0,"Profit","Loss")</f>
        <v>Profit</v>
      </c>
      <c r="Y415" s="19" t="str">
        <f>IF(AND(SalesData[[#This Row],[Sales]]&gt;= 50000, SalesData[[#This Row],[Quantity]]&gt;=2),"Yes","No")</f>
        <v>Yes</v>
      </c>
      <c r="Z415" s="19" t="str">
        <f>UPPER(SalesData[[#This Row],[Customer_Name]])</f>
        <v>NIKHIL JOSHI</v>
      </c>
      <c r="AA415" s="19" t="str">
        <f>LOWER(SalesData[[#This Row],[Customer_Name]])</f>
        <v>nikhil joshi</v>
      </c>
      <c r="AB415" s="19">
        <f>LEN(SalesData[[#This Row],[Customer_Name]])</f>
        <v>12</v>
      </c>
      <c r="AC415" s="19" t="str">
        <f>LEFT(SalesData[[#This Row],[Order_ID]],3)</f>
        <v>ORD</v>
      </c>
      <c r="AD415" s="19" t="str">
        <f>RIGHT(SalesData[[#This Row],[Order_ID]],4)</f>
        <v>0662</v>
      </c>
      <c r="AE415" s="19" t="str">
        <f>_xlfn.CONCAT(SalesData[[#This Row],[Clean_Customer_Name]],"-",SalesData[[#This Row],[Region]])</f>
        <v>Nikhil Joshi-South</v>
      </c>
      <c r="AF415" s="19" t="str">
        <f>MID(SalesData[[#This Row],[Order_ID]],4,4)</f>
        <v>0662</v>
      </c>
      <c r="AG415" s="19" t="e">
        <f ca="1">_xlfn.SINGLE(_xlfn.XLOOKUP(SalesData[[#This Row],[Product]],Product_Master!A:A,Product_Master!B:B,"Not Found"))</f>
        <v>#NAME?</v>
      </c>
      <c r="AH415" s="19" t="str">
        <f>VLOOKUP(SalesData[[#This Row],[Product]],Product_Master!$A$1:$B$21,2,FALSE)</f>
        <v>Priya</v>
      </c>
      <c r="AI415" s="16"/>
    </row>
    <row r="416" spans="1:35" ht="13.8">
      <c r="A416" s="16" t="s">
        <v>306</v>
      </c>
      <c r="B416" s="17">
        <v>45764</v>
      </c>
      <c r="C416" s="16" t="s">
        <v>114</v>
      </c>
      <c r="D416" s="16" t="s">
        <v>115</v>
      </c>
      <c r="E416" s="16" t="s">
        <v>62</v>
      </c>
      <c r="F416" s="16" t="s">
        <v>63</v>
      </c>
      <c r="G416" s="16" t="s">
        <v>21</v>
      </c>
      <c r="H416" s="16" t="s">
        <v>64</v>
      </c>
      <c r="I416" s="16" t="s">
        <v>84</v>
      </c>
      <c r="J416" s="16" t="s">
        <v>142</v>
      </c>
      <c r="K416" s="18">
        <v>13209.91</v>
      </c>
      <c r="L416" s="18">
        <v>6534.16</v>
      </c>
      <c r="M416" s="19">
        <v>4</v>
      </c>
      <c r="N416" s="20">
        <v>0.1</v>
      </c>
      <c r="O416" s="19" t="s">
        <v>25</v>
      </c>
      <c r="P416" s="19" t="s">
        <v>58</v>
      </c>
      <c r="Q416" s="19" t="str">
        <f>TRIM(SalesData[[#This Row],[Customer_Name]])</f>
        <v>Nikhil Joshi</v>
      </c>
      <c r="R416" s="21">
        <f>SalesData[[#This Row],[Sales]]-SalesData[[#This Row],[Cost]]</f>
        <v>6675.75</v>
      </c>
      <c r="S416" s="22">
        <f>IFERROR(SalesData[[#This Row],[Profit]]/SalesData[[#This Row],[Sales]],0)</f>
        <v>0.50535923409016414</v>
      </c>
      <c r="T416" s="19">
        <f>YEAR(SalesData[[#This Row],[Order_Date]])</f>
        <v>2025</v>
      </c>
      <c r="U416" s="19" t="str">
        <f>TEXT(SalesData[[#This Row],[Order_Date]],"mmm")</f>
        <v>Apr</v>
      </c>
      <c r="V416" s="19" t="str">
        <f>"Q"&amp;ROUNDUP(MONTH(SalesData[[#This Row],[Order_Date]])/3,0)</f>
        <v>Q2</v>
      </c>
      <c r="W416" s="19" t="str">
        <f>IF(SalesData[[#This Row],[Sales]]&gt;=50000,"High",IF(AND(SalesData[[#This Row],[Sales]]&gt;= 20000, SalesData[[#This Row],[Sales]]&lt; 50000),"Medium","Low"))</f>
        <v>Low</v>
      </c>
      <c r="X416" s="19" t="str">
        <f>IF(SalesData[[#This Row],[Profit]]&gt;0,"Profit","Loss")</f>
        <v>Profit</v>
      </c>
      <c r="Y416" s="19" t="str">
        <f>IF(AND(SalesData[[#This Row],[Sales]]&gt;= 50000, SalesData[[#This Row],[Quantity]]&gt;=2),"Yes","No")</f>
        <v>No</v>
      </c>
      <c r="Z416" s="19" t="str">
        <f>UPPER(SalesData[[#This Row],[Customer_Name]])</f>
        <v>NIKHIL JOSHI</v>
      </c>
      <c r="AA416" s="19" t="str">
        <f>LOWER(SalesData[[#This Row],[Customer_Name]])</f>
        <v>nikhil joshi</v>
      </c>
      <c r="AB416" s="19">
        <f>LEN(SalesData[[#This Row],[Customer_Name]])</f>
        <v>12</v>
      </c>
      <c r="AC416" s="19" t="str">
        <f>LEFT(SalesData[[#This Row],[Order_ID]],3)</f>
        <v>ORD</v>
      </c>
      <c r="AD416" s="19" t="str">
        <f>RIGHT(SalesData[[#This Row],[Order_ID]],4)</f>
        <v>0153</v>
      </c>
      <c r="AE416" s="19" t="str">
        <f>_xlfn.CONCAT(SalesData[[#This Row],[Clean_Customer_Name]],"-",SalesData[[#This Row],[Region]])</f>
        <v>Nikhil Joshi-South</v>
      </c>
      <c r="AF416" s="19" t="str">
        <f>MID(SalesData[[#This Row],[Order_ID]],4,4)</f>
        <v>0153</v>
      </c>
      <c r="AG416" s="19" t="e">
        <f ca="1">_xlfn.SINGLE(_xlfn.XLOOKUP(SalesData[[#This Row],[Product]],Product_Master!A:A,Product_Master!B:B,"Not Found"))</f>
        <v>#NAME?</v>
      </c>
      <c r="AH416" s="19" t="str">
        <f>VLOOKUP(SalesData[[#This Row],[Product]],Product_Master!$A$1:$B$21,2,FALSE)</f>
        <v>Amit</v>
      </c>
      <c r="AI416" s="16"/>
    </row>
    <row r="417" spans="1:35" ht="13.8">
      <c r="A417" s="16" t="s">
        <v>113</v>
      </c>
      <c r="B417" s="17">
        <v>45932</v>
      </c>
      <c r="C417" s="16" t="s">
        <v>114</v>
      </c>
      <c r="D417" s="16" t="s">
        <v>115</v>
      </c>
      <c r="E417" s="16" t="s">
        <v>19</v>
      </c>
      <c r="F417" s="16" t="s">
        <v>20</v>
      </c>
      <c r="G417" s="16" t="s">
        <v>21</v>
      </c>
      <c r="H417" s="16" t="s">
        <v>22</v>
      </c>
      <c r="I417" s="16" t="s">
        <v>53</v>
      </c>
      <c r="J417" s="16" t="s">
        <v>102</v>
      </c>
      <c r="K417" s="18">
        <v>17736.18</v>
      </c>
      <c r="L417" s="18">
        <v>9615</v>
      </c>
      <c r="M417" s="19">
        <v>3</v>
      </c>
      <c r="N417" s="20">
        <v>0.05</v>
      </c>
      <c r="O417" s="19" t="s">
        <v>76</v>
      </c>
      <c r="P417" s="19" t="s">
        <v>77</v>
      </c>
      <c r="Q417" s="19" t="str">
        <f>TRIM(SalesData[[#This Row],[Customer_Name]])</f>
        <v>Nikhil Joshi</v>
      </c>
      <c r="R417" s="21">
        <f>SalesData[[#This Row],[Sales]]-SalesData[[#This Row],[Cost]]</f>
        <v>8121.18</v>
      </c>
      <c r="S417" s="22">
        <f>IFERROR(SalesData[[#This Row],[Profit]]/SalesData[[#This Row],[Sales]],0)</f>
        <v>0.45788777515789758</v>
      </c>
      <c r="T417" s="19">
        <f>YEAR(SalesData[[#This Row],[Order_Date]])</f>
        <v>2025</v>
      </c>
      <c r="U417" s="19" t="str">
        <f>TEXT(SalesData[[#This Row],[Order_Date]],"mmm")</f>
        <v>Oct</v>
      </c>
      <c r="V417" s="19" t="str">
        <f>"Q"&amp;ROUNDUP(MONTH(SalesData[[#This Row],[Order_Date]])/3,0)</f>
        <v>Q4</v>
      </c>
      <c r="W417" s="19" t="str">
        <f>IF(SalesData[[#This Row],[Sales]]&gt;=50000,"High",IF(AND(SalesData[[#This Row],[Sales]]&gt;= 20000, SalesData[[#This Row],[Sales]]&lt; 50000),"Medium","Low"))</f>
        <v>Low</v>
      </c>
      <c r="X417" s="19" t="str">
        <f>IF(SalesData[[#This Row],[Profit]]&gt;0,"Profit","Loss")</f>
        <v>Profit</v>
      </c>
      <c r="Y417" s="19" t="str">
        <f>IF(AND(SalesData[[#This Row],[Sales]]&gt;= 50000, SalesData[[#This Row],[Quantity]]&gt;=2),"Yes","No")</f>
        <v>No</v>
      </c>
      <c r="Z417" s="19" t="str">
        <f>UPPER(SalesData[[#This Row],[Customer_Name]])</f>
        <v>NIKHIL JOSHI</v>
      </c>
      <c r="AA417" s="19" t="str">
        <f>LOWER(SalesData[[#This Row],[Customer_Name]])</f>
        <v>nikhil joshi</v>
      </c>
      <c r="AB417" s="19">
        <f>LEN(SalesData[[#This Row],[Customer_Name]])</f>
        <v>12</v>
      </c>
      <c r="AC417" s="19" t="str">
        <f>LEFT(SalesData[[#This Row],[Order_ID]],3)</f>
        <v>ORD</v>
      </c>
      <c r="AD417" s="19" t="str">
        <f>RIGHT(SalesData[[#This Row],[Order_ID]],4)</f>
        <v>0015</v>
      </c>
      <c r="AE417" s="19" t="str">
        <f>_xlfn.CONCAT(SalesData[[#This Row],[Clean_Customer_Name]],"-",SalesData[[#This Row],[Region]])</f>
        <v>Nikhil Joshi-Central</v>
      </c>
      <c r="AF417" s="19" t="str">
        <f>MID(SalesData[[#This Row],[Order_ID]],4,4)</f>
        <v>0015</v>
      </c>
      <c r="AG417" s="19" t="e">
        <f ca="1">_xlfn.SINGLE(_xlfn.XLOOKUP(SalesData[[#This Row],[Product]],Product_Master!A:A,Product_Master!B:B,"Not Found"))</f>
        <v>#NAME?</v>
      </c>
      <c r="AH417" s="19" t="str">
        <f>VLOOKUP(SalesData[[#This Row],[Product]],Product_Master!$A$1:$B$21,2,FALSE)</f>
        <v>Neha</v>
      </c>
      <c r="AI417" s="16"/>
    </row>
    <row r="418" spans="1:35" ht="13.8">
      <c r="A418" s="16" t="s">
        <v>659</v>
      </c>
      <c r="B418" s="17">
        <v>45366</v>
      </c>
      <c r="C418" s="16" t="s">
        <v>114</v>
      </c>
      <c r="D418" s="16" t="s">
        <v>115</v>
      </c>
      <c r="E418" s="16" t="s">
        <v>19</v>
      </c>
      <c r="F418" s="16" t="s">
        <v>20</v>
      </c>
      <c r="G418" s="16" t="s">
        <v>21</v>
      </c>
      <c r="H418" s="16" t="s">
        <v>22</v>
      </c>
      <c r="I418" s="16" t="s">
        <v>56</v>
      </c>
      <c r="J418" s="16" t="s">
        <v>57</v>
      </c>
      <c r="K418" s="18">
        <v>34804.68</v>
      </c>
      <c r="L418" s="18">
        <v>14382.75</v>
      </c>
      <c r="M418" s="19">
        <v>5</v>
      </c>
      <c r="N418" s="20">
        <v>0.2</v>
      </c>
      <c r="O418" s="19" t="s">
        <v>44</v>
      </c>
      <c r="P418" s="19" t="s">
        <v>45</v>
      </c>
      <c r="Q418" s="19" t="str">
        <f>TRIM(SalesData[[#This Row],[Customer_Name]])</f>
        <v>Nikhil Joshi</v>
      </c>
      <c r="R418" s="21">
        <f>SalesData[[#This Row],[Sales]]-SalesData[[#This Row],[Cost]]</f>
        <v>20421.93</v>
      </c>
      <c r="S418" s="22">
        <f>IFERROR(SalesData[[#This Row],[Profit]]/SalesData[[#This Row],[Sales]],0)</f>
        <v>0.58675816010950255</v>
      </c>
      <c r="T418" s="19">
        <f>YEAR(SalesData[[#This Row],[Order_Date]])</f>
        <v>2024</v>
      </c>
      <c r="U418" s="19" t="str">
        <f>TEXT(SalesData[[#This Row],[Order_Date]],"mmm")</f>
        <v>Mar</v>
      </c>
      <c r="V418" s="19" t="str">
        <f>"Q"&amp;ROUNDUP(MONTH(SalesData[[#This Row],[Order_Date]])/3,0)</f>
        <v>Q1</v>
      </c>
      <c r="W418" s="19" t="str">
        <f>IF(SalesData[[#This Row],[Sales]]&gt;=50000,"High",IF(AND(SalesData[[#This Row],[Sales]]&gt;= 20000, SalesData[[#This Row],[Sales]]&lt; 50000),"Medium","Low"))</f>
        <v>Medium</v>
      </c>
      <c r="X418" s="19" t="str">
        <f>IF(SalesData[[#This Row],[Profit]]&gt;0,"Profit","Loss")</f>
        <v>Profit</v>
      </c>
      <c r="Y418" s="19" t="str">
        <f>IF(AND(SalesData[[#This Row],[Sales]]&gt;= 50000, SalesData[[#This Row],[Quantity]]&gt;=2),"Yes","No")</f>
        <v>No</v>
      </c>
      <c r="Z418" s="19" t="str">
        <f>UPPER(SalesData[[#This Row],[Customer_Name]])</f>
        <v>NIKHIL JOSHI</v>
      </c>
      <c r="AA418" s="19" t="str">
        <f>LOWER(SalesData[[#This Row],[Customer_Name]])</f>
        <v>nikhil joshi</v>
      </c>
      <c r="AB418" s="19">
        <f>LEN(SalesData[[#This Row],[Customer_Name]])</f>
        <v>12</v>
      </c>
      <c r="AC418" s="19" t="str">
        <f>LEFT(SalesData[[#This Row],[Order_ID]],3)</f>
        <v>ORD</v>
      </c>
      <c r="AD418" s="19" t="str">
        <f>RIGHT(SalesData[[#This Row],[Order_ID]],4)</f>
        <v>0506</v>
      </c>
      <c r="AE418" s="19" t="str">
        <f>_xlfn.CONCAT(SalesData[[#This Row],[Clean_Customer_Name]],"-",SalesData[[#This Row],[Region]])</f>
        <v>Nikhil Joshi-West</v>
      </c>
      <c r="AF418" s="19" t="str">
        <f>MID(SalesData[[#This Row],[Order_ID]],4,4)</f>
        <v>0506</v>
      </c>
      <c r="AG418" s="19" t="e">
        <f ca="1">_xlfn.SINGLE(_xlfn.XLOOKUP(SalesData[[#This Row],[Product]],Product_Master!A:A,Product_Master!B:B,"Not Found"))</f>
        <v>#NAME?</v>
      </c>
      <c r="AH418" s="19" t="str">
        <f>VLOOKUP(SalesData[[#This Row],[Product]],Product_Master!$A$1:$B$21,2,FALSE)</f>
        <v>Neha</v>
      </c>
      <c r="AI418" s="16"/>
    </row>
    <row r="419" spans="1:35" ht="13.8">
      <c r="A419" s="16" t="s">
        <v>713</v>
      </c>
      <c r="B419" s="17">
        <v>45528</v>
      </c>
      <c r="C419" s="16" t="s">
        <v>114</v>
      </c>
      <c r="D419" s="16" t="s">
        <v>115</v>
      </c>
      <c r="E419" s="16" t="s">
        <v>19</v>
      </c>
      <c r="F419" s="16" t="s">
        <v>20</v>
      </c>
      <c r="G419" s="16" t="s">
        <v>21</v>
      </c>
      <c r="H419" s="16" t="s">
        <v>22</v>
      </c>
      <c r="I419" s="16" t="s">
        <v>23</v>
      </c>
      <c r="J419" s="16" t="s">
        <v>33</v>
      </c>
      <c r="K419" s="18">
        <v>21133.65</v>
      </c>
      <c r="L419" s="18">
        <v>14656</v>
      </c>
      <c r="M419" s="19">
        <v>5</v>
      </c>
      <c r="N419" s="20">
        <v>0.05</v>
      </c>
      <c r="O419" s="19" t="s">
        <v>34</v>
      </c>
      <c r="P419" s="19" t="s">
        <v>58</v>
      </c>
      <c r="Q419" s="19" t="str">
        <f>TRIM(SalesData[[#This Row],[Customer_Name]])</f>
        <v>Nikhil Joshi</v>
      </c>
      <c r="R419" s="21">
        <f>SalesData[[#This Row],[Sales]]-SalesData[[#This Row],[Cost]]</f>
        <v>6477.6500000000015</v>
      </c>
      <c r="S419" s="22">
        <f>IFERROR(SalesData[[#This Row],[Profit]]/SalesData[[#This Row],[Sales]],0)</f>
        <v>0.30650881414237491</v>
      </c>
      <c r="T419" s="19">
        <f>YEAR(SalesData[[#This Row],[Order_Date]])</f>
        <v>2024</v>
      </c>
      <c r="U419" s="19" t="str">
        <f>TEXT(SalesData[[#This Row],[Order_Date]],"mmm")</f>
        <v>Aug</v>
      </c>
      <c r="V419" s="19" t="str">
        <f>"Q"&amp;ROUNDUP(MONTH(SalesData[[#This Row],[Order_Date]])/3,0)</f>
        <v>Q3</v>
      </c>
      <c r="W419" s="19" t="str">
        <f>IF(SalesData[[#This Row],[Sales]]&gt;=50000,"High",IF(AND(SalesData[[#This Row],[Sales]]&gt;= 20000, SalesData[[#This Row],[Sales]]&lt; 50000),"Medium","Low"))</f>
        <v>Medium</v>
      </c>
      <c r="X419" s="19" t="str">
        <f>IF(SalesData[[#This Row],[Profit]]&gt;0,"Profit","Loss")</f>
        <v>Profit</v>
      </c>
      <c r="Y419" s="19" t="str">
        <f>IF(AND(SalesData[[#This Row],[Sales]]&gt;= 50000, SalesData[[#This Row],[Quantity]]&gt;=2),"Yes","No")</f>
        <v>No</v>
      </c>
      <c r="Z419" s="19" t="str">
        <f>UPPER(SalesData[[#This Row],[Customer_Name]])</f>
        <v>NIKHIL JOSHI</v>
      </c>
      <c r="AA419" s="19" t="str">
        <f>LOWER(SalesData[[#This Row],[Customer_Name]])</f>
        <v>nikhil joshi</v>
      </c>
      <c r="AB419" s="19">
        <f>LEN(SalesData[[#This Row],[Customer_Name]])</f>
        <v>12</v>
      </c>
      <c r="AC419" s="19" t="str">
        <f>LEFT(SalesData[[#This Row],[Order_ID]],3)</f>
        <v>ORD</v>
      </c>
      <c r="AD419" s="19" t="str">
        <f>RIGHT(SalesData[[#This Row],[Order_ID]],4)</f>
        <v>0560</v>
      </c>
      <c r="AE419" s="19" t="str">
        <f>_xlfn.CONCAT(SalesData[[#This Row],[Clean_Customer_Name]],"-",SalesData[[#This Row],[Region]])</f>
        <v>Nikhil Joshi-North</v>
      </c>
      <c r="AF419" s="19" t="str">
        <f>MID(SalesData[[#This Row],[Order_ID]],4,4)</f>
        <v>0560</v>
      </c>
      <c r="AG419" s="19" t="e">
        <f ca="1">_xlfn.SINGLE(_xlfn.XLOOKUP(SalesData[[#This Row],[Product]],Product_Master!A:A,Product_Master!B:B,"Not Found"))</f>
        <v>#NAME?</v>
      </c>
      <c r="AH419" s="19" t="str">
        <f>VLOOKUP(SalesData[[#This Row],[Product]],Product_Master!$A$1:$B$21,2,FALSE)</f>
        <v>Neha</v>
      </c>
      <c r="AI419" s="16"/>
    </row>
    <row r="420" spans="1:35" ht="13.8">
      <c r="A420" s="16" t="s">
        <v>999</v>
      </c>
      <c r="B420" s="17">
        <v>45937</v>
      </c>
      <c r="C420" s="16" t="s">
        <v>114</v>
      </c>
      <c r="D420" s="16" t="s">
        <v>115</v>
      </c>
      <c r="E420" s="16" t="s">
        <v>19</v>
      </c>
      <c r="F420" s="16" t="s">
        <v>20</v>
      </c>
      <c r="G420" s="16" t="s">
        <v>21</v>
      </c>
      <c r="H420" s="16" t="s">
        <v>22</v>
      </c>
      <c r="I420" s="16" t="s">
        <v>23</v>
      </c>
      <c r="J420" s="16" t="s">
        <v>75</v>
      </c>
      <c r="K420" s="18">
        <v>8073.06</v>
      </c>
      <c r="L420" s="18">
        <v>3222.52</v>
      </c>
      <c r="M420" s="19">
        <v>1</v>
      </c>
      <c r="N420" s="20">
        <v>0.05</v>
      </c>
      <c r="O420" s="19" t="s">
        <v>44</v>
      </c>
      <c r="P420" s="19" t="s">
        <v>98</v>
      </c>
      <c r="Q420" s="19" t="str">
        <f>TRIM(SalesData[[#This Row],[Customer_Name]])</f>
        <v>Nikhil Joshi</v>
      </c>
      <c r="R420" s="21">
        <f>SalesData[[#This Row],[Sales]]-SalesData[[#This Row],[Cost]]</f>
        <v>4850.5400000000009</v>
      </c>
      <c r="S420" s="22">
        <f>IFERROR(SalesData[[#This Row],[Profit]]/SalesData[[#This Row],[Sales]],0)</f>
        <v>0.60083041622383593</v>
      </c>
      <c r="T420" s="19">
        <f>YEAR(SalesData[[#This Row],[Order_Date]])</f>
        <v>2025</v>
      </c>
      <c r="U420" s="19" t="str">
        <f>TEXT(SalesData[[#This Row],[Order_Date]],"mmm")</f>
        <v>Oct</v>
      </c>
      <c r="V420" s="19" t="str">
        <f>"Q"&amp;ROUNDUP(MONTH(SalesData[[#This Row],[Order_Date]])/3,0)</f>
        <v>Q4</v>
      </c>
      <c r="W420" s="19" t="str">
        <f>IF(SalesData[[#This Row],[Sales]]&gt;=50000,"High",IF(AND(SalesData[[#This Row],[Sales]]&gt;= 20000, SalesData[[#This Row],[Sales]]&lt; 50000),"Medium","Low"))</f>
        <v>Low</v>
      </c>
      <c r="X420" s="19" t="str">
        <f>IF(SalesData[[#This Row],[Profit]]&gt;0,"Profit","Loss")</f>
        <v>Profit</v>
      </c>
      <c r="Y420" s="19" t="str">
        <f>IF(AND(SalesData[[#This Row],[Sales]]&gt;= 50000, SalesData[[#This Row],[Quantity]]&gt;=2),"Yes","No")</f>
        <v>No</v>
      </c>
      <c r="Z420" s="19" t="str">
        <f>UPPER(SalesData[[#This Row],[Customer_Name]])</f>
        <v>NIKHIL JOSHI</v>
      </c>
      <c r="AA420" s="19" t="str">
        <f>LOWER(SalesData[[#This Row],[Customer_Name]])</f>
        <v>nikhil joshi</v>
      </c>
      <c r="AB420" s="19">
        <f>LEN(SalesData[[#This Row],[Customer_Name]])</f>
        <v>12</v>
      </c>
      <c r="AC420" s="19" t="str">
        <f>LEFT(SalesData[[#This Row],[Order_ID]],3)</f>
        <v>ORD</v>
      </c>
      <c r="AD420" s="19" t="str">
        <f>RIGHT(SalesData[[#This Row],[Order_ID]],4)</f>
        <v>0846</v>
      </c>
      <c r="AE420" s="19" t="str">
        <f>_xlfn.CONCAT(SalesData[[#This Row],[Clean_Customer_Name]],"-",SalesData[[#This Row],[Region]])</f>
        <v>Nikhil Joshi-North</v>
      </c>
      <c r="AF420" s="19" t="str">
        <f>MID(SalesData[[#This Row],[Order_ID]],4,4)</f>
        <v>0846</v>
      </c>
      <c r="AG420" s="19" t="e">
        <f ca="1">_xlfn.SINGLE(_xlfn.XLOOKUP(SalesData[[#This Row],[Product]],Product_Master!A:A,Product_Master!B:B,"Not Found"))</f>
        <v>#NAME?</v>
      </c>
      <c r="AH420" s="19" t="str">
        <f>VLOOKUP(SalesData[[#This Row],[Product]],Product_Master!$A$1:$B$21,2,FALSE)</f>
        <v>Neha</v>
      </c>
      <c r="AI420" s="16"/>
    </row>
    <row r="421" spans="1:35" ht="13.8">
      <c r="A421" s="16" t="s">
        <v>635</v>
      </c>
      <c r="B421" s="17">
        <v>45461</v>
      </c>
      <c r="C421" s="16" t="s">
        <v>114</v>
      </c>
      <c r="D421" s="16" t="s">
        <v>115</v>
      </c>
      <c r="E421" s="16" t="s">
        <v>152</v>
      </c>
      <c r="F421" s="16" t="s">
        <v>153</v>
      </c>
      <c r="G421" s="16" t="s">
        <v>21</v>
      </c>
      <c r="H421" s="16" t="s">
        <v>32</v>
      </c>
      <c r="I421" s="16" t="s">
        <v>56</v>
      </c>
      <c r="J421" s="16" t="s">
        <v>191</v>
      </c>
      <c r="K421" s="18">
        <v>25631.15</v>
      </c>
      <c r="L421" s="18">
        <v>14646.68</v>
      </c>
      <c r="M421" s="19">
        <v>2</v>
      </c>
      <c r="N421" s="20">
        <v>0.05</v>
      </c>
      <c r="O421" s="19" t="s">
        <v>76</v>
      </c>
      <c r="P421" s="19" t="s">
        <v>58</v>
      </c>
      <c r="Q421" s="19" t="str">
        <f>TRIM(SalesData[[#This Row],[Customer_Name]])</f>
        <v>Nikhil Joshi</v>
      </c>
      <c r="R421" s="21">
        <f>SalesData[[#This Row],[Sales]]-SalesData[[#This Row],[Cost]]</f>
        <v>10984.470000000001</v>
      </c>
      <c r="S421" s="22">
        <f>IFERROR(SalesData[[#This Row],[Profit]]/SalesData[[#This Row],[Sales]],0)</f>
        <v>0.42855938964892332</v>
      </c>
      <c r="T421" s="19">
        <f>YEAR(SalesData[[#This Row],[Order_Date]])</f>
        <v>2024</v>
      </c>
      <c r="U421" s="19" t="str">
        <f>TEXT(SalesData[[#This Row],[Order_Date]],"mmm")</f>
        <v>Jun</v>
      </c>
      <c r="V421" s="19" t="str">
        <f>"Q"&amp;ROUNDUP(MONTH(SalesData[[#This Row],[Order_Date]])/3,0)</f>
        <v>Q2</v>
      </c>
      <c r="W421" s="19" t="str">
        <f>IF(SalesData[[#This Row],[Sales]]&gt;=50000,"High",IF(AND(SalesData[[#This Row],[Sales]]&gt;= 20000, SalesData[[#This Row],[Sales]]&lt; 50000),"Medium","Low"))</f>
        <v>Medium</v>
      </c>
      <c r="X421" s="19" t="str">
        <f>IF(SalesData[[#This Row],[Profit]]&gt;0,"Profit","Loss")</f>
        <v>Profit</v>
      </c>
      <c r="Y421" s="19" t="str">
        <f>IF(AND(SalesData[[#This Row],[Sales]]&gt;= 50000, SalesData[[#This Row],[Quantity]]&gt;=2),"Yes","No")</f>
        <v>No</v>
      </c>
      <c r="Z421" s="19" t="str">
        <f>UPPER(SalesData[[#This Row],[Customer_Name]])</f>
        <v>NIKHIL JOSHI</v>
      </c>
      <c r="AA421" s="19" t="str">
        <f>LOWER(SalesData[[#This Row],[Customer_Name]])</f>
        <v>nikhil joshi</v>
      </c>
      <c r="AB421" s="19">
        <f>LEN(SalesData[[#This Row],[Customer_Name]])</f>
        <v>12</v>
      </c>
      <c r="AC421" s="19" t="str">
        <f>LEFT(SalesData[[#This Row],[Order_ID]],3)</f>
        <v>ORD</v>
      </c>
      <c r="AD421" s="19" t="str">
        <f>RIGHT(SalesData[[#This Row],[Order_ID]],4)</f>
        <v>0482</v>
      </c>
      <c r="AE421" s="19" t="str">
        <f>_xlfn.CONCAT(SalesData[[#This Row],[Clean_Customer_Name]],"-",SalesData[[#This Row],[Region]])</f>
        <v>Nikhil Joshi-West</v>
      </c>
      <c r="AF421" s="19" t="str">
        <f>MID(SalesData[[#This Row],[Order_ID]],4,4)</f>
        <v>0482</v>
      </c>
      <c r="AG421" s="19" t="e">
        <f ca="1">_xlfn.SINGLE(_xlfn.XLOOKUP(SalesData[[#This Row],[Product]],Product_Master!A:A,Product_Master!B:B,"Not Found"))</f>
        <v>#NAME?</v>
      </c>
      <c r="AH421" s="19" t="str">
        <f>VLOOKUP(SalesData[[#This Row],[Product]],Product_Master!$A$1:$B$21,2,FALSE)</f>
        <v>Simran</v>
      </c>
      <c r="AI421" s="16"/>
    </row>
    <row r="422" spans="1:35" ht="13.8">
      <c r="A422" s="16" t="s">
        <v>350</v>
      </c>
      <c r="B422" s="17">
        <v>45886</v>
      </c>
      <c r="C422" s="16" t="s">
        <v>114</v>
      </c>
      <c r="D422" s="16" t="s">
        <v>115</v>
      </c>
      <c r="E422" s="16" t="s">
        <v>117</v>
      </c>
      <c r="F422" s="16" t="s">
        <v>118</v>
      </c>
      <c r="G422" s="16" t="s">
        <v>51</v>
      </c>
      <c r="H422" s="16" t="s">
        <v>119</v>
      </c>
      <c r="I422" s="16" t="s">
        <v>42</v>
      </c>
      <c r="J422" s="16" t="s">
        <v>43</v>
      </c>
      <c r="K422" s="18">
        <v>14019.04</v>
      </c>
      <c r="L422" s="18">
        <v>8408.16</v>
      </c>
      <c r="M422" s="19">
        <v>2</v>
      </c>
      <c r="N422" s="20">
        <v>0.2</v>
      </c>
      <c r="O422" s="19" t="s">
        <v>44</v>
      </c>
      <c r="P422" s="19" t="s">
        <v>58</v>
      </c>
      <c r="Q422" s="19" t="str">
        <f>TRIM(SalesData[[#This Row],[Customer_Name]])</f>
        <v>Nikhil Joshi</v>
      </c>
      <c r="R422" s="21">
        <f>SalesData[[#This Row],[Sales]]-SalesData[[#This Row],[Cost]]</f>
        <v>5610.880000000001</v>
      </c>
      <c r="S422" s="22">
        <f>IFERROR(SalesData[[#This Row],[Profit]]/SalesData[[#This Row],[Sales]],0)</f>
        <v>0.40023282621349254</v>
      </c>
      <c r="T422" s="19">
        <f>YEAR(SalesData[[#This Row],[Order_Date]])</f>
        <v>2025</v>
      </c>
      <c r="U422" s="19" t="str">
        <f>TEXT(SalesData[[#This Row],[Order_Date]],"mmm")</f>
        <v>Aug</v>
      </c>
      <c r="V422" s="19" t="str">
        <f>"Q"&amp;ROUNDUP(MONTH(SalesData[[#This Row],[Order_Date]])/3,0)</f>
        <v>Q3</v>
      </c>
      <c r="W422" s="19" t="str">
        <f>IF(SalesData[[#This Row],[Sales]]&gt;=50000,"High",IF(AND(SalesData[[#This Row],[Sales]]&gt;= 20000, SalesData[[#This Row],[Sales]]&lt; 50000),"Medium","Low"))</f>
        <v>Low</v>
      </c>
      <c r="X422" s="19" t="str">
        <f>IF(SalesData[[#This Row],[Profit]]&gt;0,"Profit","Loss")</f>
        <v>Profit</v>
      </c>
      <c r="Y422" s="19" t="str">
        <f>IF(AND(SalesData[[#This Row],[Sales]]&gt;= 50000, SalesData[[#This Row],[Quantity]]&gt;=2),"Yes","No")</f>
        <v>No</v>
      </c>
      <c r="Z422" s="19" t="str">
        <f>UPPER(SalesData[[#This Row],[Customer_Name]])</f>
        <v>NIKHIL JOSHI</v>
      </c>
      <c r="AA422" s="19" t="str">
        <f>LOWER(SalesData[[#This Row],[Customer_Name]])</f>
        <v>nikhil joshi</v>
      </c>
      <c r="AB422" s="19">
        <f>LEN(SalesData[[#This Row],[Customer_Name]])</f>
        <v>12</v>
      </c>
      <c r="AC422" s="19" t="str">
        <f>LEFT(SalesData[[#This Row],[Order_ID]],3)</f>
        <v>ORD</v>
      </c>
      <c r="AD422" s="19" t="str">
        <f>RIGHT(SalesData[[#This Row],[Order_ID]],4)</f>
        <v>0197</v>
      </c>
      <c r="AE422" s="19" t="str">
        <f>_xlfn.CONCAT(SalesData[[#This Row],[Clean_Customer_Name]],"-",SalesData[[#This Row],[Region]])</f>
        <v>Nikhil Joshi-East</v>
      </c>
      <c r="AF422" s="19" t="str">
        <f>MID(SalesData[[#This Row],[Order_ID]],4,4)</f>
        <v>0197</v>
      </c>
      <c r="AG422" s="19" t="e">
        <f ca="1">_xlfn.SINGLE(_xlfn.XLOOKUP(SalesData[[#This Row],[Product]],Product_Master!A:A,Product_Master!B:B,"Not Found"))</f>
        <v>#NAME?</v>
      </c>
      <c r="AH422" s="19" t="str">
        <f>VLOOKUP(SalesData[[#This Row],[Product]],Product_Master!$A$1:$B$21,2,FALSE)</f>
        <v>Karan</v>
      </c>
      <c r="AI422" s="16"/>
    </row>
    <row r="423" spans="1:35" ht="13.8">
      <c r="A423" s="16" t="s">
        <v>223</v>
      </c>
      <c r="B423" s="17">
        <v>45539</v>
      </c>
      <c r="C423" s="16" t="s">
        <v>114</v>
      </c>
      <c r="D423" s="16" t="s">
        <v>115</v>
      </c>
      <c r="E423" s="16" t="s">
        <v>49</v>
      </c>
      <c r="F423" s="16" t="s">
        <v>50</v>
      </c>
      <c r="G423" s="16" t="s">
        <v>51</v>
      </c>
      <c r="H423" s="16" t="s">
        <v>52</v>
      </c>
      <c r="I423" s="16" t="s">
        <v>23</v>
      </c>
      <c r="J423" s="16" t="s">
        <v>33</v>
      </c>
      <c r="K423" s="18">
        <v>52846.03</v>
      </c>
      <c r="L423" s="18">
        <v>27936.04</v>
      </c>
      <c r="M423" s="19">
        <v>4</v>
      </c>
      <c r="N423" s="20">
        <v>0.15</v>
      </c>
      <c r="O423" s="19" t="s">
        <v>136</v>
      </c>
      <c r="P423" s="19" t="s">
        <v>98</v>
      </c>
      <c r="Q423" s="19" t="str">
        <f>TRIM(SalesData[[#This Row],[Customer_Name]])</f>
        <v>Nikhil Joshi</v>
      </c>
      <c r="R423" s="21">
        <f>SalesData[[#This Row],[Sales]]-SalesData[[#This Row],[Cost]]</f>
        <v>24909.989999999998</v>
      </c>
      <c r="S423" s="22">
        <f>IFERROR(SalesData[[#This Row],[Profit]]/SalesData[[#This Row],[Sales]],0)</f>
        <v>0.471369183266936</v>
      </c>
      <c r="T423" s="19">
        <f>YEAR(SalesData[[#This Row],[Order_Date]])</f>
        <v>2024</v>
      </c>
      <c r="U423" s="19" t="str">
        <f>TEXT(SalesData[[#This Row],[Order_Date]],"mmm")</f>
        <v>Sept</v>
      </c>
      <c r="V423" s="19" t="str">
        <f>"Q"&amp;ROUNDUP(MONTH(SalesData[[#This Row],[Order_Date]])/3,0)</f>
        <v>Q3</v>
      </c>
      <c r="W423" s="19" t="str">
        <f>IF(SalesData[[#This Row],[Sales]]&gt;=50000,"High",IF(AND(SalesData[[#This Row],[Sales]]&gt;= 20000, SalesData[[#This Row],[Sales]]&lt; 50000),"Medium","Low"))</f>
        <v>High</v>
      </c>
      <c r="X423" s="19" t="str">
        <f>IF(SalesData[[#This Row],[Profit]]&gt;0,"Profit","Loss")</f>
        <v>Profit</v>
      </c>
      <c r="Y423" s="19" t="str">
        <f>IF(AND(SalesData[[#This Row],[Sales]]&gt;= 50000, SalesData[[#This Row],[Quantity]]&gt;=2),"Yes","No")</f>
        <v>Yes</v>
      </c>
      <c r="Z423" s="19" t="str">
        <f>UPPER(SalesData[[#This Row],[Customer_Name]])</f>
        <v>NIKHIL JOSHI</v>
      </c>
      <c r="AA423" s="19" t="str">
        <f>LOWER(SalesData[[#This Row],[Customer_Name]])</f>
        <v>nikhil joshi</v>
      </c>
      <c r="AB423" s="19">
        <f>LEN(SalesData[[#This Row],[Customer_Name]])</f>
        <v>12</v>
      </c>
      <c r="AC423" s="19" t="str">
        <f>LEFT(SalesData[[#This Row],[Order_ID]],3)</f>
        <v>ORD</v>
      </c>
      <c r="AD423" s="19" t="str">
        <f>RIGHT(SalesData[[#This Row],[Order_ID]],4)</f>
        <v>0074</v>
      </c>
      <c r="AE423" s="19" t="str">
        <f>_xlfn.CONCAT(SalesData[[#This Row],[Clean_Customer_Name]],"-",SalesData[[#This Row],[Region]])</f>
        <v>Nikhil Joshi-North</v>
      </c>
      <c r="AF423" s="19" t="str">
        <f>MID(SalesData[[#This Row],[Order_ID]],4,4)</f>
        <v>0074</v>
      </c>
      <c r="AG423" s="19" t="e">
        <f ca="1">_xlfn.SINGLE(_xlfn.XLOOKUP(SalesData[[#This Row],[Product]],Product_Master!A:A,Product_Master!B:B,"Not Found"))</f>
        <v>#NAME?</v>
      </c>
      <c r="AH423" s="19" t="str">
        <f>VLOOKUP(SalesData[[#This Row],[Product]],Product_Master!$A$1:$B$21,2,FALSE)</f>
        <v>Rohan</v>
      </c>
      <c r="AI423" s="16"/>
    </row>
    <row r="424" spans="1:35" ht="13.8">
      <c r="A424" s="16" t="s">
        <v>767</v>
      </c>
      <c r="B424" s="17">
        <v>45506</v>
      </c>
      <c r="C424" s="16" t="s">
        <v>114</v>
      </c>
      <c r="D424" s="16" t="s">
        <v>115</v>
      </c>
      <c r="E424" s="16" t="s">
        <v>49</v>
      </c>
      <c r="F424" s="16" t="s">
        <v>50</v>
      </c>
      <c r="G424" s="16" t="s">
        <v>51</v>
      </c>
      <c r="H424" s="16" t="s">
        <v>52</v>
      </c>
      <c r="I424" s="16" t="s">
        <v>42</v>
      </c>
      <c r="J424" s="16" t="s">
        <v>162</v>
      </c>
      <c r="K424" s="18">
        <v>54580.36</v>
      </c>
      <c r="L424" s="18">
        <v>31907.3</v>
      </c>
      <c r="M424" s="19">
        <v>5</v>
      </c>
      <c r="N424" s="20">
        <v>0.2</v>
      </c>
      <c r="O424" s="19" t="s">
        <v>25</v>
      </c>
      <c r="P424" s="19" t="s">
        <v>98</v>
      </c>
      <c r="Q424" s="19" t="str">
        <f>TRIM(SalesData[[#This Row],[Customer_Name]])</f>
        <v>Nikhil Joshi</v>
      </c>
      <c r="R424" s="21">
        <f>SalesData[[#This Row],[Sales]]-SalesData[[#This Row],[Cost]]</f>
        <v>22673.06</v>
      </c>
      <c r="S424" s="22">
        <f>IFERROR(SalesData[[#This Row],[Profit]]/SalesData[[#This Row],[Sales]],0)</f>
        <v>0.41540693392275174</v>
      </c>
      <c r="T424" s="19">
        <f>YEAR(SalesData[[#This Row],[Order_Date]])</f>
        <v>2024</v>
      </c>
      <c r="U424" s="19" t="str">
        <f>TEXT(SalesData[[#This Row],[Order_Date]],"mmm")</f>
        <v>Aug</v>
      </c>
      <c r="V424" s="19" t="str">
        <f>"Q"&amp;ROUNDUP(MONTH(SalesData[[#This Row],[Order_Date]])/3,0)</f>
        <v>Q3</v>
      </c>
      <c r="W424" s="19" t="str">
        <f>IF(SalesData[[#This Row],[Sales]]&gt;=50000,"High",IF(AND(SalesData[[#This Row],[Sales]]&gt;= 20000, SalesData[[#This Row],[Sales]]&lt; 50000),"Medium","Low"))</f>
        <v>High</v>
      </c>
      <c r="X424" s="19" t="str">
        <f>IF(SalesData[[#This Row],[Profit]]&gt;0,"Profit","Loss")</f>
        <v>Profit</v>
      </c>
      <c r="Y424" s="19" t="str">
        <f>IF(AND(SalesData[[#This Row],[Sales]]&gt;= 50000, SalesData[[#This Row],[Quantity]]&gt;=2),"Yes","No")</f>
        <v>Yes</v>
      </c>
      <c r="Z424" s="19" t="str">
        <f>UPPER(SalesData[[#This Row],[Customer_Name]])</f>
        <v>NIKHIL JOSHI</v>
      </c>
      <c r="AA424" s="19" t="str">
        <f>LOWER(SalesData[[#This Row],[Customer_Name]])</f>
        <v>nikhil joshi</v>
      </c>
      <c r="AB424" s="19">
        <f>LEN(SalesData[[#This Row],[Customer_Name]])</f>
        <v>12</v>
      </c>
      <c r="AC424" s="19" t="str">
        <f>LEFT(SalesData[[#This Row],[Order_ID]],3)</f>
        <v>ORD</v>
      </c>
      <c r="AD424" s="19" t="str">
        <f>RIGHT(SalesData[[#This Row],[Order_ID]],4)</f>
        <v>0614</v>
      </c>
      <c r="AE424" s="19" t="str">
        <f>_xlfn.CONCAT(SalesData[[#This Row],[Clean_Customer_Name]],"-",SalesData[[#This Row],[Region]])</f>
        <v>Nikhil Joshi-East</v>
      </c>
      <c r="AF424" s="19" t="str">
        <f>MID(SalesData[[#This Row],[Order_ID]],4,4)</f>
        <v>0614</v>
      </c>
      <c r="AG424" s="19" t="e">
        <f ca="1">_xlfn.SINGLE(_xlfn.XLOOKUP(SalesData[[#This Row],[Product]],Product_Master!A:A,Product_Master!B:B,"Not Found"))</f>
        <v>#NAME?</v>
      </c>
      <c r="AH424" s="19" t="str">
        <f>VLOOKUP(SalesData[[#This Row],[Product]],Product_Master!$A$1:$B$21,2,FALSE)</f>
        <v>Rohan</v>
      </c>
      <c r="AI424" s="16"/>
    </row>
    <row r="425" spans="1:35" ht="13.8">
      <c r="A425" s="16" t="s">
        <v>904</v>
      </c>
      <c r="B425" s="17">
        <v>45488</v>
      </c>
      <c r="C425" s="16" t="s">
        <v>114</v>
      </c>
      <c r="D425" s="16" t="s">
        <v>115</v>
      </c>
      <c r="E425" s="16" t="s">
        <v>49</v>
      </c>
      <c r="F425" s="16" t="s">
        <v>50</v>
      </c>
      <c r="G425" s="16" t="s">
        <v>51</v>
      </c>
      <c r="H425" s="16" t="s">
        <v>52</v>
      </c>
      <c r="I425" s="16" t="s">
        <v>42</v>
      </c>
      <c r="J425" s="16" t="s">
        <v>162</v>
      </c>
      <c r="K425" s="18">
        <v>46502.46</v>
      </c>
      <c r="L425" s="18">
        <v>19621.439999999999</v>
      </c>
      <c r="M425" s="19">
        <v>3</v>
      </c>
      <c r="N425" s="20">
        <v>0</v>
      </c>
      <c r="O425" s="19" t="s">
        <v>25</v>
      </c>
      <c r="P425" s="19" t="s">
        <v>58</v>
      </c>
      <c r="Q425" s="19" t="str">
        <f>TRIM(SalesData[[#This Row],[Customer_Name]])</f>
        <v>Nikhil Joshi</v>
      </c>
      <c r="R425" s="21">
        <f>SalesData[[#This Row],[Sales]]-SalesData[[#This Row],[Cost]]</f>
        <v>26881.02</v>
      </c>
      <c r="S425" s="22">
        <f>IFERROR(SalesData[[#This Row],[Profit]]/SalesData[[#This Row],[Sales]],0)</f>
        <v>0.57805587059265251</v>
      </c>
      <c r="T425" s="19">
        <f>YEAR(SalesData[[#This Row],[Order_Date]])</f>
        <v>2024</v>
      </c>
      <c r="U425" s="19" t="str">
        <f>TEXT(SalesData[[#This Row],[Order_Date]],"mmm")</f>
        <v>Jul</v>
      </c>
      <c r="V425" s="19" t="str">
        <f>"Q"&amp;ROUNDUP(MONTH(SalesData[[#This Row],[Order_Date]])/3,0)</f>
        <v>Q3</v>
      </c>
      <c r="W425" s="19" t="str">
        <f>IF(SalesData[[#This Row],[Sales]]&gt;=50000,"High",IF(AND(SalesData[[#This Row],[Sales]]&gt;= 20000, SalesData[[#This Row],[Sales]]&lt; 50000),"Medium","Low"))</f>
        <v>Medium</v>
      </c>
      <c r="X425" s="19" t="str">
        <f>IF(SalesData[[#This Row],[Profit]]&gt;0,"Profit","Loss")</f>
        <v>Profit</v>
      </c>
      <c r="Y425" s="19" t="str">
        <f>IF(AND(SalesData[[#This Row],[Sales]]&gt;= 50000, SalesData[[#This Row],[Quantity]]&gt;=2),"Yes","No")</f>
        <v>No</v>
      </c>
      <c r="Z425" s="19" t="str">
        <f>UPPER(SalesData[[#This Row],[Customer_Name]])</f>
        <v>NIKHIL JOSHI</v>
      </c>
      <c r="AA425" s="19" t="str">
        <f>LOWER(SalesData[[#This Row],[Customer_Name]])</f>
        <v>nikhil joshi</v>
      </c>
      <c r="AB425" s="19">
        <f>LEN(SalesData[[#This Row],[Customer_Name]])</f>
        <v>12</v>
      </c>
      <c r="AC425" s="19" t="str">
        <f>LEFT(SalesData[[#This Row],[Order_ID]],3)</f>
        <v>ORD</v>
      </c>
      <c r="AD425" s="19" t="str">
        <f>RIGHT(SalesData[[#This Row],[Order_ID]],4)</f>
        <v>0751</v>
      </c>
      <c r="AE425" s="19" t="str">
        <f>_xlfn.CONCAT(SalesData[[#This Row],[Clean_Customer_Name]],"-",SalesData[[#This Row],[Region]])</f>
        <v>Nikhil Joshi-East</v>
      </c>
      <c r="AF425" s="19" t="str">
        <f>MID(SalesData[[#This Row],[Order_ID]],4,4)</f>
        <v>0751</v>
      </c>
      <c r="AG425" s="19" t="e">
        <f ca="1">_xlfn.SINGLE(_xlfn.XLOOKUP(SalesData[[#This Row],[Product]],Product_Master!A:A,Product_Master!B:B,"Not Found"))</f>
        <v>#NAME?</v>
      </c>
      <c r="AH425" s="19" t="str">
        <f>VLOOKUP(SalesData[[#This Row],[Product]],Product_Master!$A$1:$B$21,2,FALSE)</f>
        <v>Rohan</v>
      </c>
      <c r="AI425" s="16"/>
    </row>
    <row r="426" spans="1:35" ht="13.8">
      <c r="A426" s="16" t="s">
        <v>933</v>
      </c>
      <c r="B426" s="17">
        <v>45765</v>
      </c>
      <c r="C426" s="16" t="s">
        <v>114</v>
      </c>
      <c r="D426" s="16" t="s">
        <v>115</v>
      </c>
      <c r="E426" s="16" t="s">
        <v>49</v>
      </c>
      <c r="F426" s="16" t="s">
        <v>50</v>
      </c>
      <c r="G426" s="16" t="s">
        <v>51</v>
      </c>
      <c r="H426" s="16" t="s">
        <v>52</v>
      </c>
      <c r="I426" s="16" t="s">
        <v>84</v>
      </c>
      <c r="J426" s="16" t="s">
        <v>134</v>
      </c>
      <c r="K426" s="18">
        <v>27762.77</v>
      </c>
      <c r="L426" s="18">
        <v>13273.04</v>
      </c>
      <c r="M426" s="19">
        <v>2</v>
      </c>
      <c r="N426" s="20">
        <v>0.1</v>
      </c>
      <c r="O426" s="19" t="s">
        <v>136</v>
      </c>
      <c r="P426" s="19" t="s">
        <v>26</v>
      </c>
      <c r="Q426" s="19" t="str">
        <f>TRIM(SalesData[[#This Row],[Customer_Name]])</f>
        <v>Nikhil Joshi</v>
      </c>
      <c r="R426" s="21">
        <f>SalesData[[#This Row],[Sales]]-SalesData[[#This Row],[Cost]]</f>
        <v>14489.73</v>
      </c>
      <c r="S426" s="22">
        <f>IFERROR(SalesData[[#This Row],[Profit]]/SalesData[[#This Row],[Sales]],0)</f>
        <v>0.52191225875516023</v>
      </c>
      <c r="T426" s="19">
        <f>YEAR(SalesData[[#This Row],[Order_Date]])</f>
        <v>2025</v>
      </c>
      <c r="U426" s="19" t="str">
        <f>TEXT(SalesData[[#This Row],[Order_Date]],"mmm")</f>
        <v>Apr</v>
      </c>
      <c r="V426" s="19" t="str">
        <f>"Q"&amp;ROUNDUP(MONTH(SalesData[[#This Row],[Order_Date]])/3,0)</f>
        <v>Q2</v>
      </c>
      <c r="W426" s="19" t="str">
        <f>IF(SalesData[[#This Row],[Sales]]&gt;=50000,"High",IF(AND(SalesData[[#This Row],[Sales]]&gt;= 20000, SalesData[[#This Row],[Sales]]&lt; 50000),"Medium","Low"))</f>
        <v>Medium</v>
      </c>
      <c r="X426" s="19" t="str">
        <f>IF(SalesData[[#This Row],[Profit]]&gt;0,"Profit","Loss")</f>
        <v>Profit</v>
      </c>
      <c r="Y426" s="19" t="str">
        <f>IF(AND(SalesData[[#This Row],[Sales]]&gt;= 50000, SalesData[[#This Row],[Quantity]]&gt;=2),"Yes","No")</f>
        <v>No</v>
      </c>
      <c r="Z426" s="19" t="str">
        <f>UPPER(SalesData[[#This Row],[Customer_Name]])</f>
        <v>NIKHIL JOSHI</v>
      </c>
      <c r="AA426" s="19" t="str">
        <f>LOWER(SalesData[[#This Row],[Customer_Name]])</f>
        <v>nikhil joshi</v>
      </c>
      <c r="AB426" s="19">
        <f>LEN(SalesData[[#This Row],[Customer_Name]])</f>
        <v>12</v>
      </c>
      <c r="AC426" s="19" t="str">
        <f>LEFT(SalesData[[#This Row],[Order_ID]],3)</f>
        <v>ORD</v>
      </c>
      <c r="AD426" s="19" t="str">
        <f>RIGHT(SalesData[[#This Row],[Order_ID]],4)</f>
        <v>0780</v>
      </c>
      <c r="AE426" s="19" t="str">
        <f>_xlfn.CONCAT(SalesData[[#This Row],[Clean_Customer_Name]],"-",SalesData[[#This Row],[Region]])</f>
        <v>Nikhil Joshi-South</v>
      </c>
      <c r="AF426" s="19" t="str">
        <f>MID(SalesData[[#This Row],[Order_ID]],4,4)</f>
        <v>0780</v>
      </c>
      <c r="AG426" s="19" t="e">
        <f ca="1">_xlfn.SINGLE(_xlfn.XLOOKUP(SalesData[[#This Row],[Product]],Product_Master!A:A,Product_Master!B:B,"Not Found"))</f>
        <v>#NAME?</v>
      </c>
      <c r="AH426" s="19" t="str">
        <f>VLOOKUP(SalesData[[#This Row],[Product]],Product_Master!$A$1:$B$21,2,FALSE)</f>
        <v>Rohan</v>
      </c>
      <c r="AI426" s="16"/>
    </row>
    <row r="427" spans="1:35" ht="13.8">
      <c r="A427" s="16" t="s">
        <v>1134</v>
      </c>
      <c r="B427" s="17">
        <v>45461</v>
      </c>
      <c r="C427" s="16" t="s">
        <v>114</v>
      </c>
      <c r="D427" s="16" t="s">
        <v>115</v>
      </c>
      <c r="E427" s="16" t="s">
        <v>49</v>
      </c>
      <c r="F427" s="16" t="s">
        <v>50</v>
      </c>
      <c r="G427" s="16" t="s">
        <v>51</v>
      </c>
      <c r="H427" s="16" t="s">
        <v>52</v>
      </c>
      <c r="I427" s="16" t="s">
        <v>56</v>
      </c>
      <c r="J427" s="16" t="s">
        <v>91</v>
      </c>
      <c r="K427" s="18">
        <v>34913.760000000002</v>
      </c>
      <c r="L427" s="18">
        <v>26616.080000000002</v>
      </c>
      <c r="M427" s="19">
        <v>4</v>
      </c>
      <c r="N427" s="20">
        <v>0.2</v>
      </c>
      <c r="O427" s="19" t="s">
        <v>136</v>
      </c>
      <c r="P427" s="19" t="s">
        <v>45</v>
      </c>
      <c r="Q427" s="19" t="str">
        <f>TRIM(SalesData[[#This Row],[Customer_Name]])</f>
        <v>Nikhil Joshi</v>
      </c>
      <c r="R427" s="21">
        <f>SalesData[[#This Row],[Sales]]-SalesData[[#This Row],[Cost]]</f>
        <v>8297.68</v>
      </c>
      <c r="S427" s="22">
        <f>IFERROR(SalesData[[#This Row],[Profit]]/SalesData[[#This Row],[Sales]],0)</f>
        <v>0.23766217101795967</v>
      </c>
      <c r="T427" s="19">
        <f>YEAR(SalesData[[#This Row],[Order_Date]])</f>
        <v>2024</v>
      </c>
      <c r="U427" s="19" t="str">
        <f>TEXT(SalesData[[#This Row],[Order_Date]],"mmm")</f>
        <v>Jun</v>
      </c>
      <c r="V427" s="19" t="str">
        <f>"Q"&amp;ROUNDUP(MONTH(SalesData[[#This Row],[Order_Date]])/3,0)</f>
        <v>Q2</v>
      </c>
      <c r="W427" s="19" t="str">
        <f>IF(SalesData[[#This Row],[Sales]]&gt;=50000,"High",IF(AND(SalesData[[#This Row],[Sales]]&gt;= 20000, SalesData[[#This Row],[Sales]]&lt; 50000),"Medium","Low"))</f>
        <v>Medium</v>
      </c>
      <c r="X427" s="19" t="str">
        <f>IF(SalesData[[#This Row],[Profit]]&gt;0,"Profit","Loss")</f>
        <v>Profit</v>
      </c>
      <c r="Y427" s="19" t="str">
        <f>IF(AND(SalesData[[#This Row],[Sales]]&gt;= 50000, SalesData[[#This Row],[Quantity]]&gt;=2),"Yes","No")</f>
        <v>No</v>
      </c>
      <c r="Z427" s="19" t="str">
        <f>UPPER(SalesData[[#This Row],[Customer_Name]])</f>
        <v>NIKHIL JOSHI</v>
      </c>
      <c r="AA427" s="19" t="str">
        <f>LOWER(SalesData[[#This Row],[Customer_Name]])</f>
        <v>nikhil joshi</v>
      </c>
      <c r="AB427" s="19">
        <f>LEN(SalesData[[#This Row],[Customer_Name]])</f>
        <v>12</v>
      </c>
      <c r="AC427" s="19" t="str">
        <f>LEFT(SalesData[[#This Row],[Order_ID]],3)</f>
        <v>ORD</v>
      </c>
      <c r="AD427" s="19" t="str">
        <f>RIGHT(SalesData[[#This Row],[Order_ID]],4)</f>
        <v>0981</v>
      </c>
      <c r="AE427" s="19" t="str">
        <f>_xlfn.CONCAT(SalesData[[#This Row],[Clean_Customer_Name]],"-",SalesData[[#This Row],[Region]])</f>
        <v>Nikhil Joshi-West</v>
      </c>
      <c r="AF427" s="19" t="str">
        <f>MID(SalesData[[#This Row],[Order_ID]],4,4)</f>
        <v>0981</v>
      </c>
      <c r="AG427" s="19" t="e">
        <f ca="1">_xlfn.SINGLE(_xlfn.XLOOKUP(SalesData[[#This Row],[Product]],Product_Master!A:A,Product_Master!B:B,"Not Found"))</f>
        <v>#NAME?</v>
      </c>
      <c r="AH427" s="19" t="str">
        <f>VLOOKUP(SalesData[[#This Row],[Product]],Product_Master!$A$1:$B$21,2,FALSE)</f>
        <v>Rohan</v>
      </c>
      <c r="AI427" s="16"/>
    </row>
    <row r="428" spans="1:35" ht="13.8">
      <c r="A428" s="16" t="s">
        <v>1116</v>
      </c>
      <c r="B428" s="17">
        <v>45893</v>
      </c>
      <c r="C428" s="16" t="s">
        <v>114</v>
      </c>
      <c r="D428" s="16" t="s">
        <v>115</v>
      </c>
      <c r="E428" s="16" t="s">
        <v>72</v>
      </c>
      <c r="F428" s="16" t="s">
        <v>73</v>
      </c>
      <c r="G428" s="16" t="s">
        <v>51</v>
      </c>
      <c r="H428" s="16" t="s">
        <v>74</v>
      </c>
      <c r="I428" s="16" t="s">
        <v>56</v>
      </c>
      <c r="J428" s="16" t="s">
        <v>57</v>
      </c>
      <c r="K428" s="18">
        <v>7882.24</v>
      </c>
      <c r="L428" s="18">
        <v>3786.08</v>
      </c>
      <c r="M428" s="19">
        <v>1</v>
      </c>
      <c r="N428" s="20">
        <v>0</v>
      </c>
      <c r="O428" s="19" t="s">
        <v>44</v>
      </c>
      <c r="P428" s="19" t="s">
        <v>58</v>
      </c>
      <c r="Q428" s="19" t="str">
        <f>TRIM(SalesData[[#This Row],[Customer_Name]])</f>
        <v>Nikhil Joshi</v>
      </c>
      <c r="R428" s="21">
        <f>SalesData[[#This Row],[Sales]]-SalesData[[#This Row],[Cost]]</f>
        <v>4096.16</v>
      </c>
      <c r="S428" s="22">
        <f>IFERROR(SalesData[[#This Row],[Profit]]/SalesData[[#This Row],[Sales]],0)</f>
        <v>0.5196695355634946</v>
      </c>
      <c r="T428" s="19">
        <f>YEAR(SalesData[[#This Row],[Order_Date]])</f>
        <v>2025</v>
      </c>
      <c r="U428" s="19" t="str">
        <f>TEXT(SalesData[[#This Row],[Order_Date]],"mmm")</f>
        <v>Aug</v>
      </c>
      <c r="V428" s="19" t="str">
        <f>"Q"&amp;ROUNDUP(MONTH(SalesData[[#This Row],[Order_Date]])/3,0)</f>
        <v>Q3</v>
      </c>
      <c r="W428" s="19" t="str">
        <f>IF(SalesData[[#This Row],[Sales]]&gt;=50000,"High",IF(AND(SalesData[[#This Row],[Sales]]&gt;= 20000, SalesData[[#This Row],[Sales]]&lt; 50000),"Medium","Low"))</f>
        <v>Low</v>
      </c>
      <c r="X428" s="19" t="str">
        <f>IF(SalesData[[#This Row],[Profit]]&gt;0,"Profit","Loss")</f>
        <v>Profit</v>
      </c>
      <c r="Y428" s="19" t="str">
        <f>IF(AND(SalesData[[#This Row],[Sales]]&gt;= 50000, SalesData[[#This Row],[Quantity]]&gt;=2),"Yes","No")</f>
        <v>No</v>
      </c>
      <c r="Z428" s="19" t="str">
        <f>UPPER(SalesData[[#This Row],[Customer_Name]])</f>
        <v>NIKHIL JOSHI</v>
      </c>
      <c r="AA428" s="19" t="str">
        <f>LOWER(SalesData[[#This Row],[Customer_Name]])</f>
        <v>nikhil joshi</v>
      </c>
      <c r="AB428" s="19">
        <f>LEN(SalesData[[#This Row],[Customer_Name]])</f>
        <v>12</v>
      </c>
      <c r="AC428" s="19" t="str">
        <f>LEFT(SalesData[[#This Row],[Order_ID]],3)</f>
        <v>ORD</v>
      </c>
      <c r="AD428" s="19" t="str">
        <f>RIGHT(SalesData[[#This Row],[Order_ID]],4)</f>
        <v>0963</v>
      </c>
      <c r="AE428" s="19" t="str">
        <f>_xlfn.CONCAT(SalesData[[#This Row],[Clean_Customer_Name]],"-",SalesData[[#This Row],[Region]])</f>
        <v>Nikhil Joshi-West</v>
      </c>
      <c r="AF428" s="19" t="str">
        <f>MID(SalesData[[#This Row],[Order_ID]],4,4)</f>
        <v>0963</v>
      </c>
      <c r="AG428" s="19" t="e">
        <f ca="1">_xlfn.SINGLE(_xlfn.XLOOKUP(SalesData[[#This Row],[Product]],Product_Master!A:A,Product_Master!B:B,"Not Found"))</f>
        <v>#NAME?</v>
      </c>
      <c r="AH428" s="19" t="str">
        <f>VLOOKUP(SalesData[[#This Row],[Product]],Product_Master!$A$1:$B$21,2,FALSE)</f>
        <v>Anjali</v>
      </c>
      <c r="AI428" s="16"/>
    </row>
    <row r="429" spans="1:35" ht="13.8">
      <c r="A429" s="16" t="s">
        <v>601</v>
      </c>
      <c r="B429" s="17">
        <v>45972</v>
      </c>
      <c r="C429" s="16" t="s">
        <v>114</v>
      </c>
      <c r="D429" s="16" t="s">
        <v>115</v>
      </c>
      <c r="E429" s="16" t="s">
        <v>123</v>
      </c>
      <c r="F429" s="16" t="s">
        <v>124</v>
      </c>
      <c r="G429" s="16" t="s">
        <v>51</v>
      </c>
      <c r="H429" s="16" t="s">
        <v>125</v>
      </c>
      <c r="I429" s="16" t="s">
        <v>42</v>
      </c>
      <c r="J429" s="16" t="s">
        <v>162</v>
      </c>
      <c r="K429" s="18">
        <v>24366.57</v>
      </c>
      <c r="L429" s="18">
        <v>19535.349999999999</v>
      </c>
      <c r="M429" s="19">
        <v>1</v>
      </c>
      <c r="N429" s="20">
        <v>0.1</v>
      </c>
      <c r="O429" s="19" t="s">
        <v>34</v>
      </c>
      <c r="P429" s="19" t="s">
        <v>58</v>
      </c>
      <c r="Q429" s="19" t="str">
        <f>TRIM(SalesData[[#This Row],[Customer_Name]])</f>
        <v>Nikhil Joshi</v>
      </c>
      <c r="R429" s="21">
        <f>SalesData[[#This Row],[Sales]]-SalesData[[#This Row],[Cost]]</f>
        <v>4831.2200000000012</v>
      </c>
      <c r="S429" s="22">
        <f>IFERROR(SalesData[[#This Row],[Profit]]/SalesData[[#This Row],[Sales]],0)</f>
        <v>0.19827246920678623</v>
      </c>
      <c r="T429" s="19">
        <f>YEAR(SalesData[[#This Row],[Order_Date]])</f>
        <v>2025</v>
      </c>
      <c r="U429" s="19" t="str">
        <f>TEXT(SalesData[[#This Row],[Order_Date]],"mmm")</f>
        <v>Nov</v>
      </c>
      <c r="V429" s="19" t="str">
        <f>"Q"&amp;ROUNDUP(MONTH(SalesData[[#This Row],[Order_Date]])/3,0)</f>
        <v>Q4</v>
      </c>
      <c r="W429" s="19" t="str">
        <f>IF(SalesData[[#This Row],[Sales]]&gt;=50000,"High",IF(AND(SalesData[[#This Row],[Sales]]&gt;= 20000, SalesData[[#This Row],[Sales]]&lt; 50000),"Medium","Low"))</f>
        <v>Medium</v>
      </c>
      <c r="X429" s="19" t="str">
        <f>IF(SalesData[[#This Row],[Profit]]&gt;0,"Profit","Loss")</f>
        <v>Profit</v>
      </c>
      <c r="Y429" s="19" t="str">
        <f>IF(AND(SalesData[[#This Row],[Sales]]&gt;= 50000, SalesData[[#This Row],[Quantity]]&gt;=2),"Yes","No")</f>
        <v>No</v>
      </c>
      <c r="Z429" s="19" t="str">
        <f>UPPER(SalesData[[#This Row],[Customer_Name]])</f>
        <v>NIKHIL JOSHI</v>
      </c>
      <c r="AA429" s="19" t="str">
        <f>LOWER(SalesData[[#This Row],[Customer_Name]])</f>
        <v>nikhil joshi</v>
      </c>
      <c r="AB429" s="19">
        <f>LEN(SalesData[[#This Row],[Customer_Name]])</f>
        <v>12</v>
      </c>
      <c r="AC429" s="19" t="str">
        <f>LEFT(SalesData[[#This Row],[Order_ID]],3)</f>
        <v>ORD</v>
      </c>
      <c r="AD429" s="19" t="str">
        <f>RIGHT(SalesData[[#This Row],[Order_ID]],4)</f>
        <v>0448</v>
      </c>
      <c r="AE429" s="19" t="str">
        <f>_xlfn.CONCAT(SalesData[[#This Row],[Clean_Customer_Name]],"-",SalesData[[#This Row],[Region]])</f>
        <v>Nikhil Joshi-East</v>
      </c>
      <c r="AF429" s="19" t="str">
        <f>MID(SalesData[[#This Row],[Order_ID]],4,4)</f>
        <v>0448</v>
      </c>
      <c r="AG429" s="19" t="e">
        <f ca="1">_xlfn.SINGLE(_xlfn.XLOOKUP(SalesData[[#This Row],[Product]],Product_Master!A:A,Product_Master!B:B,"Not Found"))</f>
        <v>#NAME?</v>
      </c>
      <c r="AH429" s="19" t="str">
        <f>VLOOKUP(SalesData[[#This Row],[Product]],Product_Master!$A$1:$B$21,2,FALSE)</f>
        <v>Sneha</v>
      </c>
      <c r="AI429" s="16"/>
    </row>
    <row r="430" spans="1:35" ht="13.8">
      <c r="A430" s="16" t="s">
        <v>779</v>
      </c>
      <c r="B430" s="17">
        <v>45406</v>
      </c>
      <c r="C430" s="16" t="s">
        <v>114</v>
      </c>
      <c r="D430" s="16" t="s">
        <v>115</v>
      </c>
      <c r="E430" s="16" t="s">
        <v>123</v>
      </c>
      <c r="F430" s="16" t="s">
        <v>124</v>
      </c>
      <c r="G430" s="16" t="s">
        <v>51</v>
      </c>
      <c r="H430" s="16" t="s">
        <v>125</v>
      </c>
      <c r="I430" s="16" t="s">
        <v>23</v>
      </c>
      <c r="J430" s="16" t="s">
        <v>75</v>
      </c>
      <c r="K430" s="18">
        <v>102107.34</v>
      </c>
      <c r="L430" s="18">
        <v>57077.4</v>
      </c>
      <c r="M430" s="19">
        <v>3</v>
      </c>
      <c r="N430" s="20">
        <v>0</v>
      </c>
      <c r="O430" s="19" t="s">
        <v>136</v>
      </c>
      <c r="P430" s="19" t="s">
        <v>58</v>
      </c>
      <c r="Q430" s="19" t="str">
        <f>TRIM(SalesData[[#This Row],[Customer_Name]])</f>
        <v>Nikhil Joshi</v>
      </c>
      <c r="R430" s="21">
        <f>SalesData[[#This Row],[Sales]]-SalesData[[#This Row],[Cost]]</f>
        <v>45029.939999999995</v>
      </c>
      <c r="S430" s="22">
        <f>IFERROR(SalesData[[#This Row],[Profit]]/SalesData[[#This Row],[Sales]],0)</f>
        <v>0.44100590613759988</v>
      </c>
      <c r="T430" s="19">
        <f>YEAR(SalesData[[#This Row],[Order_Date]])</f>
        <v>2024</v>
      </c>
      <c r="U430" s="19" t="str">
        <f>TEXT(SalesData[[#This Row],[Order_Date]],"mmm")</f>
        <v>Apr</v>
      </c>
      <c r="V430" s="19" t="str">
        <f>"Q"&amp;ROUNDUP(MONTH(SalesData[[#This Row],[Order_Date]])/3,0)</f>
        <v>Q2</v>
      </c>
      <c r="W430" s="19" t="str">
        <f>IF(SalesData[[#This Row],[Sales]]&gt;=50000,"High",IF(AND(SalesData[[#This Row],[Sales]]&gt;= 20000, SalesData[[#This Row],[Sales]]&lt; 50000),"Medium","Low"))</f>
        <v>High</v>
      </c>
      <c r="X430" s="19" t="str">
        <f>IF(SalesData[[#This Row],[Profit]]&gt;0,"Profit","Loss")</f>
        <v>Profit</v>
      </c>
      <c r="Y430" s="19" t="str">
        <f>IF(AND(SalesData[[#This Row],[Sales]]&gt;= 50000, SalesData[[#This Row],[Quantity]]&gt;=2),"Yes","No")</f>
        <v>Yes</v>
      </c>
      <c r="Z430" s="19" t="str">
        <f>UPPER(SalesData[[#This Row],[Customer_Name]])</f>
        <v>NIKHIL JOSHI</v>
      </c>
      <c r="AA430" s="19" t="str">
        <f>LOWER(SalesData[[#This Row],[Customer_Name]])</f>
        <v>nikhil joshi</v>
      </c>
      <c r="AB430" s="19">
        <f>LEN(SalesData[[#This Row],[Customer_Name]])</f>
        <v>12</v>
      </c>
      <c r="AC430" s="19" t="str">
        <f>LEFT(SalesData[[#This Row],[Order_ID]],3)</f>
        <v>ORD</v>
      </c>
      <c r="AD430" s="19" t="str">
        <f>RIGHT(SalesData[[#This Row],[Order_ID]],4)</f>
        <v>0626</v>
      </c>
      <c r="AE430" s="19" t="str">
        <f>_xlfn.CONCAT(SalesData[[#This Row],[Clean_Customer_Name]],"-",SalesData[[#This Row],[Region]])</f>
        <v>Nikhil Joshi-North</v>
      </c>
      <c r="AF430" s="19" t="str">
        <f>MID(SalesData[[#This Row],[Order_ID]],4,4)</f>
        <v>0626</v>
      </c>
      <c r="AG430" s="19" t="e">
        <f ca="1">_xlfn.SINGLE(_xlfn.XLOOKUP(SalesData[[#This Row],[Product]],Product_Master!A:A,Product_Master!B:B,"Not Found"))</f>
        <v>#NAME?</v>
      </c>
      <c r="AH430" s="19" t="str">
        <f>VLOOKUP(SalesData[[#This Row],[Product]],Product_Master!$A$1:$B$21,2,FALSE)</f>
        <v>Sneha</v>
      </c>
      <c r="AI430" s="16"/>
    </row>
    <row r="431" spans="1:35" ht="13.8">
      <c r="A431" s="16" t="s">
        <v>382</v>
      </c>
      <c r="B431" s="17">
        <v>45702</v>
      </c>
      <c r="C431" s="16" t="s">
        <v>114</v>
      </c>
      <c r="D431" s="16" t="s">
        <v>115</v>
      </c>
      <c r="E431" s="16" t="s">
        <v>110</v>
      </c>
      <c r="F431" s="16" t="s">
        <v>111</v>
      </c>
      <c r="G431" s="16" t="s">
        <v>40</v>
      </c>
      <c r="H431" s="16" t="s">
        <v>112</v>
      </c>
      <c r="I431" s="16" t="s">
        <v>23</v>
      </c>
      <c r="J431" s="16" t="s">
        <v>33</v>
      </c>
      <c r="K431" s="18">
        <v>1672.27</v>
      </c>
      <c r="L431" s="18">
        <v>1124.3499999999999</v>
      </c>
      <c r="M431" s="19">
        <v>1</v>
      </c>
      <c r="N431" s="20">
        <v>0.1</v>
      </c>
      <c r="O431" s="19" t="s">
        <v>76</v>
      </c>
      <c r="P431" s="19" t="s">
        <v>58</v>
      </c>
      <c r="Q431" s="19" t="str">
        <f>TRIM(SalesData[[#This Row],[Customer_Name]])</f>
        <v>Nikhil Joshi</v>
      </c>
      <c r="R431" s="21">
        <f>SalesData[[#This Row],[Sales]]-SalesData[[#This Row],[Cost]]</f>
        <v>547.92000000000007</v>
      </c>
      <c r="S431" s="22">
        <f>IFERROR(SalesData[[#This Row],[Profit]]/SalesData[[#This Row],[Sales]],0)</f>
        <v>0.3276504392233312</v>
      </c>
      <c r="T431" s="19">
        <f>YEAR(SalesData[[#This Row],[Order_Date]])</f>
        <v>2025</v>
      </c>
      <c r="U431" s="19" t="str">
        <f>TEXT(SalesData[[#This Row],[Order_Date]],"mmm")</f>
        <v>Feb</v>
      </c>
      <c r="V431" s="19" t="str">
        <f>"Q"&amp;ROUNDUP(MONTH(SalesData[[#This Row],[Order_Date]])/3,0)</f>
        <v>Q1</v>
      </c>
      <c r="W431" s="19" t="str">
        <f>IF(SalesData[[#This Row],[Sales]]&gt;=50000,"High",IF(AND(SalesData[[#This Row],[Sales]]&gt;= 20000, SalesData[[#This Row],[Sales]]&lt; 50000),"Medium","Low"))</f>
        <v>Low</v>
      </c>
      <c r="X431" s="19" t="str">
        <f>IF(SalesData[[#This Row],[Profit]]&gt;0,"Profit","Loss")</f>
        <v>Profit</v>
      </c>
      <c r="Y431" s="19" t="str">
        <f>IF(AND(SalesData[[#This Row],[Sales]]&gt;= 50000, SalesData[[#This Row],[Quantity]]&gt;=2),"Yes","No")</f>
        <v>No</v>
      </c>
      <c r="Z431" s="19" t="str">
        <f>UPPER(SalesData[[#This Row],[Customer_Name]])</f>
        <v>NIKHIL JOSHI</v>
      </c>
      <c r="AA431" s="19" t="str">
        <f>LOWER(SalesData[[#This Row],[Customer_Name]])</f>
        <v>nikhil joshi</v>
      </c>
      <c r="AB431" s="19">
        <f>LEN(SalesData[[#This Row],[Customer_Name]])</f>
        <v>12</v>
      </c>
      <c r="AC431" s="19" t="str">
        <f>LEFT(SalesData[[#This Row],[Order_ID]],3)</f>
        <v>ORD</v>
      </c>
      <c r="AD431" s="19" t="str">
        <f>RIGHT(SalesData[[#This Row],[Order_ID]],4)</f>
        <v>0229</v>
      </c>
      <c r="AE431" s="19" t="str">
        <f>_xlfn.CONCAT(SalesData[[#This Row],[Clean_Customer_Name]],"-",SalesData[[#This Row],[Region]])</f>
        <v>Nikhil Joshi-North</v>
      </c>
      <c r="AF431" s="19" t="str">
        <f>MID(SalesData[[#This Row],[Order_ID]],4,4)</f>
        <v>0229</v>
      </c>
      <c r="AG431" s="19" t="e">
        <f ca="1">_xlfn.SINGLE(_xlfn.XLOOKUP(SalesData[[#This Row],[Product]],Product_Master!A:A,Product_Master!B:B,"Not Found"))</f>
        <v>#NAME?</v>
      </c>
      <c r="AH431" s="19" t="str">
        <f>VLOOKUP(SalesData[[#This Row],[Product]],Product_Master!$A$1:$B$21,2,FALSE)</f>
        <v>Vikas</v>
      </c>
      <c r="AI431" s="16"/>
    </row>
    <row r="432" spans="1:35" ht="13.8">
      <c r="A432" s="16" t="s">
        <v>821</v>
      </c>
      <c r="B432" s="17">
        <v>45998</v>
      </c>
      <c r="C432" s="16" t="s">
        <v>114</v>
      </c>
      <c r="D432" s="16" t="s">
        <v>115</v>
      </c>
      <c r="E432" s="16" t="s">
        <v>110</v>
      </c>
      <c r="F432" s="16" t="s">
        <v>111</v>
      </c>
      <c r="G432" s="16" t="s">
        <v>40</v>
      </c>
      <c r="H432" s="16" t="s">
        <v>112</v>
      </c>
      <c r="I432" s="16" t="s">
        <v>42</v>
      </c>
      <c r="J432" s="16" t="s">
        <v>68</v>
      </c>
      <c r="K432" s="18">
        <v>2765.34</v>
      </c>
      <c r="L432" s="18">
        <v>2310.36</v>
      </c>
      <c r="M432" s="19">
        <v>2</v>
      </c>
      <c r="N432" s="20">
        <v>0</v>
      </c>
      <c r="O432" s="19" t="s">
        <v>25</v>
      </c>
      <c r="P432" s="19" t="s">
        <v>58</v>
      </c>
      <c r="Q432" s="19" t="str">
        <f>TRIM(SalesData[[#This Row],[Customer_Name]])</f>
        <v>Nikhil Joshi</v>
      </c>
      <c r="R432" s="21">
        <f>SalesData[[#This Row],[Sales]]-SalesData[[#This Row],[Cost]]</f>
        <v>454.98</v>
      </c>
      <c r="S432" s="22">
        <f>IFERROR(SalesData[[#This Row],[Profit]]/SalesData[[#This Row],[Sales]],0)</f>
        <v>0.16452949727700752</v>
      </c>
      <c r="T432" s="19">
        <f>YEAR(SalesData[[#This Row],[Order_Date]])</f>
        <v>2025</v>
      </c>
      <c r="U432" s="19" t="str">
        <f>TEXT(SalesData[[#This Row],[Order_Date]],"mmm")</f>
        <v>Dec</v>
      </c>
      <c r="V432" s="19" t="str">
        <f>"Q"&amp;ROUNDUP(MONTH(SalesData[[#This Row],[Order_Date]])/3,0)</f>
        <v>Q4</v>
      </c>
      <c r="W432" s="19" t="str">
        <f>IF(SalesData[[#This Row],[Sales]]&gt;=50000,"High",IF(AND(SalesData[[#This Row],[Sales]]&gt;= 20000, SalesData[[#This Row],[Sales]]&lt; 50000),"Medium","Low"))</f>
        <v>Low</v>
      </c>
      <c r="X432" s="19" t="str">
        <f>IF(SalesData[[#This Row],[Profit]]&gt;0,"Profit","Loss")</f>
        <v>Profit</v>
      </c>
      <c r="Y432" s="19" t="str">
        <f>IF(AND(SalesData[[#This Row],[Sales]]&gt;= 50000, SalesData[[#This Row],[Quantity]]&gt;=2),"Yes","No")</f>
        <v>No</v>
      </c>
      <c r="Z432" s="19" t="str">
        <f>UPPER(SalesData[[#This Row],[Customer_Name]])</f>
        <v>NIKHIL JOSHI</v>
      </c>
      <c r="AA432" s="19" t="str">
        <f>LOWER(SalesData[[#This Row],[Customer_Name]])</f>
        <v>nikhil joshi</v>
      </c>
      <c r="AB432" s="19">
        <f>LEN(SalesData[[#This Row],[Customer_Name]])</f>
        <v>12</v>
      </c>
      <c r="AC432" s="19" t="str">
        <f>LEFT(SalesData[[#This Row],[Order_ID]],3)</f>
        <v>ORD</v>
      </c>
      <c r="AD432" s="19" t="str">
        <f>RIGHT(SalesData[[#This Row],[Order_ID]],4)</f>
        <v>0668</v>
      </c>
      <c r="AE432" s="19" t="str">
        <f>_xlfn.CONCAT(SalesData[[#This Row],[Clean_Customer_Name]],"-",SalesData[[#This Row],[Region]])</f>
        <v>Nikhil Joshi-East</v>
      </c>
      <c r="AF432" s="19" t="str">
        <f>MID(SalesData[[#This Row],[Order_ID]],4,4)</f>
        <v>0668</v>
      </c>
      <c r="AG432" s="19" t="e">
        <f ca="1">_xlfn.SINGLE(_xlfn.XLOOKUP(SalesData[[#This Row],[Product]],Product_Master!A:A,Product_Master!B:B,"Not Found"))</f>
        <v>#NAME?</v>
      </c>
      <c r="AH432" s="19" t="str">
        <f>VLOOKUP(SalesData[[#This Row],[Product]],Product_Master!$A$1:$B$21,2,FALSE)</f>
        <v>Vikas</v>
      </c>
      <c r="AI432" s="16"/>
    </row>
    <row r="433" spans="1:35" ht="13.8">
      <c r="A433" s="16" t="s">
        <v>1097</v>
      </c>
      <c r="B433" s="17">
        <v>45794</v>
      </c>
      <c r="C433" s="16" t="s">
        <v>114</v>
      </c>
      <c r="D433" s="16" t="s">
        <v>115</v>
      </c>
      <c r="E433" s="16" t="s">
        <v>110</v>
      </c>
      <c r="F433" s="16" t="s">
        <v>111</v>
      </c>
      <c r="G433" s="16" t="s">
        <v>40</v>
      </c>
      <c r="H433" s="16" t="s">
        <v>112</v>
      </c>
      <c r="I433" s="16" t="s">
        <v>42</v>
      </c>
      <c r="J433" s="16" t="s">
        <v>43</v>
      </c>
      <c r="K433" s="18">
        <v>5947.56</v>
      </c>
      <c r="L433" s="18">
        <v>4764.2</v>
      </c>
      <c r="M433" s="19">
        <v>4</v>
      </c>
      <c r="N433" s="20">
        <v>0</v>
      </c>
      <c r="O433" s="19" t="s">
        <v>44</v>
      </c>
      <c r="P433" s="19" t="s">
        <v>98</v>
      </c>
      <c r="Q433" s="19" t="str">
        <f>TRIM(SalesData[[#This Row],[Customer_Name]])</f>
        <v>Nikhil Joshi</v>
      </c>
      <c r="R433" s="21">
        <f>SalesData[[#This Row],[Sales]]-SalesData[[#This Row],[Cost]]</f>
        <v>1183.3600000000006</v>
      </c>
      <c r="S433" s="22">
        <f>IFERROR(SalesData[[#This Row],[Profit]]/SalesData[[#This Row],[Sales]],0)</f>
        <v>0.19896562624000438</v>
      </c>
      <c r="T433" s="19">
        <f>YEAR(SalesData[[#This Row],[Order_Date]])</f>
        <v>2025</v>
      </c>
      <c r="U433" s="19" t="str">
        <f>TEXT(SalesData[[#This Row],[Order_Date]],"mmm")</f>
        <v>May</v>
      </c>
      <c r="V433" s="19" t="str">
        <f>"Q"&amp;ROUNDUP(MONTH(SalesData[[#This Row],[Order_Date]])/3,0)</f>
        <v>Q2</v>
      </c>
      <c r="W433" s="19" t="str">
        <f>IF(SalesData[[#This Row],[Sales]]&gt;=50000,"High",IF(AND(SalesData[[#This Row],[Sales]]&gt;= 20000, SalesData[[#This Row],[Sales]]&lt; 50000),"Medium","Low"))</f>
        <v>Low</v>
      </c>
      <c r="X433" s="19" t="str">
        <f>IF(SalesData[[#This Row],[Profit]]&gt;0,"Profit","Loss")</f>
        <v>Profit</v>
      </c>
      <c r="Y433" s="19" t="str">
        <f>IF(AND(SalesData[[#This Row],[Sales]]&gt;= 50000, SalesData[[#This Row],[Quantity]]&gt;=2),"Yes","No")</f>
        <v>No</v>
      </c>
      <c r="Z433" s="19" t="str">
        <f>UPPER(SalesData[[#This Row],[Customer_Name]])</f>
        <v>NIKHIL JOSHI</v>
      </c>
      <c r="AA433" s="19" t="str">
        <f>LOWER(SalesData[[#This Row],[Customer_Name]])</f>
        <v>nikhil joshi</v>
      </c>
      <c r="AB433" s="19">
        <f>LEN(SalesData[[#This Row],[Customer_Name]])</f>
        <v>12</v>
      </c>
      <c r="AC433" s="19" t="str">
        <f>LEFT(SalesData[[#This Row],[Order_ID]],3)</f>
        <v>ORD</v>
      </c>
      <c r="AD433" s="19" t="str">
        <f>RIGHT(SalesData[[#This Row],[Order_ID]],4)</f>
        <v>0944</v>
      </c>
      <c r="AE433" s="19" t="str">
        <f>_xlfn.CONCAT(SalesData[[#This Row],[Clean_Customer_Name]],"-",SalesData[[#This Row],[Region]])</f>
        <v>Nikhil Joshi-East</v>
      </c>
      <c r="AF433" s="19" t="str">
        <f>MID(SalesData[[#This Row],[Order_ID]],4,4)</f>
        <v>0944</v>
      </c>
      <c r="AG433" s="19" t="e">
        <f ca="1">_xlfn.SINGLE(_xlfn.XLOOKUP(SalesData[[#This Row],[Product]],Product_Master!A:A,Product_Master!B:B,"Not Found"))</f>
        <v>#NAME?</v>
      </c>
      <c r="AH433" s="19" t="str">
        <f>VLOOKUP(SalesData[[#This Row],[Product]],Product_Master!$A$1:$B$21,2,FALSE)</f>
        <v>Vikas</v>
      </c>
      <c r="AI433" s="16"/>
    </row>
    <row r="434" spans="1:35" ht="13.8">
      <c r="A434" s="16" t="s">
        <v>1121</v>
      </c>
      <c r="B434" s="17">
        <v>45744</v>
      </c>
      <c r="C434" s="16" t="s">
        <v>114</v>
      </c>
      <c r="D434" s="16" t="s">
        <v>115</v>
      </c>
      <c r="E434" s="16" t="s">
        <v>110</v>
      </c>
      <c r="F434" s="16" t="s">
        <v>111</v>
      </c>
      <c r="G434" s="16" t="s">
        <v>40</v>
      </c>
      <c r="H434" s="16" t="s">
        <v>112</v>
      </c>
      <c r="I434" s="16" t="s">
        <v>23</v>
      </c>
      <c r="J434" s="16" t="s">
        <v>75</v>
      </c>
      <c r="K434" s="18">
        <v>2984.37</v>
      </c>
      <c r="L434" s="18">
        <v>1095.51</v>
      </c>
      <c r="M434" s="19">
        <v>1</v>
      </c>
      <c r="N434" s="20">
        <v>0.05</v>
      </c>
      <c r="O434" s="19" t="s">
        <v>25</v>
      </c>
      <c r="P434" s="19" t="s">
        <v>58</v>
      </c>
      <c r="Q434" s="19" t="str">
        <f>TRIM(SalesData[[#This Row],[Customer_Name]])</f>
        <v>Nikhil Joshi</v>
      </c>
      <c r="R434" s="21">
        <f>SalesData[[#This Row],[Sales]]-SalesData[[#This Row],[Cost]]</f>
        <v>1888.86</v>
      </c>
      <c r="S434" s="22">
        <f>IFERROR(SalesData[[#This Row],[Profit]]/SalesData[[#This Row],[Sales]],0)</f>
        <v>0.63291750017591653</v>
      </c>
      <c r="T434" s="19">
        <f>YEAR(SalesData[[#This Row],[Order_Date]])</f>
        <v>2025</v>
      </c>
      <c r="U434" s="19" t="str">
        <f>TEXT(SalesData[[#This Row],[Order_Date]],"mmm")</f>
        <v>Mar</v>
      </c>
      <c r="V434" s="19" t="str">
        <f>"Q"&amp;ROUNDUP(MONTH(SalesData[[#This Row],[Order_Date]])/3,0)</f>
        <v>Q1</v>
      </c>
      <c r="W434" s="19" t="str">
        <f>IF(SalesData[[#This Row],[Sales]]&gt;=50000,"High",IF(AND(SalesData[[#This Row],[Sales]]&gt;= 20000, SalesData[[#This Row],[Sales]]&lt; 50000),"Medium","Low"))</f>
        <v>Low</v>
      </c>
      <c r="X434" s="19" t="str">
        <f>IF(SalesData[[#This Row],[Profit]]&gt;0,"Profit","Loss")</f>
        <v>Profit</v>
      </c>
      <c r="Y434" s="19" t="str">
        <f>IF(AND(SalesData[[#This Row],[Sales]]&gt;= 50000, SalesData[[#This Row],[Quantity]]&gt;=2),"Yes","No")</f>
        <v>No</v>
      </c>
      <c r="Z434" s="19" t="str">
        <f>UPPER(SalesData[[#This Row],[Customer_Name]])</f>
        <v>NIKHIL JOSHI</v>
      </c>
      <c r="AA434" s="19" t="str">
        <f>LOWER(SalesData[[#This Row],[Customer_Name]])</f>
        <v>nikhil joshi</v>
      </c>
      <c r="AB434" s="19">
        <f>LEN(SalesData[[#This Row],[Customer_Name]])</f>
        <v>12</v>
      </c>
      <c r="AC434" s="19" t="str">
        <f>LEFT(SalesData[[#This Row],[Order_ID]],3)</f>
        <v>ORD</v>
      </c>
      <c r="AD434" s="19" t="str">
        <f>RIGHT(SalesData[[#This Row],[Order_ID]],4)</f>
        <v>0968</v>
      </c>
      <c r="AE434" s="19" t="str">
        <f>_xlfn.CONCAT(SalesData[[#This Row],[Clean_Customer_Name]],"-",SalesData[[#This Row],[Region]])</f>
        <v>Nikhil Joshi-North</v>
      </c>
      <c r="AF434" s="19" t="str">
        <f>MID(SalesData[[#This Row],[Order_ID]],4,4)</f>
        <v>0968</v>
      </c>
      <c r="AG434" s="19" t="e">
        <f ca="1">_xlfn.SINGLE(_xlfn.XLOOKUP(SalesData[[#This Row],[Product]],Product_Master!A:A,Product_Master!B:B,"Not Found"))</f>
        <v>#NAME?</v>
      </c>
      <c r="AH434" s="19" t="str">
        <f>VLOOKUP(SalesData[[#This Row],[Product]],Product_Master!$A$1:$B$21,2,FALSE)</f>
        <v>Vikas</v>
      </c>
      <c r="AI434" s="16"/>
    </row>
    <row r="435" spans="1:35" ht="13.8">
      <c r="A435" s="16" t="s">
        <v>314</v>
      </c>
      <c r="B435" s="17">
        <v>45663</v>
      </c>
      <c r="C435" s="16" t="s">
        <v>114</v>
      </c>
      <c r="D435" s="16" t="s">
        <v>115</v>
      </c>
      <c r="E435" s="16" t="s">
        <v>172</v>
      </c>
      <c r="F435" s="16" t="s">
        <v>173</v>
      </c>
      <c r="G435" s="16" t="s">
        <v>40</v>
      </c>
      <c r="H435" s="16" t="s">
        <v>41</v>
      </c>
      <c r="I435" s="16" t="s">
        <v>23</v>
      </c>
      <c r="J435" s="16" t="s">
        <v>24</v>
      </c>
      <c r="K435" s="18">
        <v>4204.59</v>
      </c>
      <c r="L435" s="18">
        <v>2527.35</v>
      </c>
      <c r="M435" s="19">
        <v>3</v>
      </c>
      <c r="N435" s="20">
        <v>0.15</v>
      </c>
      <c r="O435" s="19" t="s">
        <v>76</v>
      </c>
      <c r="P435" s="19" t="s">
        <v>58</v>
      </c>
      <c r="Q435" s="19" t="str">
        <f>TRIM(SalesData[[#This Row],[Customer_Name]])</f>
        <v>Nikhil Joshi</v>
      </c>
      <c r="R435" s="21">
        <f>SalesData[[#This Row],[Sales]]-SalesData[[#This Row],[Cost]]</f>
        <v>1677.2400000000002</v>
      </c>
      <c r="S435" s="22">
        <f>IFERROR(SalesData[[#This Row],[Profit]]/SalesData[[#This Row],[Sales]],0)</f>
        <v>0.39890690887815461</v>
      </c>
      <c r="T435" s="19">
        <f>YEAR(SalesData[[#This Row],[Order_Date]])</f>
        <v>2025</v>
      </c>
      <c r="U435" s="19" t="str">
        <f>TEXT(SalesData[[#This Row],[Order_Date]],"mmm")</f>
        <v>Jan</v>
      </c>
      <c r="V435" s="19" t="str">
        <f>"Q"&amp;ROUNDUP(MONTH(SalesData[[#This Row],[Order_Date]])/3,0)</f>
        <v>Q1</v>
      </c>
      <c r="W435" s="19" t="str">
        <f>IF(SalesData[[#This Row],[Sales]]&gt;=50000,"High",IF(AND(SalesData[[#This Row],[Sales]]&gt;= 20000, SalesData[[#This Row],[Sales]]&lt; 50000),"Medium","Low"))</f>
        <v>Low</v>
      </c>
      <c r="X435" s="19" t="str">
        <f>IF(SalesData[[#This Row],[Profit]]&gt;0,"Profit","Loss")</f>
        <v>Profit</v>
      </c>
      <c r="Y435" s="19" t="str">
        <f>IF(AND(SalesData[[#This Row],[Sales]]&gt;= 50000, SalesData[[#This Row],[Quantity]]&gt;=2),"Yes","No")</f>
        <v>No</v>
      </c>
      <c r="Z435" s="19" t="str">
        <f>UPPER(SalesData[[#This Row],[Customer_Name]])</f>
        <v>NIKHIL JOSHI</v>
      </c>
      <c r="AA435" s="19" t="str">
        <f>LOWER(SalesData[[#This Row],[Customer_Name]])</f>
        <v>nikhil joshi</v>
      </c>
      <c r="AB435" s="19">
        <f>LEN(SalesData[[#This Row],[Customer_Name]])</f>
        <v>12</v>
      </c>
      <c r="AC435" s="19" t="str">
        <f>LEFT(SalesData[[#This Row],[Order_ID]],3)</f>
        <v>ORD</v>
      </c>
      <c r="AD435" s="19" t="str">
        <f>RIGHT(SalesData[[#This Row],[Order_ID]],4)</f>
        <v>0161</v>
      </c>
      <c r="AE435" s="19" t="str">
        <f>_xlfn.CONCAT(SalesData[[#This Row],[Clean_Customer_Name]],"-",SalesData[[#This Row],[Region]])</f>
        <v>Nikhil Joshi-North</v>
      </c>
      <c r="AF435" s="19" t="str">
        <f>MID(SalesData[[#This Row],[Order_ID]],4,4)</f>
        <v>0161</v>
      </c>
      <c r="AG435" s="19" t="e">
        <f ca="1">_xlfn.SINGLE(_xlfn.XLOOKUP(SalesData[[#This Row],[Product]],Product_Master!A:A,Product_Master!B:B,"Not Found"))</f>
        <v>#NAME?</v>
      </c>
      <c r="AH435" s="19" t="str">
        <f>VLOOKUP(SalesData[[#This Row],[Product]],Product_Master!$A$1:$B$21,2,FALSE)</f>
        <v>Pooja</v>
      </c>
      <c r="AI435" s="16"/>
    </row>
    <row r="436" spans="1:35" ht="13.8">
      <c r="A436" s="16" t="s">
        <v>254</v>
      </c>
      <c r="B436" s="17">
        <v>45439</v>
      </c>
      <c r="C436" s="16" t="s">
        <v>114</v>
      </c>
      <c r="D436" s="16" t="s">
        <v>115</v>
      </c>
      <c r="E436" s="16" t="s">
        <v>38</v>
      </c>
      <c r="F436" s="16" t="s">
        <v>39</v>
      </c>
      <c r="G436" s="16" t="s">
        <v>40</v>
      </c>
      <c r="H436" s="16" t="s">
        <v>41</v>
      </c>
      <c r="I436" s="16" t="s">
        <v>23</v>
      </c>
      <c r="J436" s="16" t="s">
        <v>24</v>
      </c>
      <c r="K436" s="18">
        <v>8607.7199999999993</v>
      </c>
      <c r="L436" s="18">
        <v>2148.36</v>
      </c>
      <c r="M436" s="19">
        <v>4</v>
      </c>
      <c r="N436" s="20">
        <v>0</v>
      </c>
      <c r="O436" s="19" t="s">
        <v>136</v>
      </c>
      <c r="P436" s="19" t="s">
        <v>45</v>
      </c>
      <c r="Q436" s="19" t="str">
        <f>TRIM(SalesData[[#This Row],[Customer_Name]])</f>
        <v>Nikhil Joshi</v>
      </c>
      <c r="R436" s="21">
        <f>SalesData[[#This Row],[Sales]]-SalesData[[#This Row],[Cost]]</f>
        <v>6459.3599999999988</v>
      </c>
      <c r="S436" s="22">
        <f>IFERROR(SalesData[[#This Row],[Profit]]/SalesData[[#This Row],[Sales]],0)</f>
        <v>0.75041474397401398</v>
      </c>
      <c r="T436" s="19">
        <f>YEAR(SalesData[[#This Row],[Order_Date]])</f>
        <v>2024</v>
      </c>
      <c r="U436" s="19" t="str">
        <f>TEXT(SalesData[[#This Row],[Order_Date]],"mmm")</f>
        <v>May</v>
      </c>
      <c r="V436" s="19" t="str">
        <f>"Q"&amp;ROUNDUP(MONTH(SalesData[[#This Row],[Order_Date]])/3,0)</f>
        <v>Q2</v>
      </c>
      <c r="W436" s="19" t="str">
        <f>IF(SalesData[[#This Row],[Sales]]&gt;=50000,"High",IF(AND(SalesData[[#This Row],[Sales]]&gt;= 20000, SalesData[[#This Row],[Sales]]&lt; 50000),"Medium","Low"))</f>
        <v>Low</v>
      </c>
      <c r="X436" s="19" t="str">
        <f>IF(SalesData[[#This Row],[Profit]]&gt;0,"Profit","Loss")</f>
        <v>Profit</v>
      </c>
      <c r="Y436" s="19" t="str">
        <f>IF(AND(SalesData[[#This Row],[Sales]]&gt;= 50000, SalesData[[#This Row],[Quantity]]&gt;=2),"Yes","No")</f>
        <v>No</v>
      </c>
      <c r="Z436" s="19" t="str">
        <f>UPPER(SalesData[[#This Row],[Customer_Name]])</f>
        <v>NIKHIL JOSHI</v>
      </c>
      <c r="AA436" s="19" t="str">
        <f>LOWER(SalesData[[#This Row],[Customer_Name]])</f>
        <v>nikhil joshi</v>
      </c>
      <c r="AB436" s="19">
        <f>LEN(SalesData[[#This Row],[Customer_Name]])</f>
        <v>12</v>
      </c>
      <c r="AC436" s="19" t="str">
        <f>LEFT(SalesData[[#This Row],[Order_ID]],3)</f>
        <v>ORD</v>
      </c>
      <c r="AD436" s="19" t="str">
        <f>RIGHT(SalesData[[#This Row],[Order_ID]],4)</f>
        <v>0103</v>
      </c>
      <c r="AE436" s="19" t="str">
        <f>_xlfn.CONCAT(SalesData[[#This Row],[Clean_Customer_Name]],"-",SalesData[[#This Row],[Region]])</f>
        <v>Nikhil Joshi-North</v>
      </c>
      <c r="AF436" s="19" t="str">
        <f>MID(SalesData[[#This Row],[Order_ID]],4,4)</f>
        <v>0103</v>
      </c>
      <c r="AG436" s="19" t="e">
        <f ca="1">_xlfn.SINGLE(_xlfn.XLOOKUP(SalesData[[#This Row],[Product]],Product_Master!A:A,Product_Master!B:B,"Not Found"))</f>
        <v>#NAME?</v>
      </c>
      <c r="AH436" s="19" t="str">
        <f>VLOOKUP(SalesData[[#This Row],[Product]],Product_Master!$A$1:$B$21,2,FALSE)</f>
        <v>Manish</v>
      </c>
      <c r="AI436" s="16"/>
    </row>
    <row r="437" spans="1:35" ht="13.8">
      <c r="A437" s="16" t="s">
        <v>387</v>
      </c>
      <c r="B437" s="17">
        <v>46012</v>
      </c>
      <c r="C437" s="16" t="s">
        <v>114</v>
      </c>
      <c r="D437" s="16" t="s">
        <v>115</v>
      </c>
      <c r="E437" s="16" t="s">
        <v>38</v>
      </c>
      <c r="F437" s="16" t="s">
        <v>39</v>
      </c>
      <c r="G437" s="16" t="s">
        <v>40</v>
      </c>
      <c r="H437" s="16" t="s">
        <v>41</v>
      </c>
      <c r="I437" s="16" t="s">
        <v>56</v>
      </c>
      <c r="J437" s="16" t="s">
        <v>57</v>
      </c>
      <c r="K437" s="18">
        <v>4508.01</v>
      </c>
      <c r="L437" s="18">
        <v>1373.43</v>
      </c>
      <c r="M437" s="19">
        <v>3</v>
      </c>
      <c r="N437" s="20">
        <v>0</v>
      </c>
      <c r="O437" s="19" t="s">
        <v>34</v>
      </c>
      <c r="P437" s="19" t="s">
        <v>58</v>
      </c>
      <c r="Q437" s="19" t="str">
        <f>TRIM(SalesData[[#This Row],[Customer_Name]])</f>
        <v>Nikhil Joshi</v>
      </c>
      <c r="R437" s="21">
        <f>SalesData[[#This Row],[Sales]]-SalesData[[#This Row],[Cost]]</f>
        <v>3134.58</v>
      </c>
      <c r="S437" s="22">
        <f>IFERROR(SalesData[[#This Row],[Profit]]/SalesData[[#This Row],[Sales]],0)</f>
        <v>0.69533563590142877</v>
      </c>
      <c r="T437" s="19">
        <f>YEAR(SalesData[[#This Row],[Order_Date]])</f>
        <v>2025</v>
      </c>
      <c r="U437" s="19" t="str">
        <f>TEXT(SalesData[[#This Row],[Order_Date]],"mmm")</f>
        <v>Dec</v>
      </c>
      <c r="V437" s="19" t="str">
        <f>"Q"&amp;ROUNDUP(MONTH(SalesData[[#This Row],[Order_Date]])/3,0)</f>
        <v>Q4</v>
      </c>
      <c r="W437" s="19" t="str">
        <f>IF(SalesData[[#This Row],[Sales]]&gt;=50000,"High",IF(AND(SalesData[[#This Row],[Sales]]&gt;= 20000, SalesData[[#This Row],[Sales]]&lt; 50000),"Medium","Low"))</f>
        <v>Low</v>
      </c>
      <c r="X437" s="19" t="str">
        <f>IF(SalesData[[#This Row],[Profit]]&gt;0,"Profit","Loss")</f>
        <v>Profit</v>
      </c>
      <c r="Y437" s="19" t="str">
        <f>IF(AND(SalesData[[#This Row],[Sales]]&gt;= 50000, SalesData[[#This Row],[Quantity]]&gt;=2),"Yes","No")</f>
        <v>No</v>
      </c>
      <c r="Z437" s="19" t="str">
        <f>UPPER(SalesData[[#This Row],[Customer_Name]])</f>
        <v>NIKHIL JOSHI</v>
      </c>
      <c r="AA437" s="19" t="str">
        <f>LOWER(SalesData[[#This Row],[Customer_Name]])</f>
        <v>nikhil joshi</v>
      </c>
      <c r="AB437" s="19">
        <f>LEN(SalesData[[#This Row],[Customer_Name]])</f>
        <v>12</v>
      </c>
      <c r="AC437" s="19" t="str">
        <f>LEFT(SalesData[[#This Row],[Order_ID]],3)</f>
        <v>ORD</v>
      </c>
      <c r="AD437" s="19" t="str">
        <f>RIGHT(SalesData[[#This Row],[Order_ID]],4)</f>
        <v>0234</v>
      </c>
      <c r="AE437" s="19" t="str">
        <f>_xlfn.CONCAT(SalesData[[#This Row],[Clean_Customer_Name]],"-",SalesData[[#This Row],[Region]])</f>
        <v>Nikhil Joshi-West</v>
      </c>
      <c r="AF437" s="19" t="str">
        <f>MID(SalesData[[#This Row],[Order_ID]],4,4)</f>
        <v>0234</v>
      </c>
      <c r="AG437" s="19" t="e">
        <f ca="1">_xlfn.SINGLE(_xlfn.XLOOKUP(SalesData[[#This Row],[Product]],Product_Master!A:A,Product_Master!B:B,"Not Found"))</f>
        <v>#NAME?</v>
      </c>
      <c r="AH437" s="19" t="str">
        <f>VLOOKUP(SalesData[[#This Row],[Product]],Product_Master!$A$1:$B$21,2,FALSE)</f>
        <v>Manish</v>
      </c>
      <c r="AI437" s="16"/>
    </row>
    <row r="438" spans="1:35" ht="13.8">
      <c r="A438" s="16" t="s">
        <v>1076</v>
      </c>
      <c r="B438" s="17">
        <v>45621</v>
      </c>
      <c r="C438" s="16" t="s">
        <v>114</v>
      </c>
      <c r="D438" s="16" t="s">
        <v>115</v>
      </c>
      <c r="E438" s="16" t="s">
        <v>38</v>
      </c>
      <c r="F438" s="16" t="s">
        <v>39</v>
      </c>
      <c r="G438" s="16" t="s">
        <v>40</v>
      </c>
      <c r="H438" s="16" t="s">
        <v>41</v>
      </c>
      <c r="I438" s="16" t="s">
        <v>23</v>
      </c>
      <c r="J438" s="16" t="s">
        <v>75</v>
      </c>
      <c r="K438" s="18">
        <v>3501.86</v>
      </c>
      <c r="L438" s="18">
        <v>1507.65</v>
      </c>
      <c r="M438" s="19">
        <v>3</v>
      </c>
      <c r="N438" s="20">
        <v>0.15</v>
      </c>
      <c r="O438" s="19" t="s">
        <v>136</v>
      </c>
      <c r="P438" s="19" t="s">
        <v>45</v>
      </c>
      <c r="Q438" s="19" t="str">
        <f>TRIM(SalesData[[#This Row],[Customer_Name]])</f>
        <v>Nikhil Joshi</v>
      </c>
      <c r="R438" s="21">
        <f>SalesData[[#This Row],[Sales]]-SalesData[[#This Row],[Cost]]</f>
        <v>1994.21</v>
      </c>
      <c r="S438" s="22">
        <f>IFERROR(SalesData[[#This Row],[Profit]]/SalesData[[#This Row],[Sales]],0)</f>
        <v>0.56947165220768392</v>
      </c>
      <c r="T438" s="19">
        <f>YEAR(SalesData[[#This Row],[Order_Date]])</f>
        <v>2024</v>
      </c>
      <c r="U438" s="19" t="str">
        <f>TEXT(SalesData[[#This Row],[Order_Date]],"mmm")</f>
        <v>Nov</v>
      </c>
      <c r="V438" s="19" t="str">
        <f>"Q"&amp;ROUNDUP(MONTH(SalesData[[#This Row],[Order_Date]])/3,0)</f>
        <v>Q4</v>
      </c>
      <c r="W438" s="19" t="str">
        <f>IF(SalesData[[#This Row],[Sales]]&gt;=50000,"High",IF(AND(SalesData[[#This Row],[Sales]]&gt;= 20000, SalesData[[#This Row],[Sales]]&lt; 50000),"Medium","Low"))</f>
        <v>Low</v>
      </c>
      <c r="X438" s="19" t="str">
        <f>IF(SalesData[[#This Row],[Profit]]&gt;0,"Profit","Loss")</f>
        <v>Profit</v>
      </c>
      <c r="Y438" s="19" t="str">
        <f>IF(AND(SalesData[[#This Row],[Sales]]&gt;= 50000, SalesData[[#This Row],[Quantity]]&gt;=2),"Yes","No")</f>
        <v>No</v>
      </c>
      <c r="Z438" s="19" t="str">
        <f>UPPER(SalesData[[#This Row],[Customer_Name]])</f>
        <v>NIKHIL JOSHI</v>
      </c>
      <c r="AA438" s="19" t="str">
        <f>LOWER(SalesData[[#This Row],[Customer_Name]])</f>
        <v>nikhil joshi</v>
      </c>
      <c r="AB438" s="19">
        <f>LEN(SalesData[[#This Row],[Customer_Name]])</f>
        <v>12</v>
      </c>
      <c r="AC438" s="19" t="str">
        <f>LEFT(SalesData[[#This Row],[Order_ID]],3)</f>
        <v>ORD</v>
      </c>
      <c r="AD438" s="19" t="str">
        <f>RIGHT(SalesData[[#This Row],[Order_ID]],4)</f>
        <v>0923</v>
      </c>
      <c r="AE438" s="19" t="str">
        <f>_xlfn.CONCAT(SalesData[[#This Row],[Clean_Customer_Name]],"-",SalesData[[#This Row],[Region]])</f>
        <v>Nikhil Joshi-North</v>
      </c>
      <c r="AF438" s="19" t="str">
        <f>MID(SalesData[[#This Row],[Order_ID]],4,4)</f>
        <v>0923</v>
      </c>
      <c r="AG438" s="19" t="e">
        <f ca="1">_xlfn.SINGLE(_xlfn.XLOOKUP(SalesData[[#This Row],[Product]],Product_Master!A:A,Product_Master!B:B,"Not Found"))</f>
        <v>#NAME?</v>
      </c>
      <c r="AH438" s="19" t="str">
        <f>VLOOKUP(SalesData[[#This Row],[Product]],Product_Master!$A$1:$B$21,2,FALSE)</f>
        <v>Manish</v>
      </c>
      <c r="AI438" s="16"/>
    </row>
    <row r="439" spans="1:35" ht="13.8">
      <c r="A439" s="16" t="s">
        <v>1096</v>
      </c>
      <c r="B439" s="17">
        <v>45498</v>
      </c>
      <c r="C439" s="16" t="s">
        <v>114</v>
      </c>
      <c r="D439" s="16" t="s">
        <v>115</v>
      </c>
      <c r="E439" s="16" t="s">
        <v>38</v>
      </c>
      <c r="F439" s="16" t="s">
        <v>39</v>
      </c>
      <c r="G439" s="16" t="s">
        <v>40</v>
      </c>
      <c r="H439" s="16" t="s">
        <v>41</v>
      </c>
      <c r="I439" s="16" t="s">
        <v>84</v>
      </c>
      <c r="J439" s="16" t="s">
        <v>142</v>
      </c>
      <c r="K439" s="18">
        <v>1116.19</v>
      </c>
      <c r="L439" s="18">
        <v>549.11</v>
      </c>
      <c r="M439" s="19">
        <v>1</v>
      </c>
      <c r="N439" s="20">
        <v>0.15</v>
      </c>
      <c r="O439" s="19" t="s">
        <v>34</v>
      </c>
      <c r="P439" s="19" t="s">
        <v>58</v>
      </c>
      <c r="Q439" s="19" t="str">
        <f>TRIM(SalesData[[#This Row],[Customer_Name]])</f>
        <v>Nikhil Joshi</v>
      </c>
      <c r="R439" s="21">
        <f>SalesData[[#This Row],[Sales]]-SalesData[[#This Row],[Cost]]</f>
        <v>567.08000000000004</v>
      </c>
      <c r="S439" s="22">
        <f>IFERROR(SalesData[[#This Row],[Profit]]/SalesData[[#This Row],[Sales]],0)</f>
        <v>0.50804970479936218</v>
      </c>
      <c r="T439" s="19">
        <f>YEAR(SalesData[[#This Row],[Order_Date]])</f>
        <v>2024</v>
      </c>
      <c r="U439" s="19" t="str">
        <f>TEXT(SalesData[[#This Row],[Order_Date]],"mmm")</f>
        <v>Jul</v>
      </c>
      <c r="V439" s="19" t="str">
        <f>"Q"&amp;ROUNDUP(MONTH(SalesData[[#This Row],[Order_Date]])/3,0)</f>
        <v>Q3</v>
      </c>
      <c r="W439" s="19" t="str">
        <f>IF(SalesData[[#This Row],[Sales]]&gt;=50000,"High",IF(AND(SalesData[[#This Row],[Sales]]&gt;= 20000, SalesData[[#This Row],[Sales]]&lt; 50000),"Medium","Low"))</f>
        <v>Low</v>
      </c>
      <c r="X439" s="19" t="str">
        <f>IF(SalesData[[#This Row],[Profit]]&gt;0,"Profit","Loss")</f>
        <v>Profit</v>
      </c>
      <c r="Y439" s="19" t="str">
        <f>IF(AND(SalesData[[#This Row],[Sales]]&gt;= 50000, SalesData[[#This Row],[Quantity]]&gt;=2),"Yes","No")</f>
        <v>No</v>
      </c>
      <c r="Z439" s="19" t="str">
        <f>UPPER(SalesData[[#This Row],[Customer_Name]])</f>
        <v>NIKHIL JOSHI</v>
      </c>
      <c r="AA439" s="19" t="str">
        <f>LOWER(SalesData[[#This Row],[Customer_Name]])</f>
        <v>nikhil joshi</v>
      </c>
      <c r="AB439" s="19">
        <f>LEN(SalesData[[#This Row],[Customer_Name]])</f>
        <v>12</v>
      </c>
      <c r="AC439" s="19" t="str">
        <f>LEFT(SalesData[[#This Row],[Order_ID]],3)</f>
        <v>ORD</v>
      </c>
      <c r="AD439" s="19" t="str">
        <f>RIGHT(SalesData[[#This Row],[Order_ID]],4)</f>
        <v>0943</v>
      </c>
      <c r="AE439" s="19" t="str">
        <f>_xlfn.CONCAT(SalesData[[#This Row],[Clean_Customer_Name]],"-",SalesData[[#This Row],[Region]])</f>
        <v>Nikhil Joshi-South</v>
      </c>
      <c r="AF439" s="19" t="str">
        <f>MID(SalesData[[#This Row],[Order_ID]],4,4)</f>
        <v>0943</v>
      </c>
      <c r="AG439" s="19" t="e">
        <f ca="1">_xlfn.SINGLE(_xlfn.XLOOKUP(SalesData[[#This Row],[Product]],Product_Master!A:A,Product_Master!B:B,"Not Found"))</f>
        <v>#NAME?</v>
      </c>
      <c r="AH439" s="19" t="str">
        <f>VLOOKUP(SalesData[[#This Row],[Product]],Product_Master!$A$1:$B$21,2,FALSE)</f>
        <v>Manish</v>
      </c>
      <c r="AI439" s="16"/>
    </row>
    <row r="440" spans="1:35" ht="13.8">
      <c r="A440" s="16" t="s">
        <v>407</v>
      </c>
      <c r="B440" s="17">
        <v>45392</v>
      </c>
      <c r="C440" s="16" t="s">
        <v>114</v>
      </c>
      <c r="D440" s="16" t="s">
        <v>115</v>
      </c>
      <c r="E440" s="16" t="s">
        <v>87</v>
      </c>
      <c r="F440" s="16" t="s">
        <v>88</v>
      </c>
      <c r="G440" s="16" t="s">
        <v>89</v>
      </c>
      <c r="H440" s="16" t="s">
        <v>90</v>
      </c>
      <c r="I440" s="16" t="s">
        <v>56</v>
      </c>
      <c r="J440" s="16" t="s">
        <v>191</v>
      </c>
      <c r="K440" s="18">
        <v>11900.42</v>
      </c>
      <c r="L440" s="18">
        <v>7576.76</v>
      </c>
      <c r="M440" s="19">
        <v>4</v>
      </c>
      <c r="N440" s="20">
        <v>0.05</v>
      </c>
      <c r="O440" s="19" t="s">
        <v>44</v>
      </c>
      <c r="P440" s="19" t="s">
        <v>77</v>
      </c>
      <c r="Q440" s="19" t="str">
        <f>TRIM(SalesData[[#This Row],[Customer_Name]])</f>
        <v>Nikhil Joshi</v>
      </c>
      <c r="R440" s="21">
        <f>SalesData[[#This Row],[Sales]]-SalesData[[#This Row],[Cost]]</f>
        <v>4323.66</v>
      </c>
      <c r="S440" s="22">
        <f>IFERROR(SalesData[[#This Row],[Profit]]/SalesData[[#This Row],[Sales]],0)</f>
        <v>0.36331995005218304</v>
      </c>
      <c r="T440" s="19">
        <f>YEAR(SalesData[[#This Row],[Order_Date]])</f>
        <v>2024</v>
      </c>
      <c r="U440" s="19" t="str">
        <f>TEXT(SalesData[[#This Row],[Order_Date]],"mmm")</f>
        <v>Apr</v>
      </c>
      <c r="V440" s="19" t="str">
        <f>"Q"&amp;ROUNDUP(MONTH(SalesData[[#This Row],[Order_Date]])/3,0)</f>
        <v>Q2</v>
      </c>
      <c r="W440" s="19" t="str">
        <f>IF(SalesData[[#This Row],[Sales]]&gt;=50000,"High",IF(AND(SalesData[[#This Row],[Sales]]&gt;= 20000, SalesData[[#This Row],[Sales]]&lt; 50000),"Medium","Low"))</f>
        <v>Low</v>
      </c>
      <c r="X440" s="19" t="str">
        <f>IF(SalesData[[#This Row],[Profit]]&gt;0,"Profit","Loss")</f>
        <v>Profit</v>
      </c>
      <c r="Y440" s="19" t="str">
        <f>IF(AND(SalesData[[#This Row],[Sales]]&gt;= 50000, SalesData[[#This Row],[Quantity]]&gt;=2),"Yes","No")</f>
        <v>No</v>
      </c>
      <c r="Z440" s="19" t="str">
        <f>UPPER(SalesData[[#This Row],[Customer_Name]])</f>
        <v>NIKHIL JOSHI</v>
      </c>
      <c r="AA440" s="19" t="str">
        <f>LOWER(SalesData[[#This Row],[Customer_Name]])</f>
        <v>nikhil joshi</v>
      </c>
      <c r="AB440" s="19">
        <f>LEN(SalesData[[#This Row],[Customer_Name]])</f>
        <v>12</v>
      </c>
      <c r="AC440" s="19" t="str">
        <f>LEFT(SalesData[[#This Row],[Order_ID]],3)</f>
        <v>ORD</v>
      </c>
      <c r="AD440" s="19" t="str">
        <f>RIGHT(SalesData[[#This Row],[Order_ID]],4)</f>
        <v>0254</v>
      </c>
      <c r="AE440" s="19" t="str">
        <f>_xlfn.CONCAT(SalesData[[#This Row],[Clean_Customer_Name]],"-",SalesData[[#This Row],[Region]])</f>
        <v>Nikhil Joshi-West</v>
      </c>
      <c r="AF440" s="19" t="str">
        <f>MID(SalesData[[#This Row],[Order_ID]],4,4)</f>
        <v>0254</v>
      </c>
      <c r="AG440" s="19" t="e">
        <f ca="1">_xlfn.SINGLE(_xlfn.XLOOKUP(SalesData[[#This Row],[Product]],Product_Master!A:A,Product_Master!B:B,"Not Found"))</f>
        <v>#NAME?</v>
      </c>
      <c r="AH440" s="19" t="str">
        <f>VLOOKUP(SalesData[[#This Row],[Product]],Product_Master!$A$1:$B$21,2,FALSE)</f>
        <v>Rahul</v>
      </c>
      <c r="AI440" s="16"/>
    </row>
    <row r="441" spans="1:35" ht="13.8">
      <c r="A441" s="16" t="s">
        <v>905</v>
      </c>
      <c r="B441" s="17">
        <v>46006</v>
      </c>
      <c r="C441" s="16" t="s">
        <v>114</v>
      </c>
      <c r="D441" s="16" t="s">
        <v>115</v>
      </c>
      <c r="E441" s="16" t="s">
        <v>87</v>
      </c>
      <c r="F441" s="16" t="s">
        <v>88</v>
      </c>
      <c r="G441" s="16" t="s">
        <v>89</v>
      </c>
      <c r="H441" s="16" t="s">
        <v>90</v>
      </c>
      <c r="I441" s="16" t="s">
        <v>84</v>
      </c>
      <c r="J441" s="16" t="s">
        <v>134</v>
      </c>
      <c r="K441" s="18">
        <v>21812.799999999999</v>
      </c>
      <c r="L441" s="18">
        <v>8433.25</v>
      </c>
      <c r="M441" s="19">
        <v>5</v>
      </c>
      <c r="N441" s="20">
        <v>0</v>
      </c>
      <c r="O441" s="19" t="s">
        <v>76</v>
      </c>
      <c r="P441" s="19" t="s">
        <v>77</v>
      </c>
      <c r="Q441" s="19" t="str">
        <f>TRIM(SalesData[[#This Row],[Customer_Name]])</f>
        <v>Nikhil Joshi</v>
      </c>
      <c r="R441" s="21">
        <f>SalesData[[#This Row],[Sales]]-SalesData[[#This Row],[Cost]]</f>
        <v>13379.55</v>
      </c>
      <c r="S441" s="22">
        <f>IFERROR(SalesData[[#This Row],[Profit]]/SalesData[[#This Row],[Sales]],0)</f>
        <v>0.61338067556663978</v>
      </c>
      <c r="T441" s="19">
        <f>YEAR(SalesData[[#This Row],[Order_Date]])</f>
        <v>2025</v>
      </c>
      <c r="U441" s="19" t="str">
        <f>TEXT(SalesData[[#This Row],[Order_Date]],"mmm")</f>
        <v>Dec</v>
      </c>
      <c r="V441" s="19" t="str">
        <f>"Q"&amp;ROUNDUP(MONTH(SalesData[[#This Row],[Order_Date]])/3,0)</f>
        <v>Q4</v>
      </c>
      <c r="W441" s="19" t="str">
        <f>IF(SalesData[[#This Row],[Sales]]&gt;=50000,"High",IF(AND(SalesData[[#This Row],[Sales]]&gt;= 20000, SalesData[[#This Row],[Sales]]&lt; 50000),"Medium","Low"))</f>
        <v>Medium</v>
      </c>
      <c r="X441" s="19" t="str">
        <f>IF(SalesData[[#This Row],[Profit]]&gt;0,"Profit","Loss")</f>
        <v>Profit</v>
      </c>
      <c r="Y441" s="19" t="str">
        <f>IF(AND(SalesData[[#This Row],[Sales]]&gt;= 50000, SalesData[[#This Row],[Quantity]]&gt;=2),"Yes","No")</f>
        <v>No</v>
      </c>
      <c r="Z441" s="19" t="str">
        <f>UPPER(SalesData[[#This Row],[Customer_Name]])</f>
        <v>NIKHIL JOSHI</v>
      </c>
      <c r="AA441" s="19" t="str">
        <f>LOWER(SalesData[[#This Row],[Customer_Name]])</f>
        <v>nikhil joshi</v>
      </c>
      <c r="AB441" s="19">
        <f>LEN(SalesData[[#This Row],[Customer_Name]])</f>
        <v>12</v>
      </c>
      <c r="AC441" s="19" t="str">
        <f>LEFT(SalesData[[#This Row],[Order_ID]],3)</f>
        <v>ORD</v>
      </c>
      <c r="AD441" s="19" t="str">
        <f>RIGHT(SalesData[[#This Row],[Order_ID]],4)</f>
        <v>0752</v>
      </c>
      <c r="AE441" s="19" t="str">
        <f>_xlfn.CONCAT(SalesData[[#This Row],[Clean_Customer_Name]],"-",SalesData[[#This Row],[Region]])</f>
        <v>Nikhil Joshi-South</v>
      </c>
      <c r="AF441" s="19" t="str">
        <f>MID(SalesData[[#This Row],[Order_ID]],4,4)</f>
        <v>0752</v>
      </c>
      <c r="AG441" s="19" t="e">
        <f ca="1">_xlfn.SINGLE(_xlfn.XLOOKUP(SalesData[[#This Row],[Product]],Product_Master!A:A,Product_Master!B:B,"Not Found"))</f>
        <v>#NAME?</v>
      </c>
      <c r="AH441" s="19" t="str">
        <f>VLOOKUP(SalesData[[#This Row],[Product]],Product_Master!$A$1:$B$21,2,FALSE)</f>
        <v>Rahul</v>
      </c>
      <c r="AI441" s="16"/>
    </row>
    <row r="442" spans="1:35" ht="13.8">
      <c r="A442" s="16" t="s">
        <v>364</v>
      </c>
      <c r="B442" s="17">
        <v>45793</v>
      </c>
      <c r="C442" s="16" t="s">
        <v>114</v>
      </c>
      <c r="D442" s="16" t="s">
        <v>115</v>
      </c>
      <c r="E442" s="16" t="s">
        <v>182</v>
      </c>
      <c r="F442" s="16" t="s">
        <v>183</v>
      </c>
      <c r="G442" s="16" t="s">
        <v>89</v>
      </c>
      <c r="H442" s="16" t="s">
        <v>90</v>
      </c>
      <c r="I442" s="16" t="s">
        <v>56</v>
      </c>
      <c r="J442" s="16" t="s">
        <v>57</v>
      </c>
      <c r="K442" s="18">
        <v>56963.93</v>
      </c>
      <c r="L442" s="18">
        <v>28798.75</v>
      </c>
      <c r="M442" s="19">
        <v>5</v>
      </c>
      <c r="N442" s="20">
        <v>0.1</v>
      </c>
      <c r="O442" s="19" t="s">
        <v>44</v>
      </c>
      <c r="P442" s="19" t="s">
        <v>58</v>
      </c>
      <c r="Q442" s="19" t="str">
        <f>TRIM(SalesData[[#This Row],[Customer_Name]])</f>
        <v>Nikhil Joshi</v>
      </c>
      <c r="R442" s="21">
        <f>SalesData[[#This Row],[Sales]]-SalesData[[#This Row],[Cost]]</f>
        <v>28165.18</v>
      </c>
      <c r="S442" s="22">
        <f>IFERROR(SalesData[[#This Row],[Profit]]/SalesData[[#This Row],[Sales]],0)</f>
        <v>0.49443884928585513</v>
      </c>
      <c r="T442" s="19">
        <f>YEAR(SalesData[[#This Row],[Order_Date]])</f>
        <v>2025</v>
      </c>
      <c r="U442" s="19" t="str">
        <f>TEXT(SalesData[[#This Row],[Order_Date]],"mmm")</f>
        <v>May</v>
      </c>
      <c r="V442" s="19" t="str">
        <f>"Q"&amp;ROUNDUP(MONTH(SalesData[[#This Row],[Order_Date]])/3,0)</f>
        <v>Q2</v>
      </c>
      <c r="W442" s="19" t="str">
        <f>IF(SalesData[[#This Row],[Sales]]&gt;=50000,"High",IF(AND(SalesData[[#This Row],[Sales]]&gt;= 20000, SalesData[[#This Row],[Sales]]&lt; 50000),"Medium","Low"))</f>
        <v>High</v>
      </c>
      <c r="X442" s="19" t="str">
        <f>IF(SalesData[[#This Row],[Profit]]&gt;0,"Profit","Loss")</f>
        <v>Profit</v>
      </c>
      <c r="Y442" s="19" t="str">
        <f>IF(AND(SalesData[[#This Row],[Sales]]&gt;= 50000, SalesData[[#This Row],[Quantity]]&gt;=2),"Yes","No")</f>
        <v>Yes</v>
      </c>
      <c r="Z442" s="19" t="str">
        <f>UPPER(SalesData[[#This Row],[Customer_Name]])</f>
        <v>NIKHIL JOSHI</v>
      </c>
      <c r="AA442" s="19" t="str">
        <f>LOWER(SalesData[[#This Row],[Customer_Name]])</f>
        <v>nikhil joshi</v>
      </c>
      <c r="AB442" s="19">
        <f>LEN(SalesData[[#This Row],[Customer_Name]])</f>
        <v>12</v>
      </c>
      <c r="AC442" s="19" t="str">
        <f>LEFT(SalesData[[#This Row],[Order_ID]],3)</f>
        <v>ORD</v>
      </c>
      <c r="AD442" s="19" t="str">
        <f>RIGHT(SalesData[[#This Row],[Order_ID]],4)</f>
        <v>0211</v>
      </c>
      <c r="AE442" s="19" t="str">
        <f>_xlfn.CONCAT(SalesData[[#This Row],[Clean_Customer_Name]],"-",SalesData[[#This Row],[Region]])</f>
        <v>Nikhil Joshi-West</v>
      </c>
      <c r="AF442" s="19" t="str">
        <f>MID(SalesData[[#This Row],[Order_ID]],4,4)</f>
        <v>0211</v>
      </c>
      <c r="AG442" s="19" t="e">
        <f ca="1">_xlfn.SINGLE(_xlfn.XLOOKUP(SalesData[[#This Row],[Product]],Product_Master!A:A,Product_Master!B:B,"Not Found"))</f>
        <v>#NAME?</v>
      </c>
      <c r="AH442" s="19" t="str">
        <f>VLOOKUP(SalesData[[#This Row],[Product]],Product_Master!$A$1:$B$21,2,FALSE)</f>
        <v>Priya</v>
      </c>
      <c r="AI442" s="16"/>
    </row>
    <row r="443" spans="1:35" ht="13.8">
      <c r="A443" s="16" t="s">
        <v>868</v>
      </c>
      <c r="B443" s="17">
        <v>45417</v>
      </c>
      <c r="C443" s="16" t="s">
        <v>114</v>
      </c>
      <c r="D443" s="16" t="s">
        <v>115</v>
      </c>
      <c r="E443" s="16" t="s">
        <v>182</v>
      </c>
      <c r="F443" s="16" t="s">
        <v>183</v>
      </c>
      <c r="G443" s="16" t="s">
        <v>89</v>
      </c>
      <c r="H443" s="16" t="s">
        <v>90</v>
      </c>
      <c r="I443" s="16" t="s">
        <v>53</v>
      </c>
      <c r="J443" s="16" t="s">
        <v>102</v>
      </c>
      <c r="K443" s="18">
        <v>37305.86</v>
      </c>
      <c r="L443" s="18">
        <v>25007.16</v>
      </c>
      <c r="M443" s="19">
        <v>4</v>
      </c>
      <c r="N443" s="20">
        <v>0.2</v>
      </c>
      <c r="O443" s="19" t="s">
        <v>44</v>
      </c>
      <c r="P443" s="19" t="s">
        <v>98</v>
      </c>
      <c r="Q443" s="19" t="str">
        <f>TRIM(SalesData[[#This Row],[Customer_Name]])</f>
        <v>Nikhil Joshi</v>
      </c>
      <c r="R443" s="21">
        <f>SalesData[[#This Row],[Sales]]-SalesData[[#This Row],[Cost]]</f>
        <v>12298.7</v>
      </c>
      <c r="S443" s="22">
        <f>IFERROR(SalesData[[#This Row],[Profit]]/SalesData[[#This Row],[Sales]],0)</f>
        <v>0.32967206760546469</v>
      </c>
      <c r="T443" s="19">
        <f>YEAR(SalesData[[#This Row],[Order_Date]])</f>
        <v>2024</v>
      </c>
      <c r="U443" s="19" t="str">
        <f>TEXT(SalesData[[#This Row],[Order_Date]],"mmm")</f>
        <v>May</v>
      </c>
      <c r="V443" s="19" t="str">
        <f>"Q"&amp;ROUNDUP(MONTH(SalesData[[#This Row],[Order_Date]])/3,0)</f>
        <v>Q2</v>
      </c>
      <c r="W443" s="19" t="str">
        <f>IF(SalesData[[#This Row],[Sales]]&gt;=50000,"High",IF(AND(SalesData[[#This Row],[Sales]]&gt;= 20000, SalesData[[#This Row],[Sales]]&lt; 50000),"Medium","Low"))</f>
        <v>Medium</v>
      </c>
      <c r="X443" s="19" t="str">
        <f>IF(SalesData[[#This Row],[Profit]]&gt;0,"Profit","Loss")</f>
        <v>Profit</v>
      </c>
      <c r="Y443" s="19" t="str">
        <f>IF(AND(SalesData[[#This Row],[Sales]]&gt;= 50000, SalesData[[#This Row],[Quantity]]&gt;=2),"Yes","No")</f>
        <v>No</v>
      </c>
      <c r="Z443" s="19" t="str">
        <f>UPPER(SalesData[[#This Row],[Customer_Name]])</f>
        <v>NIKHIL JOSHI</v>
      </c>
      <c r="AA443" s="19" t="str">
        <f>LOWER(SalesData[[#This Row],[Customer_Name]])</f>
        <v>nikhil joshi</v>
      </c>
      <c r="AB443" s="19">
        <f>LEN(SalesData[[#This Row],[Customer_Name]])</f>
        <v>12</v>
      </c>
      <c r="AC443" s="19" t="str">
        <f>LEFT(SalesData[[#This Row],[Order_ID]],3)</f>
        <v>ORD</v>
      </c>
      <c r="AD443" s="19" t="str">
        <f>RIGHT(SalesData[[#This Row],[Order_ID]],4)</f>
        <v>0715</v>
      </c>
      <c r="AE443" s="19" t="str">
        <f>_xlfn.CONCAT(SalesData[[#This Row],[Clean_Customer_Name]],"-",SalesData[[#This Row],[Region]])</f>
        <v>Nikhil Joshi-Central</v>
      </c>
      <c r="AF443" s="19" t="str">
        <f>MID(SalesData[[#This Row],[Order_ID]],4,4)</f>
        <v>0715</v>
      </c>
      <c r="AG443" s="19" t="e">
        <f ca="1">_xlfn.SINGLE(_xlfn.XLOOKUP(SalesData[[#This Row],[Product]],Product_Master!A:A,Product_Master!B:B,"Not Found"))</f>
        <v>#NAME?</v>
      </c>
      <c r="AH443" s="19" t="str">
        <f>VLOOKUP(SalesData[[#This Row],[Product]],Product_Master!$A$1:$B$21,2,FALSE)</f>
        <v>Priya</v>
      </c>
      <c r="AI443" s="16"/>
    </row>
    <row r="444" spans="1:35" ht="13.8">
      <c r="A444" s="16" t="s">
        <v>298</v>
      </c>
      <c r="B444" s="17">
        <v>45976</v>
      </c>
      <c r="C444" s="16" t="s">
        <v>114</v>
      </c>
      <c r="D444" s="16" t="s">
        <v>115</v>
      </c>
      <c r="E444" s="16" t="s">
        <v>187</v>
      </c>
      <c r="F444" s="16" t="s">
        <v>188</v>
      </c>
      <c r="G444" s="16" t="s">
        <v>89</v>
      </c>
      <c r="H444" s="16" t="s">
        <v>189</v>
      </c>
      <c r="I444" s="16" t="s">
        <v>53</v>
      </c>
      <c r="J444" s="16" t="s">
        <v>102</v>
      </c>
      <c r="K444" s="18">
        <v>36163.410000000003</v>
      </c>
      <c r="L444" s="18">
        <v>15087.84</v>
      </c>
      <c r="M444" s="19">
        <v>3</v>
      </c>
      <c r="N444" s="20">
        <v>0</v>
      </c>
      <c r="O444" s="19" t="s">
        <v>136</v>
      </c>
      <c r="P444" s="19" t="s">
        <v>58</v>
      </c>
      <c r="Q444" s="19" t="str">
        <f>TRIM(SalesData[[#This Row],[Customer_Name]])</f>
        <v>Nikhil Joshi</v>
      </c>
      <c r="R444" s="21">
        <f>SalesData[[#This Row],[Sales]]-SalesData[[#This Row],[Cost]]</f>
        <v>21075.570000000003</v>
      </c>
      <c r="S444" s="22">
        <f>IFERROR(SalesData[[#This Row],[Profit]]/SalesData[[#This Row],[Sales]],0)</f>
        <v>0.58278713207631694</v>
      </c>
      <c r="T444" s="19">
        <f>YEAR(SalesData[[#This Row],[Order_Date]])</f>
        <v>2025</v>
      </c>
      <c r="U444" s="19" t="str">
        <f>TEXT(SalesData[[#This Row],[Order_Date]],"mmm")</f>
        <v>Nov</v>
      </c>
      <c r="V444" s="19" t="str">
        <f>"Q"&amp;ROUNDUP(MONTH(SalesData[[#This Row],[Order_Date]])/3,0)</f>
        <v>Q4</v>
      </c>
      <c r="W444" s="19" t="str">
        <f>IF(SalesData[[#This Row],[Sales]]&gt;=50000,"High",IF(AND(SalesData[[#This Row],[Sales]]&gt;= 20000, SalesData[[#This Row],[Sales]]&lt; 50000),"Medium","Low"))</f>
        <v>Medium</v>
      </c>
      <c r="X444" s="19" t="str">
        <f>IF(SalesData[[#This Row],[Profit]]&gt;0,"Profit","Loss")</f>
        <v>Profit</v>
      </c>
      <c r="Y444" s="19" t="str">
        <f>IF(AND(SalesData[[#This Row],[Sales]]&gt;= 50000, SalesData[[#This Row],[Quantity]]&gt;=2),"Yes","No")</f>
        <v>No</v>
      </c>
      <c r="Z444" s="19" t="str">
        <f>UPPER(SalesData[[#This Row],[Customer_Name]])</f>
        <v>NIKHIL JOSHI</v>
      </c>
      <c r="AA444" s="19" t="str">
        <f>LOWER(SalesData[[#This Row],[Customer_Name]])</f>
        <v>nikhil joshi</v>
      </c>
      <c r="AB444" s="19">
        <f>LEN(SalesData[[#This Row],[Customer_Name]])</f>
        <v>12</v>
      </c>
      <c r="AC444" s="19" t="str">
        <f>LEFT(SalesData[[#This Row],[Order_ID]],3)</f>
        <v>ORD</v>
      </c>
      <c r="AD444" s="19" t="str">
        <f>RIGHT(SalesData[[#This Row],[Order_ID]],4)</f>
        <v>0145</v>
      </c>
      <c r="AE444" s="19" t="str">
        <f>_xlfn.CONCAT(SalesData[[#This Row],[Clean_Customer_Name]],"-",SalesData[[#This Row],[Region]])</f>
        <v>Nikhil Joshi-Central</v>
      </c>
      <c r="AF444" s="19" t="str">
        <f>MID(SalesData[[#This Row],[Order_ID]],4,4)</f>
        <v>0145</v>
      </c>
      <c r="AG444" s="19" t="e">
        <f ca="1">_xlfn.SINGLE(_xlfn.XLOOKUP(SalesData[[#This Row],[Product]],Product_Master!A:A,Product_Master!B:B,"Not Found"))</f>
        <v>#NAME?</v>
      </c>
      <c r="AH444" s="19" t="str">
        <f>VLOOKUP(SalesData[[#This Row],[Product]],Product_Master!$A$1:$B$21,2,FALSE)</f>
        <v>Amit</v>
      </c>
      <c r="AI444" s="16"/>
    </row>
    <row r="445" spans="1:35" ht="13.8">
      <c r="A445" s="16" t="s">
        <v>565</v>
      </c>
      <c r="B445" s="17">
        <v>45463</v>
      </c>
      <c r="C445" s="16" t="s">
        <v>114</v>
      </c>
      <c r="D445" s="16" t="s">
        <v>115</v>
      </c>
      <c r="E445" s="16" t="s">
        <v>95</v>
      </c>
      <c r="F445" s="16" t="s">
        <v>96</v>
      </c>
      <c r="G445" s="16" t="s">
        <v>89</v>
      </c>
      <c r="H445" s="16" t="s">
        <v>97</v>
      </c>
      <c r="I445" s="16" t="s">
        <v>84</v>
      </c>
      <c r="J445" s="16" t="s">
        <v>142</v>
      </c>
      <c r="K445" s="18">
        <v>4891.38</v>
      </c>
      <c r="L445" s="18">
        <v>3726.69</v>
      </c>
      <c r="M445" s="19">
        <v>1</v>
      </c>
      <c r="N445" s="20">
        <v>0.1</v>
      </c>
      <c r="O445" s="19" t="s">
        <v>136</v>
      </c>
      <c r="P445" s="19" t="s">
        <v>77</v>
      </c>
      <c r="Q445" s="19" t="str">
        <f>TRIM(SalesData[[#This Row],[Customer_Name]])</f>
        <v>Nikhil Joshi</v>
      </c>
      <c r="R445" s="21">
        <f>SalesData[[#This Row],[Sales]]-SalesData[[#This Row],[Cost]]</f>
        <v>1164.69</v>
      </c>
      <c r="S445" s="22">
        <f>IFERROR(SalesData[[#This Row],[Profit]]/SalesData[[#This Row],[Sales]],0)</f>
        <v>0.23811071722090699</v>
      </c>
      <c r="T445" s="19">
        <f>YEAR(SalesData[[#This Row],[Order_Date]])</f>
        <v>2024</v>
      </c>
      <c r="U445" s="19" t="str">
        <f>TEXT(SalesData[[#This Row],[Order_Date]],"mmm")</f>
        <v>Jun</v>
      </c>
      <c r="V445" s="19" t="str">
        <f>"Q"&amp;ROUNDUP(MONTH(SalesData[[#This Row],[Order_Date]])/3,0)</f>
        <v>Q2</v>
      </c>
      <c r="W445" s="19" t="str">
        <f>IF(SalesData[[#This Row],[Sales]]&gt;=50000,"High",IF(AND(SalesData[[#This Row],[Sales]]&gt;= 20000, SalesData[[#This Row],[Sales]]&lt; 50000),"Medium","Low"))</f>
        <v>Low</v>
      </c>
      <c r="X445" s="19" t="str">
        <f>IF(SalesData[[#This Row],[Profit]]&gt;0,"Profit","Loss")</f>
        <v>Profit</v>
      </c>
      <c r="Y445" s="19" t="str">
        <f>IF(AND(SalesData[[#This Row],[Sales]]&gt;= 50000, SalesData[[#This Row],[Quantity]]&gt;=2),"Yes","No")</f>
        <v>No</v>
      </c>
      <c r="Z445" s="19" t="str">
        <f>UPPER(SalesData[[#This Row],[Customer_Name]])</f>
        <v>NIKHIL JOSHI</v>
      </c>
      <c r="AA445" s="19" t="str">
        <f>LOWER(SalesData[[#This Row],[Customer_Name]])</f>
        <v>nikhil joshi</v>
      </c>
      <c r="AB445" s="19">
        <f>LEN(SalesData[[#This Row],[Customer_Name]])</f>
        <v>12</v>
      </c>
      <c r="AC445" s="19" t="str">
        <f>LEFT(SalesData[[#This Row],[Order_ID]],3)</f>
        <v>ORD</v>
      </c>
      <c r="AD445" s="19" t="str">
        <f>RIGHT(SalesData[[#This Row],[Order_ID]],4)</f>
        <v>0412</v>
      </c>
      <c r="AE445" s="19" t="str">
        <f>_xlfn.CONCAT(SalesData[[#This Row],[Clean_Customer_Name]],"-",SalesData[[#This Row],[Region]])</f>
        <v>Nikhil Joshi-South</v>
      </c>
      <c r="AF445" s="19" t="str">
        <f>MID(SalesData[[#This Row],[Order_ID]],4,4)</f>
        <v>0412</v>
      </c>
      <c r="AG445" s="19" t="e">
        <f ca="1">_xlfn.SINGLE(_xlfn.XLOOKUP(SalesData[[#This Row],[Product]],Product_Master!A:A,Product_Master!B:B,"Not Found"))</f>
        <v>#NAME?</v>
      </c>
      <c r="AH445" s="19" t="str">
        <f>VLOOKUP(SalesData[[#This Row],[Product]],Product_Master!$A$1:$B$21,2,FALSE)</f>
        <v>Neha</v>
      </c>
      <c r="AI445" s="16"/>
    </row>
    <row r="446" spans="1:35" ht="13.8">
      <c r="A446" s="16" t="s">
        <v>192</v>
      </c>
      <c r="B446" s="17">
        <v>45387</v>
      </c>
      <c r="C446" s="16" t="s">
        <v>114</v>
      </c>
      <c r="D446" s="16" t="s">
        <v>115</v>
      </c>
      <c r="E446" s="16" t="s">
        <v>193</v>
      </c>
      <c r="F446" s="16" t="s">
        <v>194</v>
      </c>
      <c r="G446" s="16" t="s">
        <v>89</v>
      </c>
      <c r="H446" s="16" t="s">
        <v>90</v>
      </c>
      <c r="I446" s="16" t="s">
        <v>84</v>
      </c>
      <c r="J446" s="16" t="s">
        <v>134</v>
      </c>
      <c r="K446" s="18">
        <v>1652.18</v>
      </c>
      <c r="L446" s="18">
        <v>1034.56</v>
      </c>
      <c r="M446" s="19">
        <v>2</v>
      </c>
      <c r="N446" s="20">
        <v>0.05</v>
      </c>
      <c r="O446" s="19" t="s">
        <v>76</v>
      </c>
      <c r="P446" s="19" t="s">
        <v>58</v>
      </c>
      <c r="Q446" s="19" t="str">
        <f>TRIM(SalesData[[#This Row],[Customer_Name]])</f>
        <v>Nikhil Joshi</v>
      </c>
      <c r="R446" s="21">
        <f>SalesData[[#This Row],[Sales]]-SalesData[[#This Row],[Cost]]</f>
        <v>617.62000000000012</v>
      </c>
      <c r="S446" s="22">
        <f>IFERROR(SalesData[[#This Row],[Profit]]/SalesData[[#This Row],[Sales]],0)</f>
        <v>0.37382125434274721</v>
      </c>
      <c r="T446" s="19">
        <f>YEAR(SalesData[[#This Row],[Order_Date]])</f>
        <v>2024</v>
      </c>
      <c r="U446" s="19" t="str">
        <f>TEXT(SalesData[[#This Row],[Order_Date]],"mmm")</f>
        <v>Apr</v>
      </c>
      <c r="V446" s="19" t="str">
        <f>"Q"&amp;ROUNDUP(MONTH(SalesData[[#This Row],[Order_Date]])/3,0)</f>
        <v>Q2</v>
      </c>
      <c r="W446" s="19" t="str">
        <f>IF(SalesData[[#This Row],[Sales]]&gt;=50000,"High",IF(AND(SalesData[[#This Row],[Sales]]&gt;= 20000, SalesData[[#This Row],[Sales]]&lt; 50000),"Medium","Low"))</f>
        <v>Low</v>
      </c>
      <c r="X446" s="19" t="str">
        <f>IF(SalesData[[#This Row],[Profit]]&gt;0,"Profit","Loss")</f>
        <v>Profit</v>
      </c>
      <c r="Y446" s="19" t="str">
        <f>IF(AND(SalesData[[#This Row],[Sales]]&gt;= 50000, SalesData[[#This Row],[Quantity]]&gt;=2),"Yes","No")</f>
        <v>No</v>
      </c>
      <c r="Z446" s="19" t="str">
        <f>UPPER(SalesData[[#This Row],[Customer_Name]])</f>
        <v>NIKHIL JOSHI</v>
      </c>
      <c r="AA446" s="19" t="str">
        <f>LOWER(SalesData[[#This Row],[Customer_Name]])</f>
        <v>nikhil joshi</v>
      </c>
      <c r="AB446" s="19">
        <f>LEN(SalesData[[#This Row],[Customer_Name]])</f>
        <v>12</v>
      </c>
      <c r="AC446" s="19" t="str">
        <f>LEFT(SalesData[[#This Row],[Order_ID]],3)</f>
        <v>ORD</v>
      </c>
      <c r="AD446" s="19" t="str">
        <f>RIGHT(SalesData[[#This Row],[Order_ID]],4)</f>
        <v>0051</v>
      </c>
      <c r="AE446" s="19" t="str">
        <f>_xlfn.CONCAT(SalesData[[#This Row],[Clean_Customer_Name]],"-",SalesData[[#This Row],[Region]])</f>
        <v>Nikhil Joshi-South</v>
      </c>
      <c r="AF446" s="19" t="str">
        <f>MID(SalesData[[#This Row],[Order_ID]],4,4)</f>
        <v>0051</v>
      </c>
      <c r="AG446" s="19" t="e">
        <f ca="1">_xlfn.SINGLE(_xlfn.XLOOKUP(SalesData[[#This Row],[Product]],Product_Master!A:A,Product_Master!B:B,"Not Found"))</f>
        <v>#NAME?</v>
      </c>
      <c r="AH446" s="19" t="str">
        <f>VLOOKUP(SalesData[[#This Row],[Product]],Product_Master!$A$1:$B$21,2,FALSE)</f>
        <v>Simran</v>
      </c>
      <c r="AI446" s="16"/>
    </row>
    <row r="447" spans="1:35" ht="13.8">
      <c r="A447" s="16" t="s">
        <v>428</v>
      </c>
      <c r="B447" s="17">
        <v>45654</v>
      </c>
      <c r="C447" s="16" t="s">
        <v>179</v>
      </c>
      <c r="D447" s="16" t="s">
        <v>180</v>
      </c>
      <c r="E447" s="16" t="s">
        <v>30</v>
      </c>
      <c r="F447" s="16" t="s">
        <v>31</v>
      </c>
      <c r="G447" s="16" t="s">
        <v>21</v>
      </c>
      <c r="H447" s="16" t="s">
        <v>32</v>
      </c>
      <c r="I447" s="16" t="s">
        <v>23</v>
      </c>
      <c r="J447" s="16" t="s">
        <v>33</v>
      </c>
      <c r="K447" s="18">
        <v>272169.03999999998</v>
      </c>
      <c r="L447" s="18">
        <v>220467.1</v>
      </c>
      <c r="M447" s="19">
        <v>5</v>
      </c>
      <c r="N447" s="20">
        <v>0.1</v>
      </c>
      <c r="O447" s="19" t="s">
        <v>136</v>
      </c>
      <c r="P447" s="19" t="s">
        <v>58</v>
      </c>
      <c r="Q447" s="19" t="str">
        <f>TRIM(SalesData[[#This Row],[Customer_Name]])</f>
        <v>Neha Verma</v>
      </c>
      <c r="R447" s="21">
        <f>SalesData[[#This Row],[Sales]]-SalesData[[#This Row],[Cost]]</f>
        <v>51701.939999999973</v>
      </c>
      <c r="S447" s="22">
        <f>IFERROR(SalesData[[#This Row],[Profit]]/SalesData[[#This Row],[Sales]],0)</f>
        <v>0.18996260559246553</v>
      </c>
      <c r="T447" s="19">
        <f>YEAR(SalesData[[#This Row],[Order_Date]])</f>
        <v>2024</v>
      </c>
      <c r="U447" s="19" t="str">
        <f>TEXT(SalesData[[#This Row],[Order_Date]],"mmm")</f>
        <v>Dec</v>
      </c>
      <c r="V447" s="19" t="str">
        <f>"Q"&amp;ROUNDUP(MONTH(SalesData[[#This Row],[Order_Date]])/3,0)</f>
        <v>Q4</v>
      </c>
      <c r="W447" s="19" t="str">
        <f>IF(SalesData[[#This Row],[Sales]]&gt;=50000,"High",IF(AND(SalesData[[#This Row],[Sales]]&gt;= 20000, SalesData[[#This Row],[Sales]]&lt; 50000),"Medium","Low"))</f>
        <v>High</v>
      </c>
      <c r="X447" s="19" t="str">
        <f>IF(SalesData[[#This Row],[Profit]]&gt;0,"Profit","Loss")</f>
        <v>Profit</v>
      </c>
      <c r="Y447" s="19" t="str">
        <f>IF(AND(SalesData[[#This Row],[Sales]]&gt;= 50000, SalesData[[#This Row],[Quantity]]&gt;=2),"Yes","No")</f>
        <v>Yes</v>
      </c>
      <c r="Z447" s="19" t="str">
        <f>UPPER(SalesData[[#This Row],[Customer_Name]])</f>
        <v>NEHA VERMA</v>
      </c>
      <c r="AA447" s="19" t="str">
        <f>LOWER(SalesData[[#This Row],[Customer_Name]])</f>
        <v>neha verma</v>
      </c>
      <c r="AB447" s="19">
        <f>LEN(SalesData[[#This Row],[Customer_Name]])</f>
        <v>10</v>
      </c>
      <c r="AC447" s="19" t="str">
        <f>LEFT(SalesData[[#This Row],[Order_ID]],3)</f>
        <v>ORD</v>
      </c>
      <c r="AD447" s="19" t="str">
        <f>RIGHT(SalesData[[#This Row],[Order_ID]],4)</f>
        <v>0275</v>
      </c>
      <c r="AE447" s="19" t="str">
        <f>_xlfn.CONCAT(SalesData[[#This Row],[Clean_Customer_Name]],"-",SalesData[[#This Row],[Region]])</f>
        <v>Neha Verma-North</v>
      </c>
      <c r="AF447" s="19" t="str">
        <f>MID(SalesData[[#This Row],[Order_ID]],4,4)</f>
        <v>0275</v>
      </c>
      <c r="AG447" s="19" t="e">
        <f ca="1">_xlfn.SINGLE(_xlfn.XLOOKUP(SalesData[[#This Row],[Product]],Product_Master!A:A,Product_Master!B:B,"Not Found"))</f>
        <v>#NAME?</v>
      </c>
      <c r="AH447" s="19" t="str">
        <f>VLOOKUP(SalesData[[#This Row],[Product]],Product_Master!$A$1:$B$21,2,FALSE)</f>
        <v>Rahul</v>
      </c>
      <c r="AI447" s="16"/>
    </row>
    <row r="448" spans="1:35" ht="13.8">
      <c r="A448" s="16" t="s">
        <v>985</v>
      </c>
      <c r="B448" s="17">
        <v>45484</v>
      </c>
      <c r="C448" s="16" t="s">
        <v>179</v>
      </c>
      <c r="D448" s="16" t="s">
        <v>180</v>
      </c>
      <c r="E448" s="16" t="s">
        <v>30</v>
      </c>
      <c r="F448" s="16" t="s">
        <v>31</v>
      </c>
      <c r="G448" s="16" t="s">
        <v>21</v>
      </c>
      <c r="H448" s="16" t="s">
        <v>32</v>
      </c>
      <c r="I448" s="16" t="s">
        <v>42</v>
      </c>
      <c r="J448" s="16" t="s">
        <v>162</v>
      </c>
      <c r="K448" s="18">
        <v>57998</v>
      </c>
      <c r="L448" s="18">
        <v>45208.6</v>
      </c>
      <c r="M448" s="19">
        <v>1</v>
      </c>
      <c r="N448" s="20">
        <v>0.05</v>
      </c>
      <c r="O448" s="19" t="s">
        <v>136</v>
      </c>
      <c r="P448" s="19" t="s">
        <v>58</v>
      </c>
      <c r="Q448" s="19" t="str">
        <f>TRIM(SalesData[[#This Row],[Customer_Name]])</f>
        <v>Neha Verma</v>
      </c>
      <c r="R448" s="21">
        <f>SalesData[[#This Row],[Sales]]-SalesData[[#This Row],[Cost]]</f>
        <v>12789.400000000001</v>
      </c>
      <c r="S448" s="22">
        <f>IFERROR(SalesData[[#This Row],[Profit]]/SalesData[[#This Row],[Sales]],0)</f>
        <v>0.22051450050001728</v>
      </c>
      <c r="T448" s="19">
        <f>YEAR(SalesData[[#This Row],[Order_Date]])</f>
        <v>2024</v>
      </c>
      <c r="U448" s="19" t="str">
        <f>TEXT(SalesData[[#This Row],[Order_Date]],"mmm")</f>
        <v>Jul</v>
      </c>
      <c r="V448" s="19" t="str">
        <f>"Q"&amp;ROUNDUP(MONTH(SalesData[[#This Row],[Order_Date]])/3,0)</f>
        <v>Q3</v>
      </c>
      <c r="W448" s="19" t="str">
        <f>IF(SalesData[[#This Row],[Sales]]&gt;=50000,"High",IF(AND(SalesData[[#This Row],[Sales]]&gt;= 20000, SalesData[[#This Row],[Sales]]&lt; 50000),"Medium","Low"))</f>
        <v>High</v>
      </c>
      <c r="X448" s="19" t="str">
        <f>IF(SalesData[[#This Row],[Profit]]&gt;0,"Profit","Loss")</f>
        <v>Profit</v>
      </c>
      <c r="Y448" s="19" t="str">
        <f>IF(AND(SalesData[[#This Row],[Sales]]&gt;= 50000, SalesData[[#This Row],[Quantity]]&gt;=2),"Yes","No")</f>
        <v>No</v>
      </c>
      <c r="Z448" s="19" t="str">
        <f>UPPER(SalesData[[#This Row],[Customer_Name]])</f>
        <v>NEHA VERMA</v>
      </c>
      <c r="AA448" s="19" t="str">
        <f>LOWER(SalesData[[#This Row],[Customer_Name]])</f>
        <v>neha verma</v>
      </c>
      <c r="AB448" s="19">
        <f>LEN(SalesData[[#This Row],[Customer_Name]])</f>
        <v>10</v>
      </c>
      <c r="AC448" s="19" t="str">
        <f>LEFT(SalesData[[#This Row],[Order_ID]],3)</f>
        <v>ORD</v>
      </c>
      <c r="AD448" s="19" t="str">
        <f>RIGHT(SalesData[[#This Row],[Order_ID]],4)</f>
        <v>0832</v>
      </c>
      <c r="AE448" s="19" t="str">
        <f>_xlfn.CONCAT(SalesData[[#This Row],[Clean_Customer_Name]],"-",SalesData[[#This Row],[Region]])</f>
        <v>Neha Verma-East</v>
      </c>
      <c r="AF448" s="19" t="str">
        <f>MID(SalesData[[#This Row],[Order_ID]],4,4)</f>
        <v>0832</v>
      </c>
      <c r="AG448" s="19" t="e">
        <f ca="1">_xlfn.SINGLE(_xlfn.XLOOKUP(SalesData[[#This Row],[Product]],Product_Master!A:A,Product_Master!B:B,"Not Found"))</f>
        <v>#NAME?</v>
      </c>
      <c r="AH448" s="19" t="str">
        <f>VLOOKUP(SalesData[[#This Row],[Product]],Product_Master!$A$1:$B$21,2,FALSE)</f>
        <v>Rahul</v>
      </c>
      <c r="AI448" s="16"/>
    </row>
    <row r="449" spans="1:35" ht="13.8">
      <c r="A449" s="16" t="s">
        <v>720</v>
      </c>
      <c r="B449" s="17">
        <v>45656</v>
      </c>
      <c r="C449" s="16" t="s">
        <v>179</v>
      </c>
      <c r="D449" s="16" t="s">
        <v>180</v>
      </c>
      <c r="E449" s="16" t="s">
        <v>81</v>
      </c>
      <c r="F449" s="16" t="s">
        <v>82</v>
      </c>
      <c r="G449" s="16" t="s">
        <v>21</v>
      </c>
      <c r="H449" s="16" t="s">
        <v>83</v>
      </c>
      <c r="I449" s="16" t="s">
        <v>56</v>
      </c>
      <c r="J449" s="16" t="s">
        <v>191</v>
      </c>
      <c r="K449" s="18">
        <v>40972.019999999997</v>
      </c>
      <c r="L449" s="18">
        <v>33396.54</v>
      </c>
      <c r="M449" s="19">
        <v>2</v>
      </c>
      <c r="N449" s="20">
        <v>0.2</v>
      </c>
      <c r="O449" s="19" t="s">
        <v>76</v>
      </c>
      <c r="P449" s="19" t="s">
        <v>58</v>
      </c>
      <c r="Q449" s="19" t="str">
        <f>TRIM(SalesData[[#This Row],[Customer_Name]])</f>
        <v>Neha Verma</v>
      </c>
      <c r="R449" s="21">
        <f>SalesData[[#This Row],[Sales]]-SalesData[[#This Row],[Cost]]</f>
        <v>7575.4799999999959</v>
      </c>
      <c r="S449" s="22">
        <f>IFERROR(SalesData[[#This Row],[Profit]]/SalesData[[#This Row],[Sales]],0)</f>
        <v>0.18489398374793325</v>
      </c>
      <c r="T449" s="19">
        <f>YEAR(SalesData[[#This Row],[Order_Date]])</f>
        <v>2024</v>
      </c>
      <c r="U449" s="19" t="str">
        <f>TEXT(SalesData[[#This Row],[Order_Date]],"mmm")</f>
        <v>Dec</v>
      </c>
      <c r="V449" s="19" t="str">
        <f>"Q"&amp;ROUNDUP(MONTH(SalesData[[#This Row],[Order_Date]])/3,0)</f>
        <v>Q4</v>
      </c>
      <c r="W449" s="19" t="str">
        <f>IF(SalesData[[#This Row],[Sales]]&gt;=50000,"High",IF(AND(SalesData[[#This Row],[Sales]]&gt;= 20000, SalesData[[#This Row],[Sales]]&lt; 50000),"Medium","Low"))</f>
        <v>Medium</v>
      </c>
      <c r="X449" s="19" t="str">
        <f>IF(SalesData[[#This Row],[Profit]]&gt;0,"Profit","Loss")</f>
        <v>Profit</v>
      </c>
      <c r="Y449" s="19" t="str">
        <f>IF(AND(SalesData[[#This Row],[Sales]]&gt;= 50000, SalesData[[#This Row],[Quantity]]&gt;=2),"Yes","No")</f>
        <v>No</v>
      </c>
      <c r="Z449" s="19" t="str">
        <f>UPPER(SalesData[[#This Row],[Customer_Name]])</f>
        <v>NEHA VERMA</v>
      </c>
      <c r="AA449" s="19" t="str">
        <f>LOWER(SalesData[[#This Row],[Customer_Name]])</f>
        <v>neha verma</v>
      </c>
      <c r="AB449" s="19">
        <f>LEN(SalesData[[#This Row],[Customer_Name]])</f>
        <v>10</v>
      </c>
      <c r="AC449" s="19" t="str">
        <f>LEFT(SalesData[[#This Row],[Order_ID]],3)</f>
        <v>ORD</v>
      </c>
      <c r="AD449" s="19" t="str">
        <f>RIGHT(SalesData[[#This Row],[Order_ID]],4)</f>
        <v>0567</v>
      </c>
      <c r="AE449" s="19" t="str">
        <f>_xlfn.CONCAT(SalesData[[#This Row],[Clean_Customer_Name]],"-",SalesData[[#This Row],[Region]])</f>
        <v>Neha Verma-West</v>
      </c>
      <c r="AF449" s="19" t="str">
        <f>MID(SalesData[[#This Row],[Order_ID]],4,4)</f>
        <v>0567</v>
      </c>
      <c r="AG449" s="19" t="e">
        <f ca="1">_xlfn.SINGLE(_xlfn.XLOOKUP(SalesData[[#This Row],[Product]],Product_Master!A:A,Product_Master!B:B,"Not Found"))</f>
        <v>#NAME?</v>
      </c>
      <c r="AH449" s="19" t="str">
        <f>VLOOKUP(SalesData[[#This Row],[Product]],Product_Master!$A$1:$B$21,2,FALSE)</f>
        <v>Priya</v>
      </c>
      <c r="AI449" s="16"/>
    </row>
    <row r="450" spans="1:35" ht="13.8">
      <c r="A450" s="16" t="s">
        <v>524</v>
      </c>
      <c r="B450" s="17">
        <v>45466</v>
      </c>
      <c r="C450" s="16" t="s">
        <v>179</v>
      </c>
      <c r="D450" s="16" t="s">
        <v>180</v>
      </c>
      <c r="E450" s="16" t="s">
        <v>62</v>
      </c>
      <c r="F450" s="16" t="s">
        <v>63</v>
      </c>
      <c r="G450" s="16" t="s">
        <v>21</v>
      </c>
      <c r="H450" s="16" t="s">
        <v>64</v>
      </c>
      <c r="I450" s="16" t="s">
        <v>84</v>
      </c>
      <c r="J450" s="16" t="s">
        <v>134</v>
      </c>
      <c r="K450" s="18">
        <v>9409.24</v>
      </c>
      <c r="L450" s="18">
        <v>6711.72</v>
      </c>
      <c r="M450" s="19">
        <v>4</v>
      </c>
      <c r="N450" s="20">
        <v>0</v>
      </c>
      <c r="O450" s="19" t="s">
        <v>44</v>
      </c>
      <c r="P450" s="19" t="s">
        <v>98</v>
      </c>
      <c r="Q450" s="19" t="str">
        <f>TRIM(SalesData[[#This Row],[Customer_Name]])</f>
        <v>Neha Verma</v>
      </c>
      <c r="R450" s="21">
        <f>SalesData[[#This Row],[Sales]]-SalesData[[#This Row],[Cost]]</f>
        <v>2697.5199999999995</v>
      </c>
      <c r="S450" s="22">
        <f>IFERROR(SalesData[[#This Row],[Profit]]/SalesData[[#This Row],[Sales]],0)</f>
        <v>0.28668840416441704</v>
      </c>
      <c r="T450" s="19">
        <f>YEAR(SalesData[[#This Row],[Order_Date]])</f>
        <v>2024</v>
      </c>
      <c r="U450" s="19" t="str">
        <f>TEXT(SalesData[[#This Row],[Order_Date]],"mmm")</f>
        <v>Jun</v>
      </c>
      <c r="V450" s="19" t="str">
        <f>"Q"&amp;ROUNDUP(MONTH(SalesData[[#This Row],[Order_Date]])/3,0)</f>
        <v>Q2</v>
      </c>
      <c r="W450" s="19" t="str">
        <f>IF(SalesData[[#This Row],[Sales]]&gt;=50000,"High",IF(AND(SalesData[[#This Row],[Sales]]&gt;= 20000, SalesData[[#This Row],[Sales]]&lt; 50000),"Medium","Low"))</f>
        <v>Low</v>
      </c>
      <c r="X450" s="19" t="str">
        <f>IF(SalesData[[#This Row],[Profit]]&gt;0,"Profit","Loss")</f>
        <v>Profit</v>
      </c>
      <c r="Y450" s="19" t="str">
        <f>IF(AND(SalesData[[#This Row],[Sales]]&gt;= 50000, SalesData[[#This Row],[Quantity]]&gt;=2),"Yes","No")</f>
        <v>No</v>
      </c>
      <c r="Z450" s="19" t="str">
        <f>UPPER(SalesData[[#This Row],[Customer_Name]])</f>
        <v>NEHA VERMA</v>
      </c>
      <c r="AA450" s="19" t="str">
        <f>LOWER(SalesData[[#This Row],[Customer_Name]])</f>
        <v>neha verma</v>
      </c>
      <c r="AB450" s="19">
        <f>LEN(SalesData[[#This Row],[Customer_Name]])</f>
        <v>10</v>
      </c>
      <c r="AC450" s="19" t="str">
        <f>LEFT(SalesData[[#This Row],[Order_ID]],3)</f>
        <v>ORD</v>
      </c>
      <c r="AD450" s="19" t="str">
        <f>RIGHT(SalesData[[#This Row],[Order_ID]],4)</f>
        <v>0371</v>
      </c>
      <c r="AE450" s="19" t="str">
        <f>_xlfn.CONCAT(SalesData[[#This Row],[Clean_Customer_Name]],"-",SalesData[[#This Row],[Region]])</f>
        <v>Neha Verma-South</v>
      </c>
      <c r="AF450" s="19" t="str">
        <f>MID(SalesData[[#This Row],[Order_ID]],4,4)</f>
        <v>0371</v>
      </c>
      <c r="AG450" s="19" t="e">
        <f ca="1">_xlfn.SINGLE(_xlfn.XLOOKUP(SalesData[[#This Row],[Product]],Product_Master!A:A,Product_Master!B:B,"Not Found"))</f>
        <v>#NAME?</v>
      </c>
      <c r="AH450" s="19" t="str">
        <f>VLOOKUP(SalesData[[#This Row],[Product]],Product_Master!$A$1:$B$21,2,FALSE)</f>
        <v>Amit</v>
      </c>
      <c r="AI450" s="16"/>
    </row>
    <row r="451" spans="1:35" ht="13.8">
      <c r="A451" s="16" t="s">
        <v>588</v>
      </c>
      <c r="B451" s="17">
        <v>45966</v>
      </c>
      <c r="C451" s="16" t="s">
        <v>179</v>
      </c>
      <c r="D451" s="16" t="s">
        <v>180</v>
      </c>
      <c r="E451" s="16" t="s">
        <v>19</v>
      </c>
      <c r="F451" s="16" t="s">
        <v>20</v>
      </c>
      <c r="G451" s="16" t="s">
        <v>21</v>
      </c>
      <c r="H451" s="16" t="s">
        <v>22</v>
      </c>
      <c r="I451" s="16" t="s">
        <v>53</v>
      </c>
      <c r="J451" s="16" t="s">
        <v>54</v>
      </c>
      <c r="K451" s="18">
        <v>9653.36</v>
      </c>
      <c r="L451" s="18">
        <v>5402.64</v>
      </c>
      <c r="M451" s="19">
        <v>2</v>
      </c>
      <c r="N451" s="20">
        <v>0.1</v>
      </c>
      <c r="O451" s="19" t="s">
        <v>34</v>
      </c>
      <c r="P451" s="19" t="s">
        <v>77</v>
      </c>
      <c r="Q451" s="19" t="str">
        <f>TRIM(SalesData[[#This Row],[Customer_Name]])</f>
        <v>Neha Verma</v>
      </c>
      <c r="R451" s="21">
        <f>SalesData[[#This Row],[Sales]]-SalesData[[#This Row],[Cost]]</f>
        <v>4250.72</v>
      </c>
      <c r="S451" s="22">
        <f>IFERROR(SalesData[[#This Row],[Profit]]/SalesData[[#This Row],[Sales]],0)</f>
        <v>0.44033580017734758</v>
      </c>
      <c r="T451" s="19">
        <f>YEAR(SalesData[[#This Row],[Order_Date]])</f>
        <v>2025</v>
      </c>
      <c r="U451" s="19" t="str">
        <f>TEXT(SalesData[[#This Row],[Order_Date]],"mmm")</f>
        <v>Nov</v>
      </c>
      <c r="V451" s="19" t="str">
        <f>"Q"&amp;ROUNDUP(MONTH(SalesData[[#This Row],[Order_Date]])/3,0)</f>
        <v>Q4</v>
      </c>
      <c r="W451" s="19" t="str">
        <f>IF(SalesData[[#This Row],[Sales]]&gt;=50000,"High",IF(AND(SalesData[[#This Row],[Sales]]&gt;= 20000, SalesData[[#This Row],[Sales]]&lt; 50000),"Medium","Low"))</f>
        <v>Low</v>
      </c>
      <c r="X451" s="19" t="str">
        <f>IF(SalesData[[#This Row],[Profit]]&gt;0,"Profit","Loss")</f>
        <v>Profit</v>
      </c>
      <c r="Y451" s="19" t="str">
        <f>IF(AND(SalesData[[#This Row],[Sales]]&gt;= 50000, SalesData[[#This Row],[Quantity]]&gt;=2),"Yes","No")</f>
        <v>No</v>
      </c>
      <c r="Z451" s="19" t="str">
        <f>UPPER(SalesData[[#This Row],[Customer_Name]])</f>
        <v>NEHA VERMA</v>
      </c>
      <c r="AA451" s="19" t="str">
        <f>LOWER(SalesData[[#This Row],[Customer_Name]])</f>
        <v>neha verma</v>
      </c>
      <c r="AB451" s="19">
        <f>LEN(SalesData[[#This Row],[Customer_Name]])</f>
        <v>10</v>
      </c>
      <c r="AC451" s="19" t="str">
        <f>LEFT(SalesData[[#This Row],[Order_ID]],3)</f>
        <v>ORD</v>
      </c>
      <c r="AD451" s="19" t="str">
        <f>RIGHT(SalesData[[#This Row],[Order_ID]],4)</f>
        <v>0435</v>
      </c>
      <c r="AE451" s="19" t="str">
        <f>_xlfn.CONCAT(SalesData[[#This Row],[Clean_Customer_Name]],"-",SalesData[[#This Row],[Region]])</f>
        <v>Neha Verma-Central</v>
      </c>
      <c r="AF451" s="19" t="str">
        <f>MID(SalesData[[#This Row],[Order_ID]],4,4)</f>
        <v>0435</v>
      </c>
      <c r="AG451" s="19" t="e">
        <f ca="1">_xlfn.SINGLE(_xlfn.XLOOKUP(SalesData[[#This Row],[Product]],Product_Master!A:A,Product_Master!B:B,"Not Found"))</f>
        <v>#NAME?</v>
      </c>
      <c r="AH451" s="19" t="str">
        <f>VLOOKUP(SalesData[[#This Row],[Product]],Product_Master!$A$1:$B$21,2,FALSE)</f>
        <v>Neha</v>
      </c>
      <c r="AI451" s="16"/>
    </row>
    <row r="452" spans="1:35" ht="13.8">
      <c r="A452" s="16" t="s">
        <v>848</v>
      </c>
      <c r="B452" s="17">
        <v>45777</v>
      </c>
      <c r="C452" s="16" t="s">
        <v>179</v>
      </c>
      <c r="D452" s="16" t="s">
        <v>180</v>
      </c>
      <c r="E452" s="16" t="s">
        <v>152</v>
      </c>
      <c r="F452" s="16" t="s">
        <v>153</v>
      </c>
      <c r="G452" s="16" t="s">
        <v>21</v>
      </c>
      <c r="H452" s="16" t="s">
        <v>32</v>
      </c>
      <c r="I452" s="16" t="s">
        <v>42</v>
      </c>
      <c r="J452" s="16" t="s">
        <v>68</v>
      </c>
      <c r="K452" s="18">
        <v>54711.199999999997</v>
      </c>
      <c r="L452" s="18">
        <v>29928.48</v>
      </c>
      <c r="M452" s="19">
        <v>4</v>
      </c>
      <c r="N452" s="20">
        <v>0</v>
      </c>
      <c r="O452" s="19" t="s">
        <v>25</v>
      </c>
      <c r="P452" s="19" t="s">
        <v>77</v>
      </c>
      <c r="Q452" s="19" t="str">
        <f>TRIM(SalesData[[#This Row],[Customer_Name]])</f>
        <v>Neha Verma</v>
      </c>
      <c r="R452" s="21">
        <f>SalesData[[#This Row],[Sales]]-SalesData[[#This Row],[Cost]]</f>
        <v>24782.719999999998</v>
      </c>
      <c r="S452" s="22">
        <f>IFERROR(SalesData[[#This Row],[Profit]]/SalesData[[#This Row],[Sales]],0)</f>
        <v>0.45297343139978652</v>
      </c>
      <c r="T452" s="19">
        <f>YEAR(SalesData[[#This Row],[Order_Date]])</f>
        <v>2025</v>
      </c>
      <c r="U452" s="19" t="str">
        <f>TEXT(SalesData[[#This Row],[Order_Date]],"mmm")</f>
        <v>Apr</v>
      </c>
      <c r="V452" s="19" t="str">
        <f>"Q"&amp;ROUNDUP(MONTH(SalesData[[#This Row],[Order_Date]])/3,0)</f>
        <v>Q2</v>
      </c>
      <c r="W452" s="19" t="str">
        <f>IF(SalesData[[#This Row],[Sales]]&gt;=50000,"High",IF(AND(SalesData[[#This Row],[Sales]]&gt;= 20000, SalesData[[#This Row],[Sales]]&lt; 50000),"Medium","Low"))</f>
        <v>High</v>
      </c>
      <c r="X452" s="19" t="str">
        <f>IF(SalesData[[#This Row],[Profit]]&gt;0,"Profit","Loss")</f>
        <v>Profit</v>
      </c>
      <c r="Y452" s="19" t="str">
        <f>IF(AND(SalesData[[#This Row],[Sales]]&gt;= 50000, SalesData[[#This Row],[Quantity]]&gt;=2),"Yes","No")</f>
        <v>Yes</v>
      </c>
      <c r="Z452" s="19" t="str">
        <f>UPPER(SalesData[[#This Row],[Customer_Name]])</f>
        <v>NEHA VERMA</v>
      </c>
      <c r="AA452" s="19" t="str">
        <f>LOWER(SalesData[[#This Row],[Customer_Name]])</f>
        <v>neha verma</v>
      </c>
      <c r="AB452" s="19">
        <f>LEN(SalesData[[#This Row],[Customer_Name]])</f>
        <v>10</v>
      </c>
      <c r="AC452" s="19" t="str">
        <f>LEFT(SalesData[[#This Row],[Order_ID]],3)</f>
        <v>ORD</v>
      </c>
      <c r="AD452" s="19" t="str">
        <f>RIGHT(SalesData[[#This Row],[Order_ID]],4)</f>
        <v>0695</v>
      </c>
      <c r="AE452" s="19" t="str">
        <f>_xlfn.CONCAT(SalesData[[#This Row],[Clean_Customer_Name]],"-",SalesData[[#This Row],[Region]])</f>
        <v>Neha Verma-East</v>
      </c>
      <c r="AF452" s="19" t="str">
        <f>MID(SalesData[[#This Row],[Order_ID]],4,4)</f>
        <v>0695</v>
      </c>
      <c r="AG452" s="19" t="e">
        <f ca="1">_xlfn.SINGLE(_xlfn.XLOOKUP(SalesData[[#This Row],[Product]],Product_Master!A:A,Product_Master!B:B,"Not Found"))</f>
        <v>#NAME?</v>
      </c>
      <c r="AH452" s="19" t="str">
        <f>VLOOKUP(SalesData[[#This Row],[Product]],Product_Master!$A$1:$B$21,2,FALSE)</f>
        <v>Simran</v>
      </c>
      <c r="AI452" s="16"/>
    </row>
    <row r="453" spans="1:35" ht="13.8">
      <c r="A453" s="16" t="s">
        <v>1072</v>
      </c>
      <c r="B453" s="17">
        <v>45486</v>
      </c>
      <c r="C453" s="16" t="s">
        <v>179</v>
      </c>
      <c r="D453" s="16" t="s">
        <v>180</v>
      </c>
      <c r="E453" s="16" t="s">
        <v>152</v>
      </c>
      <c r="F453" s="16" t="s">
        <v>153</v>
      </c>
      <c r="G453" s="16" t="s">
        <v>21</v>
      </c>
      <c r="H453" s="16" t="s">
        <v>32</v>
      </c>
      <c r="I453" s="16" t="s">
        <v>23</v>
      </c>
      <c r="J453" s="16" t="s">
        <v>75</v>
      </c>
      <c r="K453" s="18">
        <v>24926.85</v>
      </c>
      <c r="L453" s="18">
        <v>16104.18</v>
      </c>
      <c r="M453" s="19">
        <v>2</v>
      </c>
      <c r="N453" s="20">
        <v>0.1</v>
      </c>
      <c r="O453" s="19" t="s">
        <v>34</v>
      </c>
      <c r="P453" s="19" t="s">
        <v>26</v>
      </c>
      <c r="Q453" s="19" t="str">
        <f>TRIM(SalesData[[#This Row],[Customer_Name]])</f>
        <v>Neha Verma</v>
      </c>
      <c r="R453" s="21">
        <f>SalesData[[#This Row],[Sales]]-SalesData[[#This Row],[Cost]]</f>
        <v>8822.6699999999983</v>
      </c>
      <c r="S453" s="22">
        <f>IFERROR(SalesData[[#This Row],[Profit]]/SalesData[[#This Row],[Sales]],0)</f>
        <v>0.35394243556646743</v>
      </c>
      <c r="T453" s="19">
        <f>YEAR(SalesData[[#This Row],[Order_Date]])</f>
        <v>2024</v>
      </c>
      <c r="U453" s="19" t="str">
        <f>TEXT(SalesData[[#This Row],[Order_Date]],"mmm")</f>
        <v>Jul</v>
      </c>
      <c r="V453" s="19" t="str">
        <f>"Q"&amp;ROUNDUP(MONTH(SalesData[[#This Row],[Order_Date]])/3,0)</f>
        <v>Q3</v>
      </c>
      <c r="W453" s="19" t="str">
        <f>IF(SalesData[[#This Row],[Sales]]&gt;=50000,"High",IF(AND(SalesData[[#This Row],[Sales]]&gt;= 20000, SalesData[[#This Row],[Sales]]&lt; 50000),"Medium","Low"))</f>
        <v>Medium</v>
      </c>
      <c r="X453" s="19" t="str">
        <f>IF(SalesData[[#This Row],[Profit]]&gt;0,"Profit","Loss")</f>
        <v>Profit</v>
      </c>
      <c r="Y453" s="19" t="str">
        <f>IF(AND(SalesData[[#This Row],[Sales]]&gt;= 50000, SalesData[[#This Row],[Quantity]]&gt;=2),"Yes","No")</f>
        <v>No</v>
      </c>
      <c r="Z453" s="19" t="str">
        <f>UPPER(SalesData[[#This Row],[Customer_Name]])</f>
        <v>NEHA VERMA</v>
      </c>
      <c r="AA453" s="19" t="str">
        <f>LOWER(SalesData[[#This Row],[Customer_Name]])</f>
        <v>neha verma</v>
      </c>
      <c r="AB453" s="19">
        <f>LEN(SalesData[[#This Row],[Customer_Name]])</f>
        <v>10</v>
      </c>
      <c r="AC453" s="19" t="str">
        <f>LEFT(SalesData[[#This Row],[Order_ID]],3)</f>
        <v>ORD</v>
      </c>
      <c r="AD453" s="19" t="str">
        <f>RIGHT(SalesData[[#This Row],[Order_ID]],4)</f>
        <v>0919</v>
      </c>
      <c r="AE453" s="19" t="str">
        <f>_xlfn.CONCAT(SalesData[[#This Row],[Clean_Customer_Name]],"-",SalesData[[#This Row],[Region]])</f>
        <v>Neha Verma-North</v>
      </c>
      <c r="AF453" s="19" t="str">
        <f>MID(SalesData[[#This Row],[Order_ID]],4,4)</f>
        <v>0919</v>
      </c>
      <c r="AG453" s="19" t="e">
        <f ca="1">_xlfn.SINGLE(_xlfn.XLOOKUP(SalesData[[#This Row],[Product]],Product_Master!A:A,Product_Master!B:B,"Not Found"))</f>
        <v>#NAME?</v>
      </c>
      <c r="AH453" s="19" t="str">
        <f>VLOOKUP(SalesData[[#This Row],[Product]],Product_Master!$A$1:$B$21,2,FALSE)</f>
        <v>Simran</v>
      </c>
      <c r="AI453" s="16"/>
    </row>
    <row r="454" spans="1:35" ht="13.8">
      <c r="A454" s="16" t="s">
        <v>575</v>
      </c>
      <c r="B454" s="17">
        <v>45332</v>
      </c>
      <c r="C454" s="16" t="s">
        <v>179</v>
      </c>
      <c r="D454" s="16" t="s">
        <v>180</v>
      </c>
      <c r="E454" s="16" t="s">
        <v>117</v>
      </c>
      <c r="F454" s="16" t="s">
        <v>118</v>
      </c>
      <c r="G454" s="16" t="s">
        <v>51</v>
      </c>
      <c r="H454" s="16" t="s">
        <v>119</v>
      </c>
      <c r="I454" s="16" t="s">
        <v>53</v>
      </c>
      <c r="J454" s="16" t="s">
        <v>102</v>
      </c>
      <c r="K454" s="18">
        <v>23137.5</v>
      </c>
      <c r="L454" s="18">
        <v>13122.57</v>
      </c>
      <c r="M454" s="19">
        <v>3</v>
      </c>
      <c r="N454" s="20">
        <v>0.15</v>
      </c>
      <c r="O454" s="19" t="s">
        <v>25</v>
      </c>
      <c r="P454" s="19" t="s">
        <v>58</v>
      </c>
      <c r="Q454" s="19" t="str">
        <f>TRIM(SalesData[[#This Row],[Customer_Name]])</f>
        <v>Neha Verma</v>
      </c>
      <c r="R454" s="21">
        <f>SalesData[[#This Row],[Sales]]-SalesData[[#This Row],[Cost]]</f>
        <v>10014.93</v>
      </c>
      <c r="S454" s="22">
        <f>IFERROR(SalesData[[#This Row],[Profit]]/SalesData[[#This Row],[Sales]],0)</f>
        <v>0.43284408427876825</v>
      </c>
      <c r="T454" s="19">
        <f>YEAR(SalesData[[#This Row],[Order_Date]])</f>
        <v>2024</v>
      </c>
      <c r="U454" s="19" t="str">
        <f>TEXT(SalesData[[#This Row],[Order_Date]],"mmm")</f>
        <v>Feb</v>
      </c>
      <c r="V454" s="19" t="str">
        <f>"Q"&amp;ROUNDUP(MONTH(SalesData[[#This Row],[Order_Date]])/3,0)</f>
        <v>Q1</v>
      </c>
      <c r="W454" s="19" t="str">
        <f>IF(SalesData[[#This Row],[Sales]]&gt;=50000,"High",IF(AND(SalesData[[#This Row],[Sales]]&gt;= 20000, SalesData[[#This Row],[Sales]]&lt; 50000),"Medium","Low"))</f>
        <v>Medium</v>
      </c>
      <c r="X454" s="19" t="str">
        <f>IF(SalesData[[#This Row],[Profit]]&gt;0,"Profit","Loss")</f>
        <v>Profit</v>
      </c>
      <c r="Y454" s="19" t="str">
        <f>IF(AND(SalesData[[#This Row],[Sales]]&gt;= 50000, SalesData[[#This Row],[Quantity]]&gt;=2),"Yes","No")</f>
        <v>No</v>
      </c>
      <c r="Z454" s="19" t="str">
        <f>UPPER(SalesData[[#This Row],[Customer_Name]])</f>
        <v>NEHA VERMA</v>
      </c>
      <c r="AA454" s="19" t="str">
        <f>LOWER(SalesData[[#This Row],[Customer_Name]])</f>
        <v>neha verma</v>
      </c>
      <c r="AB454" s="19">
        <f>LEN(SalesData[[#This Row],[Customer_Name]])</f>
        <v>10</v>
      </c>
      <c r="AC454" s="19" t="str">
        <f>LEFT(SalesData[[#This Row],[Order_ID]],3)</f>
        <v>ORD</v>
      </c>
      <c r="AD454" s="19" t="str">
        <f>RIGHT(SalesData[[#This Row],[Order_ID]],4)</f>
        <v>0422</v>
      </c>
      <c r="AE454" s="19" t="str">
        <f>_xlfn.CONCAT(SalesData[[#This Row],[Clean_Customer_Name]],"-",SalesData[[#This Row],[Region]])</f>
        <v>Neha Verma-Central</v>
      </c>
      <c r="AF454" s="19" t="str">
        <f>MID(SalesData[[#This Row],[Order_ID]],4,4)</f>
        <v>0422</v>
      </c>
      <c r="AG454" s="19" t="e">
        <f ca="1">_xlfn.SINGLE(_xlfn.XLOOKUP(SalesData[[#This Row],[Product]],Product_Master!A:A,Product_Master!B:B,"Not Found"))</f>
        <v>#NAME?</v>
      </c>
      <c r="AH454" s="19" t="str">
        <f>VLOOKUP(SalesData[[#This Row],[Product]],Product_Master!$A$1:$B$21,2,FALSE)</f>
        <v>Karan</v>
      </c>
      <c r="AI454" s="16"/>
    </row>
    <row r="455" spans="1:35" ht="13.8">
      <c r="A455" s="16" t="s">
        <v>1110</v>
      </c>
      <c r="B455" s="17">
        <v>45463</v>
      </c>
      <c r="C455" s="16" t="s">
        <v>179</v>
      </c>
      <c r="D455" s="16" t="s">
        <v>180</v>
      </c>
      <c r="E455" s="16" t="s">
        <v>117</v>
      </c>
      <c r="F455" s="16" t="s">
        <v>118</v>
      </c>
      <c r="G455" s="16" t="s">
        <v>51</v>
      </c>
      <c r="H455" s="16" t="s">
        <v>119</v>
      </c>
      <c r="I455" s="16" t="s">
        <v>42</v>
      </c>
      <c r="J455" s="16" t="s">
        <v>162</v>
      </c>
      <c r="K455" s="18">
        <v>5113.62</v>
      </c>
      <c r="L455" s="18">
        <v>4424.1099999999997</v>
      </c>
      <c r="M455" s="19">
        <v>1</v>
      </c>
      <c r="N455" s="20">
        <v>0.1</v>
      </c>
      <c r="O455" s="19" t="s">
        <v>44</v>
      </c>
      <c r="P455" s="19" t="s">
        <v>58</v>
      </c>
      <c r="Q455" s="19" t="str">
        <f>TRIM(SalesData[[#This Row],[Customer_Name]])</f>
        <v>Neha Verma</v>
      </c>
      <c r="R455" s="21">
        <f>SalesData[[#This Row],[Sales]]-SalesData[[#This Row],[Cost]]</f>
        <v>689.51000000000022</v>
      </c>
      <c r="S455" s="22">
        <f>IFERROR(SalesData[[#This Row],[Profit]]/SalesData[[#This Row],[Sales]],0)</f>
        <v>0.13483794259252746</v>
      </c>
      <c r="T455" s="19">
        <f>YEAR(SalesData[[#This Row],[Order_Date]])</f>
        <v>2024</v>
      </c>
      <c r="U455" s="19" t="str">
        <f>TEXT(SalesData[[#This Row],[Order_Date]],"mmm")</f>
        <v>Jun</v>
      </c>
      <c r="V455" s="19" t="str">
        <f>"Q"&amp;ROUNDUP(MONTH(SalesData[[#This Row],[Order_Date]])/3,0)</f>
        <v>Q2</v>
      </c>
      <c r="W455" s="19" t="str">
        <f>IF(SalesData[[#This Row],[Sales]]&gt;=50000,"High",IF(AND(SalesData[[#This Row],[Sales]]&gt;= 20000, SalesData[[#This Row],[Sales]]&lt; 50000),"Medium","Low"))</f>
        <v>Low</v>
      </c>
      <c r="X455" s="19" t="str">
        <f>IF(SalesData[[#This Row],[Profit]]&gt;0,"Profit","Loss")</f>
        <v>Profit</v>
      </c>
      <c r="Y455" s="19" t="str">
        <f>IF(AND(SalesData[[#This Row],[Sales]]&gt;= 50000, SalesData[[#This Row],[Quantity]]&gt;=2),"Yes","No")</f>
        <v>No</v>
      </c>
      <c r="Z455" s="19" t="str">
        <f>UPPER(SalesData[[#This Row],[Customer_Name]])</f>
        <v>NEHA VERMA</v>
      </c>
      <c r="AA455" s="19" t="str">
        <f>LOWER(SalesData[[#This Row],[Customer_Name]])</f>
        <v>neha verma</v>
      </c>
      <c r="AB455" s="19">
        <f>LEN(SalesData[[#This Row],[Customer_Name]])</f>
        <v>10</v>
      </c>
      <c r="AC455" s="19" t="str">
        <f>LEFT(SalesData[[#This Row],[Order_ID]],3)</f>
        <v>ORD</v>
      </c>
      <c r="AD455" s="19" t="str">
        <f>RIGHT(SalesData[[#This Row],[Order_ID]],4)</f>
        <v>0957</v>
      </c>
      <c r="AE455" s="19" t="str">
        <f>_xlfn.CONCAT(SalesData[[#This Row],[Clean_Customer_Name]],"-",SalesData[[#This Row],[Region]])</f>
        <v>Neha Verma-East</v>
      </c>
      <c r="AF455" s="19" t="str">
        <f>MID(SalesData[[#This Row],[Order_ID]],4,4)</f>
        <v>0957</v>
      </c>
      <c r="AG455" s="19" t="e">
        <f ca="1">_xlfn.SINGLE(_xlfn.XLOOKUP(SalesData[[#This Row],[Product]],Product_Master!A:A,Product_Master!B:B,"Not Found"))</f>
        <v>#NAME?</v>
      </c>
      <c r="AH455" s="19" t="str">
        <f>VLOOKUP(SalesData[[#This Row],[Product]],Product_Master!$A$1:$B$21,2,FALSE)</f>
        <v>Karan</v>
      </c>
      <c r="AI455" s="16"/>
    </row>
    <row r="456" spans="1:35" ht="13.8">
      <c r="A456" s="16" t="s">
        <v>344</v>
      </c>
      <c r="B456" s="17">
        <v>45434</v>
      </c>
      <c r="C456" s="16" t="s">
        <v>179</v>
      </c>
      <c r="D456" s="16" t="s">
        <v>180</v>
      </c>
      <c r="E456" s="16" t="s">
        <v>49</v>
      </c>
      <c r="F456" s="16" t="s">
        <v>50</v>
      </c>
      <c r="G456" s="16" t="s">
        <v>51</v>
      </c>
      <c r="H456" s="16" t="s">
        <v>52</v>
      </c>
      <c r="I456" s="16" t="s">
        <v>53</v>
      </c>
      <c r="J456" s="16" t="s">
        <v>54</v>
      </c>
      <c r="K456" s="18">
        <v>12971.28</v>
      </c>
      <c r="L456" s="18">
        <v>14813.04</v>
      </c>
      <c r="M456" s="19">
        <v>2</v>
      </c>
      <c r="N456" s="20">
        <v>0.2</v>
      </c>
      <c r="O456" s="19" t="s">
        <v>34</v>
      </c>
      <c r="P456" s="19" t="s">
        <v>77</v>
      </c>
      <c r="Q456" s="19" t="str">
        <f>TRIM(SalesData[[#This Row],[Customer_Name]])</f>
        <v>Neha Verma</v>
      </c>
      <c r="R456" s="21">
        <f>SalesData[[#This Row],[Sales]]-SalesData[[#This Row],[Cost]]</f>
        <v>-1841.7600000000002</v>
      </c>
      <c r="S456" s="22">
        <f>IFERROR(SalesData[[#This Row],[Profit]]/SalesData[[#This Row],[Sales]],0)</f>
        <v>-0.14198752937258313</v>
      </c>
      <c r="T456" s="19">
        <f>YEAR(SalesData[[#This Row],[Order_Date]])</f>
        <v>2024</v>
      </c>
      <c r="U456" s="19" t="str">
        <f>TEXT(SalesData[[#This Row],[Order_Date]],"mmm")</f>
        <v>May</v>
      </c>
      <c r="V456" s="19" t="str">
        <f>"Q"&amp;ROUNDUP(MONTH(SalesData[[#This Row],[Order_Date]])/3,0)</f>
        <v>Q2</v>
      </c>
      <c r="W456" s="19" t="str">
        <f>IF(SalesData[[#This Row],[Sales]]&gt;=50000,"High",IF(AND(SalesData[[#This Row],[Sales]]&gt;= 20000, SalesData[[#This Row],[Sales]]&lt; 50000),"Medium","Low"))</f>
        <v>Low</v>
      </c>
      <c r="X456" s="19" t="str">
        <f>IF(SalesData[[#This Row],[Profit]]&gt;0,"Profit","Loss")</f>
        <v>Loss</v>
      </c>
      <c r="Y456" s="19" t="str">
        <f>IF(AND(SalesData[[#This Row],[Sales]]&gt;= 50000, SalesData[[#This Row],[Quantity]]&gt;=2),"Yes","No")</f>
        <v>No</v>
      </c>
      <c r="Z456" s="19" t="str">
        <f>UPPER(SalesData[[#This Row],[Customer_Name]])</f>
        <v>NEHA VERMA</v>
      </c>
      <c r="AA456" s="19" t="str">
        <f>LOWER(SalesData[[#This Row],[Customer_Name]])</f>
        <v>neha verma</v>
      </c>
      <c r="AB456" s="19">
        <f>LEN(SalesData[[#This Row],[Customer_Name]])</f>
        <v>10</v>
      </c>
      <c r="AC456" s="19" t="str">
        <f>LEFT(SalesData[[#This Row],[Order_ID]],3)</f>
        <v>ORD</v>
      </c>
      <c r="AD456" s="19" t="str">
        <f>RIGHT(SalesData[[#This Row],[Order_ID]],4)</f>
        <v>0191</v>
      </c>
      <c r="AE456" s="19" t="str">
        <f>_xlfn.CONCAT(SalesData[[#This Row],[Clean_Customer_Name]],"-",SalesData[[#This Row],[Region]])</f>
        <v>Neha Verma-Central</v>
      </c>
      <c r="AF456" s="19" t="str">
        <f>MID(SalesData[[#This Row],[Order_ID]],4,4)</f>
        <v>0191</v>
      </c>
      <c r="AG456" s="19" t="e">
        <f ca="1">_xlfn.SINGLE(_xlfn.XLOOKUP(SalesData[[#This Row],[Product]],Product_Master!A:A,Product_Master!B:B,"Not Found"))</f>
        <v>#NAME?</v>
      </c>
      <c r="AH456" s="19" t="str">
        <f>VLOOKUP(SalesData[[#This Row],[Product]],Product_Master!$A$1:$B$21,2,FALSE)</f>
        <v>Rohan</v>
      </c>
      <c r="AI456" s="16"/>
    </row>
    <row r="457" spans="1:35" ht="13.8">
      <c r="A457" s="16" t="s">
        <v>622</v>
      </c>
      <c r="B457" s="17">
        <v>45886</v>
      </c>
      <c r="C457" s="16" t="s">
        <v>179</v>
      </c>
      <c r="D457" s="16" t="s">
        <v>180</v>
      </c>
      <c r="E457" s="16" t="s">
        <v>49</v>
      </c>
      <c r="F457" s="16" t="s">
        <v>50</v>
      </c>
      <c r="G457" s="16" t="s">
        <v>51</v>
      </c>
      <c r="H457" s="16" t="s">
        <v>52</v>
      </c>
      <c r="I457" s="16" t="s">
        <v>42</v>
      </c>
      <c r="J457" s="16" t="s">
        <v>162</v>
      </c>
      <c r="K457" s="18">
        <v>43580.41</v>
      </c>
      <c r="L457" s="18">
        <v>30528.639999999999</v>
      </c>
      <c r="M457" s="19">
        <v>4</v>
      </c>
      <c r="N457" s="20">
        <v>0.05</v>
      </c>
      <c r="O457" s="19" t="s">
        <v>25</v>
      </c>
      <c r="P457" s="19" t="s">
        <v>45</v>
      </c>
      <c r="Q457" s="19" t="str">
        <f>TRIM(SalesData[[#This Row],[Customer_Name]])</f>
        <v>Neha Verma</v>
      </c>
      <c r="R457" s="21">
        <f>SalesData[[#This Row],[Sales]]-SalesData[[#This Row],[Cost]]</f>
        <v>13051.770000000004</v>
      </c>
      <c r="S457" s="22">
        <f>IFERROR(SalesData[[#This Row],[Profit]]/SalesData[[#This Row],[Sales]],0)</f>
        <v>0.29948708605540891</v>
      </c>
      <c r="T457" s="19">
        <f>YEAR(SalesData[[#This Row],[Order_Date]])</f>
        <v>2025</v>
      </c>
      <c r="U457" s="19" t="str">
        <f>TEXT(SalesData[[#This Row],[Order_Date]],"mmm")</f>
        <v>Aug</v>
      </c>
      <c r="V457" s="19" t="str">
        <f>"Q"&amp;ROUNDUP(MONTH(SalesData[[#This Row],[Order_Date]])/3,0)</f>
        <v>Q3</v>
      </c>
      <c r="W457" s="19" t="str">
        <f>IF(SalesData[[#This Row],[Sales]]&gt;=50000,"High",IF(AND(SalesData[[#This Row],[Sales]]&gt;= 20000, SalesData[[#This Row],[Sales]]&lt; 50000),"Medium","Low"))</f>
        <v>Medium</v>
      </c>
      <c r="X457" s="19" t="str">
        <f>IF(SalesData[[#This Row],[Profit]]&gt;0,"Profit","Loss")</f>
        <v>Profit</v>
      </c>
      <c r="Y457" s="19" t="str">
        <f>IF(AND(SalesData[[#This Row],[Sales]]&gt;= 50000, SalesData[[#This Row],[Quantity]]&gt;=2),"Yes","No")</f>
        <v>No</v>
      </c>
      <c r="Z457" s="19" t="str">
        <f>UPPER(SalesData[[#This Row],[Customer_Name]])</f>
        <v>NEHA VERMA</v>
      </c>
      <c r="AA457" s="19" t="str">
        <f>LOWER(SalesData[[#This Row],[Customer_Name]])</f>
        <v>neha verma</v>
      </c>
      <c r="AB457" s="19">
        <f>LEN(SalesData[[#This Row],[Customer_Name]])</f>
        <v>10</v>
      </c>
      <c r="AC457" s="19" t="str">
        <f>LEFT(SalesData[[#This Row],[Order_ID]],3)</f>
        <v>ORD</v>
      </c>
      <c r="AD457" s="19" t="str">
        <f>RIGHT(SalesData[[#This Row],[Order_ID]],4)</f>
        <v>0469</v>
      </c>
      <c r="AE457" s="19" t="str">
        <f>_xlfn.CONCAT(SalesData[[#This Row],[Clean_Customer_Name]],"-",SalesData[[#This Row],[Region]])</f>
        <v>Neha Verma-East</v>
      </c>
      <c r="AF457" s="19" t="str">
        <f>MID(SalesData[[#This Row],[Order_ID]],4,4)</f>
        <v>0469</v>
      </c>
      <c r="AG457" s="19" t="e">
        <f ca="1">_xlfn.SINGLE(_xlfn.XLOOKUP(SalesData[[#This Row],[Product]],Product_Master!A:A,Product_Master!B:B,"Not Found"))</f>
        <v>#NAME?</v>
      </c>
      <c r="AH457" s="19" t="str">
        <f>VLOOKUP(SalesData[[#This Row],[Product]],Product_Master!$A$1:$B$21,2,FALSE)</f>
        <v>Rohan</v>
      </c>
      <c r="AI457" s="16"/>
    </row>
    <row r="458" spans="1:35" ht="13.8">
      <c r="A458" s="16" t="s">
        <v>1142</v>
      </c>
      <c r="B458" s="17">
        <v>45299</v>
      </c>
      <c r="C458" s="16" t="s">
        <v>179</v>
      </c>
      <c r="D458" s="16" t="s">
        <v>180</v>
      </c>
      <c r="E458" s="16" t="s">
        <v>49</v>
      </c>
      <c r="F458" s="16" t="s">
        <v>50</v>
      </c>
      <c r="G458" s="16" t="s">
        <v>51</v>
      </c>
      <c r="H458" s="16" t="s">
        <v>52</v>
      </c>
      <c r="I458" s="16" t="s">
        <v>56</v>
      </c>
      <c r="J458" s="16" t="s">
        <v>57</v>
      </c>
      <c r="K458" s="18">
        <v>64320.73</v>
      </c>
      <c r="L458" s="18">
        <v>28576.720000000001</v>
      </c>
      <c r="M458" s="19">
        <v>4</v>
      </c>
      <c r="N458" s="20">
        <v>0.1</v>
      </c>
      <c r="O458" s="19" t="s">
        <v>136</v>
      </c>
      <c r="P458" s="19" t="s">
        <v>98</v>
      </c>
      <c r="Q458" s="19" t="str">
        <f>TRIM(SalesData[[#This Row],[Customer_Name]])</f>
        <v>Neha Verma</v>
      </c>
      <c r="R458" s="21">
        <f>SalesData[[#This Row],[Sales]]-SalesData[[#This Row],[Cost]]</f>
        <v>35744.01</v>
      </c>
      <c r="S458" s="22">
        <f>IFERROR(SalesData[[#This Row],[Profit]]/SalesData[[#This Row],[Sales]],0)</f>
        <v>0.55571524141594786</v>
      </c>
      <c r="T458" s="19">
        <f>YEAR(SalesData[[#This Row],[Order_Date]])</f>
        <v>2024</v>
      </c>
      <c r="U458" s="19" t="str">
        <f>TEXT(SalesData[[#This Row],[Order_Date]],"mmm")</f>
        <v>Jan</v>
      </c>
      <c r="V458" s="19" t="str">
        <f>"Q"&amp;ROUNDUP(MONTH(SalesData[[#This Row],[Order_Date]])/3,0)</f>
        <v>Q1</v>
      </c>
      <c r="W458" s="19" t="str">
        <f>IF(SalesData[[#This Row],[Sales]]&gt;=50000,"High",IF(AND(SalesData[[#This Row],[Sales]]&gt;= 20000, SalesData[[#This Row],[Sales]]&lt; 50000),"Medium","Low"))</f>
        <v>High</v>
      </c>
      <c r="X458" s="19" t="str">
        <f>IF(SalesData[[#This Row],[Profit]]&gt;0,"Profit","Loss")</f>
        <v>Profit</v>
      </c>
      <c r="Y458" s="19" t="str">
        <f>IF(AND(SalesData[[#This Row],[Sales]]&gt;= 50000, SalesData[[#This Row],[Quantity]]&gt;=2),"Yes","No")</f>
        <v>Yes</v>
      </c>
      <c r="Z458" s="19" t="str">
        <f>UPPER(SalesData[[#This Row],[Customer_Name]])</f>
        <v>NEHA VERMA</v>
      </c>
      <c r="AA458" s="19" t="str">
        <f>LOWER(SalesData[[#This Row],[Customer_Name]])</f>
        <v>neha verma</v>
      </c>
      <c r="AB458" s="19">
        <f>LEN(SalesData[[#This Row],[Customer_Name]])</f>
        <v>10</v>
      </c>
      <c r="AC458" s="19" t="str">
        <f>LEFT(SalesData[[#This Row],[Order_ID]],3)</f>
        <v>ORD</v>
      </c>
      <c r="AD458" s="19" t="str">
        <f>RIGHT(SalesData[[#This Row],[Order_ID]],4)</f>
        <v>0989</v>
      </c>
      <c r="AE458" s="19" t="str">
        <f>_xlfn.CONCAT(SalesData[[#This Row],[Clean_Customer_Name]],"-",SalesData[[#This Row],[Region]])</f>
        <v>Neha Verma-West</v>
      </c>
      <c r="AF458" s="19" t="str">
        <f>MID(SalesData[[#This Row],[Order_ID]],4,4)</f>
        <v>0989</v>
      </c>
      <c r="AG458" s="19" t="e">
        <f ca="1">_xlfn.SINGLE(_xlfn.XLOOKUP(SalesData[[#This Row],[Product]],Product_Master!A:A,Product_Master!B:B,"Not Found"))</f>
        <v>#NAME?</v>
      </c>
      <c r="AH458" s="19" t="str">
        <f>VLOOKUP(SalesData[[#This Row],[Product]],Product_Master!$A$1:$B$21,2,FALSE)</f>
        <v>Rohan</v>
      </c>
      <c r="AI458" s="16"/>
    </row>
    <row r="459" spans="1:35" ht="13.8">
      <c r="A459" s="16" t="s">
        <v>301</v>
      </c>
      <c r="B459" s="17">
        <v>45895</v>
      </c>
      <c r="C459" s="16" t="s">
        <v>179</v>
      </c>
      <c r="D459" s="16" t="s">
        <v>180</v>
      </c>
      <c r="E459" s="16" t="s">
        <v>72</v>
      </c>
      <c r="F459" s="16" t="s">
        <v>73</v>
      </c>
      <c r="G459" s="16" t="s">
        <v>51</v>
      </c>
      <c r="H459" s="16" t="s">
        <v>74</v>
      </c>
      <c r="I459" s="16" t="s">
        <v>56</v>
      </c>
      <c r="J459" s="16" t="s">
        <v>91</v>
      </c>
      <c r="K459" s="18">
        <v>23992.67</v>
      </c>
      <c r="L459" s="18">
        <v>16076.68</v>
      </c>
      <c r="M459" s="19">
        <v>4</v>
      </c>
      <c r="N459" s="20">
        <v>0.1</v>
      </c>
      <c r="O459" s="19" t="s">
        <v>44</v>
      </c>
      <c r="P459" s="19" t="s">
        <v>58</v>
      </c>
      <c r="Q459" s="19" t="str">
        <f>TRIM(SalesData[[#This Row],[Customer_Name]])</f>
        <v>Neha Verma</v>
      </c>
      <c r="R459" s="21">
        <f>SalesData[[#This Row],[Sales]]-SalesData[[#This Row],[Cost]]</f>
        <v>7915.989999999998</v>
      </c>
      <c r="S459" s="22">
        <f>IFERROR(SalesData[[#This Row],[Profit]]/SalesData[[#This Row],[Sales]],0)</f>
        <v>0.32993368391262823</v>
      </c>
      <c r="T459" s="19">
        <f>YEAR(SalesData[[#This Row],[Order_Date]])</f>
        <v>2025</v>
      </c>
      <c r="U459" s="19" t="str">
        <f>TEXT(SalesData[[#This Row],[Order_Date]],"mmm")</f>
        <v>Aug</v>
      </c>
      <c r="V459" s="19" t="str">
        <f>"Q"&amp;ROUNDUP(MONTH(SalesData[[#This Row],[Order_Date]])/3,0)</f>
        <v>Q3</v>
      </c>
      <c r="W459" s="19" t="str">
        <f>IF(SalesData[[#This Row],[Sales]]&gt;=50000,"High",IF(AND(SalesData[[#This Row],[Sales]]&gt;= 20000, SalesData[[#This Row],[Sales]]&lt; 50000),"Medium","Low"))</f>
        <v>Medium</v>
      </c>
      <c r="X459" s="19" t="str">
        <f>IF(SalesData[[#This Row],[Profit]]&gt;0,"Profit","Loss")</f>
        <v>Profit</v>
      </c>
      <c r="Y459" s="19" t="str">
        <f>IF(AND(SalesData[[#This Row],[Sales]]&gt;= 50000, SalesData[[#This Row],[Quantity]]&gt;=2),"Yes","No")</f>
        <v>No</v>
      </c>
      <c r="Z459" s="19" t="str">
        <f>UPPER(SalesData[[#This Row],[Customer_Name]])</f>
        <v>NEHA VERMA</v>
      </c>
      <c r="AA459" s="19" t="str">
        <f>LOWER(SalesData[[#This Row],[Customer_Name]])</f>
        <v>neha verma</v>
      </c>
      <c r="AB459" s="19">
        <f>LEN(SalesData[[#This Row],[Customer_Name]])</f>
        <v>10</v>
      </c>
      <c r="AC459" s="19" t="str">
        <f>LEFT(SalesData[[#This Row],[Order_ID]],3)</f>
        <v>ORD</v>
      </c>
      <c r="AD459" s="19" t="str">
        <f>RIGHT(SalesData[[#This Row],[Order_ID]],4)</f>
        <v>0148</v>
      </c>
      <c r="AE459" s="19" t="str">
        <f>_xlfn.CONCAT(SalesData[[#This Row],[Clean_Customer_Name]],"-",SalesData[[#This Row],[Region]])</f>
        <v>Neha Verma-West</v>
      </c>
      <c r="AF459" s="19" t="str">
        <f>MID(SalesData[[#This Row],[Order_ID]],4,4)</f>
        <v>0148</v>
      </c>
      <c r="AG459" s="19" t="e">
        <f ca="1">_xlfn.SINGLE(_xlfn.XLOOKUP(SalesData[[#This Row],[Product]],Product_Master!A:A,Product_Master!B:B,"Not Found"))</f>
        <v>#NAME?</v>
      </c>
      <c r="AH459" s="19" t="str">
        <f>VLOOKUP(SalesData[[#This Row],[Product]],Product_Master!$A$1:$B$21,2,FALSE)</f>
        <v>Anjali</v>
      </c>
      <c r="AI459" s="16"/>
    </row>
    <row r="460" spans="1:35" ht="13.8">
      <c r="A460" s="16" t="s">
        <v>439</v>
      </c>
      <c r="B460" s="17">
        <v>45972</v>
      </c>
      <c r="C460" s="16" t="s">
        <v>179</v>
      </c>
      <c r="D460" s="16" t="s">
        <v>180</v>
      </c>
      <c r="E460" s="16" t="s">
        <v>72</v>
      </c>
      <c r="F460" s="16" t="s">
        <v>73</v>
      </c>
      <c r="G460" s="16" t="s">
        <v>51</v>
      </c>
      <c r="H460" s="16" t="s">
        <v>74</v>
      </c>
      <c r="I460" s="16" t="s">
        <v>42</v>
      </c>
      <c r="J460" s="16" t="s">
        <v>68</v>
      </c>
      <c r="K460" s="18">
        <v>18868.75</v>
      </c>
      <c r="L460" s="18">
        <v>11199.21</v>
      </c>
      <c r="M460" s="19">
        <v>3</v>
      </c>
      <c r="N460" s="20">
        <v>0.2</v>
      </c>
      <c r="O460" s="19" t="s">
        <v>136</v>
      </c>
      <c r="P460" s="19" t="s">
        <v>77</v>
      </c>
      <c r="Q460" s="19" t="str">
        <f>TRIM(SalesData[[#This Row],[Customer_Name]])</f>
        <v>Neha Verma</v>
      </c>
      <c r="R460" s="21">
        <f>SalesData[[#This Row],[Sales]]-SalesData[[#This Row],[Cost]]</f>
        <v>7669.5400000000009</v>
      </c>
      <c r="S460" s="22">
        <f>IFERROR(SalesData[[#This Row],[Profit]]/SalesData[[#This Row],[Sales]],0)</f>
        <v>0.40646783703212991</v>
      </c>
      <c r="T460" s="19">
        <f>YEAR(SalesData[[#This Row],[Order_Date]])</f>
        <v>2025</v>
      </c>
      <c r="U460" s="19" t="str">
        <f>TEXT(SalesData[[#This Row],[Order_Date]],"mmm")</f>
        <v>Nov</v>
      </c>
      <c r="V460" s="19" t="str">
        <f>"Q"&amp;ROUNDUP(MONTH(SalesData[[#This Row],[Order_Date]])/3,0)</f>
        <v>Q4</v>
      </c>
      <c r="W460" s="19" t="str">
        <f>IF(SalesData[[#This Row],[Sales]]&gt;=50000,"High",IF(AND(SalesData[[#This Row],[Sales]]&gt;= 20000, SalesData[[#This Row],[Sales]]&lt; 50000),"Medium","Low"))</f>
        <v>Low</v>
      </c>
      <c r="X460" s="19" t="str">
        <f>IF(SalesData[[#This Row],[Profit]]&gt;0,"Profit","Loss")</f>
        <v>Profit</v>
      </c>
      <c r="Y460" s="19" t="str">
        <f>IF(AND(SalesData[[#This Row],[Sales]]&gt;= 50000, SalesData[[#This Row],[Quantity]]&gt;=2),"Yes","No")</f>
        <v>No</v>
      </c>
      <c r="Z460" s="19" t="str">
        <f>UPPER(SalesData[[#This Row],[Customer_Name]])</f>
        <v>NEHA VERMA</v>
      </c>
      <c r="AA460" s="19" t="str">
        <f>LOWER(SalesData[[#This Row],[Customer_Name]])</f>
        <v>neha verma</v>
      </c>
      <c r="AB460" s="19">
        <f>LEN(SalesData[[#This Row],[Customer_Name]])</f>
        <v>10</v>
      </c>
      <c r="AC460" s="19" t="str">
        <f>LEFT(SalesData[[#This Row],[Order_ID]],3)</f>
        <v>ORD</v>
      </c>
      <c r="AD460" s="19" t="str">
        <f>RIGHT(SalesData[[#This Row],[Order_ID]],4)</f>
        <v>0286</v>
      </c>
      <c r="AE460" s="19" t="str">
        <f>_xlfn.CONCAT(SalesData[[#This Row],[Clean_Customer_Name]],"-",SalesData[[#This Row],[Region]])</f>
        <v>Neha Verma-East</v>
      </c>
      <c r="AF460" s="19" t="str">
        <f>MID(SalesData[[#This Row],[Order_ID]],4,4)</f>
        <v>0286</v>
      </c>
      <c r="AG460" s="19" t="e">
        <f ca="1">_xlfn.SINGLE(_xlfn.XLOOKUP(SalesData[[#This Row],[Product]],Product_Master!A:A,Product_Master!B:B,"Not Found"))</f>
        <v>#NAME?</v>
      </c>
      <c r="AH460" s="19" t="str">
        <f>VLOOKUP(SalesData[[#This Row],[Product]],Product_Master!$A$1:$B$21,2,FALSE)</f>
        <v>Anjali</v>
      </c>
      <c r="AI460" s="16"/>
    </row>
    <row r="461" spans="1:35" ht="13.8">
      <c r="A461" s="16" t="s">
        <v>178</v>
      </c>
      <c r="B461" s="17">
        <v>45886</v>
      </c>
      <c r="C461" s="16" t="s">
        <v>179</v>
      </c>
      <c r="D461" s="16" t="s">
        <v>180</v>
      </c>
      <c r="E461" s="16" t="s">
        <v>175</v>
      </c>
      <c r="F461" s="16" t="s">
        <v>176</v>
      </c>
      <c r="G461" s="16" t="s">
        <v>51</v>
      </c>
      <c r="H461" s="16" t="s">
        <v>177</v>
      </c>
      <c r="I461" s="16" t="s">
        <v>23</v>
      </c>
      <c r="J461" s="16" t="s">
        <v>75</v>
      </c>
      <c r="K461" s="18">
        <v>71063.240000000005</v>
      </c>
      <c r="L461" s="18">
        <v>43567.26</v>
      </c>
      <c r="M461" s="19">
        <v>3</v>
      </c>
      <c r="N461" s="20">
        <v>0.1</v>
      </c>
      <c r="O461" s="19" t="s">
        <v>44</v>
      </c>
      <c r="P461" s="19" t="s">
        <v>26</v>
      </c>
      <c r="Q461" s="19" t="str">
        <f>TRIM(SalesData[[#This Row],[Customer_Name]])</f>
        <v>Neha Verma</v>
      </c>
      <c r="R461" s="21">
        <f>SalesData[[#This Row],[Sales]]-SalesData[[#This Row],[Cost]]</f>
        <v>27495.980000000003</v>
      </c>
      <c r="S461" s="22">
        <f>IFERROR(SalesData[[#This Row],[Profit]]/SalesData[[#This Row],[Sales]],0)</f>
        <v>0.38692269026855519</v>
      </c>
      <c r="T461" s="19">
        <f>YEAR(SalesData[[#This Row],[Order_Date]])</f>
        <v>2025</v>
      </c>
      <c r="U461" s="19" t="str">
        <f>TEXT(SalesData[[#This Row],[Order_Date]],"mmm")</f>
        <v>Aug</v>
      </c>
      <c r="V461" s="19" t="str">
        <f>"Q"&amp;ROUNDUP(MONTH(SalesData[[#This Row],[Order_Date]])/3,0)</f>
        <v>Q3</v>
      </c>
      <c r="W461" s="19" t="str">
        <f>IF(SalesData[[#This Row],[Sales]]&gt;=50000,"High",IF(AND(SalesData[[#This Row],[Sales]]&gt;= 20000, SalesData[[#This Row],[Sales]]&lt; 50000),"Medium","Low"))</f>
        <v>High</v>
      </c>
      <c r="X461" s="19" t="str">
        <f>IF(SalesData[[#This Row],[Profit]]&gt;0,"Profit","Loss")</f>
        <v>Profit</v>
      </c>
      <c r="Y461" s="19" t="str">
        <f>IF(AND(SalesData[[#This Row],[Sales]]&gt;= 50000, SalesData[[#This Row],[Quantity]]&gt;=2),"Yes","No")</f>
        <v>Yes</v>
      </c>
      <c r="Z461" s="19" t="str">
        <f>UPPER(SalesData[[#This Row],[Customer_Name]])</f>
        <v>NEHA VERMA</v>
      </c>
      <c r="AA461" s="19" t="str">
        <f>LOWER(SalesData[[#This Row],[Customer_Name]])</f>
        <v>neha verma</v>
      </c>
      <c r="AB461" s="19">
        <f>LEN(SalesData[[#This Row],[Customer_Name]])</f>
        <v>10</v>
      </c>
      <c r="AC461" s="19" t="str">
        <f>LEFT(SalesData[[#This Row],[Order_ID]],3)</f>
        <v>ORD</v>
      </c>
      <c r="AD461" s="19" t="str">
        <f>RIGHT(SalesData[[#This Row],[Order_ID]],4)</f>
        <v>0045</v>
      </c>
      <c r="AE461" s="19" t="str">
        <f>_xlfn.CONCAT(SalesData[[#This Row],[Clean_Customer_Name]],"-",SalesData[[#This Row],[Region]])</f>
        <v>Neha Verma-North</v>
      </c>
      <c r="AF461" s="19" t="str">
        <f>MID(SalesData[[#This Row],[Order_ID]],4,4)</f>
        <v>0045</v>
      </c>
      <c r="AG461" s="19" t="e">
        <f ca="1">_xlfn.SINGLE(_xlfn.XLOOKUP(SalesData[[#This Row],[Product]],Product_Master!A:A,Product_Master!B:B,"Not Found"))</f>
        <v>#NAME?</v>
      </c>
      <c r="AH461" s="19" t="str">
        <f>VLOOKUP(SalesData[[#This Row],[Product]],Product_Master!$A$1:$B$21,2,FALSE)</f>
        <v>Arjun</v>
      </c>
      <c r="AI461" s="16"/>
    </row>
    <row r="462" spans="1:35" ht="13.8">
      <c r="A462" s="16" t="s">
        <v>290</v>
      </c>
      <c r="B462" s="17">
        <v>45523</v>
      </c>
      <c r="C462" s="16" t="s">
        <v>179</v>
      </c>
      <c r="D462" s="16" t="s">
        <v>180</v>
      </c>
      <c r="E462" s="16" t="s">
        <v>175</v>
      </c>
      <c r="F462" s="16" t="s">
        <v>176</v>
      </c>
      <c r="G462" s="16" t="s">
        <v>51</v>
      </c>
      <c r="H462" s="16" t="s">
        <v>177</v>
      </c>
      <c r="I462" s="16" t="s">
        <v>42</v>
      </c>
      <c r="J462" s="16" t="s">
        <v>43</v>
      </c>
      <c r="K462" s="18">
        <v>101253.18</v>
      </c>
      <c r="L462" s="18">
        <v>68418</v>
      </c>
      <c r="M462" s="19">
        <v>4</v>
      </c>
      <c r="N462" s="20">
        <v>0.2</v>
      </c>
      <c r="O462" s="19" t="s">
        <v>34</v>
      </c>
      <c r="P462" s="19" t="s">
        <v>58</v>
      </c>
      <c r="Q462" s="19" t="str">
        <f>TRIM(SalesData[[#This Row],[Customer_Name]])</f>
        <v>Neha Verma</v>
      </c>
      <c r="R462" s="21">
        <f>SalesData[[#This Row],[Sales]]-SalesData[[#This Row],[Cost]]</f>
        <v>32835.179999999993</v>
      </c>
      <c r="S462" s="22">
        <f>IFERROR(SalesData[[#This Row],[Profit]]/SalesData[[#This Row],[Sales]],0)</f>
        <v>0.32428788903222588</v>
      </c>
      <c r="T462" s="19">
        <f>YEAR(SalesData[[#This Row],[Order_Date]])</f>
        <v>2024</v>
      </c>
      <c r="U462" s="19" t="str">
        <f>TEXT(SalesData[[#This Row],[Order_Date]],"mmm")</f>
        <v>Aug</v>
      </c>
      <c r="V462" s="19" t="str">
        <f>"Q"&amp;ROUNDUP(MONTH(SalesData[[#This Row],[Order_Date]])/3,0)</f>
        <v>Q3</v>
      </c>
      <c r="W462" s="19" t="str">
        <f>IF(SalesData[[#This Row],[Sales]]&gt;=50000,"High",IF(AND(SalesData[[#This Row],[Sales]]&gt;= 20000, SalesData[[#This Row],[Sales]]&lt; 50000),"Medium","Low"))</f>
        <v>High</v>
      </c>
      <c r="X462" s="19" t="str">
        <f>IF(SalesData[[#This Row],[Profit]]&gt;0,"Profit","Loss")</f>
        <v>Profit</v>
      </c>
      <c r="Y462" s="19" t="str">
        <f>IF(AND(SalesData[[#This Row],[Sales]]&gt;= 50000, SalesData[[#This Row],[Quantity]]&gt;=2),"Yes","No")</f>
        <v>Yes</v>
      </c>
      <c r="Z462" s="19" t="str">
        <f>UPPER(SalesData[[#This Row],[Customer_Name]])</f>
        <v>NEHA VERMA</v>
      </c>
      <c r="AA462" s="19" t="str">
        <f>LOWER(SalesData[[#This Row],[Customer_Name]])</f>
        <v>neha verma</v>
      </c>
      <c r="AB462" s="19">
        <f>LEN(SalesData[[#This Row],[Customer_Name]])</f>
        <v>10</v>
      </c>
      <c r="AC462" s="19" t="str">
        <f>LEFT(SalesData[[#This Row],[Order_ID]],3)</f>
        <v>ORD</v>
      </c>
      <c r="AD462" s="19" t="str">
        <f>RIGHT(SalesData[[#This Row],[Order_ID]],4)</f>
        <v>0137</v>
      </c>
      <c r="AE462" s="19" t="str">
        <f>_xlfn.CONCAT(SalesData[[#This Row],[Clean_Customer_Name]],"-",SalesData[[#This Row],[Region]])</f>
        <v>Neha Verma-East</v>
      </c>
      <c r="AF462" s="19" t="str">
        <f>MID(SalesData[[#This Row],[Order_ID]],4,4)</f>
        <v>0137</v>
      </c>
      <c r="AG462" s="19" t="e">
        <f ca="1">_xlfn.SINGLE(_xlfn.XLOOKUP(SalesData[[#This Row],[Product]],Product_Master!A:A,Product_Master!B:B,"Not Found"))</f>
        <v>#NAME?</v>
      </c>
      <c r="AH462" s="19" t="str">
        <f>VLOOKUP(SalesData[[#This Row],[Product]],Product_Master!$A$1:$B$21,2,FALSE)</f>
        <v>Arjun</v>
      </c>
      <c r="AI462" s="16"/>
    </row>
    <row r="463" spans="1:35" ht="13.8">
      <c r="A463" s="16" t="s">
        <v>1033</v>
      </c>
      <c r="B463" s="17">
        <v>45617</v>
      </c>
      <c r="C463" s="16" t="s">
        <v>179</v>
      </c>
      <c r="D463" s="16" t="s">
        <v>180</v>
      </c>
      <c r="E463" s="16" t="s">
        <v>175</v>
      </c>
      <c r="F463" s="16" t="s">
        <v>176</v>
      </c>
      <c r="G463" s="16" t="s">
        <v>51</v>
      </c>
      <c r="H463" s="16" t="s">
        <v>177</v>
      </c>
      <c r="I463" s="16" t="s">
        <v>23</v>
      </c>
      <c r="J463" s="16" t="s">
        <v>24</v>
      </c>
      <c r="K463" s="18">
        <v>75366.600000000006</v>
      </c>
      <c r="L463" s="18">
        <v>64679.96</v>
      </c>
      <c r="M463" s="19">
        <v>4</v>
      </c>
      <c r="N463" s="20">
        <v>0</v>
      </c>
      <c r="O463" s="19" t="s">
        <v>136</v>
      </c>
      <c r="P463" s="19" t="s">
        <v>58</v>
      </c>
      <c r="Q463" s="19" t="str">
        <f>TRIM(SalesData[[#This Row],[Customer_Name]])</f>
        <v>Neha Verma</v>
      </c>
      <c r="R463" s="21">
        <f>SalesData[[#This Row],[Sales]]-SalesData[[#This Row],[Cost]]</f>
        <v>10686.640000000007</v>
      </c>
      <c r="S463" s="22">
        <f>IFERROR(SalesData[[#This Row],[Profit]]/SalesData[[#This Row],[Sales]],0)</f>
        <v>0.14179543723612323</v>
      </c>
      <c r="T463" s="19">
        <f>YEAR(SalesData[[#This Row],[Order_Date]])</f>
        <v>2024</v>
      </c>
      <c r="U463" s="19" t="str">
        <f>TEXT(SalesData[[#This Row],[Order_Date]],"mmm")</f>
        <v>Nov</v>
      </c>
      <c r="V463" s="19" t="str">
        <f>"Q"&amp;ROUNDUP(MONTH(SalesData[[#This Row],[Order_Date]])/3,0)</f>
        <v>Q4</v>
      </c>
      <c r="W463" s="19" t="str">
        <f>IF(SalesData[[#This Row],[Sales]]&gt;=50000,"High",IF(AND(SalesData[[#This Row],[Sales]]&gt;= 20000, SalesData[[#This Row],[Sales]]&lt; 50000),"Medium","Low"))</f>
        <v>High</v>
      </c>
      <c r="X463" s="19" t="str">
        <f>IF(SalesData[[#This Row],[Profit]]&gt;0,"Profit","Loss")</f>
        <v>Profit</v>
      </c>
      <c r="Y463" s="19" t="str">
        <f>IF(AND(SalesData[[#This Row],[Sales]]&gt;= 50000, SalesData[[#This Row],[Quantity]]&gt;=2),"Yes","No")</f>
        <v>Yes</v>
      </c>
      <c r="Z463" s="19" t="str">
        <f>UPPER(SalesData[[#This Row],[Customer_Name]])</f>
        <v>NEHA VERMA</v>
      </c>
      <c r="AA463" s="19" t="str">
        <f>LOWER(SalesData[[#This Row],[Customer_Name]])</f>
        <v>neha verma</v>
      </c>
      <c r="AB463" s="19">
        <f>LEN(SalesData[[#This Row],[Customer_Name]])</f>
        <v>10</v>
      </c>
      <c r="AC463" s="19" t="str">
        <f>LEFT(SalesData[[#This Row],[Order_ID]],3)</f>
        <v>ORD</v>
      </c>
      <c r="AD463" s="19" t="str">
        <f>RIGHT(SalesData[[#This Row],[Order_ID]],4)</f>
        <v>0880</v>
      </c>
      <c r="AE463" s="19" t="str">
        <f>_xlfn.CONCAT(SalesData[[#This Row],[Clean_Customer_Name]],"-",SalesData[[#This Row],[Region]])</f>
        <v>Neha Verma-North</v>
      </c>
      <c r="AF463" s="19" t="str">
        <f>MID(SalesData[[#This Row],[Order_ID]],4,4)</f>
        <v>0880</v>
      </c>
      <c r="AG463" s="19" t="e">
        <f ca="1">_xlfn.SINGLE(_xlfn.XLOOKUP(SalesData[[#This Row],[Product]],Product_Master!A:A,Product_Master!B:B,"Not Found"))</f>
        <v>#NAME?</v>
      </c>
      <c r="AH463" s="19" t="str">
        <f>VLOOKUP(SalesData[[#This Row],[Product]],Product_Master!$A$1:$B$21,2,FALSE)</f>
        <v>Arjun</v>
      </c>
      <c r="AI463" s="16"/>
    </row>
    <row r="464" spans="1:35" ht="13.8">
      <c r="A464" s="16" t="s">
        <v>325</v>
      </c>
      <c r="B464" s="17">
        <v>45600</v>
      </c>
      <c r="C464" s="16" t="s">
        <v>179</v>
      </c>
      <c r="D464" s="16" t="s">
        <v>180</v>
      </c>
      <c r="E464" s="16" t="s">
        <v>123</v>
      </c>
      <c r="F464" s="16" t="s">
        <v>124</v>
      </c>
      <c r="G464" s="16" t="s">
        <v>51</v>
      </c>
      <c r="H464" s="16" t="s">
        <v>125</v>
      </c>
      <c r="I464" s="16" t="s">
        <v>84</v>
      </c>
      <c r="J464" s="16" t="s">
        <v>85</v>
      </c>
      <c r="K464" s="18">
        <v>22119.75</v>
      </c>
      <c r="L464" s="18">
        <v>16371.9</v>
      </c>
      <c r="M464" s="19">
        <v>1</v>
      </c>
      <c r="N464" s="20">
        <v>0.2</v>
      </c>
      <c r="O464" s="19" t="s">
        <v>136</v>
      </c>
      <c r="P464" s="19" t="s">
        <v>58</v>
      </c>
      <c r="Q464" s="19" t="str">
        <f>TRIM(SalesData[[#This Row],[Customer_Name]])</f>
        <v>Neha Verma</v>
      </c>
      <c r="R464" s="21">
        <f>SalesData[[#This Row],[Sales]]-SalesData[[#This Row],[Cost]]</f>
        <v>5747.85</v>
      </c>
      <c r="S464" s="22">
        <f>IFERROR(SalesData[[#This Row],[Profit]]/SalesData[[#This Row],[Sales]],0)</f>
        <v>0.25985149018411152</v>
      </c>
      <c r="T464" s="19">
        <f>YEAR(SalesData[[#This Row],[Order_Date]])</f>
        <v>2024</v>
      </c>
      <c r="U464" s="19" t="str">
        <f>TEXT(SalesData[[#This Row],[Order_Date]],"mmm")</f>
        <v>Nov</v>
      </c>
      <c r="V464" s="19" t="str">
        <f>"Q"&amp;ROUNDUP(MONTH(SalesData[[#This Row],[Order_Date]])/3,0)</f>
        <v>Q4</v>
      </c>
      <c r="W464" s="19" t="str">
        <f>IF(SalesData[[#This Row],[Sales]]&gt;=50000,"High",IF(AND(SalesData[[#This Row],[Sales]]&gt;= 20000, SalesData[[#This Row],[Sales]]&lt; 50000),"Medium","Low"))</f>
        <v>Medium</v>
      </c>
      <c r="X464" s="19" t="str">
        <f>IF(SalesData[[#This Row],[Profit]]&gt;0,"Profit","Loss")</f>
        <v>Profit</v>
      </c>
      <c r="Y464" s="19" t="str">
        <f>IF(AND(SalesData[[#This Row],[Sales]]&gt;= 50000, SalesData[[#This Row],[Quantity]]&gt;=2),"Yes","No")</f>
        <v>No</v>
      </c>
      <c r="Z464" s="19" t="str">
        <f>UPPER(SalesData[[#This Row],[Customer_Name]])</f>
        <v>NEHA VERMA</v>
      </c>
      <c r="AA464" s="19" t="str">
        <f>LOWER(SalesData[[#This Row],[Customer_Name]])</f>
        <v>neha verma</v>
      </c>
      <c r="AB464" s="19">
        <f>LEN(SalesData[[#This Row],[Customer_Name]])</f>
        <v>10</v>
      </c>
      <c r="AC464" s="19" t="str">
        <f>LEFT(SalesData[[#This Row],[Order_ID]],3)</f>
        <v>ORD</v>
      </c>
      <c r="AD464" s="19" t="str">
        <f>RIGHT(SalesData[[#This Row],[Order_ID]],4)</f>
        <v>0172</v>
      </c>
      <c r="AE464" s="19" t="str">
        <f>_xlfn.CONCAT(SalesData[[#This Row],[Clean_Customer_Name]],"-",SalesData[[#This Row],[Region]])</f>
        <v>Neha Verma-South</v>
      </c>
      <c r="AF464" s="19" t="str">
        <f>MID(SalesData[[#This Row],[Order_ID]],4,4)</f>
        <v>0172</v>
      </c>
      <c r="AG464" s="19" t="e">
        <f ca="1">_xlfn.SINGLE(_xlfn.XLOOKUP(SalesData[[#This Row],[Product]],Product_Master!A:A,Product_Master!B:B,"Not Found"))</f>
        <v>#NAME?</v>
      </c>
      <c r="AH464" s="19" t="str">
        <f>VLOOKUP(SalesData[[#This Row],[Product]],Product_Master!$A$1:$B$21,2,FALSE)</f>
        <v>Sneha</v>
      </c>
      <c r="AI464" s="16"/>
    </row>
    <row r="465" spans="1:35" ht="13.8">
      <c r="A465" s="16" t="s">
        <v>693</v>
      </c>
      <c r="B465" s="17">
        <v>45420</v>
      </c>
      <c r="C465" s="16" t="s">
        <v>179</v>
      </c>
      <c r="D465" s="16" t="s">
        <v>180</v>
      </c>
      <c r="E465" s="16" t="s">
        <v>123</v>
      </c>
      <c r="F465" s="16" t="s">
        <v>124</v>
      </c>
      <c r="G465" s="16" t="s">
        <v>51</v>
      </c>
      <c r="H465" s="16" t="s">
        <v>125</v>
      </c>
      <c r="I465" s="16" t="s">
        <v>84</v>
      </c>
      <c r="J465" s="16" t="s">
        <v>142</v>
      </c>
      <c r="K465" s="18">
        <v>92390.69</v>
      </c>
      <c r="L465" s="18">
        <v>75270.36</v>
      </c>
      <c r="M465" s="19">
        <v>4</v>
      </c>
      <c r="N465" s="20">
        <v>0.05</v>
      </c>
      <c r="O465" s="19" t="s">
        <v>25</v>
      </c>
      <c r="P465" s="19" t="s">
        <v>98</v>
      </c>
      <c r="Q465" s="19" t="str">
        <f>TRIM(SalesData[[#This Row],[Customer_Name]])</f>
        <v>Neha Verma</v>
      </c>
      <c r="R465" s="21">
        <f>SalesData[[#This Row],[Sales]]-SalesData[[#This Row],[Cost]]</f>
        <v>17120.330000000002</v>
      </c>
      <c r="S465" s="22">
        <f>IFERROR(SalesData[[#This Row],[Profit]]/SalesData[[#This Row],[Sales]],0)</f>
        <v>0.18530362745423809</v>
      </c>
      <c r="T465" s="19">
        <f>YEAR(SalesData[[#This Row],[Order_Date]])</f>
        <v>2024</v>
      </c>
      <c r="U465" s="19" t="str">
        <f>TEXT(SalesData[[#This Row],[Order_Date]],"mmm")</f>
        <v>May</v>
      </c>
      <c r="V465" s="19" t="str">
        <f>"Q"&amp;ROUNDUP(MONTH(SalesData[[#This Row],[Order_Date]])/3,0)</f>
        <v>Q2</v>
      </c>
      <c r="W465" s="19" t="str">
        <f>IF(SalesData[[#This Row],[Sales]]&gt;=50000,"High",IF(AND(SalesData[[#This Row],[Sales]]&gt;= 20000, SalesData[[#This Row],[Sales]]&lt; 50000),"Medium","Low"))</f>
        <v>High</v>
      </c>
      <c r="X465" s="19" t="str">
        <f>IF(SalesData[[#This Row],[Profit]]&gt;0,"Profit","Loss")</f>
        <v>Profit</v>
      </c>
      <c r="Y465" s="19" t="str">
        <f>IF(AND(SalesData[[#This Row],[Sales]]&gt;= 50000, SalesData[[#This Row],[Quantity]]&gt;=2),"Yes","No")</f>
        <v>Yes</v>
      </c>
      <c r="Z465" s="19" t="str">
        <f>UPPER(SalesData[[#This Row],[Customer_Name]])</f>
        <v>NEHA VERMA</v>
      </c>
      <c r="AA465" s="19" t="str">
        <f>LOWER(SalesData[[#This Row],[Customer_Name]])</f>
        <v>neha verma</v>
      </c>
      <c r="AB465" s="19">
        <f>LEN(SalesData[[#This Row],[Customer_Name]])</f>
        <v>10</v>
      </c>
      <c r="AC465" s="19" t="str">
        <f>LEFT(SalesData[[#This Row],[Order_ID]],3)</f>
        <v>ORD</v>
      </c>
      <c r="AD465" s="19" t="str">
        <f>RIGHT(SalesData[[#This Row],[Order_ID]],4)</f>
        <v>0540</v>
      </c>
      <c r="AE465" s="19" t="str">
        <f>_xlfn.CONCAT(SalesData[[#This Row],[Clean_Customer_Name]],"-",SalesData[[#This Row],[Region]])</f>
        <v>Neha Verma-South</v>
      </c>
      <c r="AF465" s="19" t="str">
        <f>MID(SalesData[[#This Row],[Order_ID]],4,4)</f>
        <v>0540</v>
      </c>
      <c r="AG465" s="19" t="e">
        <f ca="1">_xlfn.SINGLE(_xlfn.XLOOKUP(SalesData[[#This Row],[Product]],Product_Master!A:A,Product_Master!B:B,"Not Found"))</f>
        <v>#NAME?</v>
      </c>
      <c r="AH465" s="19" t="str">
        <f>VLOOKUP(SalesData[[#This Row],[Product]],Product_Master!$A$1:$B$21,2,FALSE)</f>
        <v>Sneha</v>
      </c>
      <c r="AI465" s="16"/>
    </row>
    <row r="466" spans="1:35" ht="13.8">
      <c r="A466" s="16" t="s">
        <v>801</v>
      </c>
      <c r="B466" s="17">
        <v>45323</v>
      </c>
      <c r="C466" s="16" t="s">
        <v>179</v>
      </c>
      <c r="D466" s="16" t="s">
        <v>180</v>
      </c>
      <c r="E466" s="16" t="s">
        <v>123</v>
      </c>
      <c r="F466" s="16" t="s">
        <v>124</v>
      </c>
      <c r="G466" s="16" t="s">
        <v>51</v>
      </c>
      <c r="H466" s="16" t="s">
        <v>125</v>
      </c>
      <c r="I466" s="16" t="s">
        <v>53</v>
      </c>
      <c r="J466" s="16" t="s">
        <v>102</v>
      </c>
      <c r="K466" s="18">
        <v>55239.34</v>
      </c>
      <c r="L466" s="18">
        <v>35508.36</v>
      </c>
      <c r="M466" s="19">
        <v>2</v>
      </c>
      <c r="N466" s="20">
        <v>0.1</v>
      </c>
      <c r="O466" s="19" t="s">
        <v>136</v>
      </c>
      <c r="P466" s="19" t="s">
        <v>26</v>
      </c>
      <c r="Q466" s="19" t="str">
        <f>TRIM(SalesData[[#This Row],[Customer_Name]])</f>
        <v>Neha Verma</v>
      </c>
      <c r="R466" s="21">
        <f>SalesData[[#This Row],[Sales]]-SalesData[[#This Row],[Cost]]</f>
        <v>19730.979999999996</v>
      </c>
      <c r="S466" s="22">
        <f>IFERROR(SalesData[[#This Row],[Profit]]/SalesData[[#This Row],[Sales]],0)</f>
        <v>0.35719072675379532</v>
      </c>
      <c r="T466" s="19">
        <f>YEAR(SalesData[[#This Row],[Order_Date]])</f>
        <v>2024</v>
      </c>
      <c r="U466" s="19" t="str">
        <f>TEXT(SalesData[[#This Row],[Order_Date]],"mmm")</f>
        <v>Feb</v>
      </c>
      <c r="V466" s="19" t="str">
        <f>"Q"&amp;ROUNDUP(MONTH(SalesData[[#This Row],[Order_Date]])/3,0)</f>
        <v>Q1</v>
      </c>
      <c r="W466" s="19" t="str">
        <f>IF(SalesData[[#This Row],[Sales]]&gt;=50000,"High",IF(AND(SalesData[[#This Row],[Sales]]&gt;= 20000, SalesData[[#This Row],[Sales]]&lt; 50000),"Medium","Low"))</f>
        <v>High</v>
      </c>
      <c r="X466" s="19" t="str">
        <f>IF(SalesData[[#This Row],[Profit]]&gt;0,"Profit","Loss")</f>
        <v>Profit</v>
      </c>
      <c r="Y466" s="19" t="str">
        <f>IF(AND(SalesData[[#This Row],[Sales]]&gt;= 50000, SalesData[[#This Row],[Quantity]]&gt;=2),"Yes","No")</f>
        <v>Yes</v>
      </c>
      <c r="Z466" s="19" t="str">
        <f>UPPER(SalesData[[#This Row],[Customer_Name]])</f>
        <v>NEHA VERMA</v>
      </c>
      <c r="AA466" s="19" t="str">
        <f>LOWER(SalesData[[#This Row],[Customer_Name]])</f>
        <v>neha verma</v>
      </c>
      <c r="AB466" s="19">
        <f>LEN(SalesData[[#This Row],[Customer_Name]])</f>
        <v>10</v>
      </c>
      <c r="AC466" s="19" t="str">
        <f>LEFT(SalesData[[#This Row],[Order_ID]],3)</f>
        <v>ORD</v>
      </c>
      <c r="AD466" s="19" t="str">
        <f>RIGHT(SalesData[[#This Row],[Order_ID]],4)</f>
        <v>0648</v>
      </c>
      <c r="AE466" s="19" t="str">
        <f>_xlfn.CONCAT(SalesData[[#This Row],[Clean_Customer_Name]],"-",SalesData[[#This Row],[Region]])</f>
        <v>Neha Verma-Central</v>
      </c>
      <c r="AF466" s="19" t="str">
        <f>MID(SalesData[[#This Row],[Order_ID]],4,4)</f>
        <v>0648</v>
      </c>
      <c r="AG466" s="19" t="e">
        <f ca="1">_xlfn.SINGLE(_xlfn.XLOOKUP(SalesData[[#This Row],[Product]],Product_Master!A:A,Product_Master!B:B,"Not Found"))</f>
        <v>#NAME?</v>
      </c>
      <c r="AH466" s="19" t="str">
        <f>VLOOKUP(SalesData[[#This Row],[Product]],Product_Master!$A$1:$B$21,2,FALSE)</f>
        <v>Sneha</v>
      </c>
      <c r="AI466" s="16"/>
    </row>
    <row r="467" spans="1:35" ht="13.8">
      <c r="A467" s="16" t="s">
        <v>834</v>
      </c>
      <c r="B467" s="17">
        <v>45378</v>
      </c>
      <c r="C467" s="16" t="s">
        <v>179</v>
      </c>
      <c r="D467" s="16" t="s">
        <v>180</v>
      </c>
      <c r="E467" s="16" t="s">
        <v>172</v>
      </c>
      <c r="F467" s="16" t="s">
        <v>173</v>
      </c>
      <c r="G467" s="16" t="s">
        <v>40</v>
      </c>
      <c r="H467" s="16" t="s">
        <v>41</v>
      </c>
      <c r="I467" s="16" t="s">
        <v>56</v>
      </c>
      <c r="J467" s="16" t="s">
        <v>191</v>
      </c>
      <c r="K467" s="18">
        <v>5421.5</v>
      </c>
      <c r="L467" s="18">
        <v>3769.44</v>
      </c>
      <c r="M467" s="19">
        <v>4</v>
      </c>
      <c r="N467" s="20">
        <v>0.05</v>
      </c>
      <c r="O467" s="19" t="s">
        <v>25</v>
      </c>
      <c r="P467" s="19" t="s">
        <v>58</v>
      </c>
      <c r="Q467" s="19" t="str">
        <f>TRIM(SalesData[[#This Row],[Customer_Name]])</f>
        <v>Neha Verma</v>
      </c>
      <c r="R467" s="21">
        <f>SalesData[[#This Row],[Sales]]-SalesData[[#This Row],[Cost]]</f>
        <v>1652.06</v>
      </c>
      <c r="S467" s="22">
        <f>IFERROR(SalesData[[#This Row],[Profit]]/SalesData[[#This Row],[Sales]],0)</f>
        <v>0.30472378493036983</v>
      </c>
      <c r="T467" s="19">
        <f>YEAR(SalesData[[#This Row],[Order_Date]])</f>
        <v>2024</v>
      </c>
      <c r="U467" s="19" t="str">
        <f>TEXT(SalesData[[#This Row],[Order_Date]],"mmm")</f>
        <v>Mar</v>
      </c>
      <c r="V467" s="19" t="str">
        <f>"Q"&amp;ROUNDUP(MONTH(SalesData[[#This Row],[Order_Date]])/3,0)</f>
        <v>Q1</v>
      </c>
      <c r="W467" s="19" t="str">
        <f>IF(SalesData[[#This Row],[Sales]]&gt;=50000,"High",IF(AND(SalesData[[#This Row],[Sales]]&gt;= 20000, SalesData[[#This Row],[Sales]]&lt; 50000),"Medium","Low"))</f>
        <v>Low</v>
      </c>
      <c r="X467" s="19" t="str">
        <f>IF(SalesData[[#This Row],[Profit]]&gt;0,"Profit","Loss")</f>
        <v>Profit</v>
      </c>
      <c r="Y467" s="19" t="str">
        <f>IF(AND(SalesData[[#This Row],[Sales]]&gt;= 50000, SalesData[[#This Row],[Quantity]]&gt;=2),"Yes","No")</f>
        <v>No</v>
      </c>
      <c r="Z467" s="19" t="str">
        <f>UPPER(SalesData[[#This Row],[Customer_Name]])</f>
        <v>NEHA VERMA</v>
      </c>
      <c r="AA467" s="19" t="str">
        <f>LOWER(SalesData[[#This Row],[Customer_Name]])</f>
        <v>neha verma</v>
      </c>
      <c r="AB467" s="19">
        <f>LEN(SalesData[[#This Row],[Customer_Name]])</f>
        <v>10</v>
      </c>
      <c r="AC467" s="19" t="str">
        <f>LEFT(SalesData[[#This Row],[Order_ID]],3)</f>
        <v>ORD</v>
      </c>
      <c r="AD467" s="19" t="str">
        <f>RIGHT(SalesData[[#This Row],[Order_ID]],4)</f>
        <v>0681</v>
      </c>
      <c r="AE467" s="19" t="str">
        <f>_xlfn.CONCAT(SalesData[[#This Row],[Clean_Customer_Name]],"-",SalesData[[#This Row],[Region]])</f>
        <v>Neha Verma-West</v>
      </c>
      <c r="AF467" s="19" t="str">
        <f>MID(SalesData[[#This Row],[Order_ID]],4,4)</f>
        <v>0681</v>
      </c>
      <c r="AG467" s="19" t="e">
        <f ca="1">_xlfn.SINGLE(_xlfn.XLOOKUP(SalesData[[#This Row],[Product]],Product_Master!A:A,Product_Master!B:B,"Not Found"))</f>
        <v>#NAME?</v>
      </c>
      <c r="AH467" s="19" t="str">
        <f>VLOOKUP(SalesData[[#This Row],[Product]],Product_Master!$A$1:$B$21,2,FALSE)</f>
        <v>Pooja</v>
      </c>
      <c r="AI467" s="16"/>
    </row>
    <row r="468" spans="1:35" ht="13.8">
      <c r="A468" s="16" t="s">
        <v>1019</v>
      </c>
      <c r="B468" s="17">
        <v>45588</v>
      </c>
      <c r="C468" s="16" t="s">
        <v>179</v>
      </c>
      <c r="D468" s="16" t="s">
        <v>180</v>
      </c>
      <c r="E468" s="16" t="s">
        <v>172</v>
      </c>
      <c r="F468" s="16" t="s">
        <v>173</v>
      </c>
      <c r="G468" s="16" t="s">
        <v>40</v>
      </c>
      <c r="H468" s="16" t="s">
        <v>41</v>
      </c>
      <c r="I468" s="16" t="s">
        <v>42</v>
      </c>
      <c r="J468" s="16" t="s">
        <v>43</v>
      </c>
      <c r="K468" s="18">
        <v>1224.25</v>
      </c>
      <c r="L468" s="18">
        <v>904.1</v>
      </c>
      <c r="M468" s="19">
        <v>1</v>
      </c>
      <c r="N468" s="20">
        <v>0.1</v>
      </c>
      <c r="O468" s="19" t="s">
        <v>44</v>
      </c>
      <c r="P468" s="19" t="s">
        <v>45</v>
      </c>
      <c r="Q468" s="19" t="str">
        <f>TRIM(SalesData[[#This Row],[Customer_Name]])</f>
        <v>Neha Verma</v>
      </c>
      <c r="R468" s="21">
        <f>SalesData[[#This Row],[Sales]]-SalesData[[#This Row],[Cost]]</f>
        <v>320.14999999999998</v>
      </c>
      <c r="S468" s="22">
        <f>IFERROR(SalesData[[#This Row],[Profit]]/SalesData[[#This Row],[Sales]],0)</f>
        <v>0.26150704512967121</v>
      </c>
      <c r="T468" s="19">
        <f>YEAR(SalesData[[#This Row],[Order_Date]])</f>
        <v>2024</v>
      </c>
      <c r="U468" s="19" t="str">
        <f>TEXT(SalesData[[#This Row],[Order_Date]],"mmm")</f>
        <v>Oct</v>
      </c>
      <c r="V468" s="19" t="str">
        <f>"Q"&amp;ROUNDUP(MONTH(SalesData[[#This Row],[Order_Date]])/3,0)</f>
        <v>Q4</v>
      </c>
      <c r="W468" s="19" t="str">
        <f>IF(SalesData[[#This Row],[Sales]]&gt;=50000,"High",IF(AND(SalesData[[#This Row],[Sales]]&gt;= 20000, SalesData[[#This Row],[Sales]]&lt; 50000),"Medium","Low"))</f>
        <v>Low</v>
      </c>
      <c r="X468" s="19" t="str">
        <f>IF(SalesData[[#This Row],[Profit]]&gt;0,"Profit","Loss")</f>
        <v>Profit</v>
      </c>
      <c r="Y468" s="19" t="str">
        <f>IF(AND(SalesData[[#This Row],[Sales]]&gt;= 50000, SalesData[[#This Row],[Quantity]]&gt;=2),"Yes","No")</f>
        <v>No</v>
      </c>
      <c r="Z468" s="19" t="str">
        <f>UPPER(SalesData[[#This Row],[Customer_Name]])</f>
        <v>NEHA VERMA</v>
      </c>
      <c r="AA468" s="19" t="str">
        <f>LOWER(SalesData[[#This Row],[Customer_Name]])</f>
        <v>neha verma</v>
      </c>
      <c r="AB468" s="19">
        <f>LEN(SalesData[[#This Row],[Customer_Name]])</f>
        <v>10</v>
      </c>
      <c r="AC468" s="19" t="str">
        <f>LEFT(SalesData[[#This Row],[Order_ID]],3)</f>
        <v>ORD</v>
      </c>
      <c r="AD468" s="19" t="str">
        <f>RIGHT(SalesData[[#This Row],[Order_ID]],4)</f>
        <v>0866</v>
      </c>
      <c r="AE468" s="19" t="str">
        <f>_xlfn.CONCAT(SalesData[[#This Row],[Clean_Customer_Name]],"-",SalesData[[#This Row],[Region]])</f>
        <v>Neha Verma-East</v>
      </c>
      <c r="AF468" s="19" t="str">
        <f>MID(SalesData[[#This Row],[Order_ID]],4,4)</f>
        <v>0866</v>
      </c>
      <c r="AG468" s="19" t="e">
        <f ca="1">_xlfn.SINGLE(_xlfn.XLOOKUP(SalesData[[#This Row],[Product]],Product_Master!A:A,Product_Master!B:B,"Not Found"))</f>
        <v>#NAME?</v>
      </c>
      <c r="AH468" s="19" t="str">
        <f>VLOOKUP(SalesData[[#This Row],[Product]],Product_Master!$A$1:$B$21,2,FALSE)</f>
        <v>Pooja</v>
      </c>
      <c r="AI468" s="16"/>
    </row>
    <row r="469" spans="1:35" ht="13.8">
      <c r="A469" s="16" t="s">
        <v>787</v>
      </c>
      <c r="B469" s="17">
        <v>45380</v>
      </c>
      <c r="C469" s="16" t="s">
        <v>179</v>
      </c>
      <c r="D469" s="16" t="s">
        <v>180</v>
      </c>
      <c r="E469" s="16" t="s">
        <v>106</v>
      </c>
      <c r="F469" s="16" t="s">
        <v>107</v>
      </c>
      <c r="G469" s="16" t="s">
        <v>40</v>
      </c>
      <c r="H469" s="16" t="s">
        <v>108</v>
      </c>
      <c r="I469" s="16" t="s">
        <v>23</v>
      </c>
      <c r="J469" s="16" t="s">
        <v>24</v>
      </c>
      <c r="K469" s="18">
        <v>7520.93</v>
      </c>
      <c r="L469" s="18">
        <v>2739.48</v>
      </c>
      <c r="M469" s="19">
        <v>4</v>
      </c>
      <c r="N469" s="20">
        <v>0.2</v>
      </c>
      <c r="O469" s="19" t="s">
        <v>136</v>
      </c>
      <c r="P469" s="19" t="s">
        <v>77</v>
      </c>
      <c r="Q469" s="19" t="str">
        <f>TRIM(SalesData[[#This Row],[Customer_Name]])</f>
        <v>Neha Verma</v>
      </c>
      <c r="R469" s="21">
        <f>SalesData[[#This Row],[Sales]]-SalesData[[#This Row],[Cost]]</f>
        <v>4781.4500000000007</v>
      </c>
      <c r="S469" s="22">
        <f>IFERROR(SalesData[[#This Row],[Profit]]/SalesData[[#This Row],[Sales]],0)</f>
        <v>0.63575249337515449</v>
      </c>
      <c r="T469" s="19">
        <f>YEAR(SalesData[[#This Row],[Order_Date]])</f>
        <v>2024</v>
      </c>
      <c r="U469" s="19" t="str">
        <f>TEXT(SalesData[[#This Row],[Order_Date]],"mmm")</f>
        <v>Mar</v>
      </c>
      <c r="V469" s="19" t="str">
        <f>"Q"&amp;ROUNDUP(MONTH(SalesData[[#This Row],[Order_Date]])/3,0)</f>
        <v>Q1</v>
      </c>
      <c r="W469" s="19" t="str">
        <f>IF(SalesData[[#This Row],[Sales]]&gt;=50000,"High",IF(AND(SalesData[[#This Row],[Sales]]&gt;= 20000, SalesData[[#This Row],[Sales]]&lt; 50000),"Medium","Low"))</f>
        <v>Low</v>
      </c>
      <c r="X469" s="19" t="str">
        <f>IF(SalesData[[#This Row],[Profit]]&gt;0,"Profit","Loss")</f>
        <v>Profit</v>
      </c>
      <c r="Y469" s="19" t="str">
        <f>IF(AND(SalesData[[#This Row],[Sales]]&gt;= 50000, SalesData[[#This Row],[Quantity]]&gt;=2),"Yes","No")</f>
        <v>No</v>
      </c>
      <c r="Z469" s="19" t="str">
        <f>UPPER(SalesData[[#This Row],[Customer_Name]])</f>
        <v>NEHA VERMA</v>
      </c>
      <c r="AA469" s="19" t="str">
        <f>LOWER(SalesData[[#This Row],[Customer_Name]])</f>
        <v>neha verma</v>
      </c>
      <c r="AB469" s="19">
        <f>LEN(SalesData[[#This Row],[Customer_Name]])</f>
        <v>10</v>
      </c>
      <c r="AC469" s="19" t="str">
        <f>LEFT(SalesData[[#This Row],[Order_ID]],3)</f>
        <v>ORD</v>
      </c>
      <c r="AD469" s="19" t="str">
        <f>RIGHT(SalesData[[#This Row],[Order_ID]],4)</f>
        <v>0634</v>
      </c>
      <c r="AE469" s="19" t="str">
        <f>_xlfn.CONCAT(SalesData[[#This Row],[Clean_Customer_Name]],"-",SalesData[[#This Row],[Region]])</f>
        <v>Neha Verma-North</v>
      </c>
      <c r="AF469" s="19" t="str">
        <f>MID(SalesData[[#This Row],[Order_ID]],4,4)</f>
        <v>0634</v>
      </c>
      <c r="AG469" s="19" t="e">
        <f ca="1">_xlfn.SINGLE(_xlfn.XLOOKUP(SalesData[[#This Row],[Product]],Product_Master!A:A,Product_Master!B:B,"Not Found"))</f>
        <v>#NAME?</v>
      </c>
      <c r="AH469" s="19" t="str">
        <f>VLOOKUP(SalesData[[#This Row],[Product]],Product_Master!$A$1:$B$21,2,FALSE)</f>
        <v>Aditya</v>
      </c>
      <c r="AI469" s="16"/>
    </row>
    <row r="470" spans="1:35" ht="13.8">
      <c r="A470" s="16" t="s">
        <v>219</v>
      </c>
      <c r="B470" s="17">
        <v>45942</v>
      </c>
      <c r="C470" s="16" t="s">
        <v>179</v>
      </c>
      <c r="D470" s="16" t="s">
        <v>180</v>
      </c>
      <c r="E470" s="16" t="s">
        <v>132</v>
      </c>
      <c r="F470" s="16" t="s">
        <v>133</v>
      </c>
      <c r="G470" s="16" t="s">
        <v>40</v>
      </c>
      <c r="H470" s="16" t="s">
        <v>41</v>
      </c>
      <c r="I470" s="16" t="s">
        <v>84</v>
      </c>
      <c r="J470" s="16" t="s">
        <v>134</v>
      </c>
      <c r="K470" s="18">
        <v>2304.5100000000002</v>
      </c>
      <c r="L470" s="18">
        <v>1041.48</v>
      </c>
      <c r="M470" s="19">
        <v>4</v>
      </c>
      <c r="N470" s="20">
        <v>0.2</v>
      </c>
      <c r="O470" s="19" t="s">
        <v>44</v>
      </c>
      <c r="P470" s="19" t="s">
        <v>98</v>
      </c>
      <c r="Q470" s="19" t="str">
        <f>TRIM(SalesData[[#This Row],[Customer_Name]])</f>
        <v>Neha Verma</v>
      </c>
      <c r="R470" s="21">
        <f>SalesData[[#This Row],[Sales]]-SalesData[[#This Row],[Cost]]</f>
        <v>1263.0300000000002</v>
      </c>
      <c r="S470" s="22">
        <f>IFERROR(SalesData[[#This Row],[Profit]]/SalesData[[#This Row],[Sales]],0)</f>
        <v>0.54806878685707594</v>
      </c>
      <c r="T470" s="19">
        <f>YEAR(SalesData[[#This Row],[Order_Date]])</f>
        <v>2025</v>
      </c>
      <c r="U470" s="19" t="str">
        <f>TEXT(SalesData[[#This Row],[Order_Date]],"mmm")</f>
        <v>Oct</v>
      </c>
      <c r="V470" s="19" t="str">
        <f>"Q"&amp;ROUNDUP(MONTH(SalesData[[#This Row],[Order_Date]])/3,0)</f>
        <v>Q4</v>
      </c>
      <c r="W470" s="19" t="str">
        <f>IF(SalesData[[#This Row],[Sales]]&gt;=50000,"High",IF(AND(SalesData[[#This Row],[Sales]]&gt;= 20000, SalesData[[#This Row],[Sales]]&lt; 50000),"Medium","Low"))</f>
        <v>Low</v>
      </c>
      <c r="X470" s="19" t="str">
        <f>IF(SalesData[[#This Row],[Profit]]&gt;0,"Profit","Loss")</f>
        <v>Profit</v>
      </c>
      <c r="Y470" s="19" t="str">
        <f>IF(AND(SalesData[[#This Row],[Sales]]&gt;= 50000, SalesData[[#This Row],[Quantity]]&gt;=2),"Yes","No")</f>
        <v>No</v>
      </c>
      <c r="Z470" s="19" t="str">
        <f>UPPER(SalesData[[#This Row],[Customer_Name]])</f>
        <v>NEHA VERMA</v>
      </c>
      <c r="AA470" s="19" t="str">
        <f>LOWER(SalesData[[#This Row],[Customer_Name]])</f>
        <v>neha verma</v>
      </c>
      <c r="AB470" s="19">
        <f>LEN(SalesData[[#This Row],[Customer_Name]])</f>
        <v>10</v>
      </c>
      <c r="AC470" s="19" t="str">
        <f>LEFT(SalesData[[#This Row],[Order_ID]],3)</f>
        <v>ORD</v>
      </c>
      <c r="AD470" s="19" t="str">
        <f>RIGHT(SalesData[[#This Row],[Order_ID]],4)</f>
        <v>0070</v>
      </c>
      <c r="AE470" s="19" t="str">
        <f>_xlfn.CONCAT(SalesData[[#This Row],[Clean_Customer_Name]],"-",SalesData[[#This Row],[Region]])</f>
        <v>Neha Verma-South</v>
      </c>
      <c r="AF470" s="19" t="str">
        <f>MID(SalesData[[#This Row],[Order_ID]],4,4)</f>
        <v>0070</v>
      </c>
      <c r="AG470" s="19" t="e">
        <f ca="1">_xlfn.SINGLE(_xlfn.XLOOKUP(SalesData[[#This Row],[Product]],Product_Master!A:A,Product_Master!B:B,"Not Found"))</f>
        <v>#NAME?</v>
      </c>
      <c r="AH470" s="19" t="str">
        <f>VLOOKUP(SalesData[[#This Row],[Product]],Product_Master!$A$1:$B$21,2,FALSE)</f>
        <v>Kavya</v>
      </c>
      <c r="AI470" s="16"/>
    </row>
    <row r="471" spans="1:35" ht="13.8">
      <c r="A471" s="16" t="s">
        <v>359</v>
      </c>
      <c r="B471" s="17">
        <v>45562</v>
      </c>
      <c r="C471" s="16" t="s">
        <v>179</v>
      </c>
      <c r="D471" s="16" t="s">
        <v>180</v>
      </c>
      <c r="E471" s="16" t="s">
        <v>132</v>
      </c>
      <c r="F471" s="16" t="s">
        <v>133</v>
      </c>
      <c r="G471" s="16" t="s">
        <v>40</v>
      </c>
      <c r="H471" s="16" t="s">
        <v>41</v>
      </c>
      <c r="I471" s="16" t="s">
        <v>23</v>
      </c>
      <c r="J471" s="16" t="s">
        <v>75</v>
      </c>
      <c r="K471" s="18">
        <v>1685.68</v>
      </c>
      <c r="L471" s="18">
        <v>789.57</v>
      </c>
      <c r="M471" s="19">
        <v>3</v>
      </c>
      <c r="N471" s="20">
        <v>0.15</v>
      </c>
      <c r="O471" s="19" t="s">
        <v>25</v>
      </c>
      <c r="P471" s="19" t="s">
        <v>58</v>
      </c>
      <c r="Q471" s="19" t="str">
        <f>TRIM(SalesData[[#This Row],[Customer_Name]])</f>
        <v>Neha Verma</v>
      </c>
      <c r="R471" s="21">
        <f>SalesData[[#This Row],[Sales]]-SalesData[[#This Row],[Cost]]</f>
        <v>896.11</v>
      </c>
      <c r="S471" s="22">
        <f>IFERROR(SalesData[[#This Row],[Profit]]/SalesData[[#This Row],[Sales]],0)</f>
        <v>0.53160149019980063</v>
      </c>
      <c r="T471" s="19">
        <f>YEAR(SalesData[[#This Row],[Order_Date]])</f>
        <v>2024</v>
      </c>
      <c r="U471" s="19" t="str">
        <f>TEXT(SalesData[[#This Row],[Order_Date]],"mmm")</f>
        <v>Sept</v>
      </c>
      <c r="V471" s="19" t="str">
        <f>"Q"&amp;ROUNDUP(MONTH(SalesData[[#This Row],[Order_Date]])/3,0)</f>
        <v>Q3</v>
      </c>
      <c r="W471" s="19" t="str">
        <f>IF(SalesData[[#This Row],[Sales]]&gt;=50000,"High",IF(AND(SalesData[[#This Row],[Sales]]&gt;= 20000, SalesData[[#This Row],[Sales]]&lt; 50000),"Medium","Low"))</f>
        <v>Low</v>
      </c>
      <c r="X471" s="19" t="str">
        <f>IF(SalesData[[#This Row],[Profit]]&gt;0,"Profit","Loss")</f>
        <v>Profit</v>
      </c>
      <c r="Y471" s="19" t="str">
        <f>IF(AND(SalesData[[#This Row],[Sales]]&gt;= 50000, SalesData[[#This Row],[Quantity]]&gt;=2),"Yes","No")</f>
        <v>No</v>
      </c>
      <c r="Z471" s="19" t="str">
        <f>UPPER(SalesData[[#This Row],[Customer_Name]])</f>
        <v>NEHA VERMA</v>
      </c>
      <c r="AA471" s="19" t="str">
        <f>LOWER(SalesData[[#This Row],[Customer_Name]])</f>
        <v>neha verma</v>
      </c>
      <c r="AB471" s="19">
        <f>LEN(SalesData[[#This Row],[Customer_Name]])</f>
        <v>10</v>
      </c>
      <c r="AC471" s="19" t="str">
        <f>LEFT(SalesData[[#This Row],[Order_ID]],3)</f>
        <v>ORD</v>
      </c>
      <c r="AD471" s="19" t="str">
        <f>RIGHT(SalesData[[#This Row],[Order_ID]],4)</f>
        <v>0206</v>
      </c>
      <c r="AE471" s="19" t="str">
        <f>_xlfn.CONCAT(SalesData[[#This Row],[Clean_Customer_Name]],"-",SalesData[[#This Row],[Region]])</f>
        <v>Neha Verma-North</v>
      </c>
      <c r="AF471" s="19" t="str">
        <f>MID(SalesData[[#This Row],[Order_ID]],4,4)</f>
        <v>0206</v>
      </c>
      <c r="AG471" s="19" t="e">
        <f ca="1">_xlfn.SINGLE(_xlfn.XLOOKUP(SalesData[[#This Row],[Product]],Product_Master!A:A,Product_Master!B:B,"Not Found"))</f>
        <v>#NAME?</v>
      </c>
      <c r="AH471" s="19" t="str">
        <f>VLOOKUP(SalesData[[#This Row],[Product]],Product_Master!$A$1:$B$21,2,FALSE)</f>
        <v>Kavya</v>
      </c>
      <c r="AI471" s="16"/>
    </row>
    <row r="472" spans="1:35" ht="13.8">
      <c r="A472" s="16" t="s">
        <v>537</v>
      </c>
      <c r="B472" s="17">
        <v>45443</v>
      </c>
      <c r="C472" s="16" t="s">
        <v>179</v>
      </c>
      <c r="D472" s="16" t="s">
        <v>180</v>
      </c>
      <c r="E472" s="16" t="s">
        <v>132</v>
      </c>
      <c r="F472" s="16" t="s">
        <v>133</v>
      </c>
      <c r="G472" s="16" t="s">
        <v>40</v>
      </c>
      <c r="H472" s="16" t="s">
        <v>41</v>
      </c>
      <c r="I472" s="16" t="s">
        <v>23</v>
      </c>
      <c r="J472" s="16" t="s">
        <v>75</v>
      </c>
      <c r="K472" s="18">
        <v>4973.1000000000004</v>
      </c>
      <c r="L472" s="18">
        <v>1272</v>
      </c>
      <c r="M472" s="19">
        <v>5</v>
      </c>
      <c r="N472" s="20">
        <v>0</v>
      </c>
      <c r="O472" s="19" t="s">
        <v>25</v>
      </c>
      <c r="P472" s="19" t="s">
        <v>58</v>
      </c>
      <c r="Q472" s="19" t="str">
        <f>TRIM(SalesData[[#This Row],[Customer_Name]])</f>
        <v>Neha Verma</v>
      </c>
      <c r="R472" s="21">
        <f>SalesData[[#This Row],[Sales]]-SalesData[[#This Row],[Cost]]</f>
        <v>3701.1000000000004</v>
      </c>
      <c r="S472" s="22">
        <f>IFERROR(SalesData[[#This Row],[Profit]]/SalesData[[#This Row],[Sales]],0)</f>
        <v>0.74422392471496657</v>
      </c>
      <c r="T472" s="19">
        <f>YEAR(SalesData[[#This Row],[Order_Date]])</f>
        <v>2024</v>
      </c>
      <c r="U472" s="19" t="str">
        <f>TEXT(SalesData[[#This Row],[Order_Date]],"mmm")</f>
        <v>May</v>
      </c>
      <c r="V472" s="19" t="str">
        <f>"Q"&amp;ROUNDUP(MONTH(SalesData[[#This Row],[Order_Date]])/3,0)</f>
        <v>Q2</v>
      </c>
      <c r="W472" s="19" t="str">
        <f>IF(SalesData[[#This Row],[Sales]]&gt;=50000,"High",IF(AND(SalesData[[#This Row],[Sales]]&gt;= 20000, SalesData[[#This Row],[Sales]]&lt; 50000),"Medium","Low"))</f>
        <v>Low</v>
      </c>
      <c r="X472" s="19" t="str">
        <f>IF(SalesData[[#This Row],[Profit]]&gt;0,"Profit","Loss")</f>
        <v>Profit</v>
      </c>
      <c r="Y472" s="19" t="str">
        <f>IF(AND(SalesData[[#This Row],[Sales]]&gt;= 50000, SalesData[[#This Row],[Quantity]]&gt;=2),"Yes","No")</f>
        <v>No</v>
      </c>
      <c r="Z472" s="19" t="str">
        <f>UPPER(SalesData[[#This Row],[Customer_Name]])</f>
        <v>NEHA VERMA</v>
      </c>
      <c r="AA472" s="19" t="str">
        <f>LOWER(SalesData[[#This Row],[Customer_Name]])</f>
        <v>neha verma</v>
      </c>
      <c r="AB472" s="19">
        <f>LEN(SalesData[[#This Row],[Customer_Name]])</f>
        <v>10</v>
      </c>
      <c r="AC472" s="19" t="str">
        <f>LEFT(SalesData[[#This Row],[Order_ID]],3)</f>
        <v>ORD</v>
      </c>
      <c r="AD472" s="19" t="str">
        <f>RIGHT(SalesData[[#This Row],[Order_ID]],4)</f>
        <v>0384</v>
      </c>
      <c r="AE472" s="19" t="str">
        <f>_xlfn.CONCAT(SalesData[[#This Row],[Clean_Customer_Name]],"-",SalesData[[#This Row],[Region]])</f>
        <v>Neha Verma-North</v>
      </c>
      <c r="AF472" s="19" t="str">
        <f>MID(SalesData[[#This Row],[Order_ID]],4,4)</f>
        <v>0384</v>
      </c>
      <c r="AG472" s="19" t="e">
        <f ca="1">_xlfn.SINGLE(_xlfn.XLOOKUP(SalesData[[#This Row],[Product]],Product_Master!A:A,Product_Master!B:B,"Not Found"))</f>
        <v>#NAME?</v>
      </c>
      <c r="AH472" s="19" t="str">
        <f>VLOOKUP(SalesData[[#This Row],[Product]],Product_Master!$A$1:$B$21,2,FALSE)</f>
        <v>Kavya</v>
      </c>
      <c r="AI472" s="16"/>
    </row>
    <row r="473" spans="1:35" ht="13.8">
      <c r="A473" s="16" t="s">
        <v>580</v>
      </c>
      <c r="B473" s="17">
        <v>45339</v>
      </c>
      <c r="C473" s="16" t="s">
        <v>179</v>
      </c>
      <c r="D473" s="16" t="s">
        <v>180</v>
      </c>
      <c r="E473" s="16" t="s">
        <v>132</v>
      </c>
      <c r="F473" s="16" t="s">
        <v>133</v>
      </c>
      <c r="G473" s="16" t="s">
        <v>40</v>
      </c>
      <c r="H473" s="16" t="s">
        <v>41</v>
      </c>
      <c r="I473" s="16" t="s">
        <v>56</v>
      </c>
      <c r="J473" s="16" t="s">
        <v>191</v>
      </c>
      <c r="K473" s="18">
        <v>493.68</v>
      </c>
      <c r="L473" s="18">
        <v>238.08</v>
      </c>
      <c r="M473" s="19">
        <v>1</v>
      </c>
      <c r="N473" s="20">
        <v>0.2</v>
      </c>
      <c r="O473" s="19" t="s">
        <v>34</v>
      </c>
      <c r="P473" s="19" t="s">
        <v>58</v>
      </c>
      <c r="Q473" s="19" t="str">
        <f>TRIM(SalesData[[#This Row],[Customer_Name]])</f>
        <v>Neha Verma</v>
      </c>
      <c r="R473" s="21">
        <f>SalesData[[#This Row],[Sales]]-SalesData[[#This Row],[Cost]]</f>
        <v>255.6</v>
      </c>
      <c r="S473" s="22">
        <f>IFERROR(SalesData[[#This Row],[Profit]]/SalesData[[#This Row],[Sales]],0)</f>
        <v>0.51774428779776371</v>
      </c>
      <c r="T473" s="19">
        <f>YEAR(SalesData[[#This Row],[Order_Date]])</f>
        <v>2024</v>
      </c>
      <c r="U473" s="19" t="str">
        <f>TEXT(SalesData[[#This Row],[Order_Date]],"mmm")</f>
        <v>Feb</v>
      </c>
      <c r="V473" s="19" t="str">
        <f>"Q"&amp;ROUNDUP(MONTH(SalesData[[#This Row],[Order_Date]])/3,0)</f>
        <v>Q1</v>
      </c>
      <c r="W473" s="19" t="str">
        <f>IF(SalesData[[#This Row],[Sales]]&gt;=50000,"High",IF(AND(SalesData[[#This Row],[Sales]]&gt;= 20000, SalesData[[#This Row],[Sales]]&lt; 50000),"Medium","Low"))</f>
        <v>Low</v>
      </c>
      <c r="X473" s="19" t="str">
        <f>IF(SalesData[[#This Row],[Profit]]&gt;0,"Profit","Loss")</f>
        <v>Profit</v>
      </c>
      <c r="Y473" s="19" t="str">
        <f>IF(AND(SalesData[[#This Row],[Sales]]&gt;= 50000, SalesData[[#This Row],[Quantity]]&gt;=2),"Yes","No")</f>
        <v>No</v>
      </c>
      <c r="Z473" s="19" t="str">
        <f>UPPER(SalesData[[#This Row],[Customer_Name]])</f>
        <v>NEHA VERMA</v>
      </c>
      <c r="AA473" s="19" t="str">
        <f>LOWER(SalesData[[#This Row],[Customer_Name]])</f>
        <v>neha verma</v>
      </c>
      <c r="AB473" s="19">
        <f>LEN(SalesData[[#This Row],[Customer_Name]])</f>
        <v>10</v>
      </c>
      <c r="AC473" s="19" t="str">
        <f>LEFT(SalesData[[#This Row],[Order_ID]],3)</f>
        <v>ORD</v>
      </c>
      <c r="AD473" s="19" t="str">
        <f>RIGHT(SalesData[[#This Row],[Order_ID]],4)</f>
        <v>0427</v>
      </c>
      <c r="AE473" s="19" t="str">
        <f>_xlfn.CONCAT(SalesData[[#This Row],[Clean_Customer_Name]],"-",SalesData[[#This Row],[Region]])</f>
        <v>Neha Verma-West</v>
      </c>
      <c r="AF473" s="19" t="str">
        <f>MID(SalesData[[#This Row],[Order_ID]],4,4)</f>
        <v>0427</v>
      </c>
      <c r="AG473" s="19" t="e">
        <f ca="1">_xlfn.SINGLE(_xlfn.XLOOKUP(SalesData[[#This Row],[Product]],Product_Master!A:A,Product_Master!B:B,"Not Found"))</f>
        <v>#NAME?</v>
      </c>
      <c r="AH473" s="19" t="str">
        <f>VLOOKUP(SalesData[[#This Row],[Product]],Product_Master!$A$1:$B$21,2,FALSE)</f>
        <v>Kavya</v>
      </c>
      <c r="AI473" s="16"/>
    </row>
    <row r="474" spans="1:35" ht="13.8">
      <c r="A474" s="16" t="s">
        <v>534</v>
      </c>
      <c r="B474" s="17">
        <v>45463</v>
      </c>
      <c r="C474" s="16" t="s">
        <v>179</v>
      </c>
      <c r="D474" s="16" t="s">
        <v>180</v>
      </c>
      <c r="E474" s="16" t="s">
        <v>38</v>
      </c>
      <c r="F474" s="16" t="s">
        <v>39</v>
      </c>
      <c r="G474" s="16" t="s">
        <v>40</v>
      </c>
      <c r="H474" s="16" t="s">
        <v>41</v>
      </c>
      <c r="I474" s="16" t="s">
        <v>23</v>
      </c>
      <c r="J474" s="16" t="s">
        <v>75</v>
      </c>
      <c r="K474" s="18">
        <v>1363.23</v>
      </c>
      <c r="L474" s="18">
        <v>1061.7</v>
      </c>
      <c r="M474" s="19">
        <v>2</v>
      </c>
      <c r="N474" s="20">
        <v>0.15</v>
      </c>
      <c r="O474" s="19" t="s">
        <v>25</v>
      </c>
      <c r="P474" s="19" t="s">
        <v>26</v>
      </c>
      <c r="Q474" s="19" t="str">
        <f>TRIM(SalesData[[#This Row],[Customer_Name]])</f>
        <v>Neha Verma</v>
      </c>
      <c r="R474" s="21">
        <f>SalesData[[#This Row],[Sales]]-SalesData[[#This Row],[Cost]]</f>
        <v>301.52999999999997</v>
      </c>
      <c r="S474" s="22">
        <f>IFERROR(SalesData[[#This Row],[Profit]]/SalesData[[#This Row],[Sales]],0)</f>
        <v>0.22118791399837148</v>
      </c>
      <c r="T474" s="19">
        <f>YEAR(SalesData[[#This Row],[Order_Date]])</f>
        <v>2024</v>
      </c>
      <c r="U474" s="19" t="str">
        <f>TEXT(SalesData[[#This Row],[Order_Date]],"mmm")</f>
        <v>Jun</v>
      </c>
      <c r="V474" s="19" t="str">
        <f>"Q"&amp;ROUNDUP(MONTH(SalesData[[#This Row],[Order_Date]])/3,0)</f>
        <v>Q2</v>
      </c>
      <c r="W474" s="19" t="str">
        <f>IF(SalesData[[#This Row],[Sales]]&gt;=50000,"High",IF(AND(SalesData[[#This Row],[Sales]]&gt;= 20000, SalesData[[#This Row],[Sales]]&lt; 50000),"Medium","Low"))</f>
        <v>Low</v>
      </c>
      <c r="X474" s="19" t="str">
        <f>IF(SalesData[[#This Row],[Profit]]&gt;0,"Profit","Loss")</f>
        <v>Profit</v>
      </c>
      <c r="Y474" s="19" t="str">
        <f>IF(AND(SalesData[[#This Row],[Sales]]&gt;= 50000, SalesData[[#This Row],[Quantity]]&gt;=2),"Yes","No")</f>
        <v>No</v>
      </c>
      <c r="Z474" s="19" t="str">
        <f>UPPER(SalesData[[#This Row],[Customer_Name]])</f>
        <v>NEHA VERMA</v>
      </c>
      <c r="AA474" s="19" t="str">
        <f>LOWER(SalesData[[#This Row],[Customer_Name]])</f>
        <v>neha verma</v>
      </c>
      <c r="AB474" s="19">
        <f>LEN(SalesData[[#This Row],[Customer_Name]])</f>
        <v>10</v>
      </c>
      <c r="AC474" s="19" t="str">
        <f>LEFT(SalesData[[#This Row],[Order_ID]],3)</f>
        <v>ORD</v>
      </c>
      <c r="AD474" s="19" t="str">
        <f>RIGHT(SalesData[[#This Row],[Order_ID]],4)</f>
        <v>0381</v>
      </c>
      <c r="AE474" s="19" t="str">
        <f>_xlfn.CONCAT(SalesData[[#This Row],[Clean_Customer_Name]],"-",SalesData[[#This Row],[Region]])</f>
        <v>Neha Verma-North</v>
      </c>
      <c r="AF474" s="19" t="str">
        <f>MID(SalesData[[#This Row],[Order_ID]],4,4)</f>
        <v>0381</v>
      </c>
      <c r="AG474" s="19" t="e">
        <f ca="1">_xlfn.SINGLE(_xlfn.XLOOKUP(SalesData[[#This Row],[Product]],Product_Master!A:A,Product_Master!B:B,"Not Found"))</f>
        <v>#NAME?</v>
      </c>
      <c r="AH474" s="19" t="str">
        <f>VLOOKUP(SalesData[[#This Row],[Product]],Product_Master!$A$1:$B$21,2,FALSE)</f>
        <v>Manish</v>
      </c>
      <c r="AI474" s="16"/>
    </row>
    <row r="475" spans="1:35" ht="13.8">
      <c r="A475" s="16" t="s">
        <v>757</v>
      </c>
      <c r="B475" s="17">
        <v>45663</v>
      </c>
      <c r="C475" s="16" t="s">
        <v>179</v>
      </c>
      <c r="D475" s="16" t="s">
        <v>180</v>
      </c>
      <c r="E475" s="16" t="s">
        <v>38</v>
      </c>
      <c r="F475" s="16" t="s">
        <v>39</v>
      </c>
      <c r="G475" s="16" t="s">
        <v>40</v>
      </c>
      <c r="H475" s="16" t="s">
        <v>41</v>
      </c>
      <c r="I475" s="16" t="s">
        <v>42</v>
      </c>
      <c r="J475" s="16" t="s">
        <v>68</v>
      </c>
      <c r="K475" s="18">
        <v>971.63</v>
      </c>
      <c r="L475" s="18">
        <v>502.38</v>
      </c>
      <c r="M475" s="19">
        <v>1</v>
      </c>
      <c r="N475" s="20">
        <v>0.2</v>
      </c>
      <c r="O475" s="19" t="s">
        <v>34</v>
      </c>
      <c r="P475" s="19" t="s">
        <v>58</v>
      </c>
      <c r="Q475" s="19" t="str">
        <f>TRIM(SalesData[[#This Row],[Customer_Name]])</f>
        <v>Neha Verma</v>
      </c>
      <c r="R475" s="21">
        <f>SalesData[[#This Row],[Sales]]-SalesData[[#This Row],[Cost]]</f>
        <v>469.25</v>
      </c>
      <c r="S475" s="22">
        <f>IFERROR(SalesData[[#This Row],[Profit]]/SalesData[[#This Row],[Sales]],0)</f>
        <v>0.48295132920967859</v>
      </c>
      <c r="T475" s="19">
        <f>YEAR(SalesData[[#This Row],[Order_Date]])</f>
        <v>2025</v>
      </c>
      <c r="U475" s="19" t="str">
        <f>TEXT(SalesData[[#This Row],[Order_Date]],"mmm")</f>
        <v>Jan</v>
      </c>
      <c r="V475" s="19" t="str">
        <f>"Q"&amp;ROUNDUP(MONTH(SalesData[[#This Row],[Order_Date]])/3,0)</f>
        <v>Q1</v>
      </c>
      <c r="W475" s="19" t="str">
        <f>IF(SalesData[[#This Row],[Sales]]&gt;=50000,"High",IF(AND(SalesData[[#This Row],[Sales]]&gt;= 20000, SalesData[[#This Row],[Sales]]&lt; 50000),"Medium","Low"))</f>
        <v>Low</v>
      </c>
      <c r="X475" s="19" t="str">
        <f>IF(SalesData[[#This Row],[Profit]]&gt;0,"Profit","Loss")</f>
        <v>Profit</v>
      </c>
      <c r="Y475" s="19" t="str">
        <f>IF(AND(SalesData[[#This Row],[Sales]]&gt;= 50000, SalesData[[#This Row],[Quantity]]&gt;=2),"Yes","No")</f>
        <v>No</v>
      </c>
      <c r="Z475" s="19" t="str">
        <f>UPPER(SalesData[[#This Row],[Customer_Name]])</f>
        <v>NEHA VERMA</v>
      </c>
      <c r="AA475" s="19" t="str">
        <f>LOWER(SalesData[[#This Row],[Customer_Name]])</f>
        <v>neha verma</v>
      </c>
      <c r="AB475" s="19">
        <f>LEN(SalesData[[#This Row],[Customer_Name]])</f>
        <v>10</v>
      </c>
      <c r="AC475" s="19" t="str">
        <f>LEFT(SalesData[[#This Row],[Order_ID]],3)</f>
        <v>ORD</v>
      </c>
      <c r="AD475" s="19" t="str">
        <f>RIGHT(SalesData[[#This Row],[Order_ID]],4)</f>
        <v>0604</v>
      </c>
      <c r="AE475" s="19" t="str">
        <f>_xlfn.CONCAT(SalesData[[#This Row],[Clean_Customer_Name]],"-",SalesData[[#This Row],[Region]])</f>
        <v>Neha Verma-East</v>
      </c>
      <c r="AF475" s="19" t="str">
        <f>MID(SalesData[[#This Row],[Order_ID]],4,4)</f>
        <v>0604</v>
      </c>
      <c r="AG475" s="19" t="e">
        <f ca="1">_xlfn.SINGLE(_xlfn.XLOOKUP(SalesData[[#This Row],[Product]],Product_Master!A:A,Product_Master!B:B,"Not Found"))</f>
        <v>#NAME?</v>
      </c>
      <c r="AH475" s="19" t="str">
        <f>VLOOKUP(SalesData[[#This Row],[Product]],Product_Master!$A$1:$B$21,2,FALSE)</f>
        <v>Manish</v>
      </c>
      <c r="AI475" s="16"/>
    </row>
    <row r="476" spans="1:35" ht="13.8">
      <c r="A476" s="16" t="s">
        <v>979</v>
      </c>
      <c r="B476" s="17">
        <v>45874</v>
      </c>
      <c r="C476" s="16" t="s">
        <v>179</v>
      </c>
      <c r="D476" s="16" t="s">
        <v>180</v>
      </c>
      <c r="E476" s="16" t="s">
        <v>38</v>
      </c>
      <c r="F476" s="16" t="s">
        <v>39</v>
      </c>
      <c r="G476" s="16" t="s">
        <v>40</v>
      </c>
      <c r="H476" s="16" t="s">
        <v>41</v>
      </c>
      <c r="I476" s="16" t="s">
        <v>42</v>
      </c>
      <c r="J476" s="16" t="s">
        <v>68</v>
      </c>
      <c r="K476" s="18">
        <v>3688.58</v>
      </c>
      <c r="L476" s="18">
        <v>1456.65</v>
      </c>
      <c r="M476" s="19">
        <v>3</v>
      </c>
      <c r="N476" s="20">
        <v>0.2</v>
      </c>
      <c r="O476" s="19" t="s">
        <v>25</v>
      </c>
      <c r="P476" s="19" t="s">
        <v>58</v>
      </c>
      <c r="Q476" s="19" t="str">
        <f>TRIM(SalesData[[#This Row],[Customer_Name]])</f>
        <v>Neha Verma</v>
      </c>
      <c r="R476" s="21">
        <f>SalesData[[#This Row],[Sales]]-SalesData[[#This Row],[Cost]]</f>
        <v>2231.9299999999998</v>
      </c>
      <c r="S476" s="22">
        <f>IFERROR(SalesData[[#This Row],[Profit]]/SalesData[[#This Row],[Sales]],0)</f>
        <v>0.60509193239674886</v>
      </c>
      <c r="T476" s="19">
        <f>YEAR(SalesData[[#This Row],[Order_Date]])</f>
        <v>2025</v>
      </c>
      <c r="U476" s="19" t="str">
        <f>TEXT(SalesData[[#This Row],[Order_Date]],"mmm")</f>
        <v>Aug</v>
      </c>
      <c r="V476" s="19" t="str">
        <f>"Q"&amp;ROUNDUP(MONTH(SalesData[[#This Row],[Order_Date]])/3,0)</f>
        <v>Q3</v>
      </c>
      <c r="W476" s="19" t="str">
        <f>IF(SalesData[[#This Row],[Sales]]&gt;=50000,"High",IF(AND(SalesData[[#This Row],[Sales]]&gt;= 20000, SalesData[[#This Row],[Sales]]&lt; 50000),"Medium","Low"))</f>
        <v>Low</v>
      </c>
      <c r="X476" s="19" t="str">
        <f>IF(SalesData[[#This Row],[Profit]]&gt;0,"Profit","Loss")</f>
        <v>Profit</v>
      </c>
      <c r="Y476" s="19" t="str">
        <f>IF(AND(SalesData[[#This Row],[Sales]]&gt;= 50000, SalesData[[#This Row],[Quantity]]&gt;=2),"Yes","No")</f>
        <v>No</v>
      </c>
      <c r="Z476" s="19" t="str">
        <f>UPPER(SalesData[[#This Row],[Customer_Name]])</f>
        <v>NEHA VERMA</v>
      </c>
      <c r="AA476" s="19" t="str">
        <f>LOWER(SalesData[[#This Row],[Customer_Name]])</f>
        <v>neha verma</v>
      </c>
      <c r="AB476" s="19">
        <f>LEN(SalesData[[#This Row],[Customer_Name]])</f>
        <v>10</v>
      </c>
      <c r="AC476" s="19" t="str">
        <f>LEFT(SalesData[[#This Row],[Order_ID]],3)</f>
        <v>ORD</v>
      </c>
      <c r="AD476" s="19" t="str">
        <f>RIGHT(SalesData[[#This Row],[Order_ID]],4)</f>
        <v>0826</v>
      </c>
      <c r="AE476" s="19" t="str">
        <f>_xlfn.CONCAT(SalesData[[#This Row],[Clean_Customer_Name]],"-",SalesData[[#This Row],[Region]])</f>
        <v>Neha Verma-East</v>
      </c>
      <c r="AF476" s="19" t="str">
        <f>MID(SalesData[[#This Row],[Order_ID]],4,4)</f>
        <v>0826</v>
      </c>
      <c r="AG476" s="19" t="e">
        <f ca="1">_xlfn.SINGLE(_xlfn.XLOOKUP(SalesData[[#This Row],[Product]],Product_Master!A:A,Product_Master!B:B,"Not Found"))</f>
        <v>#NAME?</v>
      </c>
      <c r="AH476" s="19" t="str">
        <f>VLOOKUP(SalesData[[#This Row],[Product]],Product_Master!$A$1:$B$21,2,FALSE)</f>
        <v>Manish</v>
      </c>
      <c r="AI476" s="16"/>
    </row>
    <row r="477" spans="1:35" ht="13.8">
      <c r="A477" s="16" t="s">
        <v>326</v>
      </c>
      <c r="B477" s="17">
        <v>45840</v>
      </c>
      <c r="C477" s="16" t="s">
        <v>179</v>
      </c>
      <c r="D477" s="16" t="s">
        <v>180</v>
      </c>
      <c r="E477" s="16" t="s">
        <v>87</v>
      </c>
      <c r="F477" s="16" t="s">
        <v>88</v>
      </c>
      <c r="G477" s="16" t="s">
        <v>89</v>
      </c>
      <c r="H477" s="16" t="s">
        <v>90</v>
      </c>
      <c r="I477" s="16" t="s">
        <v>42</v>
      </c>
      <c r="J477" s="16" t="s">
        <v>43</v>
      </c>
      <c r="K477" s="18">
        <v>3818.5</v>
      </c>
      <c r="L477" s="18">
        <v>1847.5</v>
      </c>
      <c r="M477" s="19">
        <v>1</v>
      </c>
      <c r="N477" s="20">
        <v>0.05</v>
      </c>
      <c r="O477" s="19" t="s">
        <v>44</v>
      </c>
      <c r="P477" s="19" t="s">
        <v>26</v>
      </c>
      <c r="Q477" s="19" t="str">
        <f>TRIM(SalesData[[#This Row],[Customer_Name]])</f>
        <v>Neha Verma</v>
      </c>
      <c r="R477" s="21">
        <f>SalesData[[#This Row],[Sales]]-SalesData[[#This Row],[Cost]]</f>
        <v>1971</v>
      </c>
      <c r="S477" s="22">
        <f>IFERROR(SalesData[[#This Row],[Profit]]/SalesData[[#This Row],[Sales]],0)</f>
        <v>0.51617127144166552</v>
      </c>
      <c r="T477" s="19">
        <f>YEAR(SalesData[[#This Row],[Order_Date]])</f>
        <v>2025</v>
      </c>
      <c r="U477" s="19" t="str">
        <f>TEXT(SalesData[[#This Row],[Order_Date]],"mmm")</f>
        <v>Jul</v>
      </c>
      <c r="V477" s="19" t="str">
        <f>"Q"&amp;ROUNDUP(MONTH(SalesData[[#This Row],[Order_Date]])/3,0)</f>
        <v>Q3</v>
      </c>
      <c r="W477" s="19" t="str">
        <f>IF(SalesData[[#This Row],[Sales]]&gt;=50000,"High",IF(AND(SalesData[[#This Row],[Sales]]&gt;= 20000, SalesData[[#This Row],[Sales]]&lt; 50000),"Medium","Low"))</f>
        <v>Low</v>
      </c>
      <c r="X477" s="19" t="str">
        <f>IF(SalesData[[#This Row],[Profit]]&gt;0,"Profit","Loss")</f>
        <v>Profit</v>
      </c>
      <c r="Y477" s="19" t="str">
        <f>IF(AND(SalesData[[#This Row],[Sales]]&gt;= 50000, SalesData[[#This Row],[Quantity]]&gt;=2),"Yes","No")</f>
        <v>No</v>
      </c>
      <c r="Z477" s="19" t="str">
        <f>UPPER(SalesData[[#This Row],[Customer_Name]])</f>
        <v>NEHA VERMA</v>
      </c>
      <c r="AA477" s="19" t="str">
        <f>LOWER(SalesData[[#This Row],[Customer_Name]])</f>
        <v>neha verma</v>
      </c>
      <c r="AB477" s="19">
        <f>LEN(SalesData[[#This Row],[Customer_Name]])</f>
        <v>10</v>
      </c>
      <c r="AC477" s="19" t="str">
        <f>LEFT(SalesData[[#This Row],[Order_ID]],3)</f>
        <v>ORD</v>
      </c>
      <c r="AD477" s="19" t="str">
        <f>RIGHT(SalesData[[#This Row],[Order_ID]],4)</f>
        <v>0173</v>
      </c>
      <c r="AE477" s="19" t="str">
        <f>_xlfn.CONCAT(SalesData[[#This Row],[Clean_Customer_Name]],"-",SalesData[[#This Row],[Region]])</f>
        <v>Neha Verma-East</v>
      </c>
      <c r="AF477" s="19" t="str">
        <f>MID(SalesData[[#This Row],[Order_ID]],4,4)</f>
        <v>0173</v>
      </c>
      <c r="AG477" s="19" t="e">
        <f ca="1">_xlfn.SINGLE(_xlfn.XLOOKUP(SalesData[[#This Row],[Product]],Product_Master!A:A,Product_Master!B:B,"Not Found"))</f>
        <v>#NAME?</v>
      </c>
      <c r="AH477" s="19" t="str">
        <f>VLOOKUP(SalesData[[#This Row],[Product]],Product_Master!$A$1:$B$21,2,FALSE)</f>
        <v>Rahul</v>
      </c>
      <c r="AI477" s="16"/>
    </row>
    <row r="478" spans="1:35" ht="13.8">
      <c r="A478" s="16" t="s">
        <v>1150</v>
      </c>
      <c r="B478" s="17">
        <v>45845</v>
      </c>
      <c r="C478" s="16" t="s">
        <v>179</v>
      </c>
      <c r="D478" s="16" t="s">
        <v>180</v>
      </c>
      <c r="E478" s="16" t="s">
        <v>87</v>
      </c>
      <c r="F478" s="16" t="s">
        <v>88</v>
      </c>
      <c r="G478" s="16" t="s">
        <v>89</v>
      </c>
      <c r="H478" s="16" t="s">
        <v>90</v>
      </c>
      <c r="I478" s="16" t="s">
        <v>42</v>
      </c>
      <c r="J478" s="16" t="s">
        <v>68</v>
      </c>
      <c r="K478" s="18">
        <v>5219.58</v>
      </c>
      <c r="L478" s="18">
        <v>3415.22</v>
      </c>
      <c r="M478" s="19">
        <v>2</v>
      </c>
      <c r="N478" s="20">
        <v>0</v>
      </c>
      <c r="O478" s="19" t="s">
        <v>25</v>
      </c>
      <c r="P478" s="19" t="s">
        <v>26</v>
      </c>
      <c r="Q478" s="19" t="str">
        <f>TRIM(SalesData[[#This Row],[Customer_Name]])</f>
        <v>Neha Verma</v>
      </c>
      <c r="R478" s="21">
        <f>SalesData[[#This Row],[Sales]]-SalesData[[#This Row],[Cost]]</f>
        <v>1804.3600000000001</v>
      </c>
      <c r="S478" s="22">
        <f>IFERROR(SalesData[[#This Row],[Profit]]/SalesData[[#This Row],[Sales]],0)</f>
        <v>0.34569064943922695</v>
      </c>
      <c r="T478" s="19">
        <f>YEAR(SalesData[[#This Row],[Order_Date]])</f>
        <v>2025</v>
      </c>
      <c r="U478" s="19" t="str">
        <f>TEXT(SalesData[[#This Row],[Order_Date]],"mmm")</f>
        <v>Jul</v>
      </c>
      <c r="V478" s="19" t="str">
        <f>"Q"&amp;ROUNDUP(MONTH(SalesData[[#This Row],[Order_Date]])/3,0)</f>
        <v>Q3</v>
      </c>
      <c r="W478" s="19" t="str">
        <f>IF(SalesData[[#This Row],[Sales]]&gt;=50000,"High",IF(AND(SalesData[[#This Row],[Sales]]&gt;= 20000, SalesData[[#This Row],[Sales]]&lt; 50000),"Medium","Low"))</f>
        <v>Low</v>
      </c>
      <c r="X478" s="19" t="str">
        <f>IF(SalesData[[#This Row],[Profit]]&gt;0,"Profit","Loss")</f>
        <v>Profit</v>
      </c>
      <c r="Y478" s="19" t="str">
        <f>IF(AND(SalesData[[#This Row],[Sales]]&gt;= 50000, SalesData[[#This Row],[Quantity]]&gt;=2),"Yes","No")</f>
        <v>No</v>
      </c>
      <c r="Z478" s="19" t="str">
        <f>UPPER(SalesData[[#This Row],[Customer_Name]])</f>
        <v>NEHA VERMA</v>
      </c>
      <c r="AA478" s="19" t="str">
        <f>LOWER(SalesData[[#This Row],[Customer_Name]])</f>
        <v>neha verma</v>
      </c>
      <c r="AB478" s="19">
        <f>LEN(SalesData[[#This Row],[Customer_Name]])</f>
        <v>10</v>
      </c>
      <c r="AC478" s="19" t="str">
        <f>LEFT(SalesData[[#This Row],[Order_ID]],3)</f>
        <v>ORD</v>
      </c>
      <c r="AD478" s="19" t="str">
        <f>RIGHT(SalesData[[#This Row],[Order_ID]],4)</f>
        <v>0997</v>
      </c>
      <c r="AE478" s="19" t="str">
        <f>_xlfn.CONCAT(SalesData[[#This Row],[Clean_Customer_Name]],"-",SalesData[[#This Row],[Region]])</f>
        <v>Neha Verma-East</v>
      </c>
      <c r="AF478" s="19" t="str">
        <f>MID(SalesData[[#This Row],[Order_ID]],4,4)</f>
        <v>0997</v>
      </c>
      <c r="AG478" s="19" t="e">
        <f ca="1">_xlfn.SINGLE(_xlfn.XLOOKUP(SalesData[[#This Row],[Product]],Product_Master!A:A,Product_Master!B:B,"Not Found"))</f>
        <v>#NAME?</v>
      </c>
      <c r="AH478" s="19" t="str">
        <f>VLOOKUP(SalesData[[#This Row],[Product]],Product_Master!$A$1:$B$21,2,FALSE)</f>
        <v>Rahul</v>
      </c>
      <c r="AI478" s="16"/>
    </row>
    <row r="479" spans="1:35" ht="13.8">
      <c r="A479" s="16" t="s">
        <v>348</v>
      </c>
      <c r="B479" s="17">
        <v>45603</v>
      </c>
      <c r="C479" s="16" t="s">
        <v>179</v>
      </c>
      <c r="D479" s="16" t="s">
        <v>180</v>
      </c>
      <c r="E479" s="16" t="s">
        <v>182</v>
      </c>
      <c r="F479" s="16" t="s">
        <v>183</v>
      </c>
      <c r="G479" s="16" t="s">
        <v>89</v>
      </c>
      <c r="H479" s="16" t="s">
        <v>90</v>
      </c>
      <c r="I479" s="16" t="s">
        <v>23</v>
      </c>
      <c r="J479" s="16" t="s">
        <v>75</v>
      </c>
      <c r="K479" s="18">
        <v>25697.29</v>
      </c>
      <c r="L479" s="18">
        <v>11188.72</v>
      </c>
      <c r="M479" s="19">
        <v>2</v>
      </c>
      <c r="N479" s="20">
        <v>0.05</v>
      </c>
      <c r="O479" s="19" t="s">
        <v>44</v>
      </c>
      <c r="P479" s="19" t="s">
        <v>45</v>
      </c>
      <c r="Q479" s="19" t="str">
        <f>TRIM(SalesData[[#This Row],[Customer_Name]])</f>
        <v>Neha Verma</v>
      </c>
      <c r="R479" s="21">
        <f>SalesData[[#This Row],[Sales]]-SalesData[[#This Row],[Cost]]</f>
        <v>14508.570000000002</v>
      </c>
      <c r="S479" s="22">
        <f>IFERROR(SalesData[[#This Row],[Profit]]/SalesData[[#This Row],[Sales]],0)</f>
        <v>0.56459533281525021</v>
      </c>
      <c r="T479" s="19">
        <f>YEAR(SalesData[[#This Row],[Order_Date]])</f>
        <v>2024</v>
      </c>
      <c r="U479" s="19" t="str">
        <f>TEXT(SalesData[[#This Row],[Order_Date]],"mmm")</f>
        <v>Nov</v>
      </c>
      <c r="V479" s="19" t="str">
        <f>"Q"&amp;ROUNDUP(MONTH(SalesData[[#This Row],[Order_Date]])/3,0)</f>
        <v>Q4</v>
      </c>
      <c r="W479" s="19" t="str">
        <f>IF(SalesData[[#This Row],[Sales]]&gt;=50000,"High",IF(AND(SalesData[[#This Row],[Sales]]&gt;= 20000, SalesData[[#This Row],[Sales]]&lt; 50000),"Medium","Low"))</f>
        <v>Medium</v>
      </c>
      <c r="X479" s="19" t="str">
        <f>IF(SalesData[[#This Row],[Profit]]&gt;0,"Profit","Loss")</f>
        <v>Profit</v>
      </c>
      <c r="Y479" s="19" t="str">
        <f>IF(AND(SalesData[[#This Row],[Sales]]&gt;= 50000, SalesData[[#This Row],[Quantity]]&gt;=2),"Yes","No")</f>
        <v>No</v>
      </c>
      <c r="Z479" s="19" t="str">
        <f>UPPER(SalesData[[#This Row],[Customer_Name]])</f>
        <v>NEHA VERMA</v>
      </c>
      <c r="AA479" s="19" t="str">
        <f>LOWER(SalesData[[#This Row],[Customer_Name]])</f>
        <v>neha verma</v>
      </c>
      <c r="AB479" s="19">
        <f>LEN(SalesData[[#This Row],[Customer_Name]])</f>
        <v>10</v>
      </c>
      <c r="AC479" s="19" t="str">
        <f>LEFT(SalesData[[#This Row],[Order_ID]],3)</f>
        <v>ORD</v>
      </c>
      <c r="AD479" s="19" t="str">
        <f>RIGHT(SalesData[[#This Row],[Order_ID]],4)</f>
        <v>0195</v>
      </c>
      <c r="AE479" s="19" t="str">
        <f>_xlfn.CONCAT(SalesData[[#This Row],[Clean_Customer_Name]],"-",SalesData[[#This Row],[Region]])</f>
        <v>Neha Verma-North</v>
      </c>
      <c r="AF479" s="19" t="str">
        <f>MID(SalesData[[#This Row],[Order_ID]],4,4)</f>
        <v>0195</v>
      </c>
      <c r="AG479" s="19" t="e">
        <f ca="1">_xlfn.SINGLE(_xlfn.XLOOKUP(SalesData[[#This Row],[Product]],Product_Master!A:A,Product_Master!B:B,"Not Found"))</f>
        <v>#NAME?</v>
      </c>
      <c r="AH479" s="19" t="str">
        <f>VLOOKUP(SalesData[[#This Row],[Product]],Product_Master!$A$1:$B$21,2,FALSE)</f>
        <v>Priya</v>
      </c>
      <c r="AI479" s="16"/>
    </row>
    <row r="480" spans="1:35" ht="13.8">
      <c r="A480" s="16" t="s">
        <v>907</v>
      </c>
      <c r="B480" s="17">
        <v>45799</v>
      </c>
      <c r="C480" s="16" t="s">
        <v>179</v>
      </c>
      <c r="D480" s="16" t="s">
        <v>180</v>
      </c>
      <c r="E480" s="16" t="s">
        <v>182</v>
      </c>
      <c r="F480" s="16" t="s">
        <v>183</v>
      </c>
      <c r="G480" s="16" t="s">
        <v>89</v>
      </c>
      <c r="H480" s="16" t="s">
        <v>90</v>
      </c>
      <c r="I480" s="16" t="s">
        <v>23</v>
      </c>
      <c r="J480" s="16" t="s">
        <v>75</v>
      </c>
      <c r="K480" s="18">
        <v>32327.759999999998</v>
      </c>
      <c r="L480" s="18">
        <v>18737.04</v>
      </c>
      <c r="M480" s="19">
        <v>3</v>
      </c>
      <c r="N480" s="20">
        <v>0</v>
      </c>
      <c r="O480" s="19" t="s">
        <v>25</v>
      </c>
      <c r="P480" s="19" t="s">
        <v>77</v>
      </c>
      <c r="Q480" s="19" t="str">
        <f>TRIM(SalesData[[#This Row],[Customer_Name]])</f>
        <v>Neha Verma</v>
      </c>
      <c r="R480" s="21">
        <f>SalesData[[#This Row],[Sales]]-SalesData[[#This Row],[Cost]]</f>
        <v>13590.719999999998</v>
      </c>
      <c r="S480" s="22">
        <f>IFERROR(SalesData[[#This Row],[Profit]]/SalesData[[#This Row],[Sales]],0)</f>
        <v>0.42040401190803195</v>
      </c>
      <c r="T480" s="19">
        <f>YEAR(SalesData[[#This Row],[Order_Date]])</f>
        <v>2025</v>
      </c>
      <c r="U480" s="19" t="str">
        <f>TEXT(SalesData[[#This Row],[Order_Date]],"mmm")</f>
        <v>May</v>
      </c>
      <c r="V480" s="19" t="str">
        <f>"Q"&amp;ROUNDUP(MONTH(SalesData[[#This Row],[Order_Date]])/3,0)</f>
        <v>Q2</v>
      </c>
      <c r="W480" s="19" t="str">
        <f>IF(SalesData[[#This Row],[Sales]]&gt;=50000,"High",IF(AND(SalesData[[#This Row],[Sales]]&gt;= 20000, SalesData[[#This Row],[Sales]]&lt; 50000),"Medium","Low"))</f>
        <v>Medium</v>
      </c>
      <c r="X480" s="19" t="str">
        <f>IF(SalesData[[#This Row],[Profit]]&gt;0,"Profit","Loss")</f>
        <v>Profit</v>
      </c>
      <c r="Y480" s="19" t="str">
        <f>IF(AND(SalesData[[#This Row],[Sales]]&gt;= 50000, SalesData[[#This Row],[Quantity]]&gt;=2),"Yes","No")</f>
        <v>No</v>
      </c>
      <c r="Z480" s="19" t="str">
        <f>UPPER(SalesData[[#This Row],[Customer_Name]])</f>
        <v>NEHA VERMA</v>
      </c>
      <c r="AA480" s="19" t="str">
        <f>LOWER(SalesData[[#This Row],[Customer_Name]])</f>
        <v>neha verma</v>
      </c>
      <c r="AB480" s="19">
        <f>LEN(SalesData[[#This Row],[Customer_Name]])</f>
        <v>10</v>
      </c>
      <c r="AC480" s="19" t="str">
        <f>LEFT(SalesData[[#This Row],[Order_ID]],3)</f>
        <v>ORD</v>
      </c>
      <c r="AD480" s="19" t="str">
        <f>RIGHT(SalesData[[#This Row],[Order_ID]],4)</f>
        <v>0754</v>
      </c>
      <c r="AE480" s="19" t="str">
        <f>_xlfn.CONCAT(SalesData[[#This Row],[Clean_Customer_Name]],"-",SalesData[[#This Row],[Region]])</f>
        <v>Neha Verma-North</v>
      </c>
      <c r="AF480" s="19" t="str">
        <f>MID(SalesData[[#This Row],[Order_ID]],4,4)</f>
        <v>0754</v>
      </c>
      <c r="AG480" s="19" t="e">
        <f ca="1">_xlfn.SINGLE(_xlfn.XLOOKUP(SalesData[[#This Row],[Product]],Product_Master!A:A,Product_Master!B:B,"Not Found"))</f>
        <v>#NAME?</v>
      </c>
      <c r="AH480" s="19" t="str">
        <f>VLOOKUP(SalesData[[#This Row],[Product]],Product_Master!$A$1:$B$21,2,FALSE)</f>
        <v>Priya</v>
      </c>
      <c r="AI480" s="16"/>
    </row>
    <row r="481" spans="1:35" ht="13.8">
      <c r="A481" s="16" t="s">
        <v>311</v>
      </c>
      <c r="B481" s="17">
        <v>45687</v>
      </c>
      <c r="C481" s="16" t="s">
        <v>179</v>
      </c>
      <c r="D481" s="16" t="s">
        <v>180</v>
      </c>
      <c r="E481" s="16" t="s">
        <v>187</v>
      </c>
      <c r="F481" s="16" t="s">
        <v>188</v>
      </c>
      <c r="G481" s="16" t="s">
        <v>89</v>
      </c>
      <c r="H481" s="16" t="s">
        <v>189</v>
      </c>
      <c r="I481" s="16" t="s">
        <v>42</v>
      </c>
      <c r="J481" s="16" t="s">
        <v>68</v>
      </c>
      <c r="K481" s="18">
        <v>28763.3</v>
      </c>
      <c r="L481" s="18">
        <v>15681.6</v>
      </c>
      <c r="M481" s="19">
        <v>3</v>
      </c>
      <c r="N481" s="20">
        <v>0.2</v>
      </c>
      <c r="O481" s="19" t="s">
        <v>76</v>
      </c>
      <c r="P481" s="19" t="s">
        <v>77</v>
      </c>
      <c r="Q481" s="19" t="str">
        <f>TRIM(SalesData[[#This Row],[Customer_Name]])</f>
        <v>Neha Verma</v>
      </c>
      <c r="R481" s="21">
        <f>SalesData[[#This Row],[Sales]]-SalesData[[#This Row],[Cost]]</f>
        <v>13081.699999999999</v>
      </c>
      <c r="S481" s="22">
        <f>IFERROR(SalesData[[#This Row],[Profit]]/SalesData[[#This Row],[Sales]],0)</f>
        <v>0.45480525530797922</v>
      </c>
      <c r="T481" s="19">
        <f>YEAR(SalesData[[#This Row],[Order_Date]])</f>
        <v>2025</v>
      </c>
      <c r="U481" s="19" t="str">
        <f>TEXT(SalesData[[#This Row],[Order_Date]],"mmm")</f>
        <v>Jan</v>
      </c>
      <c r="V481" s="19" t="str">
        <f>"Q"&amp;ROUNDUP(MONTH(SalesData[[#This Row],[Order_Date]])/3,0)</f>
        <v>Q1</v>
      </c>
      <c r="W481" s="19" t="str">
        <f>IF(SalesData[[#This Row],[Sales]]&gt;=50000,"High",IF(AND(SalesData[[#This Row],[Sales]]&gt;= 20000, SalesData[[#This Row],[Sales]]&lt; 50000),"Medium","Low"))</f>
        <v>Medium</v>
      </c>
      <c r="X481" s="19" t="str">
        <f>IF(SalesData[[#This Row],[Profit]]&gt;0,"Profit","Loss")</f>
        <v>Profit</v>
      </c>
      <c r="Y481" s="19" t="str">
        <f>IF(AND(SalesData[[#This Row],[Sales]]&gt;= 50000, SalesData[[#This Row],[Quantity]]&gt;=2),"Yes","No")</f>
        <v>No</v>
      </c>
      <c r="Z481" s="19" t="str">
        <f>UPPER(SalesData[[#This Row],[Customer_Name]])</f>
        <v>NEHA VERMA</v>
      </c>
      <c r="AA481" s="19" t="str">
        <f>LOWER(SalesData[[#This Row],[Customer_Name]])</f>
        <v>neha verma</v>
      </c>
      <c r="AB481" s="19">
        <f>LEN(SalesData[[#This Row],[Customer_Name]])</f>
        <v>10</v>
      </c>
      <c r="AC481" s="19" t="str">
        <f>LEFT(SalesData[[#This Row],[Order_ID]],3)</f>
        <v>ORD</v>
      </c>
      <c r="AD481" s="19" t="str">
        <f>RIGHT(SalesData[[#This Row],[Order_ID]],4)</f>
        <v>0158</v>
      </c>
      <c r="AE481" s="19" t="str">
        <f>_xlfn.CONCAT(SalesData[[#This Row],[Clean_Customer_Name]],"-",SalesData[[#This Row],[Region]])</f>
        <v>Neha Verma-East</v>
      </c>
      <c r="AF481" s="19" t="str">
        <f>MID(SalesData[[#This Row],[Order_ID]],4,4)</f>
        <v>0158</v>
      </c>
      <c r="AG481" s="19" t="e">
        <f ca="1">_xlfn.SINGLE(_xlfn.XLOOKUP(SalesData[[#This Row],[Product]],Product_Master!A:A,Product_Master!B:B,"Not Found"))</f>
        <v>#NAME?</v>
      </c>
      <c r="AH481" s="19" t="str">
        <f>VLOOKUP(SalesData[[#This Row],[Product]],Product_Master!$A$1:$B$21,2,FALSE)</f>
        <v>Amit</v>
      </c>
      <c r="AI481" s="16"/>
    </row>
    <row r="482" spans="1:35" ht="13.8">
      <c r="A482" s="16" t="s">
        <v>396</v>
      </c>
      <c r="B482" s="17">
        <v>45503</v>
      </c>
      <c r="C482" s="16" t="s">
        <v>155</v>
      </c>
      <c r="D482" s="16" t="s">
        <v>156</v>
      </c>
      <c r="E482" s="16" t="s">
        <v>30</v>
      </c>
      <c r="F482" s="16" t="s">
        <v>31</v>
      </c>
      <c r="G482" s="16" t="s">
        <v>21</v>
      </c>
      <c r="H482" s="16" t="s">
        <v>32</v>
      </c>
      <c r="I482" s="16" t="s">
        <v>84</v>
      </c>
      <c r="J482" s="16" t="s">
        <v>85</v>
      </c>
      <c r="K482" s="18">
        <v>43309.919999999998</v>
      </c>
      <c r="L482" s="18">
        <v>44168.61</v>
      </c>
      <c r="M482" s="19">
        <v>1</v>
      </c>
      <c r="N482" s="20">
        <v>0.2</v>
      </c>
      <c r="O482" s="19" t="s">
        <v>25</v>
      </c>
      <c r="P482" s="19" t="s">
        <v>58</v>
      </c>
      <c r="Q482" s="19" t="str">
        <f>TRIM(SalesData[[#This Row],[Customer_Name]])</f>
        <v>Meera Reddy</v>
      </c>
      <c r="R482" s="21">
        <f>SalesData[[#This Row],[Sales]]-SalesData[[#This Row],[Cost]]</f>
        <v>-858.69000000000233</v>
      </c>
      <c r="S482" s="22">
        <f>IFERROR(SalesData[[#This Row],[Profit]]/SalesData[[#This Row],[Sales]],0)</f>
        <v>-1.9826635560629122E-2</v>
      </c>
      <c r="T482" s="19">
        <f>YEAR(SalesData[[#This Row],[Order_Date]])</f>
        <v>2024</v>
      </c>
      <c r="U482" s="19" t="str">
        <f>TEXT(SalesData[[#This Row],[Order_Date]],"mmm")</f>
        <v>Jul</v>
      </c>
      <c r="V482" s="19" t="str">
        <f>"Q"&amp;ROUNDUP(MONTH(SalesData[[#This Row],[Order_Date]])/3,0)</f>
        <v>Q3</v>
      </c>
      <c r="W482" s="19" t="str">
        <f>IF(SalesData[[#This Row],[Sales]]&gt;=50000,"High",IF(AND(SalesData[[#This Row],[Sales]]&gt;= 20000, SalesData[[#This Row],[Sales]]&lt; 50000),"Medium","Low"))</f>
        <v>Medium</v>
      </c>
      <c r="X482" s="19" t="str">
        <f>IF(SalesData[[#This Row],[Profit]]&gt;0,"Profit","Loss")</f>
        <v>Loss</v>
      </c>
      <c r="Y482" s="19" t="str">
        <f>IF(AND(SalesData[[#This Row],[Sales]]&gt;= 50000, SalesData[[#This Row],[Quantity]]&gt;=2),"Yes","No")</f>
        <v>No</v>
      </c>
      <c r="Z482" s="19" t="str">
        <f>UPPER(SalesData[[#This Row],[Customer_Name]])</f>
        <v>MEERA REDDY</v>
      </c>
      <c r="AA482" s="19" t="str">
        <f>LOWER(SalesData[[#This Row],[Customer_Name]])</f>
        <v>meera reddy</v>
      </c>
      <c r="AB482" s="19">
        <f>LEN(SalesData[[#This Row],[Customer_Name]])</f>
        <v>11</v>
      </c>
      <c r="AC482" s="19" t="str">
        <f>LEFT(SalesData[[#This Row],[Order_ID]],3)</f>
        <v>ORD</v>
      </c>
      <c r="AD482" s="19" t="str">
        <f>RIGHT(SalesData[[#This Row],[Order_ID]],4)</f>
        <v>0243</v>
      </c>
      <c r="AE482" s="19" t="str">
        <f>_xlfn.CONCAT(SalesData[[#This Row],[Clean_Customer_Name]],"-",SalesData[[#This Row],[Region]])</f>
        <v>Meera Reddy-South</v>
      </c>
      <c r="AF482" s="19" t="str">
        <f>MID(SalesData[[#This Row],[Order_ID]],4,4)</f>
        <v>0243</v>
      </c>
      <c r="AG482" s="19" t="e">
        <f ca="1">_xlfn.SINGLE(_xlfn.XLOOKUP(SalesData[[#This Row],[Product]],Product_Master!A:A,Product_Master!B:B,"Not Found"))</f>
        <v>#NAME?</v>
      </c>
      <c r="AH482" s="19" t="str">
        <f>VLOOKUP(SalesData[[#This Row],[Product]],Product_Master!$A$1:$B$21,2,FALSE)</f>
        <v>Rahul</v>
      </c>
      <c r="AI482" s="16"/>
    </row>
    <row r="483" spans="1:35" ht="13.8">
      <c r="A483" s="16" t="s">
        <v>970</v>
      </c>
      <c r="B483" s="17">
        <v>45336</v>
      </c>
      <c r="C483" s="16" t="s">
        <v>155</v>
      </c>
      <c r="D483" s="16" t="s">
        <v>156</v>
      </c>
      <c r="E483" s="16" t="s">
        <v>30</v>
      </c>
      <c r="F483" s="16" t="s">
        <v>31</v>
      </c>
      <c r="G483" s="16" t="s">
        <v>21</v>
      </c>
      <c r="H483" s="16" t="s">
        <v>32</v>
      </c>
      <c r="I483" s="16" t="s">
        <v>84</v>
      </c>
      <c r="J483" s="16" t="s">
        <v>134</v>
      </c>
      <c r="K483" s="18">
        <v>229648.2</v>
      </c>
      <c r="L483" s="18">
        <v>261643</v>
      </c>
      <c r="M483" s="19">
        <v>5</v>
      </c>
      <c r="N483" s="20">
        <v>0.2</v>
      </c>
      <c r="O483" s="19" t="s">
        <v>76</v>
      </c>
      <c r="P483" s="19" t="s">
        <v>58</v>
      </c>
      <c r="Q483" s="19" t="str">
        <f>TRIM(SalesData[[#This Row],[Customer_Name]])</f>
        <v>Meera Reddy</v>
      </c>
      <c r="R483" s="21">
        <f>SalesData[[#This Row],[Sales]]-SalesData[[#This Row],[Cost]]</f>
        <v>-31994.799999999988</v>
      </c>
      <c r="S483" s="22">
        <f>IFERROR(SalesData[[#This Row],[Profit]]/SalesData[[#This Row],[Sales]],0)</f>
        <v>-0.13932092653023184</v>
      </c>
      <c r="T483" s="19">
        <f>YEAR(SalesData[[#This Row],[Order_Date]])</f>
        <v>2024</v>
      </c>
      <c r="U483" s="19" t="str">
        <f>TEXT(SalesData[[#This Row],[Order_Date]],"mmm")</f>
        <v>Feb</v>
      </c>
      <c r="V483" s="19" t="str">
        <f>"Q"&amp;ROUNDUP(MONTH(SalesData[[#This Row],[Order_Date]])/3,0)</f>
        <v>Q1</v>
      </c>
      <c r="W483" s="19" t="str">
        <f>IF(SalesData[[#This Row],[Sales]]&gt;=50000,"High",IF(AND(SalesData[[#This Row],[Sales]]&gt;= 20000, SalesData[[#This Row],[Sales]]&lt; 50000),"Medium","Low"))</f>
        <v>High</v>
      </c>
      <c r="X483" s="19" t="str">
        <f>IF(SalesData[[#This Row],[Profit]]&gt;0,"Profit","Loss")</f>
        <v>Loss</v>
      </c>
      <c r="Y483" s="19" t="str">
        <f>IF(AND(SalesData[[#This Row],[Sales]]&gt;= 50000, SalesData[[#This Row],[Quantity]]&gt;=2),"Yes","No")</f>
        <v>Yes</v>
      </c>
      <c r="Z483" s="19" t="str">
        <f>UPPER(SalesData[[#This Row],[Customer_Name]])</f>
        <v>MEERA REDDY</v>
      </c>
      <c r="AA483" s="19" t="str">
        <f>LOWER(SalesData[[#This Row],[Customer_Name]])</f>
        <v>meera reddy</v>
      </c>
      <c r="AB483" s="19">
        <f>LEN(SalesData[[#This Row],[Customer_Name]])</f>
        <v>11</v>
      </c>
      <c r="AC483" s="19" t="str">
        <f>LEFT(SalesData[[#This Row],[Order_ID]],3)</f>
        <v>ORD</v>
      </c>
      <c r="AD483" s="19" t="str">
        <f>RIGHT(SalesData[[#This Row],[Order_ID]],4)</f>
        <v>0817</v>
      </c>
      <c r="AE483" s="19" t="str">
        <f>_xlfn.CONCAT(SalesData[[#This Row],[Clean_Customer_Name]],"-",SalesData[[#This Row],[Region]])</f>
        <v>Meera Reddy-South</v>
      </c>
      <c r="AF483" s="19" t="str">
        <f>MID(SalesData[[#This Row],[Order_ID]],4,4)</f>
        <v>0817</v>
      </c>
      <c r="AG483" s="19" t="e">
        <f ca="1">_xlfn.SINGLE(_xlfn.XLOOKUP(SalesData[[#This Row],[Product]],Product_Master!A:A,Product_Master!B:B,"Not Found"))</f>
        <v>#NAME?</v>
      </c>
      <c r="AH483" s="19" t="str">
        <f>VLOOKUP(SalesData[[#This Row],[Product]],Product_Master!$A$1:$B$21,2,FALSE)</f>
        <v>Rahul</v>
      </c>
      <c r="AI483" s="16"/>
    </row>
    <row r="484" spans="1:35" ht="13.8">
      <c r="A484" s="16" t="s">
        <v>542</v>
      </c>
      <c r="B484" s="17">
        <v>45744</v>
      </c>
      <c r="C484" s="16" t="s">
        <v>155</v>
      </c>
      <c r="D484" s="16" t="s">
        <v>156</v>
      </c>
      <c r="E484" s="16" t="s">
        <v>62</v>
      </c>
      <c r="F484" s="16" t="s">
        <v>63</v>
      </c>
      <c r="G484" s="16" t="s">
        <v>21</v>
      </c>
      <c r="H484" s="16" t="s">
        <v>64</v>
      </c>
      <c r="I484" s="16" t="s">
        <v>84</v>
      </c>
      <c r="J484" s="16" t="s">
        <v>85</v>
      </c>
      <c r="K484" s="18">
        <v>6530.97</v>
      </c>
      <c r="L484" s="18">
        <v>3897.68</v>
      </c>
      <c r="M484" s="19">
        <v>2</v>
      </c>
      <c r="N484" s="20">
        <v>0.15</v>
      </c>
      <c r="O484" s="19" t="s">
        <v>34</v>
      </c>
      <c r="P484" s="19" t="s">
        <v>77</v>
      </c>
      <c r="Q484" s="19" t="str">
        <f>TRIM(SalesData[[#This Row],[Customer_Name]])</f>
        <v>Meera Reddy</v>
      </c>
      <c r="R484" s="21">
        <f>SalesData[[#This Row],[Sales]]-SalesData[[#This Row],[Cost]]</f>
        <v>2633.2900000000004</v>
      </c>
      <c r="S484" s="22">
        <f>IFERROR(SalesData[[#This Row],[Profit]]/SalesData[[#This Row],[Sales]],0)</f>
        <v>0.40320044342570865</v>
      </c>
      <c r="T484" s="19">
        <f>YEAR(SalesData[[#This Row],[Order_Date]])</f>
        <v>2025</v>
      </c>
      <c r="U484" s="19" t="str">
        <f>TEXT(SalesData[[#This Row],[Order_Date]],"mmm")</f>
        <v>Mar</v>
      </c>
      <c r="V484" s="19" t="str">
        <f>"Q"&amp;ROUNDUP(MONTH(SalesData[[#This Row],[Order_Date]])/3,0)</f>
        <v>Q1</v>
      </c>
      <c r="W484" s="19" t="str">
        <f>IF(SalesData[[#This Row],[Sales]]&gt;=50000,"High",IF(AND(SalesData[[#This Row],[Sales]]&gt;= 20000, SalesData[[#This Row],[Sales]]&lt; 50000),"Medium","Low"))</f>
        <v>Low</v>
      </c>
      <c r="X484" s="19" t="str">
        <f>IF(SalesData[[#This Row],[Profit]]&gt;0,"Profit","Loss")</f>
        <v>Profit</v>
      </c>
      <c r="Y484" s="19" t="str">
        <f>IF(AND(SalesData[[#This Row],[Sales]]&gt;= 50000, SalesData[[#This Row],[Quantity]]&gt;=2),"Yes","No")</f>
        <v>No</v>
      </c>
      <c r="Z484" s="19" t="str">
        <f>UPPER(SalesData[[#This Row],[Customer_Name]])</f>
        <v>MEERA REDDY</v>
      </c>
      <c r="AA484" s="19" t="str">
        <f>LOWER(SalesData[[#This Row],[Customer_Name]])</f>
        <v>meera reddy</v>
      </c>
      <c r="AB484" s="19">
        <f>LEN(SalesData[[#This Row],[Customer_Name]])</f>
        <v>11</v>
      </c>
      <c r="AC484" s="19" t="str">
        <f>LEFT(SalesData[[#This Row],[Order_ID]],3)</f>
        <v>ORD</v>
      </c>
      <c r="AD484" s="19" t="str">
        <f>RIGHT(SalesData[[#This Row],[Order_ID]],4)</f>
        <v>0389</v>
      </c>
      <c r="AE484" s="19" t="str">
        <f>_xlfn.CONCAT(SalesData[[#This Row],[Clean_Customer_Name]],"-",SalesData[[#This Row],[Region]])</f>
        <v>Meera Reddy-South</v>
      </c>
      <c r="AF484" s="19" t="str">
        <f>MID(SalesData[[#This Row],[Order_ID]],4,4)</f>
        <v>0389</v>
      </c>
      <c r="AG484" s="19" t="e">
        <f ca="1">_xlfn.SINGLE(_xlfn.XLOOKUP(SalesData[[#This Row],[Product]],Product_Master!A:A,Product_Master!B:B,"Not Found"))</f>
        <v>#NAME?</v>
      </c>
      <c r="AH484" s="19" t="str">
        <f>VLOOKUP(SalesData[[#This Row],[Product]],Product_Master!$A$1:$B$21,2,FALSE)</f>
        <v>Amit</v>
      </c>
      <c r="AI484" s="16"/>
    </row>
    <row r="485" spans="1:35" ht="13.8">
      <c r="A485" s="16" t="s">
        <v>623</v>
      </c>
      <c r="B485" s="17">
        <v>45617</v>
      </c>
      <c r="C485" s="16" t="s">
        <v>155</v>
      </c>
      <c r="D485" s="16" t="s">
        <v>156</v>
      </c>
      <c r="E485" s="16" t="s">
        <v>62</v>
      </c>
      <c r="F485" s="16" t="s">
        <v>63</v>
      </c>
      <c r="G485" s="16" t="s">
        <v>21</v>
      </c>
      <c r="H485" s="16" t="s">
        <v>64</v>
      </c>
      <c r="I485" s="16" t="s">
        <v>84</v>
      </c>
      <c r="J485" s="16" t="s">
        <v>85</v>
      </c>
      <c r="K485" s="18">
        <v>17206.849999999999</v>
      </c>
      <c r="L485" s="18">
        <v>7128.92</v>
      </c>
      <c r="M485" s="19">
        <v>4</v>
      </c>
      <c r="N485" s="20">
        <v>0.1</v>
      </c>
      <c r="O485" s="19" t="s">
        <v>34</v>
      </c>
      <c r="P485" s="19" t="s">
        <v>58</v>
      </c>
      <c r="Q485" s="19" t="str">
        <f>TRIM(SalesData[[#This Row],[Customer_Name]])</f>
        <v>Meera Reddy</v>
      </c>
      <c r="R485" s="21">
        <f>SalesData[[#This Row],[Sales]]-SalesData[[#This Row],[Cost]]</f>
        <v>10077.929999999998</v>
      </c>
      <c r="S485" s="22">
        <f>IFERROR(SalesData[[#This Row],[Profit]]/SalesData[[#This Row],[Sales]],0)</f>
        <v>0.58569290718521982</v>
      </c>
      <c r="T485" s="19">
        <f>YEAR(SalesData[[#This Row],[Order_Date]])</f>
        <v>2024</v>
      </c>
      <c r="U485" s="19" t="str">
        <f>TEXT(SalesData[[#This Row],[Order_Date]],"mmm")</f>
        <v>Nov</v>
      </c>
      <c r="V485" s="19" t="str">
        <f>"Q"&amp;ROUNDUP(MONTH(SalesData[[#This Row],[Order_Date]])/3,0)</f>
        <v>Q4</v>
      </c>
      <c r="W485" s="19" t="str">
        <f>IF(SalesData[[#This Row],[Sales]]&gt;=50000,"High",IF(AND(SalesData[[#This Row],[Sales]]&gt;= 20000, SalesData[[#This Row],[Sales]]&lt; 50000),"Medium","Low"))</f>
        <v>Low</v>
      </c>
      <c r="X485" s="19" t="str">
        <f>IF(SalesData[[#This Row],[Profit]]&gt;0,"Profit","Loss")</f>
        <v>Profit</v>
      </c>
      <c r="Y485" s="19" t="str">
        <f>IF(AND(SalesData[[#This Row],[Sales]]&gt;= 50000, SalesData[[#This Row],[Quantity]]&gt;=2),"Yes","No")</f>
        <v>No</v>
      </c>
      <c r="Z485" s="19" t="str">
        <f>UPPER(SalesData[[#This Row],[Customer_Name]])</f>
        <v>MEERA REDDY</v>
      </c>
      <c r="AA485" s="19" t="str">
        <f>LOWER(SalesData[[#This Row],[Customer_Name]])</f>
        <v>meera reddy</v>
      </c>
      <c r="AB485" s="19">
        <f>LEN(SalesData[[#This Row],[Customer_Name]])</f>
        <v>11</v>
      </c>
      <c r="AC485" s="19" t="str">
        <f>LEFT(SalesData[[#This Row],[Order_ID]],3)</f>
        <v>ORD</v>
      </c>
      <c r="AD485" s="19" t="str">
        <f>RIGHT(SalesData[[#This Row],[Order_ID]],4)</f>
        <v>0470</v>
      </c>
      <c r="AE485" s="19" t="str">
        <f>_xlfn.CONCAT(SalesData[[#This Row],[Clean_Customer_Name]],"-",SalesData[[#This Row],[Region]])</f>
        <v>Meera Reddy-South</v>
      </c>
      <c r="AF485" s="19" t="str">
        <f>MID(SalesData[[#This Row],[Order_ID]],4,4)</f>
        <v>0470</v>
      </c>
      <c r="AG485" s="19" t="e">
        <f ca="1">_xlfn.SINGLE(_xlfn.XLOOKUP(SalesData[[#This Row],[Product]],Product_Master!A:A,Product_Master!B:B,"Not Found"))</f>
        <v>#NAME?</v>
      </c>
      <c r="AH485" s="19" t="str">
        <f>VLOOKUP(SalesData[[#This Row],[Product]],Product_Master!$A$1:$B$21,2,FALSE)</f>
        <v>Amit</v>
      </c>
      <c r="AI485" s="16"/>
    </row>
    <row r="486" spans="1:35" ht="13.8">
      <c r="A486" s="16" t="s">
        <v>235</v>
      </c>
      <c r="B486" s="17">
        <v>45504</v>
      </c>
      <c r="C486" s="16" t="s">
        <v>155</v>
      </c>
      <c r="D486" s="16" t="s">
        <v>156</v>
      </c>
      <c r="E486" s="16" t="s">
        <v>19</v>
      </c>
      <c r="F486" s="16" t="s">
        <v>20</v>
      </c>
      <c r="G486" s="16" t="s">
        <v>21</v>
      </c>
      <c r="H486" s="16" t="s">
        <v>22</v>
      </c>
      <c r="I486" s="16" t="s">
        <v>53</v>
      </c>
      <c r="J486" s="16" t="s">
        <v>54</v>
      </c>
      <c r="K486" s="18">
        <v>7254.01</v>
      </c>
      <c r="L486" s="18">
        <v>5717.58</v>
      </c>
      <c r="M486" s="19">
        <v>2</v>
      </c>
      <c r="N486" s="20">
        <v>0.05</v>
      </c>
      <c r="O486" s="19" t="s">
        <v>76</v>
      </c>
      <c r="P486" s="19" t="s">
        <v>58</v>
      </c>
      <c r="Q486" s="19" t="str">
        <f>TRIM(SalesData[[#This Row],[Customer_Name]])</f>
        <v>Meera Reddy</v>
      </c>
      <c r="R486" s="21">
        <f>SalesData[[#This Row],[Sales]]-SalesData[[#This Row],[Cost]]</f>
        <v>1536.4300000000003</v>
      </c>
      <c r="S486" s="22">
        <f>IFERROR(SalesData[[#This Row],[Profit]]/SalesData[[#This Row],[Sales]],0)</f>
        <v>0.2118042296605602</v>
      </c>
      <c r="T486" s="19">
        <f>YEAR(SalesData[[#This Row],[Order_Date]])</f>
        <v>2024</v>
      </c>
      <c r="U486" s="19" t="str">
        <f>TEXT(SalesData[[#This Row],[Order_Date]],"mmm")</f>
        <v>Jul</v>
      </c>
      <c r="V486" s="19" t="str">
        <f>"Q"&amp;ROUNDUP(MONTH(SalesData[[#This Row],[Order_Date]])/3,0)</f>
        <v>Q3</v>
      </c>
      <c r="W486" s="19" t="str">
        <f>IF(SalesData[[#This Row],[Sales]]&gt;=50000,"High",IF(AND(SalesData[[#This Row],[Sales]]&gt;= 20000, SalesData[[#This Row],[Sales]]&lt; 50000),"Medium","Low"))</f>
        <v>Low</v>
      </c>
      <c r="X486" s="19" t="str">
        <f>IF(SalesData[[#This Row],[Profit]]&gt;0,"Profit","Loss")</f>
        <v>Profit</v>
      </c>
      <c r="Y486" s="19" t="str">
        <f>IF(AND(SalesData[[#This Row],[Sales]]&gt;= 50000, SalesData[[#This Row],[Quantity]]&gt;=2),"Yes","No")</f>
        <v>No</v>
      </c>
      <c r="Z486" s="19" t="str">
        <f>UPPER(SalesData[[#This Row],[Customer_Name]])</f>
        <v>MEERA REDDY</v>
      </c>
      <c r="AA486" s="19" t="str">
        <f>LOWER(SalesData[[#This Row],[Customer_Name]])</f>
        <v>meera reddy</v>
      </c>
      <c r="AB486" s="19">
        <f>LEN(SalesData[[#This Row],[Customer_Name]])</f>
        <v>11</v>
      </c>
      <c r="AC486" s="19" t="str">
        <f>LEFT(SalesData[[#This Row],[Order_ID]],3)</f>
        <v>ORD</v>
      </c>
      <c r="AD486" s="19" t="str">
        <f>RIGHT(SalesData[[#This Row],[Order_ID]],4)</f>
        <v>0084</v>
      </c>
      <c r="AE486" s="19" t="str">
        <f>_xlfn.CONCAT(SalesData[[#This Row],[Clean_Customer_Name]],"-",SalesData[[#This Row],[Region]])</f>
        <v>Meera Reddy-Central</v>
      </c>
      <c r="AF486" s="19" t="str">
        <f>MID(SalesData[[#This Row],[Order_ID]],4,4)</f>
        <v>0084</v>
      </c>
      <c r="AG486" s="19" t="e">
        <f ca="1">_xlfn.SINGLE(_xlfn.XLOOKUP(SalesData[[#This Row],[Product]],Product_Master!A:A,Product_Master!B:B,"Not Found"))</f>
        <v>#NAME?</v>
      </c>
      <c r="AH486" s="19" t="str">
        <f>VLOOKUP(SalesData[[#This Row],[Product]],Product_Master!$A$1:$B$21,2,FALSE)</f>
        <v>Neha</v>
      </c>
      <c r="AI486" s="16"/>
    </row>
    <row r="487" spans="1:35" ht="13.8">
      <c r="A487" s="16" t="s">
        <v>339</v>
      </c>
      <c r="B487" s="17">
        <v>45752</v>
      </c>
      <c r="C487" s="16" t="s">
        <v>155</v>
      </c>
      <c r="D487" s="16" t="s">
        <v>156</v>
      </c>
      <c r="E487" s="16" t="s">
        <v>152</v>
      </c>
      <c r="F487" s="16" t="s">
        <v>153</v>
      </c>
      <c r="G487" s="16" t="s">
        <v>21</v>
      </c>
      <c r="H487" s="16" t="s">
        <v>32</v>
      </c>
      <c r="I487" s="16" t="s">
        <v>42</v>
      </c>
      <c r="J487" s="16" t="s">
        <v>68</v>
      </c>
      <c r="K487" s="18">
        <v>34397.06</v>
      </c>
      <c r="L487" s="18">
        <v>23385.66</v>
      </c>
      <c r="M487" s="19">
        <v>3</v>
      </c>
      <c r="N487" s="20">
        <v>0.2</v>
      </c>
      <c r="O487" s="19" t="s">
        <v>76</v>
      </c>
      <c r="P487" s="19" t="s">
        <v>77</v>
      </c>
      <c r="Q487" s="19" t="str">
        <f>TRIM(SalesData[[#This Row],[Customer_Name]])</f>
        <v>Meera Reddy</v>
      </c>
      <c r="R487" s="21">
        <f>SalesData[[#This Row],[Sales]]-SalesData[[#This Row],[Cost]]</f>
        <v>11011.399999999998</v>
      </c>
      <c r="S487" s="22">
        <f>IFERROR(SalesData[[#This Row],[Profit]]/SalesData[[#This Row],[Sales]],0)</f>
        <v>0.32012619683193849</v>
      </c>
      <c r="T487" s="19">
        <f>YEAR(SalesData[[#This Row],[Order_Date]])</f>
        <v>2025</v>
      </c>
      <c r="U487" s="19" t="str">
        <f>TEXT(SalesData[[#This Row],[Order_Date]],"mmm")</f>
        <v>Apr</v>
      </c>
      <c r="V487" s="19" t="str">
        <f>"Q"&amp;ROUNDUP(MONTH(SalesData[[#This Row],[Order_Date]])/3,0)</f>
        <v>Q2</v>
      </c>
      <c r="W487" s="19" t="str">
        <f>IF(SalesData[[#This Row],[Sales]]&gt;=50000,"High",IF(AND(SalesData[[#This Row],[Sales]]&gt;= 20000, SalesData[[#This Row],[Sales]]&lt; 50000),"Medium","Low"))</f>
        <v>Medium</v>
      </c>
      <c r="X487" s="19" t="str">
        <f>IF(SalesData[[#This Row],[Profit]]&gt;0,"Profit","Loss")</f>
        <v>Profit</v>
      </c>
      <c r="Y487" s="19" t="str">
        <f>IF(AND(SalesData[[#This Row],[Sales]]&gt;= 50000, SalesData[[#This Row],[Quantity]]&gt;=2),"Yes","No")</f>
        <v>No</v>
      </c>
      <c r="Z487" s="19" t="str">
        <f>UPPER(SalesData[[#This Row],[Customer_Name]])</f>
        <v>MEERA REDDY</v>
      </c>
      <c r="AA487" s="19" t="str">
        <f>LOWER(SalesData[[#This Row],[Customer_Name]])</f>
        <v>meera reddy</v>
      </c>
      <c r="AB487" s="19">
        <f>LEN(SalesData[[#This Row],[Customer_Name]])</f>
        <v>11</v>
      </c>
      <c r="AC487" s="19" t="str">
        <f>LEFT(SalesData[[#This Row],[Order_ID]],3)</f>
        <v>ORD</v>
      </c>
      <c r="AD487" s="19" t="str">
        <f>RIGHT(SalesData[[#This Row],[Order_ID]],4)</f>
        <v>0186</v>
      </c>
      <c r="AE487" s="19" t="str">
        <f>_xlfn.CONCAT(SalesData[[#This Row],[Clean_Customer_Name]],"-",SalesData[[#This Row],[Region]])</f>
        <v>Meera Reddy-East</v>
      </c>
      <c r="AF487" s="19" t="str">
        <f>MID(SalesData[[#This Row],[Order_ID]],4,4)</f>
        <v>0186</v>
      </c>
      <c r="AG487" s="19" t="e">
        <f ca="1">_xlfn.SINGLE(_xlfn.XLOOKUP(SalesData[[#This Row],[Product]],Product_Master!A:A,Product_Master!B:B,"Not Found"))</f>
        <v>#NAME?</v>
      </c>
      <c r="AH487" s="19" t="str">
        <f>VLOOKUP(SalesData[[#This Row],[Product]],Product_Master!$A$1:$B$21,2,FALSE)</f>
        <v>Simran</v>
      </c>
      <c r="AI487" s="16"/>
    </row>
    <row r="488" spans="1:35" ht="13.8">
      <c r="A488" s="16" t="s">
        <v>472</v>
      </c>
      <c r="B488" s="17">
        <v>45651</v>
      </c>
      <c r="C488" s="16" t="s">
        <v>155</v>
      </c>
      <c r="D488" s="16" t="s">
        <v>156</v>
      </c>
      <c r="E488" s="16" t="s">
        <v>117</v>
      </c>
      <c r="F488" s="16" t="s">
        <v>118</v>
      </c>
      <c r="G488" s="16" t="s">
        <v>51</v>
      </c>
      <c r="H488" s="16" t="s">
        <v>119</v>
      </c>
      <c r="I488" s="16" t="s">
        <v>56</v>
      </c>
      <c r="J488" s="16" t="s">
        <v>191</v>
      </c>
      <c r="K488" s="18">
        <v>10101.719999999999</v>
      </c>
      <c r="L488" s="18">
        <v>9230.5400000000009</v>
      </c>
      <c r="M488" s="19">
        <v>2</v>
      </c>
      <c r="N488" s="20">
        <v>0.15</v>
      </c>
      <c r="O488" s="19" t="s">
        <v>34</v>
      </c>
      <c r="P488" s="19" t="s">
        <v>98</v>
      </c>
      <c r="Q488" s="19" t="str">
        <f>TRIM(SalesData[[#This Row],[Customer_Name]])</f>
        <v>Meera Reddy</v>
      </c>
      <c r="R488" s="21">
        <f>SalesData[[#This Row],[Sales]]-SalesData[[#This Row],[Cost]]</f>
        <v>871.17999999999847</v>
      </c>
      <c r="S488" s="22">
        <f>IFERROR(SalesData[[#This Row],[Profit]]/SalesData[[#This Row],[Sales]],0)</f>
        <v>8.6240758999457379E-2</v>
      </c>
      <c r="T488" s="19">
        <f>YEAR(SalesData[[#This Row],[Order_Date]])</f>
        <v>2024</v>
      </c>
      <c r="U488" s="19" t="str">
        <f>TEXT(SalesData[[#This Row],[Order_Date]],"mmm")</f>
        <v>Dec</v>
      </c>
      <c r="V488" s="19" t="str">
        <f>"Q"&amp;ROUNDUP(MONTH(SalesData[[#This Row],[Order_Date]])/3,0)</f>
        <v>Q4</v>
      </c>
      <c r="W488" s="19" t="str">
        <f>IF(SalesData[[#This Row],[Sales]]&gt;=50000,"High",IF(AND(SalesData[[#This Row],[Sales]]&gt;= 20000, SalesData[[#This Row],[Sales]]&lt; 50000),"Medium","Low"))</f>
        <v>Low</v>
      </c>
      <c r="X488" s="19" t="str">
        <f>IF(SalesData[[#This Row],[Profit]]&gt;0,"Profit","Loss")</f>
        <v>Profit</v>
      </c>
      <c r="Y488" s="19" t="str">
        <f>IF(AND(SalesData[[#This Row],[Sales]]&gt;= 50000, SalesData[[#This Row],[Quantity]]&gt;=2),"Yes","No")</f>
        <v>No</v>
      </c>
      <c r="Z488" s="19" t="str">
        <f>UPPER(SalesData[[#This Row],[Customer_Name]])</f>
        <v>MEERA REDDY</v>
      </c>
      <c r="AA488" s="19" t="str">
        <f>LOWER(SalesData[[#This Row],[Customer_Name]])</f>
        <v>meera reddy</v>
      </c>
      <c r="AB488" s="19">
        <f>LEN(SalesData[[#This Row],[Customer_Name]])</f>
        <v>11</v>
      </c>
      <c r="AC488" s="19" t="str">
        <f>LEFT(SalesData[[#This Row],[Order_ID]],3)</f>
        <v>ORD</v>
      </c>
      <c r="AD488" s="19" t="str">
        <f>RIGHT(SalesData[[#This Row],[Order_ID]],4)</f>
        <v>0319</v>
      </c>
      <c r="AE488" s="19" t="str">
        <f>_xlfn.CONCAT(SalesData[[#This Row],[Clean_Customer_Name]],"-",SalesData[[#This Row],[Region]])</f>
        <v>Meera Reddy-West</v>
      </c>
      <c r="AF488" s="19" t="str">
        <f>MID(SalesData[[#This Row],[Order_ID]],4,4)</f>
        <v>0319</v>
      </c>
      <c r="AG488" s="19" t="e">
        <f ca="1">_xlfn.SINGLE(_xlfn.XLOOKUP(SalesData[[#This Row],[Product]],Product_Master!A:A,Product_Master!B:B,"Not Found"))</f>
        <v>#NAME?</v>
      </c>
      <c r="AH488" s="19" t="str">
        <f>VLOOKUP(SalesData[[#This Row],[Product]],Product_Master!$A$1:$B$21,2,FALSE)</f>
        <v>Karan</v>
      </c>
      <c r="AI488" s="16"/>
    </row>
    <row r="489" spans="1:35" ht="13.8">
      <c r="A489" s="16" t="s">
        <v>805</v>
      </c>
      <c r="B489" s="17">
        <v>45813</v>
      </c>
      <c r="C489" s="16" t="s">
        <v>155</v>
      </c>
      <c r="D489" s="16" t="s">
        <v>156</v>
      </c>
      <c r="E489" s="16" t="s">
        <v>117</v>
      </c>
      <c r="F489" s="16" t="s">
        <v>118</v>
      </c>
      <c r="G489" s="16" t="s">
        <v>51</v>
      </c>
      <c r="H489" s="16" t="s">
        <v>119</v>
      </c>
      <c r="I489" s="16" t="s">
        <v>56</v>
      </c>
      <c r="J489" s="16" t="s">
        <v>191</v>
      </c>
      <c r="K489" s="18">
        <v>27800.17</v>
      </c>
      <c r="L489" s="18">
        <v>18187.400000000001</v>
      </c>
      <c r="M489" s="19">
        <v>4</v>
      </c>
      <c r="N489" s="20">
        <v>0.1</v>
      </c>
      <c r="O489" s="19" t="s">
        <v>76</v>
      </c>
      <c r="P489" s="19" t="s">
        <v>58</v>
      </c>
      <c r="Q489" s="19" t="str">
        <f>TRIM(SalesData[[#This Row],[Customer_Name]])</f>
        <v>Meera Reddy</v>
      </c>
      <c r="R489" s="21">
        <f>SalesData[[#This Row],[Sales]]-SalesData[[#This Row],[Cost]]</f>
        <v>9612.7699999999968</v>
      </c>
      <c r="S489" s="22">
        <f>IFERROR(SalesData[[#This Row],[Profit]]/SalesData[[#This Row],[Sales]],0)</f>
        <v>0.34578097903717847</v>
      </c>
      <c r="T489" s="19">
        <f>YEAR(SalesData[[#This Row],[Order_Date]])</f>
        <v>2025</v>
      </c>
      <c r="U489" s="19" t="str">
        <f>TEXT(SalesData[[#This Row],[Order_Date]],"mmm")</f>
        <v>Jun</v>
      </c>
      <c r="V489" s="19" t="str">
        <f>"Q"&amp;ROUNDUP(MONTH(SalesData[[#This Row],[Order_Date]])/3,0)</f>
        <v>Q2</v>
      </c>
      <c r="W489" s="19" t="str">
        <f>IF(SalesData[[#This Row],[Sales]]&gt;=50000,"High",IF(AND(SalesData[[#This Row],[Sales]]&gt;= 20000, SalesData[[#This Row],[Sales]]&lt; 50000),"Medium","Low"))</f>
        <v>Medium</v>
      </c>
      <c r="X489" s="19" t="str">
        <f>IF(SalesData[[#This Row],[Profit]]&gt;0,"Profit","Loss")</f>
        <v>Profit</v>
      </c>
      <c r="Y489" s="19" t="str">
        <f>IF(AND(SalesData[[#This Row],[Sales]]&gt;= 50000, SalesData[[#This Row],[Quantity]]&gt;=2),"Yes","No")</f>
        <v>No</v>
      </c>
      <c r="Z489" s="19" t="str">
        <f>UPPER(SalesData[[#This Row],[Customer_Name]])</f>
        <v>MEERA REDDY</v>
      </c>
      <c r="AA489" s="19" t="str">
        <f>LOWER(SalesData[[#This Row],[Customer_Name]])</f>
        <v>meera reddy</v>
      </c>
      <c r="AB489" s="19">
        <f>LEN(SalesData[[#This Row],[Customer_Name]])</f>
        <v>11</v>
      </c>
      <c r="AC489" s="19" t="str">
        <f>LEFT(SalesData[[#This Row],[Order_ID]],3)</f>
        <v>ORD</v>
      </c>
      <c r="AD489" s="19" t="str">
        <f>RIGHT(SalesData[[#This Row],[Order_ID]],4)</f>
        <v>0652</v>
      </c>
      <c r="AE489" s="19" t="str">
        <f>_xlfn.CONCAT(SalesData[[#This Row],[Clean_Customer_Name]],"-",SalesData[[#This Row],[Region]])</f>
        <v>Meera Reddy-West</v>
      </c>
      <c r="AF489" s="19" t="str">
        <f>MID(SalesData[[#This Row],[Order_ID]],4,4)</f>
        <v>0652</v>
      </c>
      <c r="AG489" s="19" t="e">
        <f ca="1">_xlfn.SINGLE(_xlfn.XLOOKUP(SalesData[[#This Row],[Product]],Product_Master!A:A,Product_Master!B:B,"Not Found"))</f>
        <v>#NAME?</v>
      </c>
      <c r="AH489" s="19" t="str">
        <f>VLOOKUP(SalesData[[#This Row],[Product]],Product_Master!$A$1:$B$21,2,FALSE)</f>
        <v>Karan</v>
      </c>
      <c r="AI489" s="16"/>
    </row>
    <row r="490" spans="1:35" ht="13.8">
      <c r="A490" s="16" t="s">
        <v>161</v>
      </c>
      <c r="B490" s="17">
        <v>45643</v>
      </c>
      <c r="C490" s="16" t="s">
        <v>155</v>
      </c>
      <c r="D490" s="16" t="s">
        <v>156</v>
      </c>
      <c r="E490" s="16" t="s">
        <v>49</v>
      </c>
      <c r="F490" s="16" t="s">
        <v>50</v>
      </c>
      <c r="G490" s="16" t="s">
        <v>51</v>
      </c>
      <c r="H490" s="16" t="s">
        <v>52</v>
      </c>
      <c r="I490" s="16" t="s">
        <v>42</v>
      </c>
      <c r="J490" s="16" t="s">
        <v>162</v>
      </c>
      <c r="K490" s="18">
        <v>26408.94</v>
      </c>
      <c r="L490" s="18">
        <v>14525</v>
      </c>
      <c r="M490" s="19">
        <v>2</v>
      </c>
      <c r="N490" s="20">
        <v>0.2</v>
      </c>
      <c r="O490" s="19" t="s">
        <v>136</v>
      </c>
      <c r="P490" s="19" t="s">
        <v>45</v>
      </c>
      <c r="Q490" s="19" t="str">
        <f>TRIM(SalesData[[#This Row],[Customer_Name]])</f>
        <v>Meera Reddy</v>
      </c>
      <c r="R490" s="21">
        <f>SalesData[[#This Row],[Sales]]-SalesData[[#This Row],[Cost]]</f>
        <v>11883.939999999999</v>
      </c>
      <c r="S490" s="22">
        <f>IFERROR(SalesData[[#This Row],[Profit]]/SalesData[[#This Row],[Sales]],0)</f>
        <v>0.44999685712489784</v>
      </c>
      <c r="T490" s="19">
        <f>YEAR(SalesData[[#This Row],[Order_Date]])</f>
        <v>2024</v>
      </c>
      <c r="U490" s="19" t="str">
        <f>TEXT(SalesData[[#This Row],[Order_Date]],"mmm")</f>
        <v>Dec</v>
      </c>
      <c r="V490" s="19" t="str">
        <f>"Q"&amp;ROUNDUP(MONTH(SalesData[[#This Row],[Order_Date]])/3,0)</f>
        <v>Q4</v>
      </c>
      <c r="W490" s="19" t="str">
        <f>IF(SalesData[[#This Row],[Sales]]&gt;=50000,"High",IF(AND(SalesData[[#This Row],[Sales]]&gt;= 20000, SalesData[[#This Row],[Sales]]&lt; 50000),"Medium","Low"))</f>
        <v>Medium</v>
      </c>
      <c r="X490" s="19" t="str">
        <f>IF(SalesData[[#This Row],[Profit]]&gt;0,"Profit","Loss")</f>
        <v>Profit</v>
      </c>
      <c r="Y490" s="19" t="str">
        <f>IF(AND(SalesData[[#This Row],[Sales]]&gt;= 50000, SalesData[[#This Row],[Quantity]]&gt;=2),"Yes","No")</f>
        <v>No</v>
      </c>
      <c r="Z490" s="19" t="str">
        <f>UPPER(SalesData[[#This Row],[Customer_Name]])</f>
        <v>MEERA REDDY</v>
      </c>
      <c r="AA490" s="19" t="str">
        <f>LOWER(SalesData[[#This Row],[Customer_Name]])</f>
        <v>meera reddy</v>
      </c>
      <c r="AB490" s="19">
        <f>LEN(SalesData[[#This Row],[Customer_Name]])</f>
        <v>11</v>
      </c>
      <c r="AC490" s="19" t="str">
        <f>LEFT(SalesData[[#This Row],[Order_ID]],3)</f>
        <v>ORD</v>
      </c>
      <c r="AD490" s="19" t="str">
        <f>RIGHT(SalesData[[#This Row],[Order_ID]],4)</f>
        <v>0036</v>
      </c>
      <c r="AE490" s="19" t="str">
        <f>_xlfn.CONCAT(SalesData[[#This Row],[Clean_Customer_Name]],"-",SalesData[[#This Row],[Region]])</f>
        <v>Meera Reddy-East</v>
      </c>
      <c r="AF490" s="19" t="str">
        <f>MID(SalesData[[#This Row],[Order_ID]],4,4)</f>
        <v>0036</v>
      </c>
      <c r="AG490" s="19" t="e">
        <f ca="1">_xlfn.SINGLE(_xlfn.XLOOKUP(SalesData[[#This Row],[Product]],Product_Master!A:A,Product_Master!B:B,"Not Found"))</f>
        <v>#NAME?</v>
      </c>
      <c r="AH490" s="19" t="str">
        <f>VLOOKUP(SalesData[[#This Row],[Product]],Product_Master!$A$1:$B$21,2,FALSE)</f>
        <v>Rohan</v>
      </c>
      <c r="AI490" s="16"/>
    </row>
    <row r="491" spans="1:35" ht="13.8">
      <c r="A491" s="16" t="s">
        <v>590</v>
      </c>
      <c r="B491" s="17">
        <v>45415</v>
      </c>
      <c r="C491" s="16" t="s">
        <v>155</v>
      </c>
      <c r="D491" s="16" t="s">
        <v>156</v>
      </c>
      <c r="E491" s="16" t="s">
        <v>49</v>
      </c>
      <c r="F491" s="16" t="s">
        <v>50</v>
      </c>
      <c r="G491" s="16" t="s">
        <v>51</v>
      </c>
      <c r="H491" s="16" t="s">
        <v>52</v>
      </c>
      <c r="I491" s="16" t="s">
        <v>84</v>
      </c>
      <c r="J491" s="16" t="s">
        <v>85</v>
      </c>
      <c r="K491" s="18">
        <v>61626.39</v>
      </c>
      <c r="L491" s="18">
        <v>26407.32</v>
      </c>
      <c r="M491" s="19">
        <v>4</v>
      </c>
      <c r="N491" s="20">
        <v>0.05</v>
      </c>
      <c r="O491" s="19" t="s">
        <v>44</v>
      </c>
      <c r="P491" s="19" t="s">
        <v>58</v>
      </c>
      <c r="Q491" s="19" t="str">
        <f>TRIM(SalesData[[#This Row],[Customer_Name]])</f>
        <v>Meera Reddy</v>
      </c>
      <c r="R491" s="21">
        <f>SalesData[[#This Row],[Sales]]-SalesData[[#This Row],[Cost]]</f>
        <v>35219.07</v>
      </c>
      <c r="S491" s="22">
        <f>IFERROR(SalesData[[#This Row],[Profit]]/SalesData[[#This Row],[Sales]],0)</f>
        <v>0.57149331641850187</v>
      </c>
      <c r="T491" s="19">
        <f>YEAR(SalesData[[#This Row],[Order_Date]])</f>
        <v>2024</v>
      </c>
      <c r="U491" s="19" t="str">
        <f>TEXT(SalesData[[#This Row],[Order_Date]],"mmm")</f>
        <v>May</v>
      </c>
      <c r="V491" s="19" t="str">
        <f>"Q"&amp;ROUNDUP(MONTH(SalesData[[#This Row],[Order_Date]])/3,0)</f>
        <v>Q2</v>
      </c>
      <c r="W491" s="19" t="str">
        <f>IF(SalesData[[#This Row],[Sales]]&gt;=50000,"High",IF(AND(SalesData[[#This Row],[Sales]]&gt;= 20000, SalesData[[#This Row],[Sales]]&lt; 50000),"Medium","Low"))</f>
        <v>High</v>
      </c>
      <c r="X491" s="19" t="str">
        <f>IF(SalesData[[#This Row],[Profit]]&gt;0,"Profit","Loss")</f>
        <v>Profit</v>
      </c>
      <c r="Y491" s="19" t="str">
        <f>IF(AND(SalesData[[#This Row],[Sales]]&gt;= 50000, SalesData[[#This Row],[Quantity]]&gt;=2),"Yes","No")</f>
        <v>Yes</v>
      </c>
      <c r="Z491" s="19" t="str">
        <f>UPPER(SalesData[[#This Row],[Customer_Name]])</f>
        <v>MEERA REDDY</v>
      </c>
      <c r="AA491" s="19" t="str">
        <f>LOWER(SalesData[[#This Row],[Customer_Name]])</f>
        <v>meera reddy</v>
      </c>
      <c r="AB491" s="19">
        <f>LEN(SalesData[[#This Row],[Customer_Name]])</f>
        <v>11</v>
      </c>
      <c r="AC491" s="19" t="str">
        <f>LEFT(SalesData[[#This Row],[Order_ID]],3)</f>
        <v>ORD</v>
      </c>
      <c r="AD491" s="19" t="str">
        <f>RIGHT(SalesData[[#This Row],[Order_ID]],4)</f>
        <v>0437</v>
      </c>
      <c r="AE491" s="19" t="str">
        <f>_xlfn.CONCAT(SalesData[[#This Row],[Clean_Customer_Name]],"-",SalesData[[#This Row],[Region]])</f>
        <v>Meera Reddy-South</v>
      </c>
      <c r="AF491" s="19" t="str">
        <f>MID(SalesData[[#This Row],[Order_ID]],4,4)</f>
        <v>0437</v>
      </c>
      <c r="AG491" s="19" t="e">
        <f ca="1">_xlfn.SINGLE(_xlfn.XLOOKUP(SalesData[[#This Row],[Product]],Product_Master!A:A,Product_Master!B:B,"Not Found"))</f>
        <v>#NAME?</v>
      </c>
      <c r="AH491" s="19" t="str">
        <f>VLOOKUP(SalesData[[#This Row],[Product]],Product_Master!$A$1:$B$21,2,FALSE)</f>
        <v>Rohan</v>
      </c>
      <c r="AI491" s="16"/>
    </row>
    <row r="492" spans="1:35" ht="13.8">
      <c r="A492" s="16" t="s">
        <v>1111</v>
      </c>
      <c r="B492" s="17">
        <v>45696</v>
      </c>
      <c r="C492" s="16" t="s">
        <v>155</v>
      </c>
      <c r="D492" s="16" t="s">
        <v>156</v>
      </c>
      <c r="E492" s="16" t="s">
        <v>49</v>
      </c>
      <c r="F492" s="16" t="s">
        <v>50</v>
      </c>
      <c r="G492" s="16" t="s">
        <v>51</v>
      </c>
      <c r="H492" s="16" t="s">
        <v>52</v>
      </c>
      <c r="I492" s="16" t="s">
        <v>56</v>
      </c>
      <c r="J492" s="16" t="s">
        <v>57</v>
      </c>
      <c r="K492" s="18">
        <v>36043.199999999997</v>
      </c>
      <c r="L492" s="18">
        <v>25876.52</v>
      </c>
      <c r="M492" s="19">
        <v>4</v>
      </c>
      <c r="N492" s="20">
        <v>0.1</v>
      </c>
      <c r="O492" s="19" t="s">
        <v>44</v>
      </c>
      <c r="P492" s="19" t="s">
        <v>58</v>
      </c>
      <c r="Q492" s="19" t="str">
        <f>TRIM(SalesData[[#This Row],[Customer_Name]])</f>
        <v>Meera Reddy</v>
      </c>
      <c r="R492" s="21">
        <f>SalesData[[#This Row],[Sales]]-SalesData[[#This Row],[Cost]]</f>
        <v>10166.679999999997</v>
      </c>
      <c r="S492" s="22">
        <f>IFERROR(SalesData[[#This Row],[Profit]]/SalesData[[#This Row],[Sales]],0)</f>
        <v>0.28206929462422864</v>
      </c>
      <c r="T492" s="19">
        <f>YEAR(SalesData[[#This Row],[Order_Date]])</f>
        <v>2025</v>
      </c>
      <c r="U492" s="19" t="str">
        <f>TEXT(SalesData[[#This Row],[Order_Date]],"mmm")</f>
        <v>Feb</v>
      </c>
      <c r="V492" s="19" t="str">
        <f>"Q"&amp;ROUNDUP(MONTH(SalesData[[#This Row],[Order_Date]])/3,0)</f>
        <v>Q1</v>
      </c>
      <c r="W492" s="19" t="str">
        <f>IF(SalesData[[#This Row],[Sales]]&gt;=50000,"High",IF(AND(SalesData[[#This Row],[Sales]]&gt;= 20000, SalesData[[#This Row],[Sales]]&lt; 50000),"Medium","Low"))</f>
        <v>Medium</v>
      </c>
      <c r="X492" s="19" t="str">
        <f>IF(SalesData[[#This Row],[Profit]]&gt;0,"Profit","Loss")</f>
        <v>Profit</v>
      </c>
      <c r="Y492" s="19" t="str">
        <f>IF(AND(SalesData[[#This Row],[Sales]]&gt;= 50000, SalesData[[#This Row],[Quantity]]&gt;=2),"Yes","No")</f>
        <v>No</v>
      </c>
      <c r="Z492" s="19" t="str">
        <f>UPPER(SalesData[[#This Row],[Customer_Name]])</f>
        <v>MEERA REDDY</v>
      </c>
      <c r="AA492" s="19" t="str">
        <f>LOWER(SalesData[[#This Row],[Customer_Name]])</f>
        <v>meera reddy</v>
      </c>
      <c r="AB492" s="19">
        <f>LEN(SalesData[[#This Row],[Customer_Name]])</f>
        <v>11</v>
      </c>
      <c r="AC492" s="19" t="str">
        <f>LEFT(SalesData[[#This Row],[Order_ID]],3)</f>
        <v>ORD</v>
      </c>
      <c r="AD492" s="19" t="str">
        <f>RIGHT(SalesData[[#This Row],[Order_ID]],4)</f>
        <v>0958</v>
      </c>
      <c r="AE492" s="19" t="str">
        <f>_xlfn.CONCAT(SalesData[[#This Row],[Clean_Customer_Name]],"-",SalesData[[#This Row],[Region]])</f>
        <v>Meera Reddy-West</v>
      </c>
      <c r="AF492" s="19" t="str">
        <f>MID(SalesData[[#This Row],[Order_ID]],4,4)</f>
        <v>0958</v>
      </c>
      <c r="AG492" s="19" t="e">
        <f ca="1">_xlfn.SINGLE(_xlfn.XLOOKUP(SalesData[[#This Row],[Product]],Product_Master!A:A,Product_Master!B:B,"Not Found"))</f>
        <v>#NAME?</v>
      </c>
      <c r="AH492" s="19" t="str">
        <f>VLOOKUP(SalesData[[#This Row],[Product]],Product_Master!$A$1:$B$21,2,FALSE)</f>
        <v>Rohan</v>
      </c>
      <c r="AI492" s="16"/>
    </row>
    <row r="493" spans="1:35" ht="13.8">
      <c r="A493" s="16" t="s">
        <v>291</v>
      </c>
      <c r="B493" s="17">
        <v>45476</v>
      </c>
      <c r="C493" s="16" t="s">
        <v>155</v>
      </c>
      <c r="D493" s="16" t="s">
        <v>156</v>
      </c>
      <c r="E493" s="16" t="s">
        <v>175</v>
      </c>
      <c r="F493" s="16" t="s">
        <v>176</v>
      </c>
      <c r="G493" s="16" t="s">
        <v>51</v>
      </c>
      <c r="H493" s="16" t="s">
        <v>177</v>
      </c>
      <c r="I493" s="16" t="s">
        <v>23</v>
      </c>
      <c r="J493" s="16" t="s">
        <v>24</v>
      </c>
      <c r="K493" s="18">
        <v>60130.35</v>
      </c>
      <c r="L493" s="18">
        <v>49945.919999999998</v>
      </c>
      <c r="M493" s="19">
        <v>3</v>
      </c>
      <c r="N493" s="20">
        <v>0.1</v>
      </c>
      <c r="O493" s="19" t="s">
        <v>44</v>
      </c>
      <c r="P493" s="19" t="s">
        <v>58</v>
      </c>
      <c r="Q493" s="19" t="str">
        <f>TRIM(SalesData[[#This Row],[Customer_Name]])</f>
        <v>Meera Reddy</v>
      </c>
      <c r="R493" s="21">
        <f>SalesData[[#This Row],[Sales]]-SalesData[[#This Row],[Cost]]</f>
        <v>10184.43</v>
      </c>
      <c r="S493" s="22">
        <f>IFERROR(SalesData[[#This Row],[Profit]]/SalesData[[#This Row],[Sales]],0)</f>
        <v>0.16937253816084558</v>
      </c>
      <c r="T493" s="19">
        <f>YEAR(SalesData[[#This Row],[Order_Date]])</f>
        <v>2024</v>
      </c>
      <c r="U493" s="19" t="str">
        <f>TEXT(SalesData[[#This Row],[Order_Date]],"mmm")</f>
        <v>Jul</v>
      </c>
      <c r="V493" s="19" t="str">
        <f>"Q"&amp;ROUNDUP(MONTH(SalesData[[#This Row],[Order_Date]])/3,0)</f>
        <v>Q3</v>
      </c>
      <c r="W493" s="19" t="str">
        <f>IF(SalesData[[#This Row],[Sales]]&gt;=50000,"High",IF(AND(SalesData[[#This Row],[Sales]]&gt;= 20000, SalesData[[#This Row],[Sales]]&lt; 50000),"Medium","Low"))</f>
        <v>High</v>
      </c>
      <c r="X493" s="19" t="str">
        <f>IF(SalesData[[#This Row],[Profit]]&gt;0,"Profit","Loss")</f>
        <v>Profit</v>
      </c>
      <c r="Y493" s="19" t="str">
        <f>IF(AND(SalesData[[#This Row],[Sales]]&gt;= 50000, SalesData[[#This Row],[Quantity]]&gt;=2),"Yes","No")</f>
        <v>Yes</v>
      </c>
      <c r="Z493" s="19" t="str">
        <f>UPPER(SalesData[[#This Row],[Customer_Name]])</f>
        <v>MEERA REDDY</v>
      </c>
      <c r="AA493" s="19" t="str">
        <f>LOWER(SalesData[[#This Row],[Customer_Name]])</f>
        <v>meera reddy</v>
      </c>
      <c r="AB493" s="19">
        <f>LEN(SalesData[[#This Row],[Customer_Name]])</f>
        <v>11</v>
      </c>
      <c r="AC493" s="19" t="str">
        <f>LEFT(SalesData[[#This Row],[Order_ID]],3)</f>
        <v>ORD</v>
      </c>
      <c r="AD493" s="19" t="str">
        <f>RIGHT(SalesData[[#This Row],[Order_ID]],4)</f>
        <v>0138</v>
      </c>
      <c r="AE493" s="19" t="str">
        <f>_xlfn.CONCAT(SalesData[[#This Row],[Clean_Customer_Name]],"-",SalesData[[#This Row],[Region]])</f>
        <v>Meera Reddy-North</v>
      </c>
      <c r="AF493" s="19" t="str">
        <f>MID(SalesData[[#This Row],[Order_ID]],4,4)</f>
        <v>0138</v>
      </c>
      <c r="AG493" s="19" t="e">
        <f ca="1">_xlfn.SINGLE(_xlfn.XLOOKUP(SalesData[[#This Row],[Product]],Product_Master!A:A,Product_Master!B:B,"Not Found"))</f>
        <v>#NAME?</v>
      </c>
      <c r="AH493" s="19" t="str">
        <f>VLOOKUP(SalesData[[#This Row],[Product]],Product_Master!$A$1:$B$21,2,FALSE)</f>
        <v>Arjun</v>
      </c>
      <c r="AI493" s="16"/>
    </row>
    <row r="494" spans="1:35" ht="13.8">
      <c r="A494" s="16" t="s">
        <v>1065</v>
      </c>
      <c r="B494" s="17">
        <v>45628</v>
      </c>
      <c r="C494" s="16" t="s">
        <v>155</v>
      </c>
      <c r="D494" s="16" t="s">
        <v>156</v>
      </c>
      <c r="E494" s="16" t="s">
        <v>123</v>
      </c>
      <c r="F494" s="16" t="s">
        <v>124</v>
      </c>
      <c r="G494" s="16" t="s">
        <v>51</v>
      </c>
      <c r="H494" s="16" t="s">
        <v>125</v>
      </c>
      <c r="I494" s="16" t="s">
        <v>56</v>
      </c>
      <c r="J494" s="16" t="s">
        <v>91</v>
      </c>
      <c r="K494" s="18">
        <v>71579.44</v>
      </c>
      <c r="L494" s="18">
        <v>33154.9</v>
      </c>
      <c r="M494" s="19">
        <v>2</v>
      </c>
      <c r="N494" s="20">
        <v>0</v>
      </c>
      <c r="O494" s="19" t="s">
        <v>136</v>
      </c>
      <c r="P494" s="19" t="s">
        <v>58</v>
      </c>
      <c r="Q494" s="19" t="str">
        <f>TRIM(SalesData[[#This Row],[Customer_Name]])</f>
        <v>Meera Reddy</v>
      </c>
      <c r="R494" s="21">
        <f>SalesData[[#This Row],[Sales]]-SalesData[[#This Row],[Cost]]</f>
        <v>38424.54</v>
      </c>
      <c r="S494" s="22">
        <f>IFERROR(SalesData[[#This Row],[Profit]]/SalesData[[#This Row],[Sales]],0)</f>
        <v>0.53680973195655068</v>
      </c>
      <c r="T494" s="19">
        <f>YEAR(SalesData[[#This Row],[Order_Date]])</f>
        <v>2024</v>
      </c>
      <c r="U494" s="19" t="str">
        <f>TEXT(SalesData[[#This Row],[Order_Date]],"mmm")</f>
        <v>Dec</v>
      </c>
      <c r="V494" s="19" t="str">
        <f>"Q"&amp;ROUNDUP(MONTH(SalesData[[#This Row],[Order_Date]])/3,0)</f>
        <v>Q4</v>
      </c>
      <c r="W494" s="19" t="str">
        <f>IF(SalesData[[#This Row],[Sales]]&gt;=50000,"High",IF(AND(SalesData[[#This Row],[Sales]]&gt;= 20000, SalesData[[#This Row],[Sales]]&lt; 50000),"Medium","Low"))</f>
        <v>High</v>
      </c>
      <c r="X494" s="19" t="str">
        <f>IF(SalesData[[#This Row],[Profit]]&gt;0,"Profit","Loss")</f>
        <v>Profit</v>
      </c>
      <c r="Y494" s="19" t="str">
        <f>IF(AND(SalesData[[#This Row],[Sales]]&gt;= 50000, SalesData[[#This Row],[Quantity]]&gt;=2),"Yes","No")</f>
        <v>Yes</v>
      </c>
      <c r="Z494" s="19" t="str">
        <f>UPPER(SalesData[[#This Row],[Customer_Name]])</f>
        <v>MEERA REDDY</v>
      </c>
      <c r="AA494" s="19" t="str">
        <f>LOWER(SalesData[[#This Row],[Customer_Name]])</f>
        <v>meera reddy</v>
      </c>
      <c r="AB494" s="19">
        <f>LEN(SalesData[[#This Row],[Customer_Name]])</f>
        <v>11</v>
      </c>
      <c r="AC494" s="19" t="str">
        <f>LEFT(SalesData[[#This Row],[Order_ID]],3)</f>
        <v>ORD</v>
      </c>
      <c r="AD494" s="19" t="str">
        <f>RIGHT(SalesData[[#This Row],[Order_ID]],4)</f>
        <v>0912</v>
      </c>
      <c r="AE494" s="19" t="str">
        <f>_xlfn.CONCAT(SalesData[[#This Row],[Clean_Customer_Name]],"-",SalesData[[#This Row],[Region]])</f>
        <v>Meera Reddy-West</v>
      </c>
      <c r="AF494" s="19" t="str">
        <f>MID(SalesData[[#This Row],[Order_ID]],4,4)</f>
        <v>0912</v>
      </c>
      <c r="AG494" s="19" t="e">
        <f ca="1">_xlfn.SINGLE(_xlfn.XLOOKUP(SalesData[[#This Row],[Product]],Product_Master!A:A,Product_Master!B:B,"Not Found"))</f>
        <v>#NAME?</v>
      </c>
      <c r="AH494" s="19" t="str">
        <f>VLOOKUP(SalesData[[#This Row],[Product]],Product_Master!$A$1:$B$21,2,FALSE)</f>
        <v>Sneha</v>
      </c>
      <c r="AI494" s="16"/>
    </row>
    <row r="495" spans="1:35" ht="13.8">
      <c r="A495" s="16" t="s">
        <v>869</v>
      </c>
      <c r="B495" s="17">
        <v>45981</v>
      </c>
      <c r="C495" s="16" t="s">
        <v>155</v>
      </c>
      <c r="D495" s="16" t="s">
        <v>156</v>
      </c>
      <c r="E495" s="16" t="s">
        <v>172</v>
      </c>
      <c r="F495" s="16" t="s">
        <v>173</v>
      </c>
      <c r="G495" s="16" t="s">
        <v>40</v>
      </c>
      <c r="H495" s="16" t="s">
        <v>41</v>
      </c>
      <c r="I495" s="16" t="s">
        <v>53</v>
      </c>
      <c r="J495" s="16" t="s">
        <v>54</v>
      </c>
      <c r="K495" s="18">
        <v>3652.87</v>
      </c>
      <c r="L495" s="18">
        <v>843.9</v>
      </c>
      <c r="M495" s="19">
        <v>1</v>
      </c>
      <c r="N495" s="20">
        <v>0</v>
      </c>
      <c r="O495" s="19" t="s">
        <v>25</v>
      </c>
      <c r="P495" s="19" t="s">
        <v>26</v>
      </c>
      <c r="Q495" s="19" t="str">
        <f>TRIM(SalesData[[#This Row],[Customer_Name]])</f>
        <v>Meera Reddy</v>
      </c>
      <c r="R495" s="21">
        <f>SalesData[[#This Row],[Sales]]-SalesData[[#This Row],[Cost]]</f>
        <v>2808.97</v>
      </c>
      <c r="S495" s="22">
        <f>IFERROR(SalesData[[#This Row],[Profit]]/SalesData[[#This Row],[Sales]],0)</f>
        <v>0.76897617489809378</v>
      </c>
      <c r="T495" s="19">
        <f>YEAR(SalesData[[#This Row],[Order_Date]])</f>
        <v>2025</v>
      </c>
      <c r="U495" s="19" t="str">
        <f>TEXT(SalesData[[#This Row],[Order_Date]],"mmm")</f>
        <v>Nov</v>
      </c>
      <c r="V495" s="19" t="str">
        <f>"Q"&amp;ROUNDUP(MONTH(SalesData[[#This Row],[Order_Date]])/3,0)</f>
        <v>Q4</v>
      </c>
      <c r="W495" s="19" t="str">
        <f>IF(SalesData[[#This Row],[Sales]]&gt;=50000,"High",IF(AND(SalesData[[#This Row],[Sales]]&gt;= 20000, SalesData[[#This Row],[Sales]]&lt; 50000),"Medium","Low"))</f>
        <v>Low</v>
      </c>
      <c r="X495" s="19" t="str">
        <f>IF(SalesData[[#This Row],[Profit]]&gt;0,"Profit","Loss")</f>
        <v>Profit</v>
      </c>
      <c r="Y495" s="19" t="str">
        <f>IF(AND(SalesData[[#This Row],[Sales]]&gt;= 50000, SalesData[[#This Row],[Quantity]]&gt;=2),"Yes","No")</f>
        <v>No</v>
      </c>
      <c r="Z495" s="19" t="str">
        <f>UPPER(SalesData[[#This Row],[Customer_Name]])</f>
        <v>MEERA REDDY</v>
      </c>
      <c r="AA495" s="19" t="str">
        <f>LOWER(SalesData[[#This Row],[Customer_Name]])</f>
        <v>meera reddy</v>
      </c>
      <c r="AB495" s="19">
        <f>LEN(SalesData[[#This Row],[Customer_Name]])</f>
        <v>11</v>
      </c>
      <c r="AC495" s="19" t="str">
        <f>LEFT(SalesData[[#This Row],[Order_ID]],3)</f>
        <v>ORD</v>
      </c>
      <c r="AD495" s="19" t="str">
        <f>RIGHT(SalesData[[#This Row],[Order_ID]],4)</f>
        <v>0716</v>
      </c>
      <c r="AE495" s="19" t="str">
        <f>_xlfn.CONCAT(SalesData[[#This Row],[Clean_Customer_Name]],"-",SalesData[[#This Row],[Region]])</f>
        <v>Meera Reddy-Central</v>
      </c>
      <c r="AF495" s="19" t="str">
        <f>MID(SalesData[[#This Row],[Order_ID]],4,4)</f>
        <v>0716</v>
      </c>
      <c r="AG495" s="19" t="e">
        <f ca="1">_xlfn.SINGLE(_xlfn.XLOOKUP(SalesData[[#This Row],[Product]],Product_Master!A:A,Product_Master!B:B,"Not Found"))</f>
        <v>#NAME?</v>
      </c>
      <c r="AH495" s="19" t="str">
        <f>VLOOKUP(SalesData[[#This Row],[Product]],Product_Master!$A$1:$B$21,2,FALSE)</f>
        <v>Pooja</v>
      </c>
      <c r="AI495" s="16"/>
    </row>
    <row r="496" spans="1:35" ht="13.8">
      <c r="A496" s="16" t="s">
        <v>448</v>
      </c>
      <c r="B496" s="17">
        <v>45693</v>
      </c>
      <c r="C496" s="16" t="s">
        <v>155</v>
      </c>
      <c r="D496" s="16" t="s">
        <v>156</v>
      </c>
      <c r="E496" s="16" t="s">
        <v>106</v>
      </c>
      <c r="F496" s="16" t="s">
        <v>107</v>
      </c>
      <c r="G496" s="16" t="s">
        <v>40</v>
      </c>
      <c r="H496" s="16" t="s">
        <v>108</v>
      </c>
      <c r="I496" s="16" t="s">
        <v>42</v>
      </c>
      <c r="J496" s="16" t="s">
        <v>43</v>
      </c>
      <c r="K496" s="18">
        <v>6691.07</v>
      </c>
      <c r="L496" s="18">
        <v>3229.95</v>
      </c>
      <c r="M496" s="19">
        <v>5</v>
      </c>
      <c r="N496" s="20">
        <v>0.15</v>
      </c>
      <c r="O496" s="19" t="s">
        <v>34</v>
      </c>
      <c r="P496" s="19" t="s">
        <v>58</v>
      </c>
      <c r="Q496" s="19" t="str">
        <f>TRIM(SalesData[[#This Row],[Customer_Name]])</f>
        <v>Meera Reddy</v>
      </c>
      <c r="R496" s="21">
        <f>SalesData[[#This Row],[Sales]]-SalesData[[#This Row],[Cost]]</f>
        <v>3461.12</v>
      </c>
      <c r="S496" s="22">
        <f>IFERROR(SalesData[[#This Row],[Profit]]/SalesData[[#This Row],[Sales]],0)</f>
        <v>0.51727451663186907</v>
      </c>
      <c r="T496" s="19">
        <f>YEAR(SalesData[[#This Row],[Order_Date]])</f>
        <v>2025</v>
      </c>
      <c r="U496" s="19" t="str">
        <f>TEXT(SalesData[[#This Row],[Order_Date]],"mmm")</f>
        <v>Feb</v>
      </c>
      <c r="V496" s="19" t="str">
        <f>"Q"&amp;ROUNDUP(MONTH(SalesData[[#This Row],[Order_Date]])/3,0)</f>
        <v>Q1</v>
      </c>
      <c r="W496" s="19" t="str">
        <f>IF(SalesData[[#This Row],[Sales]]&gt;=50000,"High",IF(AND(SalesData[[#This Row],[Sales]]&gt;= 20000, SalesData[[#This Row],[Sales]]&lt; 50000),"Medium","Low"))</f>
        <v>Low</v>
      </c>
      <c r="X496" s="19" t="str">
        <f>IF(SalesData[[#This Row],[Profit]]&gt;0,"Profit","Loss")</f>
        <v>Profit</v>
      </c>
      <c r="Y496" s="19" t="str">
        <f>IF(AND(SalesData[[#This Row],[Sales]]&gt;= 50000, SalesData[[#This Row],[Quantity]]&gt;=2),"Yes","No")</f>
        <v>No</v>
      </c>
      <c r="Z496" s="19" t="str">
        <f>UPPER(SalesData[[#This Row],[Customer_Name]])</f>
        <v>MEERA REDDY</v>
      </c>
      <c r="AA496" s="19" t="str">
        <f>LOWER(SalesData[[#This Row],[Customer_Name]])</f>
        <v>meera reddy</v>
      </c>
      <c r="AB496" s="19">
        <f>LEN(SalesData[[#This Row],[Customer_Name]])</f>
        <v>11</v>
      </c>
      <c r="AC496" s="19" t="str">
        <f>LEFT(SalesData[[#This Row],[Order_ID]],3)</f>
        <v>ORD</v>
      </c>
      <c r="AD496" s="19" t="str">
        <f>RIGHT(SalesData[[#This Row],[Order_ID]],4)</f>
        <v>0295</v>
      </c>
      <c r="AE496" s="19" t="str">
        <f>_xlfn.CONCAT(SalesData[[#This Row],[Clean_Customer_Name]],"-",SalesData[[#This Row],[Region]])</f>
        <v>Meera Reddy-East</v>
      </c>
      <c r="AF496" s="19" t="str">
        <f>MID(SalesData[[#This Row],[Order_ID]],4,4)</f>
        <v>0295</v>
      </c>
      <c r="AG496" s="19" t="e">
        <f ca="1">_xlfn.SINGLE(_xlfn.XLOOKUP(SalesData[[#This Row],[Product]],Product_Master!A:A,Product_Master!B:B,"Not Found"))</f>
        <v>#NAME?</v>
      </c>
      <c r="AH496" s="19" t="str">
        <f>VLOOKUP(SalesData[[#This Row],[Product]],Product_Master!$A$1:$B$21,2,FALSE)</f>
        <v>Aditya</v>
      </c>
      <c r="AI496" s="16"/>
    </row>
    <row r="497" spans="1:35" ht="13.8">
      <c r="A497" s="16" t="s">
        <v>338</v>
      </c>
      <c r="B497" s="17">
        <v>45421</v>
      </c>
      <c r="C497" s="16" t="s">
        <v>155</v>
      </c>
      <c r="D497" s="16" t="s">
        <v>156</v>
      </c>
      <c r="E497" s="16" t="s">
        <v>38</v>
      </c>
      <c r="F497" s="16" t="s">
        <v>39</v>
      </c>
      <c r="G497" s="16" t="s">
        <v>40</v>
      </c>
      <c r="H497" s="16" t="s">
        <v>41</v>
      </c>
      <c r="I497" s="16" t="s">
        <v>23</v>
      </c>
      <c r="J497" s="16" t="s">
        <v>24</v>
      </c>
      <c r="K497" s="18">
        <v>1469.03</v>
      </c>
      <c r="L497" s="18">
        <v>473.6</v>
      </c>
      <c r="M497" s="19">
        <v>1</v>
      </c>
      <c r="N497" s="20">
        <v>0.1</v>
      </c>
      <c r="O497" s="19" t="s">
        <v>136</v>
      </c>
      <c r="P497" s="19" t="s">
        <v>58</v>
      </c>
      <c r="Q497" s="19" t="str">
        <f>TRIM(SalesData[[#This Row],[Customer_Name]])</f>
        <v>Meera Reddy</v>
      </c>
      <c r="R497" s="21">
        <f>SalesData[[#This Row],[Sales]]-SalesData[[#This Row],[Cost]]</f>
        <v>995.43</v>
      </c>
      <c r="S497" s="22">
        <f>IFERROR(SalesData[[#This Row],[Profit]]/SalesData[[#This Row],[Sales]],0)</f>
        <v>0.67761039597557571</v>
      </c>
      <c r="T497" s="19">
        <f>YEAR(SalesData[[#This Row],[Order_Date]])</f>
        <v>2024</v>
      </c>
      <c r="U497" s="19" t="str">
        <f>TEXT(SalesData[[#This Row],[Order_Date]],"mmm")</f>
        <v>May</v>
      </c>
      <c r="V497" s="19" t="str">
        <f>"Q"&amp;ROUNDUP(MONTH(SalesData[[#This Row],[Order_Date]])/3,0)</f>
        <v>Q2</v>
      </c>
      <c r="W497" s="19" t="str">
        <f>IF(SalesData[[#This Row],[Sales]]&gt;=50000,"High",IF(AND(SalesData[[#This Row],[Sales]]&gt;= 20000, SalesData[[#This Row],[Sales]]&lt; 50000),"Medium","Low"))</f>
        <v>Low</v>
      </c>
      <c r="X497" s="19" t="str">
        <f>IF(SalesData[[#This Row],[Profit]]&gt;0,"Profit","Loss")</f>
        <v>Profit</v>
      </c>
      <c r="Y497" s="19" t="str">
        <f>IF(AND(SalesData[[#This Row],[Sales]]&gt;= 50000, SalesData[[#This Row],[Quantity]]&gt;=2),"Yes","No")</f>
        <v>No</v>
      </c>
      <c r="Z497" s="19" t="str">
        <f>UPPER(SalesData[[#This Row],[Customer_Name]])</f>
        <v>MEERA REDDY</v>
      </c>
      <c r="AA497" s="19" t="str">
        <f>LOWER(SalesData[[#This Row],[Customer_Name]])</f>
        <v>meera reddy</v>
      </c>
      <c r="AB497" s="19">
        <f>LEN(SalesData[[#This Row],[Customer_Name]])</f>
        <v>11</v>
      </c>
      <c r="AC497" s="19" t="str">
        <f>LEFT(SalesData[[#This Row],[Order_ID]],3)</f>
        <v>ORD</v>
      </c>
      <c r="AD497" s="19" t="str">
        <f>RIGHT(SalesData[[#This Row],[Order_ID]],4)</f>
        <v>0185</v>
      </c>
      <c r="AE497" s="19" t="str">
        <f>_xlfn.CONCAT(SalesData[[#This Row],[Clean_Customer_Name]],"-",SalesData[[#This Row],[Region]])</f>
        <v>Meera Reddy-North</v>
      </c>
      <c r="AF497" s="19" t="str">
        <f>MID(SalesData[[#This Row],[Order_ID]],4,4)</f>
        <v>0185</v>
      </c>
      <c r="AG497" s="19" t="e">
        <f ca="1">_xlfn.SINGLE(_xlfn.XLOOKUP(SalesData[[#This Row],[Product]],Product_Master!A:A,Product_Master!B:B,"Not Found"))</f>
        <v>#NAME?</v>
      </c>
      <c r="AH497" s="19" t="str">
        <f>VLOOKUP(SalesData[[#This Row],[Product]],Product_Master!$A$1:$B$21,2,FALSE)</f>
        <v>Manish</v>
      </c>
      <c r="AI497" s="16"/>
    </row>
    <row r="498" spans="1:35" ht="13.8">
      <c r="A498" s="16" t="s">
        <v>731</v>
      </c>
      <c r="B498" s="17">
        <v>45441</v>
      </c>
      <c r="C498" s="16" t="s">
        <v>155</v>
      </c>
      <c r="D498" s="16" t="s">
        <v>156</v>
      </c>
      <c r="E498" s="16" t="s">
        <v>38</v>
      </c>
      <c r="F498" s="16" t="s">
        <v>39</v>
      </c>
      <c r="G498" s="16" t="s">
        <v>40</v>
      </c>
      <c r="H498" s="16" t="s">
        <v>41</v>
      </c>
      <c r="I498" s="16" t="s">
        <v>42</v>
      </c>
      <c r="J498" s="16" t="s">
        <v>43</v>
      </c>
      <c r="K498" s="18">
        <v>7254.5</v>
      </c>
      <c r="L498" s="18">
        <v>1817.96</v>
      </c>
      <c r="M498" s="19">
        <v>4</v>
      </c>
      <c r="N498" s="20">
        <v>0.05</v>
      </c>
      <c r="O498" s="19" t="s">
        <v>44</v>
      </c>
      <c r="P498" s="19" t="s">
        <v>58</v>
      </c>
      <c r="Q498" s="19" t="str">
        <f>TRIM(SalesData[[#This Row],[Customer_Name]])</f>
        <v>Meera Reddy</v>
      </c>
      <c r="R498" s="21">
        <f>SalesData[[#This Row],[Sales]]-SalesData[[#This Row],[Cost]]</f>
        <v>5436.54</v>
      </c>
      <c r="S498" s="22">
        <f>IFERROR(SalesData[[#This Row],[Profit]]/SalesData[[#This Row],[Sales]],0)</f>
        <v>0.7494024398649114</v>
      </c>
      <c r="T498" s="19">
        <f>YEAR(SalesData[[#This Row],[Order_Date]])</f>
        <v>2024</v>
      </c>
      <c r="U498" s="19" t="str">
        <f>TEXT(SalesData[[#This Row],[Order_Date]],"mmm")</f>
        <v>May</v>
      </c>
      <c r="V498" s="19" t="str">
        <f>"Q"&amp;ROUNDUP(MONTH(SalesData[[#This Row],[Order_Date]])/3,0)</f>
        <v>Q2</v>
      </c>
      <c r="W498" s="19" t="str">
        <f>IF(SalesData[[#This Row],[Sales]]&gt;=50000,"High",IF(AND(SalesData[[#This Row],[Sales]]&gt;= 20000, SalesData[[#This Row],[Sales]]&lt; 50000),"Medium","Low"))</f>
        <v>Low</v>
      </c>
      <c r="X498" s="19" t="str">
        <f>IF(SalesData[[#This Row],[Profit]]&gt;0,"Profit","Loss")</f>
        <v>Profit</v>
      </c>
      <c r="Y498" s="19" t="str">
        <f>IF(AND(SalesData[[#This Row],[Sales]]&gt;= 50000, SalesData[[#This Row],[Quantity]]&gt;=2),"Yes","No")</f>
        <v>No</v>
      </c>
      <c r="Z498" s="19" t="str">
        <f>UPPER(SalesData[[#This Row],[Customer_Name]])</f>
        <v>MEERA REDDY</v>
      </c>
      <c r="AA498" s="19" t="str">
        <f>LOWER(SalesData[[#This Row],[Customer_Name]])</f>
        <v>meera reddy</v>
      </c>
      <c r="AB498" s="19">
        <f>LEN(SalesData[[#This Row],[Customer_Name]])</f>
        <v>11</v>
      </c>
      <c r="AC498" s="19" t="str">
        <f>LEFT(SalesData[[#This Row],[Order_ID]],3)</f>
        <v>ORD</v>
      </c>
      <c r="AD498" s="19" t="str">
        <f>RIGHT(SalesData[[#This Row],[Order_ID]],4)</f>
        <v>0578</v>
      </c>
      <c r="AE498" s="19" t="str">
        <f>_xlfn.CONCAT(SalesData[[#This Row],[Clean_Customer_Name]],"-",SalesData[[#This Row],[Region]])</f>
        <v>Meera Reddy-East</v>
      </c>
      <c r="AF498" s="19" t="str">
        <f>MID(SalesData[[#This Row],[Order_ID]],4,4)</f>
        <v>0578</v>
      </c>
      <c r="AG498" s="19" t="e">
        <f ca="1">_xlfn.SINGLE(_xlfn.XLOOKUP(SalesData[[#This Row],[Product]],Product_Master!A:A,Product_Master!B:B,"Not Found"))</f>
        <v>#NAME?</v>
      </c>
      <c r="AH498" s="19" t="str">
        <f>VLOOKUP(SalesData[[#This Row],[Product]],Product_Master!$A$1:$B$21,2,FALSE)</f>
        <v>Manish</v>
      </c>
      <c r="AI498" s="16"/>
    </row>
    <row r="499" spans="1:35" ht="13.8">
      <c r="A499" s="16" t="s">
        <v>761</v>
      </c>
      <c r="B499" s="17">
        <v>45514</v>
      </c>
      <c r="C499" s="16" t="s">
        <v>155</v>
      </c>
      <c r="D499" s="16" t="s">
        <v>156</v>
      </c>
      <c r="E499" s="16" t="s">
        <v>87</v>
      </c>
      <c r="F499" s="16" t="s">
        <v>88</v>
      </c>
      <c r="G499" s="16" t="s">
        <v>89</v>
      </c>
      <c r="H499" s="16" t="s">
        <v>90</v>
      </c>
      <c r="I499" s="16" t="s">
        <v>84</v>
      </c>
      <c r="J499" s="16" t="s">
        <v>85</v>
      </c>
      <c r="K499" s="18">
        <v>15286.48</v>
      </c>
      <c r="L499" s="18">
        <v>9287.0499999999993</v>
      </c>
      <c r="M499" s="19">
        <v>5</v>
      </c>
      <c r="N499" s="20">
        <v>0.15</v>
      </c>
      <c r="O499" s="19" t="s">
        <v>25</v>
      </c>
      <c r="P499" s="19" t="s">
        <v>58</v>
      </c>
      <c r="Q499" s="19" t="str">
        <f>TRIM(SalesData[[#This Row],[Customer_Name]])</f>
        <v>Meera Reddy</v>
      </c>
      <c r="R499" s="21">
        <f>SalesData[[#This Row],[Sales]]-SalesData[[#This Row],[Cost]]</f>
        <v>5999.43</v>
      </c>
      <c r="S499" s="22">
        <f>IFERROR(SalesData[[#This Row],[Profit]]/SalesData[[#This Row],[Sales]],0)</f>
        <v>0.39246641476651267</v>
      </c>
      <c r="T499" s="19">
        <f>YEAR(SalesData[[#This Row],[Order_Date]])</f>
        <v>2024</v>
      </c>
      <c r="U499" s="19" t="str">
        <f>TEXT(SalesData[[#This Row],[Order_Date]],"mmm")</f>
        <v>Aug</v>
      </c>
      <c r="V499" s="19" t="str">
        <f>"Q"&amp;ROUNDUP(MONTH(SalesData[[#This Row],[Order_Date]])/3,0)</f>
        <v>Q3</v>
      </c>
      <c r="W499" s="19" t="str">
        <f>IF(SalesData[[#This Row],[Sales]]&gt;=50000,"High",IF(AND(SalesData[[#This Row],[Sales]]&gt;= 20000, SalesData[[#This Row],[Sales]]&lt; 50000),"Medium","Low"))</f>
        <v>Low</v>
      </c>
      <c r="X499" s="19" t="str">
        <f>IF(SalesData[[#This Row],[Profit]]&gt;0,"Profit","Loss")</f>
        <v>Profit</v>
      </c>
      <c r="Y499" s="19" t="str">
        <f>IF(AND(SalesData[[#This Row],[Sales]]&gt;= 50000, SalesData[[#This Row],[Quantity]]&gt;=2),"Yes","No")</f>
        <v>No</v>
      </c>
      <c r="Z499" s="19" t="str">
        <f>UPPER(SalesData[[#This Row],[Customer_Name]])</f>
        <v>MEERA REDDY</v>
      </c>
      <c r="AA499" s="19" t="str">
        <f>LOWER(SalesData[[#This Row],[Customer_Name]])</f>
        <v>meera reddy</v>
      </c>
      <c r="AB499" s="19">
        <f>LEN(SalesData[[#This Row],[Customer_Name]])</f>
        <v>11</v>
      </c>
      <c r="AC499" s="19" t="str">
        <f>LEFT(SalesData[[#This Row],[Order_ID]],3)</f>
        <v>ORD</v>
      </c>
      <c r="AD499" s="19" t="str">
        <f>RIGHT(SalesData[[#This Row],[Order_ID]],4)</f>
        <v>0608</v>
      </c>
      <c r="AE499" s="19" t="str">
        <f>_xlfn.CONCAT(SalesData[[#This Row],[Clean_Customer_Name]],"-",SalesData[[#This Row],[Region]])</f>
        <v>Meera Reddy-South</v>
      </c>
      <c r="AF499" s="19" t="str">
        <f>MID(SalesData[[#This Row],[Order_ID]],4,4)</f>
        <v>0608</v>
      </c>
      <c r="AG499" s="19" t="e">
        <f ca="1">_xlfn.SINGLE(_xlfn.XLOOKUP(SalesData[[#This Row],[Product]],Product_Master!A:A,Product_Master!B:B,"Not Found"))</f>
        <v>#NAME?</v>
      </c>
      <c r="AH499" s="19" t="str">
        <f>VLOOKUP(SalesData[[#This Row],[Product]],Product_Master!$A$1:$B$21,2,FALSE)</f>
        <v>Rahul</v>
      </c>
      <c r="AI499" s="16"/>
    </row>
    <row r="500" spans="1:35" ht="13.8">
      <c r="A500" s="16" t="s">
        <v>181</v>
      </c>
      <c r="B500" s="17">
        <v>45686</v>
      </c>
      <c r="C500" s="16" t="s">
        <v>155</v>
      </c>
      <c r="D500" s="16" t="s">
        <v>156</v>
      </c>
      <c r="E500" s="16" t="s">
        <v>182</v>
      </c>
      <c r="F500" s="16" t="s">
        <v>183</v>
      </c>
      <c r="G500" s="16" t="s">
        <v>89</v>
      </c>
      <c r="H500" s="16" t="s">
        <v>90</v>
      </c>
      <c r="I500" s="16" t="s">
        <v>23</v>
      </c>
      <c r="J500" s="16" t="s">
        <v>33</v>
      </c>
      <c r="K500" s="18">
        <v>29933.3</v>
      </c>
      <c r="L500" s="18">
        <v>28140.45</v>
      </c>
      <c r="M500" s="19">
        <v>5</v>
      </c>
      <c r="N500" s="20">
        <v>0.15</v>
      </c>
      <c r="O500" s="19" t="s">
        <v>25</v>
      </c>
      <c r="P500" s="19" t="s">
        <v>58</v>
      </c>
      <c r="Q500" s="19" t="str">
        <f>TRIM(SalesData[[#This Row],[Customer_Name]])</f>
        <v>Meera Reddy</v>
      </c>
      <c r="R500" s="21">
        <f>SalesData[[#This Row],[Sales]]-SalesData[[#This Row],[Cost]]</f>
        <v>1792.8499999999985</v>
      </c>
      <c r="S500" s="22">
        <f>IFERROR(SalesData[[#This Row],[Profit]]/SalesData[[#This Row],[Sales]],0)</f>
        <v>5.9894832845025392E-2</v>
      </c>
      <c r="T500" s="19">
        <f>YEAR(SalesData[[#This Row],[Order_Date]])</f>
        <v>2025</v>
      </c>
      <c r="U500" s="19" t="str">
        <f>TEXT(SalesData[[#This Row],[Order_Date]],"mmm")</f>
        <v>Jan</v>
      </c>
      <c r="V500" s="19" t="str">
        <f>"Q"&amp;ROUNDUP(MONTH(SalesData[[#This Row],[Order_Date]])/3,0)</f>
        <v>Q1</v>
      </c>
      <c r="W500" s="19" t="str">
        <f>IF(SalesData[[#This Row],[Sales]]&gt;=50000,"High",IF(AND(SalesData[[#This Row],[Sales]]&gt;= 20000, SalesData[[#This Row],[Sales]]&lt; 50000),"Medium","Low"))</f>
        <v>Medium</v>
      </c>
      <c r="X500" s="19" t="str">
        <f>IF(SalesData[[#This Row],[Profit]]&gt;0,"Profit","Loss")</f>
        <v>Profit</v>
      </c>
      <c r="Y500" s="19" t="str">
        <f>IF(AND(SalesData[[#This Row],[Sales]]&gt;= 50000, SalesData[[#This Row],[Quantity]]&gt;=2),"Yes","No")</f>
        <v>No</v>
      </c>
      <c r="Z500" s="19" t="str">
        <f>UPPER(SalesData[[#This Row],[Customer_Name]])</f>
        <v>MEERA REDDY</v>
      </c>
      <c r="AA500" s="19" t="str">
        <f>LOWER(SalesData[[#This Row],[Customer_Name]])</f>
        <v>meera reddy</v>
      </c>
      <c r="AB500" s="19">
        <f>LEN(SalesData[[#This Row],[Customer_Name]])</f>
        <v>11</v>
      </c>
      <c r="AC500" s="19" t="str">
        <f>LEFT(SalesData[[#This Row],[Order_ID]],3)</f>
        <v>ORD</v>
      </c>
      <c r="AD500" s="19" t="str">
        <f>RIGHT(SalesData[[#This Row],[Order_ID]],4)</f>
        <v>0046</v>
      </c>
      <c r="AE500" s="19" t="str">
        <f>_xlfn.CONCAT(SalesData[[#This Row],[Clean_Customer_Name]],"-",SalesData[[#This Row],[Region]])</f>
        <v>Meera Reddy-North</v>
      </c>
      <c r="AF500" s="19" t="str">
        <f>MID(SalesData[[#This Row],[Order_ID]],4,4)</f>
        <v>0046</v>
      </c>
      <c r="AG500" s="19" t="e">
        <f ca="1">_xlfn.SINGLE(_xlfn.XLOOKUP(SalesData[[#This Row],[Product]],Product_Master!A:A,Product_Master!B:B,"Not Found"))</f>
        <v>#NAME?</v>
      </c>
      <c r="AH500" s="19" t="str">
        <f>VLOOKUP(SalesData[[#This Row],[Product]],Product_Master!$A$1:$B$21,2,FALSE)</f>
        <v>Priya</v>
      </c>
      <c r="AI500" s="16"/>
    </row>
    <row r="501" spans="1:35" ht="13.8">
      <c r="A501" s="16" t="s">
        <v>284</v>
      </c>
      <c r="B501" s="17">
        <v>45756</v>
      </c>
      <c r="C501" s="16" t="s">
        <v>155</v>
      </c>
      <c r="D501" s="16" t="s">
        <v>156</v>
      </c>
      <c r="E501" s="16" t="s">
        <v>182</v>
      </c>
      <c r="F501" s="16" t="s">
        <v>183</v>
      </c>
      <c r="G501" s="16" t="s">
        <v>89</v>
      </c>
      <c r="H501" s="16" t="s">
        <v>90</v>
      </c>
      <c r="I501" s="16" t="s">
        <v>84</v>
      </c>
      <c r="J501" s="16" t="s">
        <v>142</v>
      </c>
      <c r="K501" s="18">
        <v>37210.1</v>
      </c>
      <c r="L501" s="18">
        <v>30632.55</v>
      </c>
      <c r="M501" s="19">
        <v>5</v>
      </c>
      <c r="N501" s="20">
        <v>0</v>
      </c>
      <c r="O501" s="19" t="s">
        <v>34</v>
      </c>
      <c r="P501" s="19" t="s">
        <v>58</v>
      </c>
      <c r="Q501" s="19" t="str">
        <f>TRIM(SalesData[[#This Row],[Customer_Name]])</f>
        <v>Meera Reddy</v>
      </c>
      <c r="R501" s="21">
        <f>SalesData[[#This Row],[Sales]]-SalesData[[#This Row],[Cost]]</f>
        <v>6577.5499999999993</v>
      </c>
      <c r="S501" s="22">
        <f>IFERROR(SalesData[[#This Row],[Profit]]/SalesData[[#This Row],[Sales]],0)</f>
        <v>0.1767678667888557</v>
      </c>
      <c r="T501" s="19">
        <f>YEAR(SalesData[[#This Row],[Order_Date]])</f>
        <v>2025</v>
      </c>
      <c r="U501" s="19" t="str">
        <f>TEXT(SalesData[[#This Row],[Order_Date]],"mmm")</f>
        <v>Apr</v>
      </c>
      <c r="V501" s="19" t="str">
        <f>"Q"&amp;ROUNDUP(MONTH(SalesData[[#This Row],[Order_Date]])/3,0)</f>
        <v>Q2</v>
      </c>
      <c r="W501" s="19" t="str">
        <f>IF(SalesData[[#This Row],[Sales]]&gt;=50000,"High",IF(AND(SalesData[[#This Row],[Sales]]&gt;= 20000, SalesData[[#This Row],[Sales]]&lt; 50000),"Medium","Low"))</f>
        <v>Medium</v>
      </c>
      <c r="X501" s="19" t="str">
        <f>IF(SalesData[[#This Row],[Profit]]&gt;0,"Profit","Loss")</f>
        <v>Profit</v>
      </c>
      <c r="Y501" s="19" t="str">
        <f>IF(AND(SalesData[[#This Row],[Sales]]&gt;= 50000, SalesData[[#This Row],[Quantity]]&gt;=2),"Yes","No")</f>
        <v>No</v>
      </c>
      <c r="Z501" s="19" t="str">
        <f>UPPER(SalesData[[#This Row],[Customer_Name]])</f>
        <v>MEERA REDDY</v>
      </c>
      <c r="AA501" s="19" t="str">
        <f>LOWER(SalesData[[#This Row],[Customer_Name]])</f>
        <v>meera reddy</v>
      </c>
      <c r="AB501" s="19">
        <f>LEN(SalesData[[#This Row],[Customer_Name]])</f>
        <v>11</v>
      </c>
      <c r="AC501" s="19" t="str">
        <f>LEFT(SalesData[[#This Row],[Order_ID]],3)</f>
        <v>ORD</v>
      </c>
      <c r="AD501" s="19" t="str">
        <f>RIGHT(SalesData[[#This Row],[Order_ID]],4)</f>
        <v>0131</v>
      </c>
      <c r="AE501" s="19" t="str">
        <f>_xlfn.CONCAT(SalesData[[#This Row],[Clean_Customer_Name]],"-",SalesData[[#This Row],[Region]])</f>
        <v>Meera Reddy-South</v>
      </c>
      <c r="AF501" s="19" t="str">
        <f>MID(SalesData[[#This Row],[Order_ID]],4,4)</f>
        <v>0131</v>
      </c>
      <c r="AG501" s="19" t="e">
        <f ca="1">_xlfn.SINGLE(_xlfn.XLOOKUP(SalesData[[#This Row],[Product]],Product_Master!A:A,Product_Master!B:B,"Not Found"))</f>
        <v>#NAME?</v>
      </c>
      <c r="AH501" s="19" t="str">
        <f>VLOOKUP(SalesData[[#This Row],[Product]],Product_Master!$A$1:$B$21,2,FALSE)</f>
        <v>Priya</v>
      </c>
      <c r="AI501" s="16"/>
    </row>
    <row r="502" spans="1:35" ht="13.8">
      <c r="A502" s="16" t="s">
        <v>363</v>
      </c>
      <c r="B502" s="17">
        <v>45627</v>
      </c>
      <c r="C502" s="16" t="s">
        <v>155</v>
      </c>
      <c r="D502" s="16" t="s">
        <v>156</v>
      </c>
      <c r="E502" s="16" t="s">
        <v>182</v>
      </c>
      <c r="F502" s="16" t="s">
        <v>183</v>
      </c>
      <c r="G502" s="16" t="s">
        <v>89</v>
      </c>
      <c r="H502" s="16" t="s">
        <v>90</v>
      </c>
      <c r="I502" s="16" t="s">
        <v>23</v>
      </c>
      <c r="J502" s="16" t="s">
        <v>75</v>
      </c>
      <c r="K502" s="18">
        <v>38322.839999999997</v>
      </c>
      <c r="L502" s="18">
        <v>28911.200000000001</v>
      </c>
      <c r="M502" s="19">
        <v>5</v>
      </c>
      <c r="N502" s="20">
        <v>0.2</v>
      </c>
      <c r="O502" s="19" t="s">
        <v>44</v>
      </c>
      <c r="P502" s="19" t="s">
        <v>77</v>
      </c>
      <c r="Q502" s="19" t="str">
        <f>TRIM(SalesData[[#This Row],[Customer_Name]])</f>
        <v>Meera Reddy</v>
      </c>
      <c r="R502" s="21">
        <f>SalesData[[#This Row],[Sales]]-SalesData[[#This Row],[Cost]]</f>
        <v>9411.6399999999958</v>
      </c>
      <c r="S502" s="22">
        <f>IFERROR(SalesData[[#This Row],[Profit]]/SalesData[[#This Row],[Sales]],0)</f>
        <v>0.24558827059789923</v>
      </c>
      <c r="T502" s="19">
        <f>YEAR(SalesData[[#This Row],[Order_Date]])</f>
        <v>2024</v>
      </c>
      <c r="U502" s="19" t="str">
        <f>TEXT(SalesData[[#This Row],[Order_Date]],"mmm")</f>
        <v>Dec</v>
      </c>
      <c r="V502" s="19" t="str">
        <f>"Q"&amp;ROUNDUP(MONTH(SalesData[[#This Row],[Order_Date]])/3,0)</f>
        <v>Q4</v>
      </c>
      <c r="W502" s="19" t="str">
        <f>IF(SalesData[[#This Row],[Sales]]&gt;=50000,"High",IF(AND(SalesData[[#This Row],[Sales]]&gt;= 20000, SalesData[[#This Row],[Sales]]&lt; 50000),"Medium","Low"))</f>
        <v>Medium</v>
      </c>
      <c r="X502" s="19" t="str">
        <f>IF(SalesData[[#This Row],[Profit]]&gt;0,"Profit","Loss")</f>
        <v>Profit</v>
      </c>
      <c r="Y502" s="19" t="str">
        <f>IF(AND(SalesData[[#This Row],[Sales]]&gt;= 50000, SalesData[[#This Row],[Quantity]]&gt;=2),"Yes","No")</f>
        <v>No</v>
      </c>
      <c r="Z502" s="19" t="str">
        <f>UPPER(SalesData[[#This Row],[Customer_Name]])</f>
        <v>MEERA REDDY</v>
      </c>
      <c r="AA502" s="19" t="str">
        <f>LOWER(SalesData[[#This Row],[Customer_Name]])</f>
        <v>meera reddy</v>
      </c>
      <c r="AB502" s="19">
        <f>LEN(SalesData[[#This Row],[Customer_Name]])</f>
        <v>11</v>
      </c>
      <c r="AC502" s="19" t="str">
        <f>LEFT(SalesData[[#This Row],[Order_ID]],3)</f>
        <v>ORD</v>
      </c>
      <c r="AD502" s="19" t="str">
        <f>RIGHT(SalesData[[#This Row],[Order_ID]],4)</f>
        <v>0210</v>
      </c>
      <c r="AE502" s="19" t="str">
        <f>_xlfn.CONCAT(SalesData[[#This Row],[Clean_Customer_Name]],"-",SalesData[[#This Row],[Region]])</f>
        <v>Meera Reddy-North</v>
      </c>
      <c r="AF502" s="19" t="str">
        <f>MID(SalesData[[#This Row],[Order_ID]],4,4)</f>
        <v>0210</v>
      </c>
      <c r="AG502" s="19" t="e">
        <f ca="1">_xlfn.SINGLE(_xlfn.XLOOKUP(SalesData[[#This Row],[Product]],Product_Master!A:A,Product_Master!B:B,"Not Found"))</f>
        <v>#NAME?</v>
      </c>
      <c r="AH502" s="19" t="str">
        <f>VLOOKUP(SalesData[[#This Row],[Product]],Product_Master!$A$1:$B$21,2,FALSE)</f>
        <v>Priya</v>
      </c>
      <c r="AI502" s="16"/>
    </row>
    <row r="503" spans="1:35" ht="13.8">
      <c r="A503" s="16" t="s">
        <v>800</v>
      </c>
      <c r="B503" s="17">
        <v>45422</v>
      </c>
      <c r="C503" s="16" t="s">
        <v>155</v>
      </c>
      <c r="D503" s="16" t="s">
        <v>156</v>
      </c>
      <c r="E503" s="16" t="s">
        <v>182</v>
      </c>
      <c r="F503" s="16" t="s">
        <v>183</v>
      </c>
      <c r="G503" s="16" t="s">
        <v>89</v>
      </c>
      <c r="H503" s="16" t="s">
        <v>90</v>
      </c>
      <c r="I503" s="16" t="s">
        <v>56</v>
      </c>
      <c r="J503" s="16" t="s">
        <v>91</v>
      </c>
      <c r="K503" s="18">
        <v>39839.49</v>
      </c>
      <c r="L503" s="18">
        <v>16424.669999999998</v>
      </c>
      <c r="M503" s="19">
        <v>3</v>
      </c>
      <c r="N503" s="20">
        <v>0</v>
      </c>
      <c r="O503" s="19" t="s">
        <v>25</v>
      </c>
      <c r="P503" s="19" t="s">
        <v>77</v>
      </c>
      <c r="Q503" s="19" t="str">
        <f>TRIM(SalesData[[#This Row],[Customer_Name]])</f>
        <v>Meera Reddy</v>
      </c>
      <c r="R503" s="21">
        <f>SalesData[[#This Row],[Sales]]-SalesData[[#This Row],[Cost]]</f>
        <v>23414.82</v>
      </c>
      <c r="S503" s="22">
        <f>IFERROR(SalesData[[#This Row],[Profit]]/SalesData[[#This Row],[Sales]],0)</f>
        <v>0.58772890918031329</v>
      </c>
      <c r="T503" s="19">
        <f>YEAR(SalesData[[#This Row],[Order_Date]])</f>
        <v>2024</v>
      </c>
      <c r="U503" s="19" t="str">
        <f>TEXT(SalesData[[#This Row],[Order_Date]],"mmm")</f>
        <v>May</v>
      </c>
      <c r="V503" s="19" t="str">
        <f>"Q"&amp;ROUNDUP(MONTH(SalesData[[#This Row],[Order_Date]])/3,0)</f>
        <v>Q2</v>
      </c>
      <c r="W503" s="19" t="str">
        <f>IF(SalesData[[#This Row],[Sales]]&gt;=50000,"High",IF(AND(SalesData[[#This Row],[Sales]]&gt;= 20000, SalesData[[#This Row],[Sales]]&lt; 50000),"Medium","Low"))</f>
        <v>Medium</v>
      </c>
      <c r="X503" s="19" t="str">
        <f>IF(SalesData[[#This Row],[Profit]]&gt;0,"Profit","Loss")</f>
        <v>Profit</v>
      </c>
      <c r="Y503" s="19" t="str">
        <f>IF(AND(SalesData[[#This Row],[Sales]]&gt;= 50000, SalesData[[#This Row],[Quantity]]&gt;=2),"Yes","No")</f>
        <v>No</v>
      </c>
      <c r="Z503" s="19" t="str">
        <f>UPPER(SalesData[[#This Row],[Customer_Name]])</f>
        <v>MEERA REDDY</v>
      </c>
      <c r="AA503" s="19" t="str">
        <f>LOWER(SalesData[[#This Row],[Customer_Name]])</f>
        <v>meera reddy</v>
      </c>
      <c r="AB503" s="19">
        <f>LEN(SalesData[[#This Row],[Customer_Name]])</f>
        <v>11</v>
      </c>
      <c r="AC503" s="19" t="str">
        <f>LEFT(SalesData[[#This Row],[Order_ID]],3)</f>
        <v>ORD</v>
      </c>
      <c r="AD503" s="19" t="str">
        <f>RIGHT(SalesData[[#This Row],[Order_ID]],4)</f>
        <v>0647</v>
      </c>
      <c r="AE503" s="19" t="str">
        <f>_xlfn.CONCAT(SalesData[[#This Row],[Clean_Customer_Name]],"-",SalesData[[#This Row],[Region]])</f>
        <v>Meera Reddy-West</v>
      </c>
      <c r="AF503" s="19" t="str">
        <f>MID(SalesData[[#This Row],[Order_ID]],4,4)</f>
        <v>0647</v>
      </c>
      <c r="AG503" s="19" t="e">
        <f ca="1">_xlfn.SINGLE(_xlfn.XLOOKUP(SalesData[[#This Row],[Product]],Product_Master!A:A,Product_Master!B:B,"Not Found"))</f>
        <v>#NAME?</v>
      </c>
      <c r="AH503" s="19" t="str">
        <f>VLOOKUP(SalesData[[#This Row],[Product]],Product_Master!$A$1:$B$21,2,FALSE)</f>
        <v>Priya</v>
      </c>
      <c r="AI503" s="16"/>
    </row>
    <row r="504" spans="1:35" ht="13.8">
      <c r="A504" s="16" t="s">
        <v>931</v>
      </c>
      <c r="B504" s="17">
        <v>45979</v>
      </c>
      <c r="C504" s="16" t="s">
        <v>155</v>
      </c>
      <c r="D504" s="16" t="s">
        <v>156</v>
      </c>
      <c r="E504" s="16" t="s">
        <v>182</v>
      </c>
      <c r="F504" s="16" t="s">
        <v>183</v>
      </c>
      <c r="G504" s="16" t="s">
        <v>89</v>
      </c>
      <c r="H504" s="16" t="s">
        <v>90</v>
      </c>
      <c r="I504" s="16" t="s">
        <v>56</v>
      </c>
      <c r="J504" s="16" t="s">
        <v>191</v>
      </c>
      <c r="K504" s="18">
        <v>27421.72</v>
      </c>
      <c r="L504" s="18">
        <v>28083.599999999999</v>
      </c>
      <c r="M504" s="19">
        <v>5</v>
      </c>
      <c r="N504" s="20">
        <v>0.2</v>
      </c>
      <c r="O504" s="19" t="s">
        <v>76</v>
      </c>
      <c r="P504" s="19" t="s">
        <v>98</v>
      </c>
      <c r="Q504" s="19" t="str">
        <f>TRIM(SalesData[[#This Row],[Customer_Name]])</f>
        <v>Meera Reddy</v>
      </c>
      <c r="R504" s="21">
        <f>SalesData[[#This Row],[Sales]]-SalesData[[#This Row],[Cost]]</f>
        <v>-661.87999999999738</v>
      </c>
      <c r="S504" s="22">
        <f>IFERROR(SalesData[[#This Row],[Profit]]/SalesData[[#This Row],[Sales]],0)</f>
        <v>-2.413707090583659E-2</v>
      </c>
      <c r="T504" s="19">
        <f>YEAR(SalesData[[#This Row],[Order_Date]])</f>
        <v>2025</v>
      </c>
      <c r="U504" s="19" t="str">
        <f>TEXT(SalesData[[#This Row],[Order_Date]],"mmm")</f>
        <v>Nov</v>
      </c>
      <c r="V504" s="19" t="str">
        <f>"Q"&amp;ROUNDUP(MONTH(SalesData[[#This Row],[Order_Date]])/3,0)</f>
        <v>Q4</v>
      </c>
      <c r="W504" s="19" t="str">
        <f>IF(SalesData[[#This Row],[Sales]]&gt;=50000,"High",IF(AND(SalesData[[#This Row],[Sales]]&gt;= 20000, SalesData[[#This Row],[Sales]]&lt; 50000),"Medium","Low"))</f>
        <v>Medium</v>
      </c>
      <c r="X504" s="19" t="str">
        <f>IF(SalesData[[#This Row],[Profit]]&gt;0,"Profit","Loss")</f>
        <v>Loss</v>
      </c>
      <c r="Y504" s="19" t="str">
        <f>IF(AND(SalesData[[#This Row],[Sales]]&gt;= 50000, SalesData[[#This Row],[Quantity]]&gt;=2),"Yes","No")</f>
        <v>No</v>
      </c>
      <c r="Z504" s="19" t="str">
        <f>UPPER(SalesData[[#This Row],[Customer_Name]])</f>
        <v>MEERA REDDY</v>
      </c>
      <c r="AA504" s="19" t="str">
        <f>LOWER(SalesData[[#This Row],[Customer_Name]])</f>
        <v>meera reddy</v>
      </c>
      <c r="AB504" s="19">
        <f>LEN(SalesData[[#This Row],[Customer_Name]])</f>
        <v>11</v>
      </c>
      <c r="AC504" s="19" t="str">
        <f>LEFT(SalesData[[#This Row],[Order_ID]],3)</f>
        <v>ORD</v>
      </c>
      <c r="AD504" s="19" t="str">
        <f>RIGHT(SalesData[[#This Row],[Order_ID]],4)</f>
        <v>0778</v>
      </c>
      <c r="AE504" s="19" t="str">
        <f>_xlfn.CONCAT(SalesData[[#This Row],[Clean_Customer_Name]],"-",SalesData[[#This Row],[Region]])</f>
        <v>Meera Reddy-West</v>
      </c>
      <c r="AF504" s="19" t="str">
        <f>MID(SalesData[[#This Row],[Order_ID]],4,4)</f>
        <v>0778</v>
      </c>
      <c r="AG504" s="19" t="e">
        <f ca="1">_xlfn.SINGLE(_xlfn.XLOOKUP(SalesData[[#This Row],[Product]],Product_Master!A:A,Product_Master!B:B,"Not Found"))</f>
        <v>#NAME?</v>
      </c>
      <c r="AH504" s="19" t="str">
        <f>VLOOKUP(SalesData[[#This Row],[Product]],Product_Master!$A$1:$B$21,2,FALSE)</f>
        <v>Priya</v>
      </c>
      <c r="AI504" s="16"/>
    </row>
    <row r="505" spans="1:35" ht="13.8">
      <c r="A505" s="16" t="s">
        <v>1026</v>
      </c>
      <c r="B505" s="17">
        <v>45346</v>
      </c>
      <c r="C505" s="16" t="s">
        <v>155</v>
      </c>
      <c r="D505" s="16" t="s">
        <v>156</v>
      </c>
      <c r="E505" s="16" t="s">
        <v>187</v>
      </c>
      <c r="F505" s="16" t="s">
        <v>188</v>
      </c>
      <c r="G505" s="16" t="s">
        <v>89</v>
      </c>
      <c r="H505" s="16" t="s">
        <v>189</v>
      </c>
      <c r="I505" s="16" t="s">
        <v>42</v>
      </c>
      <c r="J505" s="16" t="s">
        <v>43</v>
      </c>
      <c r="K505" s="18">
        <v>45175.28</v>
      </c>
      <c r="L505" s="18">
        <v>27619.65</v>
      </c>
      <c r="M505" s="19">
        <v>5</v>
      </c>
      <c r="N505" s="20">
        <v>0.2</v>
      </c>
      <c r="O505" s="19" t="s">
        <v>25</v>
      </c>
      <c r="P505" s="19" t="s">
        <v>58</v>
      </c>
      <c r="Q505" s="19" t="str">
        <f>TRIM(SalesData[[#This Row],[Customer_Name]])</f>
        <v>Meera Reddy</v>
      </c>
      <c r="R505" s="21">
        <f>SalesData[[#This Row],[Sales]]-SalesData[[#This Row],[Cost]]</f>
        <v>17555.629999999997</v>
      </c>
      <c r="S505" s="22">
        <f>IFERROR(SalesData[[#This Row],[Profit]]/SalesData[[#This Row],[Sales]],0)</f>
        <v>0.38861142642613389</v>
      </c>
      <c r="T505" s="19">
        <f>YEAR(SalesData[[#This Row],[Order_Date]])</f>
        <v>2024</v>
      </c>
      <c r="U505" s="19" t="str">
        <f>TEXT(SalesData[[#This Row],[Order_Date]],"mmm")</f>
        <v>Feb</v>
      </c>
      <c r="V505" s="19" t="str">
        <f>"Q"&amp;ROUNDUP(MONTH(SalesData[[#This Row],[Order_Date]])/3,0)</f>
        <v>Q1</v>
      </c>
      <c r="W505" s="19" t="str">
        <f>IF(SalesData[[#This Row],[Sales]]&gt;=50000,"High",IF(AND(SalesData[[#This Row],[Sales]]&gt;= 20000, SalesData[[#This Row],[Sales]]&lt; 50000),"Medium","Low"))</f>
        <v>Medium</v>
      </c>
      <c r="X505" s="19" t="str">
        <f>IF(SalesData[[#This Row],[Profit]]&gt;0,"Profit","Loss")</f>
        <v>Profit</v>
      </c>
      <c r="Y505" s="19" t="str">
        <f>IF(AND(SalesData[[#This Row],[Sales]]&gt;= 50000, SalesData[[#This Row],[Quantity]]&gt;=2),"Yes","No")</f>
        <v>No</v>
      </c>
      <c r="Z505" s="19" t="str">
        <f>UPPER(SalesData[[#This Row],[Customer_Name]])</f>
        <v>MEERA REDDY</v>
      </c>
      <c r="AA505" s="19" t="str">
        <f>LOWER(SalesData[[#This Row],[Customer_Name]])</f>
        <v>meera reddy</v>
      </c>
      <c r="AB505" s="19">
        <f>LEN(SalesData[[#This Row],[Customer_Name]])</f>
        <v>11</v>
      </c>
      <c r="AC505" s="19" t="str">
        <f>LEFT(SalesData[[#This Row],[Order_ID]],3)</f>
        <v>ORD</v>
      </c>
      <c r="AD505" s="19" t="str">
        <f>RIGHT(SalesData[[#This Row],[Order_ID]],4)</f>
        <v>0873</v>
      </c>
      <c r="AE505" s="19" t="str">
        <f>_xlfn.CONCAT(SalesData[[#This Row],[Clean_Customer_Name]],"-",SalesData[[#This Row],[Region]])</f>
        <v>Meera Reddy-East</v>
      </c>
      <c r="AF505" s="19" t="str">
        <f>MID(SalesData[[#This Row],[Order_ID]],4,4)</f>
        <v>0873</v>
      </c>
      <c r="AG505" s="19" t="e">
        <f ca="1">_xlfn.SINGLE(_xlfn.XLOOKUP(SalesData[[#This Row],[Product]],Product_Master!A:A,Product_Master!B:B,"Not Found"))</f>
        <v>#NAME?</v>
      </c>
      <c r="AH505" s="19" t="str">
        <f>VLOOKUP(SalesData[[#This Row],[Product]],Product_Master!$A$1:$B$21,2,FALSE)</f>
        <v>Amit</v>
      </c>
      <c r="AI505" s="16"/>
    </row>
    <row r="506" spans="1:35" ht="13.8">
      <c r="A506" s="16" t="s">
        <v>154</v>
      </c>
      <c r="B506" s="17">
        <v>45367</v>
      </c>
      <c r="C506" s="16" t="s">
        <v>155</v>
      </c>
      <c r="D506" s="16" t="s">
        <v>156</v>
      </c>
      <c r="E506" s="16" t="s">
        <v>95</v>
      </c>
      <c r="F506" s="16" t="s">
        <v>96</v>
      </c>
      <c r="G506" s="16" t="s">
        <v>89</v>
      </c>
      <c r="H506" s="16" t="s">
        <v>97</v>
      </c>
      <c r="I506" s="16" t="s">
        <v>23</v>
      </c>
      <c r="J506" s="16" t="s">
        <v>33</v>
      </c>
      <c r="K506" s="18">
        <v>23702.49</v>
      </c>
      <c r="L506" s="18">
        <v>16496.05</v>
      </c>
      <c r="M506" s="19">
        <v>5</v>
      </c>
      <c r="N506" s="20">
        <v>0.1</v>
      </c>
      <c r="O506" s="19" t="s">
        <v>25</v>
      </c>
      <c r="P506" s="19" t="s">
        <v>58</v>
      </c>
      <c r="Q506" s="19" t="str">
        <f>TRIM(SalesData[[#This Row],[Customer_Name]])</f>
        <v>Meera Reddy</v>
      </c>
      <c r="R506" s="21">
        <f>SalesData[[#This Row],[Sales]]-SalesData[[#This Row],[Cost]]</f>
        <v>7206.4400000000023</v>
      </c>
      <c r="S506" s="22">
        <f>IFERROR(SalesData[[#This Row],[Profit]]/SalesData[[#This Row],[Sales]],0)</f>
        <v>0.30403725515758057</v>
      </c>
      <c r="T506" s="19">
        <f>YEAR(SalesData[[#This Row],[Order_Date]])</f>
        <v>2024</v>
      </c>
      <c r="U506" s="19" t="str">
        <f>TEXT(SalesData[[#This Row],[Order_Date]],"mmm")</f>
        <v>Mar</v>
      </c>
      <c r="V506" s="19" t="str">
        <f>"Q"&amp;ROUNDUP(MONTH(SalesData[[#This Row],[Order_Date]])/3,0)</f>
        <v>Q1</v>
      </c>
      <c r="W506" s="19" t="str">
        <f>IF(SalesData[[#This Row],[Sales]]&gt;=50000,"High",IF(AND(SalesData[[#This Row],[Sales]]&gt;= 20000, SalesData[[#This Row],[Sales]]&lt; 50000),"Medium","Low"))</f>
        <v>Medium</v>
      </c>
      <c r="X506" s="19" t="str">
        <f>IF(SalesData[[#This Row],[Profit]]&gt;0,"Profit","Loss")</f>
        <v>Profit</v>
      </c>
      <c r="Y506" s="19" t="str">
        <f>IF(AND(SalesData[[#This Row],[Sales]]&gt;= 50000, SalesData[[#This Row],[Quantity]]&gt;=2),"Yes","No")</f>
        <v>No</v>
      </c>
      <c r="Z506" s="19" t="str">
        <f>UPPER(SalesData[[#This Row],[Customer_Name]])</f>
        <v>MEERA REDDY</v>
      </c>
      <c r="AA506" s="19" t="str">
        <f>LOWER(SalesData[[#This Row],[Customer_Name]])</f>
        <v>meera reddy</v>
      </c>
      <c r="AB506" s="19">
        <f>LEN(SalesData[[#This Row],[Customer_Name]])</f>
        <v>11</v>
      </c>
      <c r="AC506" s="19" t="str">
        <f>LEFT(SalesData[[#This Row],[Order_ID]],3)</f>
        <v>ORD</v>
      </c>
      <c r="AD506" s="19" t="str">
        <f>RIGHT(SalesData[[#This Row],[Order_ID]],4)</f>
        <v>0033</v>
      </c>
      <c r="AE506" s="19" t="str">
        <f>_xlfn.CONCAT(SalesData[[#This Row],[Clean_Customer_Name]],"-",SalesData[[#This Row],[Region]])</f>
        <v>Meera Reddy-North</v>
      </c>
      <c r="AF506" s="19" t="str">
        <f>MID(SalesData[[#This Row],[Order_ID]],4,4)</f>
        <v>0033</v>
      </c>
      <c r="AG506" s="19" t="e">
        <f ca="1">_xlfn.SINGLE(_xlfn.XLOOKUP(SalesData[[#This Row],[Product]],Product_Master!A:A,Product_Master!B:B,"Not Found"))</f>
        <v>#NAME?</v>
      </c>
      <c r="AH506" s="19" t="str">
        <f>VLOOKUP(SalesData[[#This Row],[Product]],Product_Master!$A$1:$B$21,2,FALSE)</f>
        <v>Neha</v>
      </c>
      <c r="AI506" s="16"/>
    </row>
    <row r="507" spans="1:35" ht="13.8">
      <c r="A507" s="16" t="s">
        <v>639</v>
      </c>
      <c r="B507" s="17">
        <v>45311</v>
      </c>
      <c r="C507" s="16" t="s">
        <v>155</v>
      </c>
      <c r="D507" s="16" t="s">
        <v>156</v>
      </c>
      <c r="E507" s="16" t="s">
        <v>95</v>
      </c>
      <c r="F507" s="16" t="s">
        <v>96</v>
      </c>
      <c r="G507" s="16" t="s">
        <v>89</v>
      </c>
      <c r="H507" s="16" t="s">
        <v>97</v>
      </c>
      <c r="I507" s="16" t="s">
        <v>42</v>
      </c>
      <c r="J507" s="16" t="s">
        <v>68</v>
      </c>
      <c r="K507" s="18">
        <v>12048.7</v>
      </c>
      <c r="L507" s="18">
        <v>11439.24</v>
      </c>
      <c r="M507" s="19">
        <v>3</v>
      </c>
      <c r="N507" s="20">
        <v>0.2</v>
      </c>
      <c r="O507" s="19" t="s">
        <v>136</v>
      </c>
      <c r="P507" s="19" t="s">
        <v>98</v>
      </c>
      <c r="Q507" s="19" t="str">
        <f>TRIM(SalesData[[#This Row],[Customer_Name]])</f>
        <v>Meera Reddy</v>
      </c>
      <c r="R507" s="21">
        <f>SalesData[[#This Row],[Sales]]-SalesData[[#This Row],[Cost]]</f>
        <v>609.46000000000095</v>
      </c>
      <c r="S507" s="22">
        <f>IFERROR(SalesData[[#This Row],[Profit]]/SalesData[[#This Row],[Sales]],0)</f>
        <v>5.058305045357598E-2</v>
      </c>
      <c r="T507" s="19">
        <f>YEAR(SalesData[[#This Row],[Order_Date]])</f>
        <v>2024</v>
      </c>
      <c r="U507" s="19" t="str">
        <f>TEXT(SalesData[[#This Row],[Order_Date]],"mmm")</f>
        <v>Jan</v>
      </c>
      <c r="V507" s="19" t="str">
        <f>"Q"&amp;ROUNDUP(MONTH(SalesData[[#This Row],[Order_Date]])/3,0)</f>
        <v>Q1</v>
      </c>
      <c r="W507" s="19" t="str">
        <f>IF(SalesData[[#This Row],[Sales]]&gt;=50000,"High",IF(AND(SalesData[[#This Row],[Sales]]&gt;= 20000, SalesData[[#This Row],[Sales]]&lt; 50000),"Medium","Low"))</f>
        <v>Low</v>
      </c>
      <c r="X507" s="19" t="str">
        <f>IF(SalesData[[#This Row],[Profit]]&gt;0,"Profit","Loss")</f>
        <v>Profit</v>
      </c>
      <c r="Y507" s="19" t="str">
        <f>IF(AND(SalesData[[#This Row],[Sales]]&gt;= 50000, SalesData[[#This Row],[Quantity]]&gt;=2),"Yes","No")</f>
        <v>No</v>
      </c>
      <c r="Z507" s="19" t="str">
        <f>UPPER(SalesData[[#This Row],[Customer_Name]])</f>
        <v>MEERA REDDY</v>
      </c>
      <c r="AA507" s="19" t="str">
        <f>LOWER(SalesData[[#This Row],[Customer_Name]])</f>
        <v>meera reddy</v>
      </c>
      <c r="AB507" s="19">
        <f>LEN(SalesData[[#This Row],[Customer_Name]])</f>
        <v>11</v>
      </c>
      <c r="AC507" s="19" t="str">
        <f>LEFT(SalesData[[#This Row],[Order_ID]],3)</f>
        <v>ORD</v>
      </c>
      <c r="AD507" s="19" t="str">
        <f>RIGHT(SalesData[[#This Row],[Order_ID]],4)</f>
        <v>0486</v>
      </c>
      <c r="AE507" s="19" t="str">
        <f>_xlfn.CONCAT(SalesData[[#This Row],[Clean_Customer_Name]],"-",SalesData[[#This Row],[Region]])</f>
        <v>Meera Reddy-East</v>
      </c>
      <c r="AF507" s="19" t="str">
        <f>MID(SalesData[[#This Row],[Order_ID]],4,4)</f>
        <v>0486</v>
      </c>
      <c r="AG507" s="19" t="e">
        <f ca="1">_xlfn.SINGLE(_xlfn.XLOOKUP(SalesData[[#This Row],[Product]],Product_Master!A:A,Product_Master!B:B,"Not Found"))</f>
        <v>#NAME?</v>
      </c>
      <c r="AH507" s="19" t="str">
        <f>VLOOKUP(SalesData[[#This Row],[Product]],Product_Master!$A$1:$B$21,2,FALSE)</f>
        <v>Neha</v>
      </c>
      <c r="AI507" s="16"/>
    </row>
    <row r="508" spans="1:35" ht="13.8">
      <c r="A508" s="16" t="s">
        <v>792</v>
      </c>
      <c r="B508" s="17">
        <v>45812</v>
      </c>
      <c r="C508" s="16" t="s">
        <v>155</v>
      </c>
      <c r="D508" s="16" t="s">
        <v>156</v>
      </c>
      <c r="E508" s="16" t="s">
        <v>95</v>
      </c>
      <c r="F508" s="16" t="s">
        <v>96</v>
      </c>
      <c r="G508" s="16" t="s">
        <v>89</v>
      </c>
      <c r="H508" s="16" t="s">
        <v>97</v>
      </c>
      <c r="I508" s="16" t="s">
        <v>23</v>
      </c>
      <c r="J508" s="16" t="s">
        <v>75</v>
      </c>
      <c r="K508" s="18">
        <v>7548.51</v>
      </c>
      <c r="L508" s="18">
        <v>3433.98</v>
      </c>
      <c r="M508" s="19">
        <v>1</v>
      </c>
      <c r="N508" s="20">
        <v>0</v>
      </c>
      <c r="O508" s="19" t="s">
        <v>44</v>
      </c>
      <c r="P508" s="19" t="s">
        <v>58</v>
      </c>
      <c r="Q508" s="19" t="str">
        <f>TRIM(SalesData[[#This Row],[Customer_Name]])</f>
        <v>Meera Reddy</v>
      </c>
      <c r="R508" s="21">
        <f>SalesData[[#This Row],[Sales]]-SalesData[[#This Row],[Cost]]</f>
        <v>4114.5300000000007</v>
      </c>
      <c r="S508" s="22">
        <f>IFERROR(SalesData[[#This Row],[Profit]]/SalesData[[#This Row],[Sales]],0)</f>
        <v>0.54507843269731382</v>
      </c>
      <c r="T508" s="19">
        <f>YEAR(SalesData[[#This Row],[Order_Date]])</f>
        <v>2025</v>
      </c>
      <c r="U508" s="19" t="str">
        <f>TEXT(SalesData[[#This Row],[Order_Date]],"mmm")</f>
        <v>Jun</v>
      </c>
      <c r="V508" s="19" t="str">
        <f>"Q"&amp;ROUNDUP(MONTH(SalesData[[#This Row],[Order_Date]])/3,0)</f>
        <v>Q2</v>
      </c>
      <c r="W508" s="19" t="str">
        <f>IF(SalesData[[#This Row],[Sales]]&gt;=50000,"High",IF(AND(SalesData[[#This Row],[Sales]]&gt;= 20000, SalesData[[#This Row],[Sales]]&lt; 50000),"Medium","Low"))</f>
        <v>Low</v>
      </c>
      <c r="X508" s="19" t="str">
        <f>IF(SalesData[[#This Row],[Profit]]&gt;0,"Profit","Loss")</f>
        <v>Profit</v>
      </c>
      <c r="Y508" s="19" t="str">
        <f>IF(AND(SalesData[[#This Row],[Sales]]&gt;= 50000, SalesData[[#This Row],[Quantity]]&gt;=2),"Yes","No")</f>
        <v>No</v>
      </c>
      <c r="Z508" s="19" t="str">
        <f>UPPER(SalesData[[#This Row],[Customer_Name]])</f>
        <v>MEERA REDDY</v>
      </c>
      <c r="AA508" s="19" t="str">
        <f>LOWER(SalesData[[#This Row],[Customer_Name]])</f>
        <v>meera reddy</v>
      </c>
      <c r="AB508" s="19">
        <f>LEN(SalesData[[#This Row],[Customer_Name]])</f>
        <v>11</v>
      </c>
      <c r="AC508" s="19" t="str">
        <f>LEFT(SalesData[[#This Row],[Order_ID]],3)</f>
        <v>ORD</v>
      </c>
      <c r="AD508" s="19" t="str">
        <f>RIGHT(SalesData[[#This Row],[Order_ID]],4)</f>
        <v>0639</v>
      </c>
      <c r="AE508" s="19" t="str">
        <f>_xlfn.CONCAT(SalesData[[#This Row],[Clean_Customer_Name]],"-",SalesData[[#This Row],[Region]])</f>
        <v>Meera Reddy-North</v>
      </c>
      <c r="AF508" s="19" t="str">
        <f>MID(SalesData[[#This Row],[Order_ID]],4,4)</f>
        <v>0639</v>
      </c>
      <c r="AG508" s="19" t="e">
        <f ca="1">_xlfn.SINGLE(_xlfn.XLOOKUP(SalesData[[#This Row],[Product]],Product_Master!A:A,Product_Master!B:B,"Not Found"))</f>
        <v>#NAME?</v>
      </c>
      <c r="AH508" s="19" t="str">
        <f>VLOOKUP(SalesData[[#This Row],[Product]],Product_Master!$A$1:$B$21,2,FALSE)</f>
        <v>Neha</v>
      </c>
      <c r="AI508" s="16"/>
    </row>
    <row r="509" spans="1:35" ht="13.8">
      <c r="A509" s="16" t="s">
        <v>1133</v>
      </c>
      <c r="B509" s="17">
        <v>45457</v>
      </c>
      <c r="C509" s="16" t="s">
        <v>155</v>
      </c>
      <c r="D509" s="16" t="s">
        <v>156</v>
      </c>
      <c r="E509" s="16" t="s">
        <v>95</v>
      </c>
      <c r="F509" s="16" t="s">
        <v>96</v>
      </c>
      <c r="G509" s="16" t="s">
        <v>89</v>
      </c>
      <c r="H509" s="16" t="s">
        <v>97</v>
      </c>
      <c r="I509" s="16" t="s">
        <v>42</v>
      </c>
      <c r="J509" s="16" t="s">
        <v>68</v>
      </c>
      <c r="K509" s="18">
        <v>3730.57</v>
      </c>
      <c r="L509" s="18">
        <v>3231.71</v>
      </c>
      <c r="M509" s="19">
        <v>1</v>
      </c>
      <c r="N509" s="20">
        <v>0.15</v>
      </c>
      <c r="O509" s="19" t="s">
        <v>136</v>
      </c>
      <c r="P509" s="19" t="s">
        <v>58</v>
      </c>
      <c r="Q509" s="19" t="str">
        <f>TRIM(SalesData[[#This Row],[Customer_Name]])</f>
        <v>Meera Reddy</v>
      </c>
      <c r="R509" s="21">
        <f>SalesData[[#This Row],[Sales]]-SalesData[[#This Row],[Cost]]</f>
        <v>498.86000000000013</v>
      </c>
      <c r="S509" s="22">
        <f>IFERROR(SalesData[[#This Row],[Profit]]/SalesData[[#This Row],[Sales]],0)</f>
        <v>0.13372219258719178</v>
      </c>
      <c r="T509" s="19">
        <f>YEAR(SalesData[[#This Row],[Order_Date]])</f>
        <v>2024</v>
      </c>
      <c r="U509" s="19" t="str">
        <f>TEXT(SalesData[[#This Row],[Order_Date]],"mmm")</f>
        <v>Jun</v>
      </c>
      <c r="V509" s="19" t="str">
        <f>"Q"&amp;ROUNDUP(MONTH(SalesData[[#This Row],[Order_Date]])/3,0)</f>
        <v>Q2</v>
      </c>
      <c r="W509" s="19" t="str">
        <f>IF(SalesData[[#This Row],[Sales]]&gt;=50000,"High",IF(AND(SalesData[[#This Row],[Sales]]&gt;= 20000, SalesData[[#This Row],[Sales]]&lt; 50000),"Medium","Low"))</f>
        <v>Low</v>
      </c>
      <c r="X509" s="19" t="str">
        <f>IF(SalesData[[#This Row],[Profit]]&gt;0,"Profit","Loss")</f>
        <v>Profit</v>
      </c>
      <c r="Y509" s="19" t="str">
        <f>IF(AND(SalesData[[#This Row],[Sales]]&gt;= 50000, SalesData[[#This Row],[Quantity]]&gt;=2),"Yes","No")</f>
        <v>No</v>
      </c>
      <c r="Z509" s="19" t="str">
        <f>UPPER(SalesData[[#This Row],[Customer_Name]])</f>
        <v>MEERA REDDY</v>
      </c>
      <c r="AA509" s="19" t="str">
        <f>LOWER(SalesData[[#This Row],[Customer_Name]])</f>
        <v>meera reddy</v>
      </c>
      <c r="AB509" s="19">
        <f>LEN(SalesData[[#This Row],[Customer_Name]])</f>
        <v>11</v>
      </c>
      <c r="AC509" s="19" t="str">
        <f>LEFT(SalesData[[#This Row],[Order_ID]],3)</f>
        <v>ORD</v>
      </c>
      <c r="AD509" s="19" t="str">
        <f>RIGHT(SalesData[[#This Row],[Order_ID]],4)</f>
        <v>0980</v>
      </c>
      <c r="AE509" s="19" t="str">
        <f>_xlfn.CONCAT(SalesData[[#This Row],[Clean_Customer_Name]],"-",SalesData[[#This Row],[Region]])</f>
        <v>Meera Reddy-East</v>
      </c>
      <c r="AF509" s="19" t="str">
        <f>MID(SalesData[[#This Row],[Order_ID]],4,4)</f>
        <v>0980</v>
      </c>
      <c r="AG509" s="19" t="e">
        <f ca="1">_xlfn.SINGLE(_xlfn.XLOOKUP(SalesData[[#This Row],[Product]],Product_Master!A:A,Product_Master!B:B,"Not Found"))</f>
        <v>#NAME?</v>
      </c>
      <c r="AH509" s="19" t="str">
        <f>VLOOKUP(SalesData[[#This Row],[Product]],Product_Master!$A$1:$B$21,2,FALSE)</f>
        <v>Neha</v>
      </c>
      <c r="AI509" s="16"/>
    </row>
    <row r="510" spans="1:35" ht="13.8">
      <c r="A510" s="16" t="s">
        <v>307</v>
      </c>
      <c r="B510" s="17">
        <v>45685</v>
      </c>
      <c r="C510" s="16" t="s">
        <v>155</v>
      </c>
      <c r="D510" s="16" t="s">
        <v>156</v>
      </c>
      <c r="E510" s="16" t="s">
        <v>193</v>
      </c>
      <c r="F510" s="16" t="s">
        <v>194</v>
      </c>
      <c r="G510" s="16" t="s">
        <v>89</v>
      </c>
      <c r="H510" s="16" t="s">
        <v>90</v>
      </c>
      <c r="I510" s="16" t="s">
        <v>56</v>
      </c>
      <c r="J510" s="16" t="s">
        <v>57</v>
      </c>
      <c r="K510" s="18">
        <v>6980.32</v>
      </c>
      <c r="L510" s="18">
        <v>2032.12</v>
      </c>
      <c r="M510" s="19">
        <v>4</v>
      </c>
      <c r="N510" s="20">
        <v>0</v>
      </c>
      <c r="O510" s="19" t="s">
        <v>136</v>
      </c>
      <c r="P510" s="19" t="s">
        <v>58</v>
      </c>
      <c r="Q510" s="19" t="str">
        <f>TRIM(SalesData[[#This Row],[Customer_Name]])</f>
        <v>Meera Reddy</v>
      </c>
      <c r="R510" s="21">
        <f>SalesData[[#This Row],[Sales]]-SalesData[[#This Row],[Cost]]</f>
        <v>4948.2</v>
      </c>
      <c r="S510" s="22">
        <f>IFERROR(SalesData[[#This Row],[Profit]]/SalesData[[#This Row],[Sales]],0)</f>
        <v>0.7088786760492356</v>
      </c>
      <c r="T510" s="19">
        <f>YEAR(SalesData[[#This Row],[Order_Date]])</f>
        <v>2025</v>
      </c>
      <c r="U510" s="19" t="str">
        <f>TEXT(SalesData[[#This Row],[Order_Date]],"mmm")</f>
        <v>Jan</v>
      </c>
      <c r="V510" s="19" t="str">
        <f>"Q"&amp;ROUNDUP(MONTH(SalesData[[#This Row],[Order_Date]])/3,0)</f>
        <v>Q1</v>
      </c>
      <c r="W510" s="19" t="str">
        <f>IF(SalesData[[#This Row],[Sales]]&gt;=50000,"High",IF(AND(SalesData[[#This Row],[Sales]]&gt;= 20000, SalesData[[#This Row],[Sales]]&lt; 50000),"Medium","Low"))</f>
        <v>Low</v>
      </c>
      <c r="X510" s="19" t="str">
        <f>IF(SalesData[[#This Row],[Profit]]&gt;0,"Profit","Loss")</f>
        <v>Profit</v>
      </c>
      <c r="Y510" s="19" t="str">
        <f>IF(AND(SalesData[[#This Row],[Sales]]&gt;= 50000, SalesData[[#This Row],[Quantity]]&gt;=2),"Yes","No")</f>
        <v>No</v>
      </c>
      <c r="Z510" s="19" t="str">
        <f>UPPER(SalesData[[#This Row],[Customer_Name]])</f>
        <v>MEERA REDDY</v>
      </c>
      <c r="AA510" s="19" t="str">
        <f>LOWER(SalesData[[#This Row],[Customer_Name]])</f>
        <v>meera reddy</v>
      </c>
      <c r="AB510" s="19">
        <f>LEN(SalesData[[#This Row],[Customer_Name]])</f>
        <v>11</v>
      </c>
      <c r="AC510" s="19" t="str">
        <f>LEFT(SalesData[[#This Row],[Order_ID]],3)</f>
        <v>ORD</v>
      </c>
      <c r="AD510" s="19" t="str">
        <f>RIGHT(SalesData[[#This Row],[Order_ID]],4)</f>
        <v>0154</v>
      </c>
      <c r="AE510" s="19" t="str">
        <f>_xlfn.CONCAT(SalesData[[#This Row],[Clean_Customer_Name]],"-",SalesData[[#This Row],[Region]])</f>
        <v>Meera Reddy-West</v>
      </c>
      <c r="AF510" s="19" t="str">
        <f>MID(SalesData[[#This Row],[Order_ID]],4,4)</f>
        <v>0154</v>
      </c>
      <c r="AG510" s="19" t="e">
        <f ca="1">_xlfn.SINGLE(_xlfn.XLOOKUP(SalesData[[#This Row],[Product]],Product_Master!A:A,Product_Master!B:B,"Not Found"))</f>
        <v>#NAME?</v>
      </c>
      <c r="AH510" s="19" t="str">
        <f>VLOOKUP(SalesData[[#This Row],[Product]],Product_Master!$A$1:$B$21,2,FALSE)</f>
        <v>Simran</v>
      </c>
      <c r="AI510" s="16"/>
    </row>
    <row r="511" spans="1:35" ht="13.8">
      <c r="A511" s="16" t="s">
        <v>984</v>
      </c>
      <c r="B511" s="17">
        <v>45999</v>
      </c>
      <c r="C511" s="16" t="s">
        <v>155</v>
      </c>
      <c r="D511" s="16" t="s">
        <v>156</v>
      </c>
      <c r="E511" s="16" t="s">
        <v>193</v>
      </c>
      <c r="F511" s="16" t="s">
        <v>194</v>
      </c>
      <c r="G511" s="16" t="s">
        <v>89</v>
      </c>
      <c r="H511" s="16" t="s">
        <v>90</v>
      </c>
      <c r="I511" s="16" t="s">
        <v>84</v>
      </c>
      <c r="J511" s="16" t="s">
        <v>134</v>
      </c>
      <c r="K511" s="18">
        <v>2679.61</v>
      </c>
      <c r="L511" s="18">
        <v>2121.84</v>
      </c>
      <c r="M511" s="19">
        <v>4</v>
      </c>
      <c r="N511" s="20">
        <v>0.05</v>
      </c>
      <c r="O511" s="19" t="s">
        <v>25</v>
      </c>
      <c r="P511" s="19" t="s">
        <v>58</v>
      </c>
      <c r="Q511" s="19" t="str">
        <f>TRIM(SalesData[[#This Row],[Customer_Name]])</f>
        <v>Meera Reddy</v>
      </c>
      <c r="R511" s="21">
        <f>SalesData[[#This Row],[Sales]]-SalesData[[#This Row],[Cost]]</f>
        <v>557.77</v>
      </c>
      <c r="S511" s="22">
        <f>IFERROR(SalesData[[#This Row],[Profit]]/SalesData[[#This Row],[Sales]],0)</f>
        <v>0.20815342531189238</v>
      </c>
      <c r="T511" s="19">
        <f>YEAR(SalesData[[#This Row],[Order_Date]])</f>
        <v>2025</v>
      </c>
      <c r="U511" s="19" t="str">
        <f>TEXT(SalesData[[#This Row],[Order_Date]],"mmm")</f>
        <v>Dec</v>
      </c>
      <c r="V511" s="19" t="str">
        <f>"Q"&amp;ROUNDUP(MONTH(SalesData[[#This Row],[Order_Date]])/3,0)</f>
        <v>Q4</v>
      </c>
      <c r="W511" s="19" t="str">
        <f>IF(SalesData[[#This Row],[Sales]]&gt;=50000,"High",IF(AND(SalesData[[#This Row],[Sales]]&gt;= 20000, SalesData[[#This Row],[Sales]]&lt; 50000),"Medium","Low"))</f>
        <v>Low</v>
      </c>
      <c r="X511" s="19" t="str">
        <f>IF(SalesData[[#This Row],[Profit]]&gt;0,"Profit","Loss")</f>
        <v>Profit</v>
      </c>
      <c r="Y511" s="19" t="str">
        <f>IF(AND(SalesData[[#This Row],[Sales]]&gt;= 50000, SalesData[[#This Row],[Quantity]]&gt;=2),"Yes","No")</f>
        <v>No</v>
      </c>
      <c r="Z511" s="19" t="str">
        <f>UPPER(SalesData[[#This Row],[Customer_Name]])</f>
        <v>MEERA REDDY</v>
      </c>
      <c r="AA511" s="19" t="str">
        <f>LOWER(SalesData[[#This Row],[Customer_Name]])</f>
        <v>meera reddy</v>
      </c>
      <c r="AB511" s="19">
        <f>LEN(SalesData[[#This Row],[Customer_Name]])</f>
        <v>11</v>
      </c>
      <c r="AC511" s="19" t="str">
        <f>LEFT(SalesData[[#This Row],[Order_ID]],3)</f>
        <v>ORD</v>
      </c>
      <c r="AD511" s="19" t="str">
        <f>RIGHT(SalesData[[#This Row],[Order_ID]],4)</f>
        <v>0831</v>
      </c>
      <c r="AE511" s="19" t="str">
        <f>_xlfn.CONCAT(SalesData[[#This Row],[Clean_Customer_Name]],"-",SalesData[[#This Row],[Region]])</f>
        <v>Meera Reddy-South</v>
      </c>
      <c r="AF511" s="19" t="str">
        <f>MID(SalesData[[#This Row],[Order_ID]],4,4)</f>
        <v>0831</v>
      </c>
      <c r="AG511" s="19" t="e">
        <f ca="1">_xlfn.SINGLE(_xlfn.XLOOKUP(SalesData[[#This Row],[Product]],Product_Master!A:A,Product_Master!B:B,"Not Found"))</f>
        <v>#NAME?</v>
      </c>
      <c r="AH511" s="19" t="str">
        <f>VLOOKUP(SalesData[[#This Row],[Product]],Product_Master!$A$1:$B$21,2,FALSE)</f>
        <v>Simran</v>
      </c>
      <c r="AI511" s="16"/>
    </row>
    <row r="512" spans="1:35" ht="13.8">
      <c r="A512" s="16" t="s">
        <v>282</v>
      </c>
      <c r="B512" s="17">
        <v>45782</v>
      </c>
      <c r="C512" s="16" t="s">
        <v>170</v>
      </c>
      <c r="D512" s="16" t="s">
        <v>171</v>
      </c>
      <c r="E512" s="16" t="s">
        <v>30</v>
      </c>
      <c r="F512" s="16" t="s">
        <v>31</v>
      </c>
      <c r="G512" s="16" t="s">
        <v>21</v>
      </c>
      <c r="H512" s="16" t="s">
        <v>32</v>
      </c>
      <c r="I512" s="16" t="s">
        <v>23</v>
      </c>
      <c r="J512" s="16" t="s">
        <v>24</v>
      </c>
      <c r="K512" s="18">
        <v>186909.87</v>
      </c>
      <c r="L512" s="18">
        <v>189168.92</v>
      </c>
      <c r="M512" s="19">
        <v>4</v>
      </c>
      <c r="N512" s="20">
        <v>0.15</v>
      </c>
      <c r="O512" s="19" t="s">
        <v>25</v>
      </c>
      <c r="P512" s="19" t="s">
        <v>58</v>
      </c>
      <c r="Q512" s="19" t="str">
        <f>TRIM(SalesData[[#This Row],[Customer_Name]])</f>
        <v>Manish Tiwari</v>
      </c>
      <c r="R512" s="21">
        <f>SalesData[[#This Row],[Sales]]-SalesData[[#This Row],[Cost]]</f>
        <v>-2259.0500000000175</v>
      </c>
      <c r="S512" s="22">
        <f>IFERROR(SalesData[[#This Row],[Profit]]/SalesData[[#This Row],[Sales]],0)</f>
        <v>-1.2086306624685029E-2</v>
      </c>
      <c r="T512" s="19">
        <f>YEAR(SalesData[[#This Row],[Order_Date]])</f>
        <v>2025</v>
      </c>
      <c r="U512" s="19" t="str">
        <f>TEXT(SalesData[[#This Row],[Order_Date]],"mmm")</f>
        <v>May</v>
      </c>
      <c r="V512" s="19" t="str">
        <f>"Q"&amp;ROUNDUP(MONTH(SalesData[[#This Row],[Order_Date]])/3,0)</f>
        <v>Q2</v>
      </c>
      <c r="W512" s="19" t="str">
        <f>IF(SalesData[[#This Row],[Sales]]&gt;=50000,"High",IF(AND(SalesData[[#This Row],[Sales]]&gt;= 20000, SalesData[[#This Row],[Sales]]&lt; 50000),"Medium","Low"))</f>
        <v>High</v>
      </c>
      <c r="X512" s="19" t="str">
        <f>IF(SalesData[[#This Row],[Profit]]&gt;0,"Profit","Loss")</f>
        <v>Loss</v>
      </c>
      <c r="Y512" s="19" t="str">
        <f>IF(AND(SalesData[[#This Row],[Sales]]&gt;= 50000, SalesData[[#This Row],[Quantity]]&gt;=2),"Yes","No")</f>
        <v>Yes</v>
      </c>
      <c r="Z512" s="19" t="str">
        <f>UPPER(SalesData[[#This Row],[Customer_Name]])</f>
        <v>MANISH TIWARI</v>
      </c>
      <c r="AA512" s="19" t="str">
        <f>LOWER(SalesData[[#This Row],[Customer_Name]])</f>
        <v>manish tiwari</v>
      </c>
      <c r="AB512" s="19">
        <f>LEN(SalesData[[#This Row],[Customer_Name]])</f>
        <v>13</v>
      </c>
      <c r="AC512" s="19" t="str">
        <f>LEFT(SalesData[[#This Row],[Order_ID]],3)</f>
        <v>ORD</v>
      </c>
      <c r="AD512" s="19" t="str">
        <f>RIGHT(SalesData[[#This Row],[Order_ID]],4)</f>
        <v>0129</v>
      </c>
      <c r="AE512" s="19" t="str">
        <f>_xlfn.CONCAT(SalesData[[#This Row],[Clean_Customer_Name]],"-",SalesData[[#This Row],[Region]])</f>
        <v>Manish Tiwari-North</v>
      </c>
      <c r="AF512" s="19" t="str">
        <f>MID(SalesData[[#This Row],[Order_ID]],4,4)</f>
        <v>0129</v>
      </c>
      <c r="AG512" s="19" t="e">
        <f ca="1">_xlfn.SINGLE(_xlfn.XLOOKUP(SalesData[[#This Row],[Product]],Product_Master!A:A,Product_Master!B:B,"Not Found"))</f>
        <v>#NAME?</v>
      </c>
      <c r="AH512" s="19" t="str">
        <f>VLOOKUP(SalesData[[#This Row],[Product]],Product_Master!$A$1:$B$21,2,FALSE)</f>
        <v>Rahul</v>
      </c>
      <c r="AI512" s="16"/>
    </row>
    <row r="513" spans="1:35" ht="13.8">
      <c r="A513" s="16" t="s">
        <v>706</v>
      </c>
      <c r="B513" s="17">
        <v>45945</v>
      </c>
      <c r="C513" s="16" t="s">
        <v>170</v>
      </c>
      <c r="D513" s="16" t="s">
        <v>171</v>
      </c>
      <c r="E513" s="16" t="s">
        <v>30</v>
      </c>
      <c r="F513" s="16" t="s">
        <v>31</v>
      </c>
      <c r="G513" s="16" t="s">
        <v>21</v>
      </c>
      <c r="H513" s="16" t="s">
        <v>32</v>
      </c>
      <c r="I513" s="16" t="s">
        <v>53</v>
      </c>
      <c r="J513" s="16" t="s">
        <v>54</v>
      </c>
      <c r="K513" s="18">
        <v>279227.05</v>
      </c>
      <c r="L513" s="18">
        <v>234194.1</v>
      </c>
      <c r="M513" s="19">
        <v>5</v>
      </c>
      <c r="N513" s="20">
        <v>0</v>
      </c>
      <c r="O513" s="19" t="s">
        <v>34</v>
      </c>
      <c r="P513" s="19" t="s">
        <v>77</v>
      </c>
      <c r="Q513" s="19" t="str">
        <f>TRIM(SalesData[[#This Row],[Customer_Name]])</f>
        <v>Manish Tiwari</v>
      </c>
      <c r="R513" s="21">
        <f>SalesData[[#This Row],[Sales]]-SalesData[[#This Row],[Cost]]</f>
        <v>45032.949999999983</v>
      </c>
      <c r="S513" s="22">
        <f>IFERROR(SalesData[[#This Row],[Profit]]/SalesData[[#This Row],[Sales]],0)</f>
        <v>0.16127717568910313</v>
      </c>
      <c r="T513" s="19">
        <f>YEAR(SalesData[[#This Row],[Order_Date]])</f>
        <v>2025</v>
      </c>
      <c r="U513" s="19" t="str">
        <f>TEXT(SalesData[[#This Row],[Order_Date]],"mmm")</f>
        <v>Oct</v>
      </c>
      <c r="V513" s="19" t="str">
        <f>"Q"&amp;ROUNDUP(MONTH(SalesData[[#This Row],[Order_Date]])/3,0)</f>
        <v>Q4</v>
      </c>
      <c r="W513" s="19" t="str">
        <f>IF(SalesData[[#This Row],[Sales]]&gt;=50000,"High",IF(AND(SalesData[[#This Row],[Sales]]&gt;= 20000, SalesData[[#This Row],[Sales]]&lt; 50000),"Medium","Low"))</f>
        <v>High</v>
      </c>
      <c r="X513" s="19" t="str">
        <f>IF(SalesData[[#This Row],[Profit]]&gt;0,"Profit","Loss")</f>
        <v>Profit</v>
      </c>
      <c r="Y513" s="19" t="str">
        <f>IF(AND(SalesData[[#This Row],[Sales]]&gt;= 50000, SalesData[[#This Row],[Quantity]]&gt;=2),"Yes","No")</f>
        <v>Yes</v>
      </c>
      <c r="Z513" s="19" t="str">
        <f>UPPER(SalesData[[#This Row],[Customer_Name]])</f>
        <v>MANISH TIWARI</v>
      </c>
      <c r="AA513" s="19" t="str">
        <f>LOWER(SalesData[[#This Row],[Customer_Name]])</f>
        <v>manish tiwari</v>
      </c>
      <c r="AB513" s="19">
        <f>LEN(SalesData[[#This Row],[Customer_Name]])</f>
        <v>13</v>
      </c>
      <c r="AC513" s="19" t="str">
        <f>LEFT(SalesData[[#This Row],[Order_ID]],3)</f>
        <v>ORD</v>
      </c>
      <c r="AD513" s="19" t="str">
        <f>RIGHT(SalesData[[#This Row],[Order_ID]],4)</f>
        <v>0553</v>
      </c>
      <c r="AE513" s="19" t="str">
        <f>_xlfn.CONCAT(SalesData[[#This Row],[Clean_Customer_Name]],"-",SalesData[[#This Row],[Region]])</f>
        <v>Manish Tiwari-Central</v>
      </c>
      <c r="AF513" s="19" t="str">
        <f>MID(SalesData[[#This Row],[Order_ID]],4,4)</f>
        <v>0553</v>
      </c>
      <c r="AG513" s="19" t="e">
        <f ca="1">_xlfn.SINGLE(_xlfn.XLOOKUP(SalesData[[#This Row],[Product]],Product_Master!A:A,Product_Master!B:B,"Not Found"))</f>
        <v>#NAME?</v>
      </c>
      <c r="AH513" s="19" t="str">
        <f>VLOOKUP(SalesData[[#This Row],[Product]],Product_Master!$A$1:$B$21,2,FALSE)</f>
        <v>Rahul</v>
      </c>
      <c r="AI513" s="16"/>
    </row>
    <row r="514" spans="1:35" ht="13.8">
      <c r="A514" s="16" t="s">
        <v>736</v>
      </c>
      <c r="B514" s="17">
        <v>45689</v>
      </c>
      <c r="C514" s="16" t="s">
        <v>170</v>
      </c>
      <c r="D514" s="16" t="s">
        <v>171</v>
      </c>
      <c r="E514" s="16" t="s">
        <v>30</v>
      </c>
      <c r="F514" s="16" t="s">
        <v>31</v>
      </c>
      <c r="G514" s="16" t="s">
        <v>21</v>
      </c>
      <c r="H514" s="16" t="s">
        <v>32</v>
      </c>
      <c r="I514" s="16" t="s">
        <v>23</v>
      </c>
      <c r="J514" s="16" t="s">
        <v>33</v>
      </c>
      <c r="K514" s="18">
        <v>172855.76</v>
      </c>
      <c r="L514" s="18">
        <v>148693.85999999999</v>
      </c>
      <c r="M514" s="19">
        <v>3</v>
      </c>
      <c r="N514" s="20">
        <v>0.1</v>
      </c>
      <c r="O514" s="19" t="s">
        <v>25</v>
      </c>
      <c r="P514" s="19" t="s">
        <v>58</v>
      </c>
      <c r="Q514" s="19" t="str">
        <f>TRIM(SalesData[[#This Row],[Customer_Name]])</f>
        <v>Manish Tiwari</v>
      </c>
      <c r="R514" s="21">
        <f>SalesData[[#This Row],[Sales]]-SalesData[[#This Row],[Cost]]</f>
        <v>24161.900000000023</v>
      </c>
      <c r="S514" s="22">
        <f>IFERROR(SalesData[[#This Row],[Profit]]/SalesData[[#This Row],[Sales]],0)</f>
        <v>0.13978070502249981</v>
      </c>
      <c r="T514" s="19">
        <f>YEAR(SalesData[[#This Row],[Order_Date]])</f>
        <v>2025</v>
      </c>
      <c r="U514" s="19" t="str">
        <f>TEXT(SalesData[[#This Row],[Order_Date]],"mmm")</f>
        <v>Feb</v>
      </c>
      <c r="V514" s="19" t="str">
        <f>"Q"&amp;ROUNDUP(MONTH(SalesData[[#This Row],[Order_Date]])/3,0)</f>
        <v>Q1</v>
      </c>
      <c r="W514" s="19" t="str">
        <f>IF(SalesData[[#This Row],[Sales]]&gt;=50000,"High",IF(AND(SalesData[[#This Row],[Sales]]&gt;= 20000, SalesData[[#This Row],[Sales]]&lt; 50000),"Medium","Low"))</f>
        <v>High</v>
      </c>
      <c r="X514" s="19" t="str">
        <f>IF(SalesData[[#This Row],[Profit]]&gt;0,"Profit","Loss")</f>
        <v>Profit</v>
      </c>
      <c r="Y514" s="19" t="str">
        <f>IF(AND(SalesData[[#This Row],[Sales]]&gt;= 50000, SalesData[[#This Row],[Quantity]]&gt;=2),"Yes","No")</f>
        <v>Yes</v>
      </c>
      <c r="Z514" s="19" t="str">
        <f>UPPER(SalesData[[#This Row],[Customer_Name]])</f>
        <v>MANISH TIWARI</v>
      </c>
      <c r="AA514" s="19" t="str">
        <f>LOWER(SalesData[[#This Row],[Customer_Name]])</f>
        <v>manish tiwari</v>
      </c>
      <c r="AB514" s="19">
        <f>LEN(SalesData[[#This Row],[Customer_Name]])</f>
        <v>13</v>
      </c>
      <c r="AC514" s="19" t="str">
        <f>LEFT(SalesData[[#This Row],[Order_ID]],3)</f>
        <v>ORD</v>
      </c>
      <c r="AD514" s="19" t="str">
        <f>RIGHT(SalesData[[#This Row],[Order_ID]],4)</f>
        <v>0583</v>
      </c>
      <c r="AE514" s="19" t="str">
        <f>_xlfn.CONCAT(SalesData[[#This Row],[Clean_Customer_Name]],"-",SalesData[[#This Row],[Region]])</f>
        <v>Manish Tiwari-North</v>
      </c>
      <c r="AF514" s="19" t="str">
        <f>MID(SalesData[[#This Row],[Order_ID]],4,4)</f>
        <v>0583</v>
      </c>
      <c r="AG514" s="19" t="e">
        <f ca="1">_xlfn.SINGLE(_xlfn.XLOOKUP(SalesData[[#This Row],[Product]],Product_Master!A:A,Product_Master!B:B,"Not Found"))</f>
        <v>#NAME?</v>
      </c>
      <c r="AH514" s="19" t="str">
        <f>VLOOKUP(SalesData[[#This Row],[Product]],Product_Master!$A$1:$B$21,2,FALSE)</f>
        <v>Rahul</v>
      </c>
      <c r="AI514" s="16"/>
    </row>
    <row r="515" spans="1:35" ht="13.8">
      <c r="A515" s="16" t="s">
        <v>504</v>
      </c>
      <c r="B515" s="17">
        <v>45879</v>
      </c>
      <c r="C515" s="16" t="s">
        <v>170</v>
      </c>
      <c r="D515" s="16" t="s">
        <v>171</v>
      </c>
      <c r="E515" s="16" t="s">
        <v>81</v>
      </c>
      <c r="F515" s="16" t="s">
        <v>82</v>
      </c>
      <c r="G515" s="16" t="s">
        <v>21</v>
      </c>
      <c r="H515" s="16" t="s">
        <v>83</v>
      </c>
      <c r="I515" s="16" t="s">
        <v>23</v>
      </c>
      <c r="J515" s="16" t="s">
        <v>75</v>
      </c>
      <c r="K515" s="18">
        <v>104087.12</v>
      </c>
      <c r="L515" s="18">
        <v>76632.28</v>
      </c>
      <c r="M515" s="19">
        <v>4</v>
      </c>
      <c r="N515" s="20">
        <v>0</v>
      </c>
      <c r="O515" s="19" t="s">
        <v>136</v>
      </c>
      <c r="P515" s="19" t="s">
        <v>26</v>
      </c>
      <c r="Q515" s="19" t="str">
        <f>TRIM(SalesData[[#This Row],[Customer_Name]])</f>
        <v>Manish Tiwari</v>
      </c>
      <c r="R515" s="21">
        <f>SalesData[[#This Row],[Sales]]-SalesData[[#This Row],[Cost]]</f>
        <v>27454.839999999997</v>
      </c>
      <c r="S515" s="22">
        <f>IFERROR(SalesData[[#This Row],[Profit]]/SalesData[[#This Row],[Sales]],0)</f>
        <v>0.26376788982152638</v>
      </c>
      <c r="T515" s="19">
        <f>YEAR(SalesData[[#This Row],[Order_Date]])</f>
        <v>2025</v>
      </c>
      <c r="U515" s="19" t="str">
        <f>TEXT(SalesData[[#This Row],[Order_Date]],"mmm")</f>
        <v>Aug</v>
      </c>
      <c r="V515" s="19" t="str">
        <f>"Q"&amp;ROUNDUP(MONTH(SalesData[[#This Row],[Order_Date]])/3,0)</f>
        <v>Q3</v>
      </c>
      <c r="W515" s="19" t="str">
        <f>IF(SalesData[[#This Row],[Sales]]&gt;=50000,"High",IF(AND(SalesData[[#This Row],[Sales]]&gt;= 20000, SalesData[[#This Row],[Sales]]&lt; 50000),"Medium","Low"))</f>
        <v>High</v>
      </c>
      <c r="X515" s="19" t="str">
        <f>IF(SalesData[[#This Row],[Profit]]&gt;0,"Profit","Loss")</f>
        <v>Profit</v>
      </c>
      <c r="Y515" s="19" t="str">
        <f>IF(AND(SalesData[[#This Row],[Sales]]&gt;= 50000, SalesData[[#This Row],[Quantity]]&gt;=2),"Yes","No")</f>
        <v>Yes</v>
      </c>
      <c r="Z515" s="19" t="str">
        <f>UPPER(SalesData[[#This Row],[Customer_Name]])</f>
        <v>MANISH TIWARI</v>
      </c>
      <c r="AA515" s="19" t="str">
        <f>LOWER(SalesData[[#This Row],[Customer_Name]])</f>
        <v>manish tiwari</v>
      </c>
      <c r="AB515" s="19">
        <f>LEN(SalesData[[#This Row],[Customer_Name]])</f>
        <v>13</v>
      </c>
      <c r="AC515" s="19" t="str">
        <f>LEFT(SalesData[[#This Row],[Order_ID]],3)</f>
        <v>ORD</v>
      </c>
      <c r="AD515" s="19" t="str">
        <f>RIGHT(SalesData[[#This Row],[Order_ID]],4)</f>
        <v>0351</v>
      </c>
      <c r="AE515" s="19" t="str">
        <f>_xlfn.CONCAT(SalesData[[#This Row],[Clean_Customer_Name]],"-",SalesData[[#This Row],[Region]])</f>
        <v>Manish Tiwari-North</v>
      </c>
      <c r="AF515" s="19" t="str">
        <f>MID(SalesData[[#This Row],[Order_ID]],4,4)</f>
        <v>0351</v>
      </c>
      <c r="AG515" s="19" t="e">
        <f ca="1">_xlfn.SINGLE(_xlfn.XLOOKUP(SalesData[[#This Row],[Product]],Product_Master!A:A,Product_Master!B:B,"Not Found"))</f>
        <v>#NAME?</v>
      </c>
      <c r="AH515" s="19" t="str">
        <f>VLOOKUP(SalesData[[#This Row],[Product]],Product_Master!$A$1:$B$21,2,FALSE)</f>
        <v>Priya</v>
      </c>
      <c r="AI515" s="16"/>
    </row>
    <row r="516" spans="1:35" ht="13.8">
      <c r="A516" s="16" t="s">
        <v>1107</v>
      </c>
      <c r="B516" s="17">
        <v>45942</v>
      </c>
      <c r="C516" s="16" t="s">
        <v>170</v>
      </c>
      <c r="D516" s="16" t="s">
        <v>171</v>
      </c>
      <c r="E516" s="16" t="s">
        <v>81</v>
      </c>
      <c r="F516" s="16" t="s">
        <v>82</v>
      </c>
      <c r="G516" s="16" t="s">
        <v>21</v>
      </c>
      <c r="H516" s="16" t="s">
        <v>83</v>
      </c>
      <c r="I516" s="16" t="s">
        <v>53</v>
      </c>
      <c r="J516" s="16" t="s">
        <v>102</v>
      </c>
      <c r="K516" s="18">
        <v>153957.65</v>
      </c>
      <c r="L516" s="18">
        <v>92538.2</v>
      </c>
      <c r="M516" s="19">
        <v>5</v>
      </c>
      <c r="N516" s="20">
        <v>0</v>
      </c>
      <c r="O516" s="19" t="s">
        <v>136</v>
      </c>
      <c r="P516" s="19" t="s">
        <v>45</v>
      </c>
      <c r="Q516" s="19" t="str">
        <f>TRIM(SalesData[[#This Row],[Customer_Name]])</f>
        <v>Manish Tiwari</v>
      </c>
      <c r="R516" s="21">
        <f>SalesData[[#This Row],[Sales]]-SalesData[[#This Row],[Cost]]</f>
        <v>61419.45</v>
      </c>
      <c r="S516" s="22">
        <f>IFERROR(SalesData[[#This Row],[Profit]]/SalesData[[#This Row],[Sales]],0)</f>
        <v>0.39893730516151682</v>
      </c>
      <c r="T516" s="19">
        <f>YEAR(SalesData[[#This Row],[Order_Date]])</f>
        <v>2025</v>
      </c>
      <c r="U516" s="19" t="str">
        <f>TEXT(SalesData[[#This Row],[Order_Date]],"mmm")</f>
        <v>Oct</v>
      </c>
      <c r="V516" s="19" t="str">
        <f>"Q"&amp;ROUNDUP(MONTH(SalesData[[#This Row],[Order_Date]])/3,0)</f>
        <v>Q4</v>
      </c>
      <c r="W516" s="19" t="str">
        <f>IF(SalesData[[#This Row],[Sales]]&gt;=50000,"High",IF(AND(SalesData[[#This Row],[Sales]]&gt;= 20000, SalesData[[#This Row],[Sales]]&lt; 50000),"Medium","Low"))</f>
        <v>High</v>
      </c>
      <c r="X516" s="19" t="str">
        <f>IF(SalesData[[#This Row],[Profit]]&gt;0,"Profit","Loss")</f>
        <v>Profit</v>
      </c>
      <c r="Y516" s="19" t="str">
        <f>IF(AND(SalesData[[#This Row],[Sales]]&gt;= 50000, SalesData[[#This Row],[Quantity]]&gt;=2),"Yes","No")</f>
        <v>Yes</v>
      </c>
      <c r="Z516" s="19" t="str">
        <f>UPPER(SalesData[[#This Row],[Customer_Name]])</f>
        <v>MANISH TIWARI</v>
      </c>
      <c r="AA516" s="19" t="str">
        <f>LOWER(SalesData[[#This Row],[Customer_Name]])</f>
        <v>manish tiwari</v>
      </c>
      <c r="AB516" s="19">
        <f>LEN(SalesData[[#This Row],[Customer_Name]])</f>
        <v>13</v>
      </c>
      <c r="AC516" s="19" t="str">
        <f>LEFT(SalesData[[#This Row],[Order_ID]],3)</f>
        <v>ORD</v>
      </c>
      <c r="AD516" s="19" t="str">
        <f>RIGHT(SalesData[[#This Row],[Order_ID]],4)</f>
        <v>0954</v>
      </c>
      <c r="AE516" s="19" t="str">
        <f>_xlfn.CONCAT(SalesData[[#This Row],[Clean_Customer_Name]],"-",SalesData[[#This Row],[Region]])</f>
        <v>Manish Tiwari-Central</v>
      </c>
      <c r="AF516" s="19" t="str">
        <f>MID(SalesData[[#This Row],[Order_ID]],4,4)</f>
        <v>0954</v>
      </c>
      <c r="AG516" s="19" t="e">
        <f ca="1">_xlfn.SINGLE(_xlfn.XLOOKUP(SalesData[[#This Row],[Product]],Product_Master!A:A,Product_Master!B:B,"Not Found"))</f>
        <v>#NAME?</v>
      </c>
      <c r="AH516" s="19" t="str">
        <f>VLOOKUP(SalesData[[#This Row],[Product]],Product_Master!$A$1:$B$21,2,FALSE)</f>
        <v>Priya</v>
      </c>
      <c r="AI516" s="16"/>
    </row>
    <row r="517" spans="1:35" ht="13.8">
      <c r="A517" s="16" t="s">
        <v>1108</v>
      </c>
      <c r="B517" s="17">
        <v>45296</v>
      </c>
      <c r="C517" s="16" t="s">
        <v>170</v>
      </c>
      <c r="D517" s="16" t="s">
        <v>171</v>
      </c>
      <c r="E517" s="16" t="s">
        <v>81</v>
      </c>
      <c r="F517" s="16" t="s">
        <v>82</v>
      </c>
      <c r="G517" s="16" t="s">
        <v>21</v>
      </c>
      <c r="H517" s="16" t="s">
        <v>83</v>
      </c>
      <c r="I517" s="16" t="s">
        <v>42</v>
      </c>
      <c r="J517" s="16" t="s">
        <v>43</v>
      </c>
      <c r="K517" s="18">
        <v>29966.78</v>
      </c>
      <c r="L517" s="18">
        <v>18980.669999999998</v>
      </c>
      <c r="M517" s="19">
        <v>1</v>
      </c>
      <c r="N517" s="20">
        <v>0.05</v>
      </c>
      <c r="O517" s="19" t="s">
        <v>44</v>
      </c>
      <c r="P517" s="19" t="s">
        <v>58</v>
      </c>
      <c r="Q517" s="19" t="str">
        <f>TRIM(SalesData[[#This Row],[Customer_Name]])</f>
        <v>Manish Tiwari</v>
      </c>
      <c r="R517" s="21">
        <f>SalesData[[#This Row],[Sales]]-SalesData[[#This Row],[Cost]]</f>
        <v>10986.11</v>
      </c>
      <c r="S517" s="22">
        <f>IFERROR(SalesData[[#This Row],[Profit]]/SalesData[[#This Row],[Sales]],0)</f>
        <v>0.36660962572555345</v>
      </c>
      <c r="T517" s="19">
        <f>YEAR(SalesData[[#This Row],[Order_Date]])</f>
        <v>2024</v>
      </c>
      <c r="U517" s="19" t="str">
        <f>TEXT(SalesData[[#This Row],[Order_Date]],"mmm")</f>
        <v>Jan</v>
      </c>
      <c r="V517" s="19" t="str">
        <f>"Q"&amp;ROUNDUP(MONTH(SalesData[[#This Row],[Order_Date]])/3,0)</f>
        <v>Q1</v>
      </c>
      <c r="W517" s="19" t="str">
        <f>IF(SalesData[[#This Row],[Sales]]&gt;=50000,"High",IF(AND(SalesData[[#This Row],[Sales]]&gt;= 20000, SalesData[[#This Row],[Sales]]&lt; 50000),"Medium","Low"))</f>
        <v>Medium</v>
      </c>
      <c r="X517" s="19" t="str">
        <f>IF(SalesData[[#This Row],[Profit]]&gt;0,"Profit","Loss")</f>
        <v>Profit</v>
      </c>
      <c r="Y517" s="19" t="str">
        <f>IF(AND(SalesData[[#This Row],[Sales]]&gt;= 50000, SalesData[[#This Row],[Quantity]]&gt;=2),"Yes","No")</f>
        <v>No</v>
      </c>
      <c r="Z517" s="19" t="str">
        <f>UPPER(SalesData[[#This Row],[Customer_Name]])</f>
        <v>MANISH TIWARI</v>
      </c>
      <c r="AA517" s="19" t="str">
        <f>LOWER(SalesData[[#This Row],[Customer_Name]])</f>
        <v>manish tiwari</v>
      </c>
      <c r="AB517" s="19">
        <f>LEN(SalesData[[#This Row],[Customer_Name]])</f>
        <v>13</v>
      </c>
      <c r="AC517" s="19" t="str">
        <f>LEFT(SalesData[[#This Row],[Order_ID]],3)</f>
        <v>ORD</v>
      </c>
      <c r="AD517" s="19" t="str">
        <f>RIGHT(SalesData[[#This Row],[Order_ID]],4)</f>
        <v>0955</v>
      </c>
      <c r="AE517" s="19" t="str">
        <f>_xlfn.CONCAT(SalesData[[#This Row],[Clean_Customer_Name]],"-",SalesData[[#This Row],[Region]])</f>
        <v>Manish Tiwari-East</v>
      </c>
      <c r="AF517" s="19" t="str">
        <f>MID(SalesData[[#This Row],[Order_ID]],4,4)</f>
        <v>0955</v>
      </c>
      <c r="AG517" s="19" t="e">
        <f ca="1">_xlfn.SINGLE(_xlfn.XLOOKUP(SalesData[[#This Row],[Product]],Product_Master!A:A,Product_Master!B:B,"Not Found"))</f>
        <v>#NAME?</v>
      </c>
      <c r="AH517" s="19" t="str">
        <f>VLOOKUP(SalesData[[#This Row],[Product]],Product_Master!$A$1:$B$21,2,FALSE)</f>
        <v>Priya</v>
      </c>
      <c r="AI517" s="16"/>
    </row>
    <row r="518" spans="1:35" ht="13.8">
      <c r="A518" s="16" t="s">
        <v>240</v>
      </c>
      <c r="B518" s="17">
        <v>45332</v>
      </c>
      <c r="C518" s="16" t="s">
        <v>170</v>
      </c>
      <c r="D518" s="16" t="s">
        <v>171</v>
      </c>
      <c r="E518" s="16" t="s">
        <v>62</v>
      </c>
      <c r="F518" s="16" t="s">
        <v>63</v>
      </c>
      <c r="G518" s="16" t="s">
        <v>21</v>
      </c>
      <c r="H518" s="16" t="s">
        <v>64</v>
      </c>
      <c r="I518" s="16" t="s">
        <v>42</v>
      </c>
      <c r="J518" s="16" t="s">
        <v>43</v>
      </c>
      <c r="K518" s="18">
        <v>18892.2</v>
      </c>
      <c r="L518" s="18">
        <v>7537.72</v>
      </c>
      <c r="M518" s="19">
        <v>4</v>
      </c>
      <c r="N518" s="20">
        <v>0</v>
      </c>
      <c r="O518" s="19" t="s">
        <v>25</v>
      </c>
      <c r="P518" s="19" t="s">
        <v>58</v>
      </c>
      <c r="Q518" s="19" t="str">
        <f>TRIM(SalesData[[#This Row],[Customer_Name]])</f>
        <v>Manish Tiwari</v>
      </c>
      <c r="R518" s="21">
        <f>SalesData[[#This Row],[Sales]]-SalesData[[#This Row],[Cost]]</f>
        <v>11354.48</v>
      </c>
      <c r="S518" s="22">
        <f>IFERROR(SalesData[[#This Row],[Profit]]/SalesData[[#This Row],[Sales]],0)</f>
        <v>0.60101417516223621</v>
      </c>
      <c r="T518" s="19">
        <f>YEAR(SalesData[[#This Row],[Order_Date]])</f>
        <v>2024</v>
      </c>
      <c r="U518" s="19" t="str">
        <f>TEXT(SalesData[[#This Row],[Order_Date]],"mmm")</f>
        <v>Feb</v>
      </c>
      <c r="V518" s="19" t="str">
        <f>"Q"&amp;ROUNDUP(MONTH(SalesData[[#This Row],[Order_Date]])/3,0)</f>
        <v>Q1</v>
      </c>
      <c r="W518" s="19" t="str">
        <f>IF(SalesData[[#This Row],[Sales]]&gt;=50000,"High",IF(AND(SalesData[[#This Row],[Sales]]&gt;= 20000, SalesData[[#This Row],[Sales]]&lt; 50000),"Medium","Low"))</f>
        <v>Low</v>
      </c>
      <c r="X518" s="19" t="str">
        <f>IF(SalesData[[#This Row],[Profit]]&gt;0,"Profit","Loss")</f>
        <v>Profit</v>
      </c>
      <c r="Y518" s="19" t="str">
        <f>IF(AND(SalesData[[#This Row],[Sales]]&gt;= 50000, SalesData[[#This Row],[Quantity]]&gt;=2),"Yes","No")</f>
        <v>No</v>
      </c>
      <c r="Z518" s="19" t="str">
        <f>UPPER(SalesData[[#This Row],[Customer_Name]])</f>
        <v>MANISH TIWARI</v>
      </c>
      <c r="AA518" s="19" t="str">
        <f>LOWER(SalesData[[#This Row],[Customer_Name]])</f>
        <v>manish tiwari</v>
      </c>
      <c r="AB518" s="19">
        <f>LEN(SalesData[[#This Row],[Customer_Name]])</f>
        <v>13</v>
      </c>
      <c r="AC518" s="19" t="str">
        <f>LEFT(SalesData[[#This Row],[Order_ID]],3)</f>
        <v>ORD</v>
      </c>
      <c r="AD518" s="19" t="str">
        <f>RIGHT(SalesData[[#This Row],[Order_ID]],4)</f>
        <v>0089</v>
      </c>
      <c r="AE518" s="19" t="str">
        <f>_xlfn.CONCAT(SalesData[[#This Row],[Clean_Customer_Name]],"-",SalesData[[#This Row],[Region]])</f>
        <v>Manish Tiwari-East</v>
      </c>
      <c r="AF518" s="19" t="str">
        <f>MID(SalesData[[#This Row],[Order_ID]],4,4)</f>
        <v>0089</v>
      </c>
      <c r="AG518" s="19" t="e">
        <f ca="1">_xlfn.SINGLE(_xlfn.XLOOKUP(SalesData[[#This Row],[Product]],Product_Master!A:A,Product_Master!B:B,"Not Found"))</f>
        <v>#NAME?</v>
      </c>
      <c r="AH518" s="19" t="str">
        <f>VLOOKUP(SalesData[[#This Row],[Product]],Product_Master!$A$1:$B$21,2,FALSE)</f>
        <v>Amit</v>
      </c>
      <c r="AI518" s="16"/>
    </row>
    <row r="519" spans="1:35" ht="13.8">
      <c r="A519" s="16" t="s">
        <v>244</v>
      </c>
      <c r="B519" s="17">
        <v>45550</v>
      </c>
      <c r="C519" s="16" t="s">
        <v>170</v>
      </c>
      <c r="D519" s="16" t="s">
        <v>171</v>
      </c>
      <c r="E519" s="16" t="s">
        <v>62</v>
      </c>
      <c r="F519" s="16" t="s">
        <v>63</v>
      </c>
      <c r="G519" s="16" t="s">
        <v>21</v>
      </c>
      <c r="H519" s="16" t="s">
        <v>64</v>
      </c>
      <c r="I519" s="16" t="s">
        <v>84</v>
      </c>
      <c r="J519" s="16" t="s">
        <v>134</v>
      </c>
      <c r="K519" s="18">
        <v>13152.24</v>
      </c>
      <c r="L519" s="18">
        <v>4985.1899999999996</v>
      </c>
      <c r="M519" s="19">
        <v>3</v>
      </c>
      <c r="N519" s="20">
        <v>0.2</v>
      </c>
      <c r="O519" s="19" t="s">
        <v>25</v>
      </c>
      <c r="P519" s="19" t="s">
        <v>98</v>
      </c>
      <c r="Q519" s="19" t="str">
        <f>TRIM(SalesData[[#This Row],[Customer_Name]])</f>
        <v>Manish Tiwari</v>
      </c>
      <c r="R519" s="21">
        <f>SalesData[[#This Row],[Sales]]-SalesData[[#This Row],[Cost]]</f>
        <v>8167.05</v>
      </c>
      <c r="S519" s="22">
        <f>IFERROR(SalesData[[#This Row],[Profit]]/SalesData[[#This Row],[Sales]],0)</f>
        <v>0.62096266491487384</v>
      </c>
      <c r="T519" s="19">
        <f>YEAR(SalesData[[#This Row],[Order_Date]])</f>
        <v>2024</v>
      </c>
      <c r="U519" s="19" t="str">
        <f>TEXT(SalesData[[#This Row],[Order_Date]],"mmm")</f>
        <v>Sept</v>
      </c>
      <c r="V519" s="19" t="str">
        <f>"Q"&amp;ROUNDUP(MONTH(SalesData[[#This Row],[Order_Date]])/3,0)</f>
        <v>Q3</v>
      </c>
      <c r="W519" s="19" t="str">
        <f>IF(SalesData[[#This Row],[Sales]]&gt;=50000,"High",IF(AND(SalesData[[#This Row],[Sales]]&gt;= 20000, SalesData[[#This Row],[Sales]]&lt; 50000),"Medium","Low"))</f>
        <v>Low</v>
      </c>
      <c r="X519" s="19" t="str">
        <f>IF(SalesData[[#This Row],[Profit]]&gt;0,"Profit","Loss")</f>
        <v>Profit</v>
      </c>
      <c r="Y519" s="19" t="str">
        <f>IF(AND(SalesData[[#This Row],[Sales]]&gt;= 50000, SalesData[[#This Row],[Quantity]]&gt;=2),"Yes","No")</f>
        <v>No</v>
      </c>
      <c r="Z519" s="19" t="str">
        <f>UPPER(SalesData[[#This Row],[Customer_Name]])</f>
        <v>MANISH TIWARI</v>
      </c>
      <c r="AA519" s="19" t="str">
        <f>LOWER(SalesData[[#This Row],[Customer_Name]])</f>
        <v>manish tiwari</v>
      </c>
      <c r="AB519" s="19">
        <f>LEN(SalesData[[#This Row],[Customer_Name]])</f>
        <v>13</v>
      </c>
      <c r="AC519" s="19" t="str">
        <f>LEFT(SalesData[[#This Row],[Order_ID]],3)</f>
        <v>ORD</v>
      </c>
      <c r="AD519" s="19" t="str">
        <f>RIGHT(SalesData[[#This Row],[Order_ID]],4)</f>
        <v>0093</v>
      </c>
      <c r="AE519" s="19" t="str">
        <f>_xlfn.CONCAT(SalesData[[#This Row],[Clean_Customer_Name]],"-",SalesData[[#This Row],[Region]])</f>
        <v>Manish Tiwari-South</v>
      </c>
      <c r="AF519" s="19" t="str">
        <f>MID(SalesData[[#This Row],[Order_ID]],4,4)</f>
        <v>0093</v>
      </c>
      <c r="AG519" s="19" t="e">
        <f ca="1">_xlfn.SINGLE(_xlfn.XLOOKUP(SalesData[[#This Row],[Product]],Product_Master!A:A,Product_Master!B:B,"Not Found"))</f>
        <v>#NAME?</v>
      </c>
      <c r="AH519" s="19" t="str">
        <f>VLOOKUP(SalesData[[#This Row],[Product]],Product_Master!$A$1:$B$21,2,FALSE)</f>
        <v>Amit</v>
      </c>
      <c r="AI519" s="16"/>
    </row>
    <row r="520" spans="1:35" ht="13.8">
      <c r="A520" s="16" t="s">
        <v>299</v>
      </c>
      <c r="B520" s="17">
        <v>45612</v>
      </c>
      <c r="C520" s="16" t="s">
        <v>170</v>
      </c>
      <c r="D520" s="16" t="s">
        <v>171</v>
      </c>
      <c r="E520" s="16" t="s">
        <v>62</v>
      </c>
      <c r="F520" s="16" t="s">
        <v>63</v>
      </c>
      <c r="G520" s="16" t="s">
        <v>21</v>
      </c>
      <c r="H520" s="16" t="s">
        <v>64</v>
      </c>
      <c r="I520" s="16" t="s">
        <v>53</v>
      </c>
      <c r="J520" s="16" t="s">
        <v>102</v>
      </c>
      <c r="K520" s="18">
        <v>16275.08</v>
      </c>
      <c r="L520" s="18">
        <v>8872.7000000000007</v>
      </c>
      <c r="M520" s="19">
        <v>5</v>
      </c>
      <c r="N520" s="20">
        <v>0.15</v>
      </c>
      <c r="O520" s="19" t="s">
        <v>44</v>
      </c>
      <c r="P520" s="19" t="s">
        <v>58</v>
      </c>
      <c r="Q520" s="19" t="str">
        <f>TRIM(SalesData[[#This Row],[Customer_Name]])</f>
        <v>Manish Tiwari</v>
      </c>
      <c r="R520" s="21">
        <f>SalesData[[#This Row],[Sales]]-SalesData[[#This Row],[Cost]]</f>
        <v>7402.3799999999992</v>
      </c>
      <c r="S520" s="22">
        <f>IFERROR(SalesData[[#This Row],[Profit]]/SalesData[[#This Row],[Sales]],0)</f>
        <v>0.45482910068644822</v>
      </c>
      <c r="T520" s="19">
        <f>YEAR(SalesData[[#This Row],[Order_Date]])</f>
        <v>2024</v>
      </c>
      <c r="U520" s="19" t="str">
        <f>TEXT(SalesData[[#This Row],[Order_Date]],"mmm")</f>
        <v>Nov</v>
      </c>
      <c r="V520" s="19" t="str">
        <f>"Q"&amp;ROUNDUP(MONTH(SalesData[[#This Row],[Order_Date]])/3,0)</f>
        <v>Q4</v>
      </c>
      <c r="W520" s="19" t="str">
        <f>IF(SalesData[[#This Row],[Sales]]&gt;=50000,"High",IF(AND(SalesData[[#This Row],[Sales]]&gt;= 20000, SalesData[[#This Row],[Sales]]&lt; 50000),"Medium","Low"))</f>
        <v>Low</v>
      </c>
      <c r="X520" s="19" t="str">
        <f>IF(SalesData[[#This Row],[Profit]]&gt;0,"Profit","Loss")</f>
        <v>Profit</v>
      </c>
      <c r="Y520" s="19" t="str">
        <f>IF(AND(SalesData[[#This Row],[Sales]]&gt;= 50000, SalesData[[#This Row],[Quantity]]&gt;=2),"Yes","No")</f>
        <v>No</v>
      </c>
      <c r="Z520" s="19" t="str">
        <f>UPPER(SalesData[[#This Row],[Customer_Name]])</f>
        <v>MANISH TIWARI</v>
      </c>
      <c r="AA520" s="19" t="str">
        <f>LOWER(SalesData[[#This Row],[Customer_Name]])</f>
        <v>manish tiwari</v>
      </c>
      <c r="AB520" s="19">
        <f>LEN(SalesData[[#This Row],[Customer_Name]])</f>
        <v>13</v>
      </c>
      <c r="AC520" s="19" t="str">
        <f>LEFT(SalesData[[#This Row],[Order_ID]],3)</f>
        <v>ORD</v>
      </c>
      <c r="AD520" s="19" t="str">
        <f>RIGHT(SalesData[[#This Row],[Order_ID]],4)</f>
        <v>0146</v>
      </c>
      <c r="AE520" s="19" t="str">
        <f>_xlfn.CONCAT(SalesData[[#This Row],[Clean_Customer_Name]],"-",SalesData[[#This Row],[Region]])</f>
        <v>Manish Tiwari-Central</v>
      </c>
      <c r="AF520" s="19" t="str">
        <f>MID(SalesData[[#This Row],[Order_ID]],4,4)</f>
        <v>0146</v>
      </c>
      <c r="AG520" s="19" t="e">
        <f ca="1">_xlfn.SINGLE(_xlfn.XLOOKUP(SalesData[[#This Row],[Product]],Product_Master!A:A,Product_Master!B:B,"Not Found"))</f>
        <v>#NAME?</v>
      </c>
      <c r="AH520" s="19" t="str">
        <f>VLOOKUP(SalesData[[#This Row],[Product]],Product_Master!$A$1:$B$21,2,FALSE)</f>
        <v>Amit</v>
      </c>
      <c r="AI520" s="16"/>
    </row>
    <row r="521" spans="1:35" ht="13.8">
      <c r="A521" s="16" t="s">
        <v>827</v>
      </c>
      <c r="B521" s="17">
        <v>45497</v>
      </c>
      <c r="C521" s="16" t="s">
        <v>170</v>
      </c>
      <c r="D521" s="16" t="s">
        <v>171</v>
      </c>
      <c r="E521" s="16" t="s">
        <v>62</v>
      </c>
      <c r="F521" s="16" t="s">
        <v>63</v>
      </c>
      <c r="G521" s="16" t="s">
        <v>21</v>
      </c>
      <c r="H521" s="16" t="s">
        <v>64</v>
      </c>
      <c r="I521" s="16" t="s">
        <v>56</v>
      </c>
      <c r="J521" s="16" t="s">
        <v>191</v>
      </c>
      <c r="K521" s="18">
        <v>24551.75</v>
      </c>
      <c r="L521" s="18">
        <v>8806.75</v>
      </c>
      <c r="M521" s="19">
        <v>5</v>
      </c>
      <c r="N521" s="20">
        <v>0</v>
      </c>
      <c r="O521" s="19" t="s">
        <v>76</v>
      </c>
      <c r="P521" s="19" t="s">
        <v>26</v>
      </c>
      <c r="Q521" s="19" t="str">
        <f>TRIM(SalesData[[#This Row],[Customer_Name]])</f>
        <v>Manish Tiwari</v>
      </c>
      <c r="R521" s="21">
        <f>SalesData[[#This Row],[Sales]]-SalesData[[#This Row],[Cost]]</f>
        <v>15745</v>
      </c>
      <c r="S521" s="22">
        <f>IFERROR(SalesData[[#This Row],[Profit]]/SalesData[[#This Row],[Sales]],0)</f>
        <v>0.64129848177828463</v>
      </c>
      <c r="T521" s="19">
        <f>YEAR(SalesData[[#This Row],[Order_Date]])</f>
        <v>2024</v>
      </c>
      <c r="U521" s="19" t="str">
        <f>TEXT(SalesData[[#This Row],[Order_Date]],"mmm")</f>
        <v>Jul</v>
      </c>
      <c r="V521" s="19" t="str">
        <f>"Q"&amp;ROUNDUP(MONTH(SalesData[[#This Row],[Order_Date]])/3,0)</f>
        <v>Q3</v>
      </c>
      <c r="W521" s="19" t="str">
        <f>IF(SalesData[[#This Row],[Sales]]&gt;=50000,"High",IF(AND(SalesData[[#This Row],[Sales]]&gt;= 20000, SalesData[[#This Row],[Sales]]&lt; 50000),"Medium","Low"))</f>
        <v>Medium</v>
      </c>
      <c r="X521" s="19" t="str">
        <f>IF(SalesData[[#This Row],[Profit]]&gt;0,"Profit","Loss")</f>
        <v>Profit</v>
      </c>
      <c r="Y521" s="19" t="str">
        <f>IF(AND(SalesData[[#This Row],[Sales]]&gt;= 50000, SalesData[[#This Row],[Quantity]]&gt;=2),"Yes","No")</f>
        <v>No</v>
      </c>
      <c r="Z521" s="19" t="str">
        <f>UPPER(SalesData[[#This Row],[Customer_Name]])</f>
        <v>MANISH TIWARI</v>
      </c>
      <c r="AA521" s="19" t="str">
        <f>LOWER(SalesData[[#This Row],[Customer_Name]])</f>
        <v>manish tiwari</v>
      </c>
      <c r="AB521" s="19">
        <f>LEN(SalesData[[#This Row],[Customer_Name]])</f>
        <v>13</v>
      </c>
      <c r="AC521" s="19" t="str">
        <f>LEFT(SalesData[[#This Row],[Order_ID]],3)</f>
        <v>ORD</v>
      </c>
      <c r="AD521" s="19" t="str">
        <f>RIGHT(SalesData[[#This Row],[Order_ID]],4)</f>
        <v>0674</v>
      </c>
      <c r="AE521" s="19" t="str">
        <f>_xlfn.CONCAT(SalesData[[#This Row],[Clean_Customer_Name]],"-",SalesData[[#This Row],[Region]])</f>
        <v>Manish Tiwari-West</v>
      </c>
      <c r="AF521" s="19" t="str">
        <f>MID(SalesData[[#This Row],[Order_ID]],4,4)</f>
        <v>0674</v>
      </c>
      <c r="AG521" s="19" t="e">
        <f ca="1">_xlfn.SINGLE(_xlfn.XLOOKUP(SalesData[[#This Row],[Product]],Product_Master!A:A,Product_Master!B:B,"Not Found"))</f>
        <v>#NAME?</v>
      </c>
      <c r="AH521" s="19" t="str">
        <f>VLOOKUP(SalesData[[#This Row],[Product]],Product_Master!$A$1:$B$21,2,FALSE)</f>
        <v>Amit</v>
      </c>
      <c r="AI521" s="16"/>
    </row>
    <row r="522" spans="1:35" ht="13.8">
      <c r="A522" s="16" t="s">
        <v>1035</v>
      </c>
      <c r="B522" s="17">
        <v>45943</v>
      </c>
      <c r="C522" s="16" t="s">
        <v>170</v>
      </c>
      <c r="D522" s="16" t="s">
        <v>171</v>
      </c>
      <c r="E522" s="16" t="s">
        <v>62</v>
      </c>
      <c r="F522" s="16" t="s">
        <v>63</v>
      </c>
      <c r="G522" s="16" t="s">
        <v>21</v>
      </c>
      <c r="H522" s="16" t="s">
        <v>64</v>
      </c>
      <c r="I522" s="16" t="s">
        <v>53</v>
      </c>
      <c r="J522" s="16" t="s">
        <v>102</v>
      </c>
      <c r="K522" s="18">
        <v>28602.54</v>
      </c>
      <c r="L522" s="18">
        <v>8466.2000000000007</v>
      </c>
      <c r="M522" s="19">
        <v>5</v>
      </c>
      <c r="N522" s="20">
        <v>0.1</v>
      </c>
      <c r="O522" s="19" t="s">
        <v>34</v>
      </c>
      <c r="P522" s="19" t="s">
        <v>58</v>
      </c>
      <c r="Q522" s="19" t="str">
        <f>TRIM(SalesData[[#This Row],[Customer_Name]])</f>
        <v>Manish Tiwari</v>
      </c>
      <c r="R522" s="21">
        <f>SalesData[[#This Row],[Sales]]-SalesData[[#This Row],[Cost]]</f>
        <v>20136.34</v>
      </c>
      <c r="S522" s="22">
        <f>IFERROR(SalesData[[#This Row],[Profit]]/SalesData[[#This Row],[Sales]],0)</f>
        <v>0.70400530861944433</v>
      </c>
      <c r="T522" s="19">
        <f>YEAR(SalesData[[#This Row],[Order_Date]])</f>
        <v>2025</v>
      </c>
      <c r="U522" s="19" t="str">
        <f>TEXT(SalesData[[#This Row],[Order_Date]],"mmm")</f>
        <v>Oct</v>
      </c>
      <c r="V522" s="19" t="str">
        <f>"Q"&amp;ROUNDUP(MONTH(SalesData[[#This Row],[Order_Date]])/3,0)</f>
        <v>Q4</v>
      </c>
      <c r="W522" s="19" t="str">
        <f>IF(SalesData[[#This Row],[Sales]]&gt;=50000,"High",IF(AND(SalesData[[#This Row],[Sales]]&gt;= 20000, SalesData[[#This Row],[Sales]]&lt; 50000),"Medium","Low"))</f>
        <v>Medium</v>
      </c>
      <c r="X522" s="19" t="str">
        <f>IF(SalesData[[#This Row],[Profit]]&gt;0,"Profit","Loss")</f>
        <v>Profit</v>
      </c>
      <c r="Y522" s="19" t="str">
        <f>IF(AND(SalesData[[#This Row],[Sales]]&gt;= 50000, SalesData[[#This Row],[Quantity]]&gt;=2),"Yes","No")</f>
        <v>No</v>
      </c>
      <c r="Z522" s="19" t="str">
        <f>UPPER(SalesData[[#This Row],[Customer_Name]])</f>
        <v>MANISH TIWARI</v>
      </c>
      <c r="AA522" s="19" t="str">
        <f>LOWER(SalesData[[#This Row],[Customer_Name]])</f>
        <v>manish tiwari</v>
      </c>
      <c r="AB522" s="19">
        <f>LEN(SalesData[[#This Row],[Customer_Name]])</f>
        <v>13</v>
      </c>
      <c r="AC522" s="19" t="str">
        <f>LEFT(SalesData[[#This Row],[Order_ID]],3)</f>
        <v>ORD</v>
      </c>
      <c r="AD522" s="19" t="str">
        <f>RIGHT(SalesData[[#This Row],[Order_ID]],4)</f>
        <v>0882</v>
      </c>
      <c r="AE522" s="19" t="str">
        <f>_xlfn.CONCAT(SalesData[[#This Row],[Clean_Customer_Name]],"-",SalesData[[#This Row],[Region]])</f>
        <v>Manish Tiwari-Central</v>
      </c>
      <c r="AF522" s="19" t="str">
        <f>MID(SalesData[[#This Row],[Order_ID]],4,4)</f>
        <v>0882</v>
      </c>
      <c r="AG522" s="19" t="e">
        <f ca="1">_xlfn.SINGLE(_xlfn.XLOOKUP(SalesData[[#This Row],[Product]],Product_Master!A:A,Product_Master!B:B,"Not Found"))</f>
        <v>#NAME?</v>
      </c>
      <c r="AH522" s="19" t="str">
        <f>VLOOKUP(SalesData[[#This Row],[Product]],Product_Master!$A$1:$B$21,2,FALSE)</f>
        <v>Amit</v>
      </c>
      <c r="AI522" s="16"/>
    </row>
    <row r="523" spans="1:35" ht="13.8">
      <c r="A523" s="16" t="s">
        <v>239</v>
      </c>
      <c r="B523" s="17">
        <v>45997</v>
      </c>
      <c r="C523" s="16" t="s">
        <v>170</v>
      </c>
      <c r="D523" s="16" t="s">
        <v>171</v>
      </c>
      <c r="E523" s="16" t="s">
        <v>19</v>
      </c>
      <c r="F523" s="16" t="s">
        <v>20</v>
      </c>
      <c r="G523" s="16" t="s">
        <v>21</v>
      </c>
      <c r="H523" s="16" t="s">
        <v>22</v>
      </c>
      <c r="I523" s="16" t="s">
        <v>56</v>
      </c>
      <c r="J523" s="16" t="s">
        <v>191</v>
      </c>
      <c r="K523" s="18">
        <v>20824.060000000001</v>
      </c>
      <c r="L523" s="18">
        <v>9359.52</v>
      </c>
      <c r="M523" s="19">
        <v>3</v>
      </c>
      <c r="N523" s="20">
        <v>0.2</v>
      </c>
      <c r="O523" s="19" t="s">
        <v>34</v>
      </c>
      <c r="P523" s="19" t="s">
        <v>98</v>
      </c>
      <c r="Q523" s="19" t="str">
        <f>TRIM(SalesData[[#This Row],[Customer_Name]])</f>
        <v>Manish Tiwari</v>
      </c>
      <c r="R523" s="21">
        <f>SalesData[[#This Row],[Sales]]-SalesData[[#This Row],[Cost]]</f>
        <v>11464.54</v>
      </c>
      <c r="S523" s="22">
        <f>IFERROR(SalesData[[#This Row],[Profit]]/SalesData[[#This Row],[Sales]],0)</f>
        <v>0.55054297769022953</v>
      </c>
      <c r="T523" s="19">
        <f>YEAR(SalesData[[#This Row],[Order_Date]])</f>
        <v>2025</v>
      </c>
      <c r="U523" s="19" t="str">
        <f>TEXT(SalesData[[#This Row],[Order_Date]],"mmm")</f>
        <v>Dec</v>
      </c>
      <c r="V523" s="19" t="str">
        <f>"Q"&amp;ROUNDUP(MONTH(SalesData[[#This Row],[Order_Date]])/3,0)</f>
        <v>Q4</v>
      </c>
      <c r="W523" s="19" t="str">
        <f>IF(SalesData[[#This Row],[Sales]]&gt;=50000,"High",IF(AND(SalesData[[#This Row],[Sales]]&gt;= 20000, SalesData[[#This Row],[Sales]]&lt; 50000),"Medium","Low"))</f>
        <v>Medium</v>
      </c>
      <c r="X523" s="19" t="str">
        <f>IF(SalesData[[#This Row],[Profit]]&gt;0,"Profit","Loss")</f>
        <v>Profit</v>
      </c>
      <c r="Y523" s="19" t="str">
        <f>IF(AND(SalesData[[#This Row],[Sales]]&gt;= 50000, SalesData[[#This Row],[Quantity]]&gt;=2),"Yes","No")</f>
        <v>No</v>
      </c>
      <c r="Z523" s="19" t="str">
        <f>UPPER(SalesData[[#This Row],[Customer_Name]])</f>
        <v>MANISH TIWARI</v>
      </c>
      <c r="AA523" s="19" t="str">
        <f>LOWER(SalesData[[#This Row],[Customer_Name]])</f>
        <v>manish tiwari</v>
      </c>
      <c r="AB523" s="19">
        <f>LEN(SalesData[[#This Row],[Customer_Name]])</f>
        <v>13</v>
      </c>
      <c r="AC523" s="19" t="str">
        <f>LEFT(SalesData[[#This Row],[Order_ID]],3)</f>
        <v>ORD</v>
      </c>
      <c r="AD523" s="19" t="str">
        <f>RIGHT(SalesData[[#This Row],[Order_ID]],4)</f>
        <v>0088</v>
      </c>
      <c r="AE523" s="19" t="str">
        <f>_xlfn.CONCAT(SalesData[[#This Row],[Clean_Customer_Name]],"-",SalesData[[#This Row],[Region]])</f>
        <v>Manish Tiwari-West</v>
      </c>
      <c r="AF523" s="19" t="str">
        <f>MID(SalesData[[#This Row],[Order_ID]],4,4)</f>
        <v>0088</v>
      </c>
      <c r="AG523" s="19" t="e">
        <f ca="1">_xlfn.SINGLE(_xlfn.XLOOKUP(SalesData[[#This Row],[Product]],Product_Master!A:A,Product_Master!B:B,"Not Found"))</f>
        <v>#NAME?</v>
      </c>
      <c r="AH523" s="19" t="str">
        <f>VLOOKUP(SalesData[[#This Row],[Product]],Product_Master!$A$1:$B$21,2,FALSE)</f>
        <v>Neha</v>
      </c>
      <c r="AI523" s="16"/>
    </row>
    <row r="524" spans="1:35" ht="13.8">
      <c r="A524" s="16" t="s">
        <v>432</v>
      </c>
      <c r="B524" s="17">
        <v>45603</v>
      </c>
      <c r="C524" s="16" t="s">
        <v>170</v>
      </c>
      <c r="D524" s="16" t="s">
        <v>171</v>
      </c>
      <c r="E524" s="16" t="s">
        <v>19</v>
      </c>
      <c r="F524" s="16" t="s">
        <v>20</v>
      </c>
      <c r="G524" s="16" t="s">
        <v>21</v>
      </c>
      <c r="H524" s="16" t="s">
        <v>22</v>
      </c>
      <c r="I524" s="16" t="s">
        <v>23</v>
      </c>
      <c r="J524" s="16" t="s">
        <v>75</v>
      </c>
      <c r="K524" s="18">
        <v>4186.97</v>
      </c>
      <c r="L524" s="18">
        <v>3269.29</v>
      </c>
      <c r="M524" s="19">
        <v>1</v>
      </c>
      <c r="N524" s="20">
        <v>0.2</v>
      </c>
      <c r="O524" s="19" t="s">
        <v>136</v>
      </c>
      <c r="P524" s="19" t="s">
        <v>77</v>
      </c>
      <c r="Q524" s="19" t="str">
        <f>TRIM(SalesData[[#This Row],[Customer_Name]])</f>
        <v>Manish Tiwari</v>
      </c>
      <c r="R524" s="21">
        <f>SalesData[[#This Row],[Sales]]-SalesData[[#This Row],[Cost]]</f>
        <v>917.68000000000029</v>
      </c>
      <c r="S524" s="22">
        <f>IFERROR(SalesData[[#This Row],[Profit]]/SalesData[[#This Row],[Sales]],0)</f>
        <v>0.21917520307047822</v>
      </c>
      <c r="T524" s="19">
        <f>YEAR(SalesData[[#This Row],[Order_Date]])</f>
        <v>2024</v>
      </c>
      <c r="U524" s="19" t="str">
        <f>TEXT(SalesData[[#This Row],[Order_Date]],"mmm")</f>
        <v>Nov</v>
      </c>
      <c r="V524" s="19" t="str">
        <f>"Q"&amp;ROUNDUP(MONTH(SalesData[[#This Row],[Order_Date]])/3,0)</f>
        <v>Q4</v>
      </c>
      <c r="W524" s="19" t="str">
        <f>IF(SalesData[[#This Row],[Sales]]&gt;=50000,"High",IF(AND(SalesData[[#This Row],[Sales]]&gt;= 20000, SalesData[[#This Row],[Sales]]&lt; 50000),"Medium","Low"))</f>
        <v>Low</v>
      </c>
      <c r="X524" s="19" t="str">
        <f>IF(SalesData[[#This Row],[Profit]]&gt;0,"Profit","Loss")</f>
        <v>Profit</v>
      </c>
      <c r="Y524" s="19" t="str">
        <f>IF(AND(SalesData[[#This Row],[Sales]]&gt;= 50000, SalesData[[#This Row],[Quantity]]&gt;=2),"Yes","No")</f>
        <v>No</v>
      </c>
      <c r="Z524" s="19" t="str">
        <f>UPPER(SalesData[[#This Row],[Customer_Name]])</f>
        <v>MANISH TIWARI</v>
      </c>
      <c r="AA524" s="19" t="str">
        <f>LOWER(SalesData[[#This Row],[Customer_Name]])</f>
        <v>manish tiwari</v>
      </c>
      <c r="AB524" s="19">
        <f>LEN(SalesData[[#This Row],[Customer_Name]])</f>
        <v>13</v>
      </c>
      <c r="AC524" s="19" t="str">
        <f>LEFT(SalesData[[#This Row],[Order_ID]],3)</f>
        <v>ORD</v>
      </c>
      <c r="AD524" s="19" t="str">
        <f>RIGHT(SalesData[[#This Row],[Order_ID]],4)</f>
        <v>0279</v>
      </c>
      <c r="AE524" s="19" t="str">
        <f>_xlfn.CONCAT(SalesData[[#This Row],[Clean_Customer_Name]],"-",SalesData[[#This Row],[Region]])</f>
        <v>Manish Tiwari-North</v>
      </c>
      <c r="AF524" s="19" t="str">
        <f>MID(SalesData[[#This Row],[Order_ID]],4,4)</f>
        <v>0279</v>
      </c>
      <c r="AG524" s="19" t="e">
        <f ca="1">_xlfn.SINGLE(_xlfn.XLOOKUP(SalesData[[#This Row],[Product]],Product_Master!A:A,Product_Master!B:B,"Not Found"))</f>
        <v>#NAME?</v>
      </c>
      <c r="AH524" s="19" t="str">
        <f>VLOOKUP(SalesData[[#This Row],[Product]],Product_Master!$A$1:$B$21,2,FALSE)</f>
        <v>Neha</v>
      </c>
      <c r="AI524" s="16"/>
    </row>
    <row r="525" spans="1:35" ht="13.8">
      <c r="A525" s="16" t="s">
        <v>558</v>
      </c>
      <c r="B525" s="17">
        <v>45346</v>
      </c>
      <c r="C525" s="16" t="s">
        <v>170</v>
      </c>
      <c r="D525" s="16" t="s">
        <v>171</v>
      </c>
      <c r="E525" s="16" t="s">
        <v>19</v>
      </c>
      <c r="F525" s="16" t="s">
        <v>20</v>
      </c>
      <c r="G525" s="16" t="s">
        <v>21</v>
      </c>
      <c r="H525" s="16" t="s">
        <v>22</v>
      </c>
      <c r="I525" s="16" t="s">
        <v>56</v>
      </c>
      <c r="J525" s="16" t="s">
        <v>191</v>
      </c>
      <c r="K525" s="18">
        <v>29157.08</v>
      </c>
      <c r="L525" s="18">
        <v>15240.95</v>
      </c>
      <c r="M525" s="19">
        <v>5</v>
      </c>
      <c r="N525" s="20">
        <v>0.15</v>
      </c>
      <c r="O525" s="19" t="s">
        <v>76</v>
      </c>
      <c r="P525" s="19" t="s">
        <v>58</v>
      </c>
      <c r="Q525" s="19" t="str">
        <f>TRIM(SalesData[[#This Row],[Customer_Name]])</f>
        <v>Manish Tiwari</v>
      </c>
      <c r="R525" s="21">
        <f>SalesData[[#This Row],[Sales]]-SalesData[[#This Row],[Cost]]</f>
        <v>13916.130000000001</v>
      </c>
      <c r="S525" s="22">
        <f>IFERROR(SalesData[[#This Row],[Profit]]/SalesData[[#This Row],[Sales]],0)</f>
        <v>0.47728133269861045</v>
      </c>
      <c r="T525" s="19">
        <f>YEAR(SalesData[[#This Row],[Order_Date]])</f>
        <v>2024</v>
      </c>
      <c r="U525" s="19" t="str">
        <f>TEXT(SalesData[[#This Row],[Order_Date]],"mmm")</f>
        <v>Feb</v>
      </c>
      <c r="V525" s="19" t="str">
        <f>"Q"&amp;ROUNDUP(MONTH(SalesData[[#This Row],[Order_Date]])/3,0)</f>
        <v>Q1</v>
      </c>
      <c r="W525" s="19" t="str">
        <f>IF(SalesData[[#This Row],[Sales]]&gt;=50000,"High",IF(AND(SalesData[[#This Row],[Sales]]&gt;= 20000, SalesData[[#This Row],[Sales]]&lt; 50000),"Medium","Low"))</f>
        <v>Medium</v>
      </c>
      <c r="X525" s="19" t="str">
        <f>IF(SalesData[[#This Row],[Profit]]&gt;0,"Profit","Loss")</f>
        <v>Profit</v>
      </c>
      <c r="Y525" s="19" t="str">
        <f>IF(AND(SalesData[[#This Row],[Sales]]&gt;= 50000, SalesData[[#This Row],[Quantity]]&gt;=2),"Yes","No")</f>
        <v>No</v>
      </c>
      <c r="Z525" s="19" t="str">
        <f>UPPER(SalesData[[#This Row],[Customer_Name]])</f>
        <v>MANISH TIWARI</v>
      </c>
      <c r="AA525" s="19" t="str">
        <f>LOWER(SalesData[[#This Row],[Customer_Name]])</f>
        <v>manish tiwari</v>
      </c>
      <c r="AB525" s="19">
        <f>LEN(SalesData[[#This Row],[Customer_Name]])</f>
        <v>13</v>
      </c>
      <c r="AC525" s="19" t="str">
        <f>LEFT(SalesData[[#This Row],[Order_ID]],3)</f>
        <v>ORD</v>
      </c>
      <c r="AD525" s="19" t="str">
        <f>RIGHT(SalesData[[#This Row],[Order_ID]],4)</f>
        <v>0405</v>
      </c>
      <c r="AE525" s="19" t="str">
        <f>_xlfn.CONCAT(SalesData[[#This Row],[Clean_Customer_Name]],"-",SalesData[[#This Row],[Region]])</f>
        <v>Manish Tiwari-West</v>
      </c>
      <c r="AF525" s="19" t="str">
        <f>MID(SalesData[[#This Row],[Order_ID]],4,4)</f>
        <v>0405</v>
      </c>
      <c r="AG525" s="19" t="e">
        <f ca="1">_xlfn.SINGLE(_xlfn.XLOOKUP(SalesData[[#This Row],[Product]],Product_Master!A:A,Product_Master!B:B,"Not Found"))</f>
        <v>#NAME?</v>
      </c>
      <c r="AH525" s="19" t="str">
        <f>VLOOKUP(SalesData[[#This Row],[Product]],Product_Master!$A$1:$B$21,2,FALSE)</f>
        <v>Neha</v>
      </c>
      <c r="AI525" s="16"/>
    </row>
    <row r="526" spans="1:35" ht="13.8">
      <c r="A526" s="16" t="s">
        <v>605</v>
      </c>
      <c r="B526" s="17">
        <v>45449</v>
      </c>
      <c r="C526" s="16" t="s">
        <v>170</v>
      </c>
      <c r="D526" s="16" t="s">
        <v>171</v>
      </c>
      <c r="E526" s="16" t="s">
        <v>152</v>
      </c>
      <c r="F526" s="16" t="s">
        <v>153</v>
      </c>
      <c r="G526" s="16" t="s">
        <v>21</v>
      </c>
      <c r="H526" s="16" t="s">
        <v>32</v>
      </c>
      <c r="I526" s="16" t="s">
        <v>23</v>
      </c>
      <c r="J526" s="16" t="s">
        <v>24</v>
      </c>
      <c r="K526" s="18">
        <v>34575.769999999997</v>
      </c>
      <c r="L526" s="18">
        <v>24465.03</v>
      </c>
      <c r="M526" s="19">
        <v>3</v>
      </c>
      <c r="N526" s="20">
        <v>0.2</v>
      </c>
      <c r="O526" s="19" t="s">
        <v>44</v>
      </c>
      <c r="P526" s="19" t="s">
        <v>98</v>
      </c>
      <c r="Q526" s="19" t="str">
        <f>TRIM(SalesData[[#This Row],[Customer_Name]])</f>
        <v>Manish Tiwari</v>
      </c>
      <c r="R526" s="21">
        <f>SalesData[[#This Row],[Sales]]-SalesData[[#This Row],[Cost]]</f>
        <v>10110.739999999998</v>
      </c>
      <c r="S526" s="22">
        <f>IFERROR(SalesData[[#This Row],[Profit]]/SalesData[[#This Row],[Sales]],0)</f>
        <v>0.29242269948001154</v>
      </c>
      <c r="T526" s="19">
        <f>YEAR(SalesData[[#This Row],[Order_Date]])</f>
        <v>2024</v>
      </c>
      <c r="U526" s="19" t="str">
        <f>TEXT(SalesData[[#This Row],[Order_Date]],"mmm")</f>
        <v>Jun</v>
      </c>
      <c r="V526" s="19" t="str">
        <f>"Q"&amp;ROUNDUP(MONTH(SalesData[[#This Row],[Order_Date]])/3,0)</f>
        <v>Q2</v>
      </c>
      <c r="W526" s="19" t="str">
        <f>IF(SalesData[[#This Row],[Sales]]&gt;=50000,"High",IF(AND(SalesData[[#This Row],[Sales]]&gt;= 20000, SalesData[[#This Row],[Sales]]&lt; 50000),"Medium","Low"))</f>
        <v>Medium</v>
      </c>
      <c r="X526" s="19" t="str">
        <f>IF(SalesData[[#This Row],[Profit]]&gt;0,"Profit","Loss")</f>
        <v>Profit</v>
      </c>
      <c r="Y526" s="19" t="str">
        <f>IF(AND(SalesData[[#This Row],[Sales]]&gt;= 50000, SalesData[[#This Row],[Quantity]]&gt;=2),"Yes","No")</f>
        <v>No</v>
      </c>
      <c r="Z526" s="19" t="str">
        <f>UPPER(SalesData[[#This Row],[Customer_Name]])</f>
        <v>MANISH TIWARI</v>
      </c>
      <c r="AA526" s="19" t="str">
        <f>LOWER(SalesData[[#This Row],[Customer_Name]])</f>
        <v>manish tiwari</v>
      </c>
      <c r="AB526" s="19">
        <f>LEN(SalesData[[#This Row],[Customer_Name]])</f>
        <v>13</v>
      </c>
      <c r="AC526" s="19" t="str">
        <f>LEFT(SalesData[[#This Row],[Order_ID]],3)</f>
        <v>ORD</v>
      </c>
      <c r="AD526" s="19" t="str">
        <f>RIGHT(SalesData[[#This Row],[Order_ID]],4)</f>
        <v>0452</v>
      </c>
      <c r="AE526" s="19" t="str">
        <f>_xlfn.CONCAT(SalesData[[#This Row],[Clean_Customer_Name]],"-",SalesData[[#This Row],[Region]])</f>
        <v>Manish Tiwari-North</v>
      </c>
      <c r="AF526" s="19" t="str">
        <f>MID(SalesData[[#This Row],[Order_ID]],4,4)</f>
        <v>0452</v>
      </c>
      <c r="AG526" s="19" t="e">
        <f ca="1">_xlfn.SINGLE(_xlfn.XLOOKUP(SalesData[[#This Row],[Product]],Product_Master!A:A,Product_Master!B:B,"Not Found"))</f>
        <v>#NAME?</v>
      </c>
      <c r="AH526" s="19" t="str">
        <f>VLOOKUP(SalesData[[#This Row],[Product]],Product_Master!$A$1:$B$21,2,FALSE)</f>
        <v>Simran</v>
      </c>
      <c r="AI526" s="16"/>
    </row>
    <row r="527" spans="1:35" ht="13.8">
      <c r="A527" s="16" t="s">
        <v>678</v>
      </c>
      <c r="B527" s="17">
        <v>45463</v>
      </c>
      <c r="C527" s="16" t="s">
        <v>170</v>
      </c>
      <c r="D527" s="16" t="s">
        <v>171</v>
      </c>
      <c r="E527" s="16" t="s">
        <v>152</v>
      </c>
      <c r="F527" s="16" t="s">
        <v>153</v>
      </c>
      <c r="G527" s="16" t="s">
        <v>21</v>
      </c>
      <c r="H527" s="16" t="s">
        <v>32</v>
      </c>
      <c r="I527" s="16" t="s">
        <v>53</v>
      </c>
      <c r="J527" s="16" t="s">
        <v>102</v>
      </c>
      <c r="K527" s="18">
        <v>33840.18</v>
      </c>
      <c r="L527" s="18">
        <v>23624.73</v>
      </c>
      <c r="M527" s="19">
        <v>3</v>
      </c>
      <c r="N527" s="20">
        <v>0.15</v>
      </c>
      <c r="O527" s="19" t="s">
        <v>25</v>
      </c>
      <c r="P527" s="19" t="s">
        <v>58</v>
      </c>
      <c r="Q527" s="19" t="str">
        <f>TRIM(SalesData[[#This Row],[Customer_Name]])</f>
        <v>Manish Tiwari</v>
      </c>
      <c r="R527" s="21">
        <f>SalesData[[#This Row],[Sales]]-SalesData[[#This Row],[Cost]]</f>
        <v>10215.450000000001</v>
      </c>
      <c r="S527" s="22">
        <f>IFERROR(SalesData[[#This Row],[Profit]]/SalesData[[#This Row],[Sales]],0)</f>
        <v>0.3018733942904559</v>
      </c>
      <c r="T527" s="19">
        <f>YEAR(SalesData[[#This Row],[Order_Date]])</f>
        <v>2024</v>
      </c>
      <c r="U527" s="19" t="str">
        <f>TEXT(SalesData[[#This Row],[Order_Date]],"mmm")</f>
        <v>Jun</v>
      </c>
      <c r="V527" s="19" t="str">
        <f>"Q"&amp;ROUNDUP(MONTH(SalesData[[#This Row],[Order_Date]])/3,0)</f>
        <v>Q2</v>
      </c>
      <c r="W527" s="19" t="str">
        <f>IF(SalesData[[#This Row],[Sales]]&gt;=50000,"High",IF(AND(SalesData[[#This Row],[Sales]]&gt;= 20000, SalesData[[#This Row],[Sales]]&lt; 50000),"Medium","Low"))</f>
        <v>Medium</v>
      </c>
      <c r="X527" s="19" t="str">
        <f>IF(SalesData[[#This Row],[Profit]]&gt;0,"Profit","Loss")</f>
        <v>Profit</v>
      </c>
      <c r="Y527" s="19" t="str">
        <f>IF(AND(SalesData[[#This Row],[Sales]]&gt;= 50000, SalesData[[#This Row],[Quantity]]&gt;=2),"Yes","No")</f>
        <v>No</v>
      </c>
      <c r="Z527" s="19" t="str">
        <f>UPPER(SalesData[[#This Row],[Customer_Name]])</f>
        <v>MANISH TIWARI</v>
      </c>
      <c r="AA527" s="19" t="str">
        <f>LOWER(SalesData[[#This Row],[Customer_Name]])</f>
        <v>manish tiwari</v>
      </c>
      <c r="AB527" s="19">
        <f>LEN(SalesData[[#This Row],[Customer_Name]])</f>
        <v>13</v>
      </c>
      <c r="AC527" s="19" t="str">
        <f>LEFT(SalesData[[#This Row],[Order_ID]],3)</f>
        <v>ORD</v>
      </c>
      <c r="AD527" s="19" t="str">
        <f>RIGHT(SalesData[[#This Row],[Order_ID]],4)</f>
        <v>0525</v>
      </c>
      <c r="AE527" s="19" t="str">
        <f>_xlfn.CONCAT(SalesData[[#This Row],[Clean_Customer_Name]],"-",SalesData[[#This Row],[Region]])</f>
        <v>Manish Tiwari-Central</v>
      </c>
      <c r="AF527" s="19" t="str">
        <f>MID(SalesData[[#This Row],[Order_ID]],4,4)</f>
        <v>0525</v>
      </c>
      <c r="AG527" s="19" t="e">
        <f ca="1">_xlfn.SINGLE(_xlfn.XLOOKUP(SalesData[[#This Row],[Product]],Product_Master!A:A,Product_Master!B:B,"Not Found"))</f>
        <v>#NAME?</v>
      </c>
      <c r="AH527" s="19" t="str">
        <f>VLOOKUP(SalesData[[#This Row],[Product]],Product_Master!$A$1:$B$21,2,FALSE)</f>
        <v>Simran</v>
      </c>
      <c r="AI527" s="16"/>
    </row>
    <row r="528" spans="1:35" ht="13.8">
      <c r="A528" s="16" t="s">
        <v>862</v>
      </c>
      <c r="B528" s="17">
        <v>46012</v>
      </c>
      <c r="C528" s="16" t="s">
        <v>170</v>
      </c>
      <c r="D528" s="16" t="s">
        <v>171</v>
      </c>
      <c r="E528" s="16" t="s">
        <v>152</v>
      </c>
      <c r="F528" s="16" t="s">
        <v>153</v>
      </c>
      <c r="G528" s="16" t="s">
        <v>21</v>
      </c>
      <c r="H528" s="16" t="s">
        <v>32</v>
      </c>
      <c r="I528" s="16" t="s">
        <v>53</v>
      </c>
      <c r="J528" s="16" t="s">
        <v>102</v>
      </c>
      <c r="K528" s="18">
        <v>51325.45</v>
      </c>
      <c r="L528" s="18">
        <v>29983.64</v>
      </c>
      <c r="M528" s="19">
        <v>4</v>
      </c>
      <c r="N528" s="20">
        <v>0.15</v>
      </c>
      <c r="O528" s="19" t="s">
        <v>25</v>
      </c>
      <c r="P528" s="19" t="s">
        <v>58</v>
      </c>
      <c r="Q528" s="19" t="str">
        <f>TRIM(SalesData[[#This Row],[Customer_Name]])</f>
        <v>Manish Tiwari</v>
      </c>
      <c r="R528" s="21">
        <f>SalesData[[#This Row],[Sales]]-SalesData[[#This Row],[Cost]]</f>
        <v>21341.809999999998</v>
      </c>
      <c r="S528" s="22">
        <f>IFERROR(SalesData[[#This Row],[Profit]]/SalesData[[#This Row],[Sales]],0)</f>
        <v>0.41581340251278848</v>
      </c>
      <c r="T528" s="19">
        <f>YEAR(SalesData[[#This Row],[Order_Date]])</f>
        <v>2025</v>
      </c>
      <c r="U528" s="19" t="str">
        <f>TEXT(SalesData[[#This Row],[Order_Date]],"mmm")</f>
        <v>Dec</v>
      </c>
      <c r="V528" s="19" t="str">
        <f>"Q"&amp;ROUNDUP(MONTH(SalesData[[#This Row],[Order_Date]])/3,0)</f>
        <v>Q4</v>
      </c>
      <c r="W528" s="19" t="str">
        <f>IF(SalesData[[#This Row],[Sales]]&gt;=50000,"High",IF(AND(SalesData[[#This Row],[Sales]]&gt;= 20000, SalesData[[#This Row],[Sales]]&lt; 50000),"Medium","Low"))</f>
        <v>High</v>
      </c>
      <c r="X528" s="19" t="str">
        <f>IF(SalesData[[#This Row],[Profit]]&gt;0,"Profit","Loss")</f>
        <v>Profit</v>
      </c>
      <c r="Y528" s="19" t="str">
        <f>IF(AND(SalesData[[#This Row],[Sales]]&gt;= 50000, SalesData[[#This Row],[Quantity]]&gt;=2),"Yes","No")</f>
        <v>Yes</v>
      </c>
      <c r="Z528" s="19" t="str">
        <f>UPPER(SalesData[[#This Row],[Customer_Name]])</f>
        <v>MANISH TIWARI</v>
      </c>
      <c r="AA528" s="19" t="str">
        <f>LOWER(SalesData[[#This Row],[Customer_Name]])</f>
        <v>manish tiwari</v>
      </c>
      <c r="AB528" s="19">
        <f>LEN(SalesData[[#This Row],[Customer_Name]])</f>
        <v>13</v>
      </c>
      <c r="AC528" s="19" t="str">
        <f>LEFT(SalesData[[#This Row],[Order_ID]],3)</f>
        <v>ORD</v>
      </c>
      <c r="AD528" s="19" t="str">
        <f>RIGHT(SalesData[[#This Row],[Order_ID]],4)</f>
        <v>0709</v>
      </c>
      <c r="AE528" s="19" t="str">
        <f>_xlfn.CONCAT(SalesData[[#This Row],[Clean_Customer_Name]],"-",SalesData[[#This Row],[Region]])</f>
        <v>Manish Tiwari-Central</v>
      </c>
      <c r="AF528" s="19" t="str">
        <f>MID(SalesData[[#This Row],[Order_ID]],4,4)</f>
        <v>0709</v>
      </c>
      <c r="AG528" s="19" t="e">
        <f ca="1">_xlfn.SINGLE(_xlfn.XLOOKUP(SalesData[[#This Row],[Product]],Product_Master!A:A,Product_Master!B:B,"Not Found"))</f>
        <v>#NAME?</v>
      </c>
      <c r="AH528" s="19" t="str">
        <f>VLOOKUP(SalesData[[#This Row],[Product]],Product_Master!$A$1:$B$21,2,FALSE)</f>
        <v>Simran</v>
      </c>
      <c r="AI528" s="16"/>
    </row>
    <row r="529" spans="1:35" ht="13.8">
      <c r="A529" s="16" t="s">
        <v>212</v>
      </c>
      <c r="B529" s="17">
        <v>45558</v>
      </c>
      <c r="C529" s="16" t="s">
        <v>170</v>
      </c>
      <c r="D529" s="16" t="s">
        <v>171</v>
      </c>
      <c r="E529" s="16" t="s">
        <v>117</v>
      </c>
      <c r="F529" s="16" t="s">
        <v>118</v>
      </c>
      <c r="G529" s="16" t="s">
        <v>51</v>
      </c>
      <c r="H529" s="16" t="s">
        <v>119</v>
      </c>
      <c r="I529" s="16" t="s">
        <v>23</v>
      </c>
      <c r="J529" s="16" t="s">
        <v>24</v>
      </c>
      <c r="K529" s="18">
        <v>27900.04</v>
      </c>
      <c r="L529" s="18">
        <v>17378.48</v>
      </c>
      <c r="M529" s="19">
        <v>4</v>
      </c>
      <c r="N529" s="20">
        <v>0.1</v>
      </c>
      <c r="O529" s="19" t="s">
        <v>136</v>
      </c>
      <c r="P529" s="19" t="s">
        <v>45</v>
      </c>
      <c r="Q529" s="19" t="str">
        <f>TRIM(SalesData[[#This Row],[Customer_Name]])</f>
        <v>Manish Tiwari</v>
      </c>
      <c r="R529" s="21">
        <f>SalesData[[#This Row],[Sales]]-SalesData[[#This Row],[Cost]]</f>
        <v>10521.560000000001</v>
      </c>
      <c r="S529" s="22">
        <f>IFERROR(SalesData[[#This Row],[Profit]]/SalesData[[#This Row],[Sales]],0)</f>
        <v>0.37711630520959832</v>
      </c>
      <c r="T529" s="19">
        <f>YEAR(SalesData[[#This Row],[Order_Date]])</f>
        <v>2024</v>
      </c>
      <c r="U529" s="19" t="str">
        <f>TEXT(SalesData[[#This Row],[Order_Date]],"mmm")</f>
        <v>Sept</v>
      </c>
      <c r="V529" s="19" t="str">
        <f>"Q"&amp;ROUNDUP(MONTH(SalesData[[#This Row],[Order_Date]])/3,0)</f>
        <v>Q3</v>
      </c>
      <c r="W529" s="19" t="str">
        <f>IF(SalesData[[#This Row],[Sales]]&gt;=50000,"High",IF(AND(SalesData[[#This Row],[Sales]]&gt;= 20000, SalesData[[#This Row],[Sales]]&lt; 50000),"Medium","Low"))</f>
        <v>Medium</v>
      </c>
      <c r="X529" s="19" t="str">
        <f>IF(SalesData[[#This Row],[Profit]]&gt;0,"Profit","Loss")</f>
        <v>Profit</v>
      </c>
      <c r="Y529" s="19" t="str">
        <f>IF(AND(SalesData[[#This Row],[Sales]]&gt;= 50000, SalesData[[#This Row],[Quantity]]&gt;=2),"Yes","No")</f>
        <v>No</v>
      </c>
      <c r="Z529" s="19" t="str">
        <f>UPPER(SalesData[[#This Row],[Customer_Name]])</f>
        <v>MANISH TIWARI</v>
      </c>
      <c r="AA529" s="19" t="str">
        <f>LOWER(SalesData[[#This Row],[Customer_Name]])</f>
        <v>manish tiwari</v>
      </c>
      <c r="AB529" s="19">
        <f>LEN(SalesData[[#This Row],[Customer_Name]])</f>
        <v>13</v>
      </c>
      <c r="AC529" s="19" t="str">
        <f>LEFT(SalesData[[#This Row],[Order_ID]],3)</f>
        <v>ORD</v>
      </c>
      <c r="AD529" s="19" t="str">
        <f>RIGHT(SalesData[[#This Row],[Order_ID]],4)</f>
        <v>0063</v>
      </c>
      <c r="AE529" s="19" t="str">
        <f>_xlfn.CONCAT(SalesData[[#This Row],[Clean_Customer_Name]],"-",SalesData[[#This Row],[Region]])</f>
        <v>Manish Tiwari-North</v>
      </c>
      <c r="AF529" s="19" t="str">
        <f>MID(SalesData[[#This Row],[Order_ID]],4,4)</f>
        <v>0063</v>
      </c>
      <c r="AG529" s="19" t="e">
        <f ca="1">_xlfn.SINGLE(_xlfn.XLOOKUP(SalesData[[#This Row],[Product]],Product_Master!A:A,Product_Master!B:B,"Not Found"))</f>
        <v>#NAME?</v>
      </c>
      <c r="AH529" s="19" t="str">
        <f>VLOOKUP(SalesData[[#This Row],[Product]],Product_Master!$A$1:$B$21,2,FALSE)</f>
        <v>Karan</v>
      </c>
      <c r="AI529" s="16"/>
    </row>
    <row r="530" spans="1:35" ht="13.8">
      <c r="A530" s="16" t="s">
        <v>916</v>
      </c>
      <c r="B530" s="17">
        <v>45969</v>
      </c>
      <c r="C530" s="16" t="s">
        <v>170</v>
      </c>
      <c r="D530" s="16" t="s">
        <v>171</v>
      </c>
      <c r="E530" s="16" t="s">
        <v>49</v>
      </c>
      <c r="F530" s="16" t="s">
        <v>50</v>
      </c>
      <c r="G530" s="16" t="s">
        <v>51</v>
      </c>
      <c r="H530" s="16" t="s">
        <v>52</v>
      </c>
      <c r="I530" s="16" t="s">
        <v>84</v>
      </c>
      <c r="J530" s="16" t="s">
        <v>142</v>
      </c>
      <c r="K530" s="18">
        <v>37794.67</v>
      </c>
      <c r="L530" s="18">
        <v>27945.4</v>
      </c>
      <c r="M530" s="19">
        <v>4</v>
      </c>
      <c r="N530" s="20">
        <v>0.1</v>
      </c>
      <c r="O530" s="19" t="s">
        <v>34</v>
      </c>
      <c r="P530" s="19" t="s">
        <v>58</v>
      </c>
      <c r="Q530" s="19" t="str">
        <f>TRIM(SalesData[[#This Row],[Customer_Name]])</f>
        <v>Manish Tiwari</v>
      </c>
      <c r="R530" s="21">
        <f>SalesData[[#This Row],[Sales]]-SalesData[[#This Row],[Cost]]</f>
        <v>9849.2699999999968</v>
      </c>
      <c r="S530" s="22">
        <f>IFERROR(SalesData[[#This Row],[Profit]]/SalesData[[#This Row],[Sales]],0)</f>
        <v>0.26059944431317955</v>
      </c>
      <c r="T530" s="19">
        <f>YEAR(SalesData[[#This Row],[Order_Date]])</f>
        <v>2025</v>
      </c>
      <c r="U530" s="19" t="str">
        <f>TEXT(SalesData[[#This Row],[Order_Date]],"mmm")</f>
        <v>Nov</v>
      </c>
      <c r="V530" s="19" t="str">
        <f>"Q"&amp;ROUNDUP(MONTH(SalesData[[#This Row],[Order_Date]])/3,0)</f>
        <v>Q4</v>
      </c>
      <c r="W530" s="19" t="str">
        <f>IF(SalesData[[#This Row],[Sales]]&gt;=50000,"High",IF(AND(SalesData[[#This Row],[Sales]]&gt;= 20000, SalesData[[#This Row],[Sales]]&lt; 50000),"Medium","Low"))</f>
        <v>Medium</v>
      </c>
      <c r="X530" s="19" t="str">
        <f>IF(SalesData[[#This Row],[Profit]]&gt;0,"Profit","Loss")</f>
        <v>Profit</v>
      </c>
      <c r="Y530" s="19" t="str">
        <f>IF(AND(SalesData[[#This Row],[Sales]]&gt;= 50000, SalesData[[#This Row],[Quantity]]&gt;=2),"Yes","No")</f>
        <v>No</v>
      </c>
      <c r="Z530" s="19" t="str">
        <f>UPPER(SalesData[[#This Row],[Customer_Name]])</f>
        <v>MANISH TIWARI</v>
      </c>
      <c r="AA530" s="19" t="str">
        <f>LOWER(SalesData[[#This Row],[Customer_Name]])</f>
        <v>manish tiwari</v>
      </c>
      <c r="AB530" s="19">
        <f>LEN(SalesData[[#This Row],[Customer_Name]])</f>
        <v>13</v>
      </c>
      <c r="AC530" s="19" t="str">
        <f>LEFT(SalesData[[#This Row],[Order_ID]],3)</f>
        <v>ORD</v>
      </c>
      <c r="AD530" s="19" t="str">
        <f>RIGHT(SalesData[[#This Row],[Order_ID]],4)</f>
        <v>0763</v>
      </c>
      <c r="AE530" s="19" t="str">
        <f>_xlfn.CONCAT(SalesData[[#This Row],[Clean_Customer_Name]],"-",SalesData[[#This Row],[Region]])</f>
        <v>Manish Tiwari-South</v>
      </c>
      <c r="AF530" s="19" t="str">
        <f>MID(SalesData[[#This Row],[Order_ID]],4,4)</f>
        <v>0763</v>
      </c>
      <c r="AG530" s="19" t="e">
        <f ca="1">_xlfn.SINGLE(_xlfn.XLOOKUP(SalesData[[#This Row],[Product]],Product_Master!A:A,Product_Master!B:B,"Not Found"))</f>
        <v>#NAME?</v>
      </c>
      <c r="AH530" s="19" t="str">
        <f>VLOOKUP(SalesData[[#This Row],[Product]],Product_Master!$A$1:$B$21,2,FALSE)</f>
        <v>Rohan</v>
      </c>
      <c r="AI530" s="16"/>
    </row>
    <row r="531" spans="1:35" ht="13.8">
      <c r="A531" s="16" t="s">
        <v>445</v>
      </c>
      <c r="B531" s="17">
        <v>45706</v>
      </c>
      <c r="C531" s="16" t="s">
        <v>170</v>
      </c>
      <c r="D531" s="16" t="s">
        <v>171</v>
      </c>
      <c r="E531" s="16" t="s">
        <v>72</v>
      </c>
      <c r="F531" s="16" t="s">
        <v>73</v>
      </c>
      <c r="G531" s="16" t="s">
        <v>51</v>
      </c>
      <c r="H531" s="16" t="s">
        <v>74</v>
      </c>
      <c r="I531" s="16" t="s">
        <v>53</v>
      </c>
      <c r="J531" s="16" t="s">
        <v>54</v>
      </c>
      <c r="K531" s="18">
        <v>13784.18</v>
      </c>
      <c r="L531" s="18">
        <v>7498.22</v>
      </c>
      <c r="M531" s="19">
        <v>2</v>
      </c>
      <c r="N531" s="20">
        <v>0.15</v>
      </c>
      <c r="O531" s="19" t="s">
        <v>25</v>
      </c>
      <c r="P531" s="19" t="s">
        <v>58</v>
      </c>
      <c r="Q531" s="19" t="str">
        <f>TRIM(SalesData[[#This Row],[Customer_Name]])</f>
        <v>Manish Tiwari</v>
      </c>
      <c r="R531" s="21">
        <f>SalesData[[#This Row],[Sales]]-SalesData[[#This Row],[Cost]]</f>
        <v>6285.96</v>
      </c>
      <c r="S531" s="22">
        <f>IFERROR(SalesData[[#This Row],[Profit]]/SalesData[[#This Row],[Sales]],0)</f>
        <v>0.45602712674965068</v>
      </c>
      <c r="T531" s="19">
        <f>YEAR(SalesData[[#This Row],[Order_Date]])</f>
        <v>2025</v>
      </c>
      <c r="U531" s="19" t="str">
        <f>TEXT(SalesData[[#This Row],[Order_Date]],"mmm")</f>
        <v>Feb</v>
      </c>
      <c r="V531" s="19" t="str">
        <f>"Q"&amp;ROUNDUP(MONTH(SalesData[[#This Row],[Order_Date]])/3,0)</f>
        <v>Q1</v>
      </c>
      <c r="W531" s="19" t="str">
        <f>IF(SalesData[[#This Row],[Sales]]&gt;=50000,"High",IF(AND(SalesData[[#This Row],[Sales]]&gt;= 20000, SalesData[[#This Row],[Sales]]&lt; 50000),"Medium","Low"))</f>
        <v>Low</v>
      </c>
      <c r="X531" s="19" t="str">
        <f>IF(SalesData[[#This Row],[Profit]]&gt;0,"Profit","Loss")</f>
        <v>Profit</v>
      </c>
      <c r="Y531" s="19" t="str">
        <f>IF(AND(SalesData[[#This Row],[Sales]]&gt;= 50000, SalesData[[#This Row],[Quantity]]&gt;=2),"Yes","No")</f>
        <v>No</v>
      </c>
      <c r="Z531" s="19" t="str">
        <f>UPPER(SalesData[[#This Row],[Customer_Name]])</f>
        <v>MANISH TIWARI</v>
      </c>
      <c r="AA531" s="19" t="str">
        <f>LOWER(SalesData[[#This Row],[Customer_Name]])</f>
        <v>manish tiwari</v>
      </c>
      <c r="AB531" s="19">
        <f>LEN(SalesData[[#This Row],[Customer_Name]])</f>
        <v>13</v>
      </c>
      <c r="AC531" s="19" t="str">
        <f>LEFT(SalesData[[#This Row],[Order_ID]],3)</f>
        <v>ORD</v>
      </c>
      <c r="AD531" s="19" t="str">
        <f>RIGHT(SalesData[[#This Row],[Order_ID]],4)</f>
        <v>0292</v>
      </c>
      <c r="AE531" s="19" t="str">
        <f>_xlfn.CONCAT(SalesData[[#This Row],[Clean_Customer_Name]],"-",SalesData[[#This Row],[Region]])</f>
        <v>Manish Tiwari-Central</v>
      </c>
      <c r="AF531" s="19" t="str">
        <f>MID(SalesData[[#This Row],[Order_ID]],4,4)</f>
        <v>0292</v>
      </c>
      <c r="AG531" s="19" t="e">
        <f ca="1">_xlfn.SINGLE(_xlfn.XLOOKUP(SalesData[[#This Row],[Product]],Product_Master!A:A,Product_Master!B:B,"Not Found"))</f>
        <v>#NAME?</v>
      </c>
      <c r="AH531" s="19" t="str">
        <f>VLOOKUP(SalesData[[#This Row],[Product]],Product_Master!$A$1:$B$21,2,FALSE)</f>
        <v>Anjali</v>
      </c>
      <c r="AI531" s="16"/>
    </row>
    <row r="532" spans="1:35" ht="13.8">
      <c r="A532" s="16" t="s">
        <v>609</v>
      </c>
      <c r="B532" s="17">
        <v>45920</v>
      </c>
      <c r="C532" s="16" t="s">
        <v>170</v>
      </c>
      <c r="D532" s="16" t="s">
        <v>171</v>
      </c>
      <c r="E532" s="16" t="s">
        <v>72</v>
      </c>
      <c r="F532" s="16" t="s">
        <v>73</v>
      </c>
      <c r="G532" s="16" t="s">
        <v>51</v>
      </c>
      <c r="H532" s="16" t="s">
        <v>74</v>
      </c>
      <c r="I532" s="16" t="s">
        <v>42</v>
      </c>
      <c r="J532" s="16" t="s">
        <v>68</v>
      </c>
      <c r="K532" s="18">
        <v>21150.54</v>
      </c>
      <c r="L532" s="18">
        <v>18975.3</v>
      </c>
      <c r="M532" s="19">
        <v>5</v>
      </c>
      <c r="N532" s="20">
        <v>0.1</v>
      </c>
      <c r="O532" s="19" t="s">
        <v>136</v>
      </c>
      <c r="P532" s="19" t="s">
        <v>58</v>
      </c>
      <c r="Q532" s="19" t="str">
        <f>TRIM(SalesData[[#This Row],[Customer_Name]])</f>
        <v>Manish Tiwari</v>
      </c>
      <c r="R532" s="21">
        <f>SalesData[[#This Row],[Sales]]-SalesData[[#This Row],[Cost]]</f>
        <v>2175.2400000000016</v>
      </c>
      <c r="S532" s="22">
        <f>IFERROR(SalesData[[#This Row],[Profit]]/SalesData[[#This Row],[Sales]],0)</f>
        <v>0.10284560110522008</v>
      </c>
      <c r="T532" s="19">
        <f>YEAR(SalesData[[#This Row],[Order_Date]])</f>
        <v>2025</v>
      </c>
      <c r="U532" s="19" t="str">
        <f>TEXT(SalesData[[#This Row],[Order_Date]],"mmm")</f>
        <v>Sept</v>
      </c>
      <c r="V532" s="19" t="str">
        <f>"Q"&amp;ROUNDUP(MONTH(SalesData[[#This Row],[Order_Date]])/3,0)</f>
        <v>Q3</v>
      </c>
      <c r="W532" s="19" t="str">
        <f>IF(SalesData[[#This Row],[Sales]]&gt;=50000,"High",IF(AND(SalesData[[#This Row],[Sales]]&gt;= 20000, SalesData[[#This Row],[Sales]]&lt; 50000),"Medium","Low"))</f>
        <v>Medium</v>
      </c>
      <c r="X532" s="19" t="str">
        <f>IF(SalesData[[#This Row],[Profit]]&gt;0,"Profit","Loss")</f>
        <v>Profit</v>
      </c>
      <c r="Y532" s="19" t="str">
        <f>IF(AND(SalesData[[#This Row],[Sales]]&gt;= 50000, SalesData[[#This Row],[Quantity]]&gt;=2),"Yes","No")</f>
        <v>No</v>
      </c>
      <c r="Z532" s="19" t="str">
        <f>UPPER(SalesData[[#This Row],[Customer_Name]])</f>
        <v>MANISH TIWARI</v>
      </c>
      <c r="AA532" s="19" t="str">
        <f>LOWER(SalesData[[#This Row],[Customer_Name]])</f>
        <v>manish tiwari</v>
      </c>
      <c r="AB532" s="19">
        <f>LEN(SalesData[[#This Row],[Customer_Name]])</f>
        <v>13</v>
      </c>
      <c r="AC532" s="19" t="str">
        <f>LEFT(SalesData[[#This Row],[Order_ID]],3)</f>
        <v>ORD</v>
      </c>
      <c r="AD532" s="19" t="str">
        <f>RIGHT(SalesData[[#This Row],[Order_ID]],4)</f>
        <v>0456</v>
      </c>
      <c r="AE532" s="19" t="str">
        <f>_xlfn.CONCAT(SalesData[[#This Row],[Clean_Customer_Name]],"-",SalesData[[#This Row],[Region]])</f>
        <v>Manish Tiwari-East</v>
      </c>
      <c r="AF532" s="19" t="str">
        <f>MID(SalesData[[#This Row],[Order_ID]],4,4)</f>
        <v>0456</v>
      </c>
      <c r="AG532" s="19" t="e">
        <f ca="1">_xlfn.SINGLE(_xlfn.XLOOKUP(SalesData[[#This Row],[Product]],Product_Master!A:A,Product_Master!B:B,"Not Found"))</f>
        <v>#NAME?</v>
      </c>
      <c r="AH532" s="19" t="str">
        <f>VLOOKUP(SalesData[[#This Row],[Product]],Product_Master!$A$1:$B$21,2,FALSE)</f>
        <v>Anjali</v>
      </c>
      <c r="AI532" s="16"/>
    </row>
    <row r="533" spans="1:35" ht="13.8">
      <c r="A533" s="16" t="s">
        <v>260</v>
      </c>
      <c r="B533" s="17">
        <v>45553</v>
      </c>
      <c r="C533" s="16" t="s">
        <v>170</v>
      </c>
      <c r="D533" s="16" t="s">
        <v>171</v>
      </c>
      <c r="E533" s="16" t="s">
        <v>175</v>
      </c>
      <c r="F533" s="16" t="s">
        <v>176</v>
      </c>
      <c r="G533" s="16" t="s">
        <v>51</v>
      </c>
      <c r="H533" s="16" t="s">
        <v>177</v>
      </c>
      <c r="I533" s="16" t="s">
        <v>56</v>
      </c>
      <c r="J533" s="16" t="s">
        <v>191</v>
      </c>
      <c r="K533" s="18">
        <v>22023.69</v>
      </c>
      <c r="L533" s="18">
        <v>17276.509999999998</v>
      </c>
      <c r="M533" s="19">
        <v>1</v>
      </c>
      <c r="N533" s="20">
        <v>0.1</v>
      </c>
      <c r="O533" s="19" t="s">
        <v>34</v>
      </c>
      <c r="P533" s="19" t="s">
        <v>58</v>
      </c>
      <c r="Q533" s="19" t="str">
        <f>TRIM(SalesData[[#This Row],[Customer_Name]])</f>
        <v>Manish Tiwari</v>
      </c>
      <c r="R533" s="21">
        <f>SalesData[[#This Row],[Sales]]-SalesData[[#This Row],[Cost]]</f>
        <v>4747.18</v>
      </c>
      <c r="S533" s="22">
        <f>IFERROR(SalesData[[#This Row],[Profit]]/SalesData[[#This Row],[Sales]],0)</f>
        <v>0.21554880222160777</v>
      </c>
      <c r="T533" s="19">
        <f>YEAR(SalesData[[#This Row],[Order_Date]])</f>
        <v>2024</v>
      </c>
      <c r="U533" s="19" t="str">
        <f>TEXT(SalesData[[#This Row],[Order_Date]],"mmm")</f>
        <v>Sept</v>
      </c>
      <c r="V533" s="19" t="str">
        <f>"Q"&amp;ROUNDUP(MONTH(SalesData[[#This Row],[Order_Date]])/3,0)</f>
        <v>Q3</v>
      </c>
      <c r="W533" s="19" t="str">
        <f>IF(SalesData[[#This Row],[Sales]]&gt;=50000,"High",IF(AND(SalesData[[#This Row],[Sales]]&gt;= 20000, SalesData[[#This Row],[Sales]]&lt; 50000),"Medium","Low"))</f>
        <v>Medium</v>
      </c>
      <c r="X533" s="19" t="str">
        <f>IF(SalesData[[#This Row],[Profit]]&gt;0,"Profit","Loss")</f>
        <v>Profit</v>
      </c>
      <c r="Y533" s="19" t="str">
        <f>IF(AND(SalesData[[#This Row],[Sales]]&gt;= 50000, SalesData[[#This Row],[Quantity]]&gt;=2),"Yes","No")</f>
        <v>No</v>
      </c>
      <c r="Z533" s="19" t="str">
        <f>UPPER(SalesData[[#This Row],[Customer_Name]])</f>
        <v>MANISH TIWARI</v>
      </c>
      <c r="AA533" s="19" t="str">
        <f>LOWER(SalesData[[#This Row],[Customer_Name]])</f>
        <v>manish tiwari</v>
      </c>
      <c r="AB533" s="19">
        <f>LEN(SalesData[[#This Row],[Customer_Name]])</f>
        <v>13</v>
      </c>
      <c r="AC533" s="19" t="str">
        <f>LEFT(SalesData[[#This Row],[Order_ID]],3)</f>
        <v>ORD</v>
      </c>
      <c r="AD533" s="19" t="str">
        <f>RIGHT(SalesData[[#This Row],[Order_ID]],4)</f>
        <v>0109</v>
      </c>
      <c r="AE533" s="19" t="str">
        <f>_xlfn.CONCAT(SalesData[[#This Row],[Clean_Customer_Name]],"-",SalesData[[#This Row],[Region]])</f>
        <v>Manish Tiwari-West</v>
      </c>
      <c r="AF533" s="19" t="str">
        <f>MID(SalesData[[#This Row],[Order_ID]],4,4)</f>
        <v>0109</v>
      </c>
      <c r="AG533" s="19" t="e">
        <f ca="1">_xlfn.SINGLE(_xlfn.XLOOKUP(SalesData[[#This Row],[Product]],Product_Master!A:A,Product_Master!B:B,"Not Found"))</f>
        <v>#NAME?</v>
      </c>
      <c r="AH533" s="19" t="str">
        <f>VLOOKUP(SalesData[[#This Row],[Product]],Product_Master!$A$1:$B$21,2,FALSE)</f>
        <v>Arjun</v>
      </c>
      <c r="AI533" s="16"/>
    </row>
    <row r="534" spans="1:35" ht="13.8">
      <c r="A534" s="16" t="s">
        <v>1127</v>
      </c>
      <c r="B534" s="17">
        <v>45582</v>
      </c>
      <c r="C534" s="16" t="s">
        <v>170</v>
      </c>
      <c r="D534" s="16" t="s">
        <v>171</v>
      </c>
      <c r="E534" s="16" t="s">
        <v>123</v>
      </c>
      <c r="F534" s="16" t="s">
        <v>124</v>
      </c>
      <c r="G534" s="16" t="s">
        <v>51</v>
      </c>
      <c r="H534" s="16" t="s">
        <v>125</v>
      </c>
      <c r="I534" s="16" t="s">
        <v>56</v>
      </c>
      <c r="J534" s="16" t="s">
        <v>191</v>
      </c>
      <c r="K534" s="18">
        <v>103457.74</v>
      </c>
      <c r="L534" s="18">
        <v>72894.84</v>
      </c>
      <c r="M534" s="19">
        <v>4</v>
      </c>
      <c r="N534" s="20">
        <v>0.1</v>
      </c>
      <c r="O534" s="19" t="s">
        <v>76</v>
      </c>
      <c r="P534" s="19" t="s">
        <v>98</v>
      </c>
      <c r="Q534" s="19" t="str">
        <f>TRIM(SalesData[[#This Row],[Customer_Name]])</f>
        <v>Manish Tiwari</v>
      </c>
      <c r="R534" s="21">
        <f>SalesData[[#This Row],[Sales]]-SalesData[[#This Row],[Cost]]</f>
        <v>30562.900000000009</v>
      </c>
      <c r="S534" s="22">
        <f>IFERROR(SalesData[[#This Row],[Profit]]/SalesData[[#This Row],[Sales]],0)</f>
        <v>0.29541434019339691</v>
      </c>
      <c r="T534" s="19">
        <f>YEAR(SalesData[[#This Row],[Order_Date]])</f>
        <v>2024</v>
      </c>
      <c r="U534" s="19" t="str">
        <f>TEXT(SalesData[[#This Row],[Order_Date]],"mmm")</f>
        <v>Oct</v>
      </c>
      <c r="V534" s="19" t="str">
        <f>"Q"&amp;ROUNDUP(MONTH(SalesData[[#This Row],[Order_Date]])/3,0)</f>
        <v>Q4</v>
      </c>
      <c r="W534" s="19" t="str">
        <f>IF(SalesData[[#This Row],[Sales]]&gt;=50000,"High",IF(AND(SalesData[[#This Row],[Sales]]&gt;= 20000, SalesData[[#This Row],[Sales]]&lt; 50000),"Medium","Low"))</f>
        <v>High</v>
      </c>
      <c r="X534" s="19" t="str">
        <f>IF(SalesData[[#This Row],[Profit]]&gt;0,"Profit","Loss")</f>
        <v>Profit</v>
      </c>
      <c r="Y534" s="19" t="str">
        <f>IF(AND(SalesData[[#This Row],[Sales]]&gt;= 50000, SalesData[[#This Row],[Quantity]]&gt;=2),"Yes","No")</f>
        <v>Yes</v>
      </c>
      <c r="Z534" s="19" t="str">
        <f>UPPER(SalesData[[#This Row],[Customer_Name]])</f>
        <v>MANISH TIWARI</v>
      </c>
      <c r="AA534" s="19" t="str">
        <f>LOWER(SalesData[[#This Row],[Customer_Name]])</f>
        <v>manish tiwari</v>
      </c>
      <c r="AB534" s="19">
        <f>LEN(SalesData[[#This Row],[Customer_Name]])</f>
        <v>13</v>
      </c>
      <c r="AC534" s="19" t="str">
        <f>LEFT(SalesData[[#This Row],[Order_ID]],3)</f>
        <v>ORD</v>
      </c>
      <c r="AD534" s="19" t="str">
        <f>RIGHT(SalesData[[#This Row],[Order_ID]],4)</f>
        <v>0974</v>
      </c>
      <c r="AE534" s="19" t="str">
        <f>_xlfn.CONCAT(SalesData[[#This Row],[Clean_Customer_Name]],"-",SalesData[[#This Row],[Region]])</f>
        <v>Manish Tiwari-West</v>
      </c>
      <c r="AF534" s="19" t="str">
        <f>MID(SalesData[[#This Row],[Order_ID]],4,4)</f>
        <v>0974</v>
      </c>
      <c r="AG534" s="19" t="e">
        <f ca="1">_xlfn.SINGLE(_xlfn.XLOOKUP(SalesData[[#This Row],[Product]],Product_Master!A:A,Product_Master!B:B,"Not Found"))</f>
        <v>#NAME?</v>
      </c>
      <c r="AH534" s="19" t="str">
        <f>VLOOKUP(SalesData[[#This Row],[Product]],Product_Master!$A$1:$B$21,2,FALSE)</f>
        <v>Sneha</v>
      </c>
      <c r="AI534" s="16"/>
    </row>
    <row r="535" spans="1:35" ht="13.8">
      <c r="A535" s="16" t="s">
        <v>433</v>
      </c>
      <c r="B535" s="17">
        <v>45958</v>
      </c>
      <c r="C535" s="16" t="s">
        <v>170</v>
      </c>
      <c r="D535" s="16" t="s">
        <v>171</v>
      </c>
      <c r="E535" s="16" t="s">
        <v>110</v>
      </c>
      <c r="F535" s="16" t="s">
        <v>111</v>
      </c>
      <c r="G535" s="16" t="s">
        <v>40</v>
      </c>
      <c r="H535" s="16" t="s">
        <v>112</v>
      </c>
      <c r="I535" s="16" t="s">
        <v>56</v>
      </c>
      <c r="J535" s="16" t="s">
        <v>91</v>
      </c>
      <c r="K535" s="18">
        <v>11952.66</v>
      </c>
      <c r="L535" s="18">
        <v>5563.35</v>
      </c>
      <c r="M535" s="19">
        <v>5</v>
      </c>
      <c r="N535" s="20">
        <v>0.05</v>
      </c>
      <c r="O535" s="19" t="s">
        <v>136</v>
      </c>
      <c r="P535" s="19" t="s">
        <v>77</v>
      </c>
      <c r="Q535" s="19" t="str">
        <f>TRIM(SalesData[[#This Row],[Customer_Name]])</f>
        <v>Manish Tiwari</v>
      </c>
      <c r="R535" s="21">
        <f>SalesData[[#This Row],[Sales]]-SalesData[[#This Row],[Cost]]</f>
        <v>6389.3099999999995</v>
      </c>
      <c r="S535" s="22">
        <f>IFERROR(SalesData[[#This Row],[Profit]]/SalesData[[#This Row],[Sales]],0)</f>
        <v>0.53455130489782188</v>
      </c>
      <c r="T535" s="19">
        <f>YEAR(SalesData[[#This Row],[Order_Date]])</f>
        <v>2025</v>
      </c>
      <c r="U535" s="19" t="str">
        <f>TEXT(SalesData[[#This Row],[Order_Date]],"mmm")</f>
        <v>Oct</v>
      </c>
      <c r="V535" s="19" t="str">
        <f>"Q"&amp;ROUNDUP(MONTH(SalesData[[#This Row],[Order_Date]])/3,0)</f>
        <v>Q4</v>
      </c>
      <c r="W535" s="19" t="str">
        <f>IF(SalesData[[#This Row],[Sales]]&gt;=50000,"High",IF(AND(SalesData[[#This Row],[Sales]]&gt;= 20000, SalesData[[#This Row],[Sales]]&lt; 50000),"Medium","Low"))</f>
        <v>Low</v>
      </c>
      <c r="X535" s="19" t="str">
        <f>IF(SalesData[[#This Row],[Profit]]&gt;0,"Profit","Loss")</f>
        <v>Profit</v>
      </c>
      <c r="Y535" s="19" t="str">
        <f>IF(AND(SalesData[[#This Row],[Sales]]&gt;= 50000, SalesData[[#This Row],[Quantity]]&gt;=2),"Yes","No")</f>
        <v>No</v>
      </c>
      <c r="Z535" s="19" t="str">
        <f>UPPER(SalesData[[#This Row],[Customer_Name]])</f>
        <v>MANISH TIWARI</v>
      </c>
      <c r="AA535" s="19" t="str">
        <f>LOWER(SalesData[[#This Row],[Customer_Name]])</f>
        <v>manish tiwari</v>
      </c>
      <c r="AB535" s="19">
        <f>LEN(SalesData[[#This Row],[Customer_Name]])</f>
        <v>13</v>
      </c>
      <c r="AC535" s="19" t="str">
        <f>LEFT(SalesData[[#This Row],[Order_ID]],3)</f>
        <v>ORD</v>
      </c>
      <c r="AD535" s="19" t="str">
        <f>RIGHT(SalesData[[#This Row],[Order_ID]],4)</f>
        <v>0280</v>
      </c>
      <c r="AE535" s="19" t="str">
        <f>_xlfn.CONCAT(SalesData[[#This Row],[Clean_Customer_Name]],"-",SalesData[[#This Row],[Region]])</f>
        <v>Manish Tiwari-West</v>
      </c>
      <c r="AF535" s="19" t="str">
        <f>MID(SalesData[[#This Row],[Order_ID]],4,4)</f>
        <v>0280</v>
      </c>
      <c r="AG535" s="19" t="e">
        <f ca="1">_xlfn.SINGLE(_xlfn.XLOOKUP(SalesData[[#This Row],[Product]],Product_Master!A:A,Product_Master!B:B,"Not Found"))</f>
        <v>#NAME?</v>
      </c>
      <c r="AH535" s="19" t="str">
        <f>VLOOKUP(SalesData[[#This Row],[Product]],Product_Master!$A$1:$B$21,2,FALSE)</f>
        <v>Vikas</v>
      </c>
      <c r="AI535" s="16"/>
    </row>
    <row r="536" spans="1:35" ht="13.8">
      <c r="A536" s="16" t="s">
        <v>585</v>
      </c>
      <c r="B536" s="17">
        <v>45801</v>
      </c>
      <c r="C536" s="16" t="s">
        <v>170</v>
      </c>
      <c r="D536" s="16" t="s">
        <v>171</v>
      </c>
      <c r="E536" s="16" t="s">
        <v>110</v>
      </c>
      <c r="F536" s="16" t="s">
        <v>111</v>
      </c>
      <c r="G536" s="16" t="s">
        <v>40</v>
      </c>
      <c r="H536" s="16" t="s">
        <v>112</v>
      </c>
      <c r="I536" s="16" t="s">
        <v>23</v>
      </c>
      <c r="J536" s="16" t="s">
        <v>33</v>
      </c>
      <c r="K536" s="18">
        <v>2281.21</v>
      </c>
      <c r="L536" s="18">
        <v>1104.6300000000001</v>
      </c>
      <c r="M536" s="19">
        <v>1</v>
      </c>
      <c r="N536" s="20">
        <v>0.2</v>
      </c>
      <c r="O536" s="19" t="s">
        <v>34</v>
      </c>
      <c r="P536" s="19" t="s">
        <v>58</v>
      </c>
      <c r="Q536" s="19" t="str">
        <f>TRIM(SalesData[[#This Row],[Customer_Name]])</f>
        <v>Manish Tiwari</v>
      </c>
      <c r="R536" s="21">
        <f>SalesData[[#This Row],[Sales]]-SalesData[[#This Row],[Cost]]</f>
        <v>1176.58</v>
      </c>
      <c r="S536" s="22">
        <f>IFERROR(SalesData[[#This Row],[Profit]]/SalesData[[#This Row],[Sales]],0)</f>
        <v>0.51577013953121364</v>
      </c>
      <c r="T536" s="19">
        <f>YEAR(SalesData[[#This Row],[Order_Date]])</f>
        <v>2025</v>
      </c>
      <c r="U536" s="19" t="str">
        <f>TEXT(SalesData[[#This Row],[Order_Date]],"mmm")</f>
        <v>May</v>
      </c>
      <c r="V536" s="19" t="str">
        <f>"Q"&amp;ROUNDUP(MONTH(SalesData[[#This Row],[Order_Date]])/3,0)</f>
        <v>Q2</v>
      </c>
      <c r="W536" s="19" t="str">
        <f>IF(SalesData[[#This Row],[Sales]]&gt;=50000,"High",IF(AND(SalesData[[#This Row],[Sales]]&gt;= 20000, SalesData[[#This Row],[Sales]]&lt; 50000),"Medium","Low"))</f>
        <v>Low</v>
      </c>
      <c r="X536" s="19" t="str">
        <f>IF(SalesData[[#This Row],[Profit]]&gt;0,"Profit","Loss")</f>
        <v>Profit</v>
      </c>
      <c r="Y536" s="19" t="str">
        <f>IF(AND(SalesData[[#This Row],[Sales]]&gt;= 50000, SalesData[[#This Row],[Quantity]]&gt;=2),"Yes","No")</f>
        <v>No</v>
      </c>
      <c r="Z536" s="19" t="str">
        <f>UPPER(SalesData[[#This Row],[Customer_Name]])</f>
        <v>MANISH TIWARI</v>
      </c>
      <c r="AA536" s="19" t="str">
        <f>LOWER(SalesData[[#This Row],[Customer_Name]])</f>
        <v>manish tiwari</v>
      </c>
      <c r="AB536" s="19">
        <f>LEN(SalesData[[#This Row],[Customer_Name]])</f>
        <v>13</v>
      </c>
      <c r="AC536" s="19" t="str">
        <f>LEFT(SalesData[[#This Row],[Order_ID]],3)</f>
        <v>ORD</v>
      </c>
      <c r="AD536" s="19" t="str">
        <f>RIGHT(SalesData[[#This Row],[Order_ID]],4)</f>
        <v>0432</v>
      </c>
      <c r="AE536" s="19" t="str">
        <f>_xlfn.CONCAT(SalesData[[#This Row],[Clean_Customer_Name]],"-",SalesData[[#This Row],[Region]])</f>
        <v>Manish Tiwari-North</v>
      </c>
      <c r="AF536" s="19" t="str">
        <f>MID(SalesData[[#This Row],[Order_ID]],4,4)</f>
        <v>0432</v>
      </c>
      <c r="AG536" s="19" t="e">
        <f ca="1">_xlfn.SINGLE(_xlfn.XLOOKUP(SalesData[[#This Row],[Product]],Product_Master!A:A,Product_Master!B:B,"Not Found"))</f>
        <v>#NAME?</v>
      </c>
      <c r="AH536" s="19" t="str">
        <f>VLOOKUP(SalesData[[#This Row],[Product]],Product_Master!$A$1:$B$21,2,FALSE)</f>
        <v>Vikas</v>
      </c>
      <c r="AI536" s="16"/>
    </row>
    <row r="537" spans="1:35" ht="13.8">
      <c r="A537" s="16" t="s">
        <v>675</v>
      </c>
      <c r="B537" s="17">
        <v>45661</v>
      </c>
      <c r="C537" s="16" t="s">
        <v>170</v>
      </c>
      <c r="D537" s="16" t="s">
        <v>171</v>
      </c>
      <c r="E537" s="16" t="s">
        <v>110</v>
      </c>
      <c r="F537" s="16" t="s">
        <v>111</v>
      </c>
      <c r="G537" s="16" t="s">
        <v>40</v>
      </c>
      <c r="H537" s="16" t="s">
        <v>112</v>
      </c>
      <c r="I537" s="16" t="s">
        <v>84</v>
      </c>
      <c r="J537" s="16" t="s">
        <v>142</v>
      </c>
      <c r="K537" s="18">
        <v>12827.21</v>
      </c>
      <c r="L537" s="18">
        <v>3643.44</v>
      </c>
      <c r="M537" s="19">
        <v>3</v>
      </c>
      <c r="N537" s="20">
        <v>0.1</v>
      </c>
      <c r="O537" s="19" t="s">
        <v>44</v>
      </c>
      <c r="P537" s="19" t="s">
        <v>58</v>
      </c>
      <c r="Q537" s="19" t="str">
        <f>TRIM(SalesData[[#This Row],[Customer_Name]])</f>
        <v>Manish Tiwari</v>
      </c>
      <c r="R537" s="21">
        <f>SalesData[[#This Row],[Sales]]-SalesData[[#This Row],[Cost]]</f>
        <v>9183.7699999999986</v>
      </c>
      <c r="S537" s="22">
        <f>IFERROR(SalesData[[#This Row],[Profit]]/SalesData[[#This Row],[Sales]],0)</f>
        <v>0.71596005678553631</v>
      </c>
      <c r="T537" s="19">
        <f>YEAR(SalesData[[#This Row],[Order_Date]])</f>
        <v>2025</v>
      </c>
      <c r="U537" s="19" t="str">
        <f>TEXT(SalesData[[#This Row],[Order_Date]],"mmm")</f>
        <v>Jan</v>
      </c>
      <c r="V537" s="19" t="str">
        <f>"Q"&amp;ROUNDUP(MONTH(SalesData[[#This Row],[Order_Date]])/3,0)</f>
        <v>Q1</v>
      </c>
      <c r="W537" s="19" t="str">
        <f>IF(SalesData[[#This Row],[Sales]]&gt;=50000,"High",IF(AND(SalesData[[#This Row],[Sales]]&gt;= 20000, SalesData[[#This Row],[Sales]]&lt; 50000),"Medium","Low"))</f>
        <v>Low</v>
      </c>
      <c r="X537" s="19" t="str">
        <f>IF(SalesData[[#This Row],[Profit]]&gt;0,"Profit","Loss")</f>
        <v>Profit</v>
      </c>
      <c r="Y537" s="19" t="str">
        <f>IF(AND(SalesData[[#This Row],[Sales]]&gt;= 50000, SalesData[[#This Row],[Quantity]]&gt;=2),"Yes","No")</f>
        <v>No</v>
      </c>
      <c r="Z537" s="19" t="str">
        <f>UPPER(SalesData[[#This Row],[Customer_Name]])</f>
        <v>MANISH TIWARI</v>
      </c>
      <c r="AA537" s="19" t="str">
        <f>LOWER(SalesData[[#This Row],[Customer_Name]])</f>
        <v>manish tiwari</v>
      </c>
      <c r="AB537" s="19">
        <f>LEN(SalesData[[#This Row],[Customer_Name]])</f>
        <v>13</v>
      </c>
      <c r="AC537" s="19" t="str">
        <f>LEFT(SalesData[[#This Row],[Order_ID]],3)</f>
        <v>ORD</v>
      </c>
      <c r="AD537" s="19" t="str">
        <f>RIGHT(SalesData[[#This Row],[Order_ID]],4)</f>
        <v>0522</v>
      </c>
      <c r="AE537" s="19" t="str">
        <f>_xlfn.CONCAT(SalesData[[#This Row],[Clean_Customer_Name]],"-",SalesData[[#This Row],[Region]])</f>
        <v>Manish Tiwari-South</v>
      </c>
      <c r="AF537" s="19" t="str">
        <f>MID(SalesData[[#This Row],[Order_ID]],4,4)</f>
        <v>0522</v>
      </c>
      <c r="AG537" s="19" t="e">
        <f ca="1">_xlfn.SINGLE(_xlfn.XLOOKUP(SalesData[[#This Row],[Product]],Product_Master!A:A,Product_Master!B:B,"Not Found"))</f>
        <v>#NAME?</v>
      </c>
      <c r="AH537" s="19" t="str">
        <f>VLOOKUP(SalesData[[#This Row],[Product]],Product_Master!$A$1:$B$21,2,FALSE)</f>
        <v>Vikas</v>
      </c>
      <c r="AI537" s="16"/>
    </row>
    <row r="538" spans="1:35" ht="13.8">
      <c r="A538" s="16" t="s">
        <v>1012</v>
      </c>
      <c r="B538" s="17">
        <v>45887</v>
      </c>
      <c r="C538" s="16" t="s">
        <v>170</v>
      </c>
      <c r="D538" s="16" t="s">
        <v>171</v>
      </c>
      <c r="E538" s="16" t="s">
        <v>110</v>
      </c>
      <c r="F538" s="16" t="s">
        <v>111</v>
      </c>
      <c r="G538" s="16" t="s">
        <v>40</v>
      </c>
      <c r="H538" s="16" t="s">
        <v>112</v>
      </c>
      <c r="I538" s="16" t="s">
        <v>84</v>
      </c>
      <c r="J538" s="16" t="s">
        <v>85</v>
      </c>
      <c r="K538" s="18">
        <v>19086.560000000001</v>
      </c>
      <c r="L538" s="18">
        <v>6257.6</v>
      </c>
      <c r="M538" s="19">
        <v>5</v>
      </c>
      <c r="N538" s="20">
        <v>0.2</v>
      </c>
      <c r="O538" s="19" t="s">
        <v>34</v>
      </c>
      <c r="P538" s="19" t="s">
        <v>58</v>
      </c>
      <c r="Q538" s="19" t="str">
        <f>TRIM(SalesData[[#This Row],[Customer_Name]])</f>
        <v>Manish Tiwari</v>
      </c>
      <c r="R538" s="21">
        <f>SalesData[[#This Row],[Sales]]-SalesData[[#This Row],[Cost]]</f>
        <v>12828.960000000001</v>
      </c>
      <c r="S538" s="22">
        <f>IFERROR(SalesData[[#This Row],[Profit]]/SalesData[[#This Row],[Sales]],0)</f>
        <v>0.67214626417751544</v>
      </c>
      <c r="T538" s="19">
        <f>YEAR(SalesData[[#This Row],[Order_Date]])</f>
        <v>2025</v>
      </c>
      <c r="U538" s="19" t="str">
        <f>TEXT(SalesData[[#This Row],[Order_Date]],"mmm")</f>
        <v>Aug</v>
      </c>
      <c r="V538" s="19" t="str">
        <f>"Q"&amp;ROUNDUP(MONTH(SalesData[[#This Row],[Order_Date]])/3,0)</f>
        <v>Q3</v>
      </c>
      <c r="W538" s="19" t="str">
        <f>IF(SalesData[[#This Row],[Sales]]&gt;=50000,"High",IF(AND(SalesData[[#This Row],[Sales]]&gt;= 20000, SalesData[[#This Row],[Sales]]&lt; 50000),"Medium","Low"))</f>
        <v>Low</v>
      </c>
      <c r="X538" s="19" t="str">
        <f>IF(SalesData[[#This Row],[Profit]]&gt;0,"Profit","Loss")</f>
        <v>Profit</v>
      </c>
      <c r="Y538" s="19" t="str">
        <f>IF(AND(SalesData[[#This Row],[Sales]]&gt;= 50000, SalesData[[#This Row],[Quantity]]&gt;=2),"Yes","No")</f>
        <v>No</v>
      </c>
      <c r="Z538" s="19" t="str">
        <f>UPPER(SalesData[[#This Row],[Customer_Name]])</f>
        <v>MANISH TIWARI</v>
      </c>
      <c r="AA538" s="19" t="str">
        <f>LOWER(SalesData[[#This Row],[Customer_Name]])</f>
        <v>manish tiwari</v>
      </c>
      <c r="AB538" s="19">
        <f>LEN(SalesData[[#This Row],[Customer_Name]])</f>
        <v>13</v>
      </c>
      <c r="AC538" s="19" t="str">
        <f>LEFT(SalesData[[#This Row],[Order_ID]],3)</f>
        <v>ORD</v>
      </c>
      <c r="AD538" s="19" t="str">
        <f>RIGHT(SalesData[[#This Row],[Order_ID]],4)</f>
        <v>0859</v>
      </c>
      <c r="AE538" s="19" t="str">
        <f>_xlfn.CONCAT(SalesData[[#This Row],[Clean_Customer_Name]],"-",SalesData[[#This Row],[Region]])</f>
        <v>Manish Tiwari-South</v>
      </c>
      <c r="AF538" s="19" t="str">
        <f>MID(SalesData[[#This Row],[Order_ID]],4,4)</f>
        <v>0859</v>
      </c>
      <c r="AG538" s="19" t="e">
        <f ca="1">_xlfn.SINGLE(_xlfn.XLOOKUP(SalesData[[#This Row],[Product]],Product_Master!A:A,Product_Master!B:B,"Not Found"))</f>
        <v>#NAME?</v>
      </c>
      <c r="AH538" s="19" t="str">
        <f>VLOOKUP(SalesData[[#This Row],[Product]],Product_Master!$A$1:$B$21,2,FALSE)</f>
        <v>Vikas</v>
      </c>
      <c r="AI538" s="16"/>
    </row>
    <row r="539" spans="1:35" ht="13.8">
      <c r="A539" s="16" t="s">
        <v>169</v>
      </c>
      <c r="B539" s="17">
        <v>45525</v>
      </c>
      <c r="C539" s="16" t="s">
        <v>170</v>
      </c>
      <c r="D539" s="16" t="s">
        <v>171</v>
      </c>
      <c r="E539" s="16" t="s">
        <v>172</v>
      </c>
      <c r="F539" s="16" t="s">
        <v>173</v>
      </c>
      <c r="G539" s="16" t="s">
        <v>40</v>
      </c>
      <c r="H539" s="16" t="s">
        <v>41</v>
      </c>
      <c r="I539" s="16" t="s">
        <v>84</v>
      </c>
      <c r="J539" s="16" t="s">
        <v>142</v>
      </c>
      <c r="K539" s="18">
        <v>2854.51</v>
      </c>
      <c r="L539" s="18">
        <v>1628.52</v>
      </c>
      <c r="M539" s="19">
        <v>2</v>
      </c>
      <c r="N539" s="20">
        <v>0.1</v>
      </c>
      <c r="O539" s="19" t="s">
        <v>44</v>
      </c>
      <c r="P539" s="19" t="s">
        <v>58</v>
      </c>
      <c r="Q539" s="19" t="str">
        <f>TRIM(SalesData[[#This Row],[Customer_Name]])</f>
        <v>Manish Tiwari</v>
      </c>
      <c r="R539" s="21">
        <f>SalesData[[#This Row],[Sales]]-SalesData[[#This Row],[Cost]]</f>
        <v>1225.9900000000002</v>
      </c>
      <c r="S539" s="22">
        <f>IFERROR(SalesData[[#This Row],[Profit]]/SalesData[[#This Row],[Sales]],0)</f>
        <v>0.42949227713337845</v>
      </c>
      <c r="T539" s="19">
        <f>YEAR(SalesData[[#This Row],[Order_Date]])</f>
        <v>2024</v>
      </c>
      <c r="U539" s="19" t="str">
        <f>TEXT(SalesData[[#This Row],[Order_Date]],"mmm")</f>
        <v>Aug</v>
      </c>
      <c r="V539" s="19" t="str">
        <f>"Q"&amp;ROUNDUP(MONTH(SalesData[[#This Row],[Order_Date]])/3,0)</f>
        <v>Q3</v>
      </c>
      <c r="W539" s="19" t="str">
        <f>IF(SalesData[[#This Row],[Sales]]&gt;=50000,"High",IF(AND(SalesData[[#This Row],[Sales]]&gt;= 20000, SalesData[[#This Row],[Sales]]&lt; 50000),"Medium","Low"))</f>
        <v>Low</v>
      </c>
      <c r="X539" s="19" t="str">
        <f>IF(SalesData[[#This Row],[Profit]]&gt;0,"Profit","Loss")</f>
        <v>Profit</v>
      </c>
      <c r="Y539" s="19" t="str">
        <f>IF(AND(SalesData[[#This Row],[Sales]]&gt;= 50000, SalesData[[#This Row],[Quantity]]&gt;=2),"Yes","No")</f>
        <v>No</v>
      </c>
      <c r="Z539" s="19" t="str">
        <f>UPPER(SalesData[[#This Row],[Customer_Name]])</f>
        <v>MANISH TIWARI</v>
      </c>
      <c r="AA539" s="19" t="str">
        <f>LOWER(SalesData[[#This Row],[Customer_Name]])</f>
        <v>manish tiwari</v>
      </c>
      <c r="AB539" s="19">
        <f>LEN(SalesData[[#This Row],[Customer_Name]])</f>
        <v>13</v>
      </c>
      <c r="AC539" s="19" t="str">
        <f>LEFT(SalesData[[#This Row],[Order_ID]],3)</f>
        <v>ORD</v>
      </c>
      <c r="AD539" s="19" t="str">
        <f>RIGHT(SalesData[[#This Row],[Order_ID]],4)</f>
        <v>0043</v>
      </c>
      <c r="AE539" s="19" t="str">
        <f>_xlfn.CONCAT(SalesData[[#This Row],[Clean_Customer_Name]],"-",SalesData[[#This Row],[Region]])</f>
        <v>Manish Tiwari-South</v>
      </c>
      <c r="AF539" s="19" t="str">
        <f>MID(SalesData[[#This Row],[Order_ID]],4,4)</f>
        <v>0043</v>
      </c>
      <c r="AG539" s="19" t="e">
        <f ca="1">_xlfn.SINGLE(_xlfn.XLOOKUP(SalesData[[#This Row],[Product]],Product_Master!A:A,Product_Master!B:B,"Not Found"))</f>
        <v>#NAME?</v>
      </c>
      <c r="AH539" s="19" t="str">
        <f>VLOOKUP(SalesData[[#This Row],[Product]],Product_Master!$A$1:$B$21,2,FALSE)</f>
        <v>Pooja</v>
      </c>
      <c r="AI539" s="16"/>
    </row>
    <row r="540" spans="1:35" ht="13.8">
      <c r="A540" s="16" t="s">
        <v>403</v>
      </c>
      <c r="B540" s="17">
        <v>45840</v>
      </c>
      <c r="C540" s="16" t="s">
        <v>170</v>
      </c>
      <c r="D540" s="16" t="s">
        <v>171</v>
      </c>
      <c r="E540" s="16" t="s">
        <v>172</v>
      </c>
      <c r="F540" s="16" t="s">
        <v>173</v>
      </c>
      <c r="G540" s="16" t="s">
        <v>40</v>
      </c>
      <c r="H540" s="16" t="s">
        <v>41</v>
      </c>
      <c r="I540" s="16" t="s">
        <v>23</v>
      </c>
      <c r="J540" s="16" t="s">
        <v>33</v>
      </c>
      <c r="K540" s="18">
        <v>3418.38</v>
      </c>
      <c r="L540" s="18">
        <v>1638.56</v>
      </c>
      <c r="M540" s="19">
        <v>2</v>
      </c>
      <c r="N540" s="20">
        <v>0.2</v>
      </c>
      <c r="O540" s="19" t="s">
        <v>34</v>
      </c>
      <c r="P540" s="19" t="s">
        <v>58</v>
      </c>
      <c r="Q540" s="19" t="str">
        <f>TRIM(SalesData[[#This Row],[Customer_Name]])</f>
        <v>Manish Tiwari</v>
      </c>
      <c r="R540" s="21">
        <f>SalesData[[#This Row],[Sales]]-SalesData[[#This Row],[Cost]]</f>
        <v>1779.8200000000002</v>
      </c>
      <c r="S540" s="22">
        <f>IFERROR(SalesData[[#This Row],[Profit]]/SalesData[[#This Row],[Sales]],0)</f>
        <v>0.52066183396813703</v>
      </c>
      <c r="T540" s="19">
        <f>YEAR(SalesData[[#This Row],[Order_Date]])</f>
        <v>2025</v>
      </c>
      <c r="U540" s="19" t="str">
        <f>TEXT(SalesData[[#This Row],[Order_Date]],"mmm")</f>
        <v>Jul</v>
      </c>
      <c r="V540" s="19" t="str">
        <f>"Q"&amp;ROUNDUP(MONTH(SalesData[[#This Row],[Order_Date]])/3,0)</f>
        <v>Q3</v>
      </c>
      <c r="W540" s="19" t="str">
        <f>IF(SalesData[[#This Row],[Sales]]&gt;=50000,"High",IF(AND(SalesData[[#This Row],[Sales]]&gt;= 20000, SalesData[[#This Row],[Sales]]&lt; 50000),"Medium","Low"))</f>
        <v>Low</v>
      </c>
      <c r="X540" s="19" t="str">
        <f>IF(SalesData[[#This Row],[Profit]]&gt;0,"Profit","Loss")</f>
        <v>Profit</v>
      </c>
      <c r="Y540" s="19" t="str">
        <f>IF(AND(SalesData[[#This Row],[Sales]]&gt;= 50000, SalesData[[#This Row],[Quantity]]&gt;=2),"Yes","No")</f>
        <v>No</v>
      </c>
      <c r="Z540" s="19" t="str">
        <f>UPPER(SalesData[[#This Row],[Customer_Name]])</f>
        <v>MANISH TIWARI</v>
      </c>
      <c r="AA540" s="19" t="str">
        <f>LOWER(SalesData[[#This Row],[Customer_Name]])</f>
        <v>manish tiwari</v>
      </c>
      <c r="AB540" s="19">
        <f>LEN(SalesData[[#This Row],[Customer_Name]])</f>
        <v>13</v>
      </c>
      <c r="AC540" s="19" t="str">
        <f>LEFT(SalesData[[#This Row],[Order_ID]],3)</f>
        <v>ORD</v>
      </c>
      <c r="AD540" s="19" t="str">
        <f>RIGHT(SalesData[[#This Row],[Order_ID]],4)</f>
        <v>0250</v>
      </c>
      <c r="AE540" s="19" t="str">
        <f>_xlfn.CONCAT(SalesData[[#This Row],[Clean_Customer_Name]],"-",SalesData[[#This Row],[Region]])</f>
        <v>Manish Tiwari-North</v>
      </c>
      <c r="AF540" s="19" t="str">
        <f>MID(SalesData[[#This Row],[Order_ID]],4,4)</f>
        <v>0250</v>
      </c>
      <c r="AG540" s="19" t="e">
        <f ca="1">_xlfn.SINGLE(_xlfn.XLOOKUP(SalesData[[#This Row],[Product]],Product_Master!A:A,Product_Master!B:B,"Not Found"))</f>
        <v>#NAME?</v>
      </c>
      <c r="AH540" s="19" t="str">
        <f>VLOOKUP(SalesData[[#This Row],[Product]],Product_Master!$A$1:$B$21,2,FALSE)</f>
        <v>Pooja</v>
      </c>
      <c r="AI540" s="16"/>
    </row>
    <row r="541" spans="1:35" ht="13.8">
      <c r="A541" s="16" t="s">
        <v>441</v>
      </c>
      <c r="B541" s="17">
        <v>45766</v>
      </c>
      <c r="C541" s="16" t="s">
        <v>170</v>
      </c>
      <c r="D541" s="16" t="s">
        <v>171</v>
      </c>
      <c r="E541" s="16" t="s">
        <v>172</v>
      </c>
      <c r="F541" s="16" t="s">
        <v>173</v>
      </c>
      <c r="G541" s="16" t="s">
        <v>40</v>
      </c>
      <c r="H541" s="16" t="s">
        <v>41</v>
      </c>
      <c r="I541" s="16" t="s">
        <v>56</v>
      </c>
      <c r="J541" s="16" t="s">
        <v>91</v>
      </c>
      <c r="K541" s="18">
        <v>7295.15</v>
      </c>
      <c r="L541" s="18">
        <v>4671.3999999999996</v>
      </c>
      <c r="M541" s="19">
        <v>5</v>
      </c>
      <c r="N541" s="20">
        <v>0</v>
      </c>
      <c r="O541" s="19" t="s">
        <v>136</v>
      </c>
      <c r="P541" s="19" t="s">
        <v>58</v>
      </c>
      <c r="Q541" s="19" t="str">
        <f>TRIM(SalesData[[#This Row],[Customer_Name]])</f>
        <v>Manish Tiwari</v>
      </c>
      <c r="R541" s="21">
        <f>SalesData[[#This Row],[Sales]]-SalesData[[#This Row],[Cost]]</f>
        <v>2623.75</v>
      </c>
      <c r="S541" s="22">
        <f>IFERROR(SalesData[[#This Row],[Profit]]/SalesData[[#This Row],[Sales]],0)</f>
        <v>0.35965675825719828</v>
      </c>
      <c r="T541" s="19">
        <f>YEAR(SalesData[[#This Row],[Order_Date]])</f>
        <v>2025</v>
      </c>
      <c r="U541" s="19" t="str">
        <f>TEXT(SalesData[[#This Row],[Order_Date]],"mmm")</f>
        <v>Apr</v>
      </c>
      <c r="V541" s="19" t="str">
        <f>"Q"&amp;ROUNDUP(MONTH(SalesData[[#This Row],[Order_Date]])/3,0)</f>
        <v>Q2</v>
      </c>
      <c r="W541" s="19" t="str">
        <f>IF(SalesData[[#This Row],[Sales]]&gt;=50000,"High",IF(AND(SalesData[[#This Row],[Sales]]&gt;= 20000, SalesData[[#This Row],[Sales]]&lt; 50000),"Medium","Low"))</f>
        <v>Low</v>
      </c>
      <c r="X541" s="19" t="str">
        <f>IF(SalesData[[#This Row],[Profit]]&gt;0,"Profit","Loss")</f>
        <v>Profit</v>
      </c>
      <c r="Y541" s="19" t="str">
        <f>IF(AND(SalesData[[#This Row],[Sales]]&gt;= 50000, SalesData[[#This Row],[Quantity]]&gt;=2),"Yes","No")</f>
        <v>No</v>
      </c>
      <c r="Z541" s="19" t="str">
        <f>UPPER(SalesData[[#This Row],[Customer_Name]])</f>
        <v>MANISH TIWARI</v>
      </c>
      <c r="AA541" s="19" t="str">
        <f>LOWER(SalesData[[#This Row],[Customer_Name]])</f>
        <v>manish tiwari</v>
      </c>
      <c r="AB541" s="19">
        <f>LEN(SalesData[[#This Row],[Customer_Name]])</f>
        <v>13</v>
      </c>
      <c r="AC541" s="19" t="str">
        <f>LEFT(SalesData[[#This Row],[Order_ID]],3)</f>
        <v>ORD</v>
      </c>
      <c r="AD541" s="19" t="str">
        <f>RIGHT(SalesData[[#This Row],[Order_ID]],4)</f>
        <v>0288</v>
      </c>
      <c r="AE541" s="19" t="str">
        <f>_xlfn.CONCAT(SalesData[[#This Row],[Clean_Customer_Name]],"-",SalesData[[#This Row],[Region]])</f>
        <v>Manish Tiwari-West</v>
      </c>
      <c r="AF541" s="19" t="str">
        <f>MID(SalesData[[#This Row],[Order_ID]],4,4)</f>
        <v>0288</v>
      </c>
      <c r="AG541" s="19" t="e">
        <f ca="1">_xlfn.SINGLE(_xlfn.XLOOKUP(SalesData[[#This Row],[Product]],Product_Master!A:A,Product_Master!B:B,"Not Found"))</f>
        <v>#NAME?</v>
      </c>
      <c r="AH541" s="19" t="str">
        <f>VLOOKUP(SalesData[[#This Row],[Product]],Product_Master!$A$1:$B$21,2,FALSE)</f>
        <v>Pooja</v>
      </c>
      <c r="AI541" s="16"/>
    </row>
    <row r="542" spans="1:35" ht="13.8">
      <c r="A542" s="16" t="s">
        <v>491</v>
      </c>
      <c r="B542" s="17">
        <v>45797</v>
      </c>
      <c r="C542" s="16" t="s">
        <v>170</v>
      </c>
      <c r="D542" s="16" t="s">
        <v>171</v>
      </c>
      <c r="E542" s="16" t="s">
        <v>172</v>
      </c>
      <c r="F542" s="16" t="s">
        <v>173</v>
      </c>
      <c r="G542" s="16" t="s">
        <v>40</v>
      </c>
      <c r="H542" s="16" t="s">
        <v>41</v>
      </c>
      <c r="I542" s="16" t="s">
        <v>42</v>
      </c>
      <c r="J542" s="16" t="s">
        <v>43</v>
      </c>
      <c r="K542" s="18">
        <v>5022.29</v>
      </c>
      <c r="L542" s="18">
        <v>1883.68</v>
      </c>
      <c r="M542" s="19">
        <v>2</v>
      </c>
      <c r="N542" s="20">
        <v>0.05</v>
      </c>
      <c r="O542" s="19" t="s">
        <v>76</v>
      </c>
      <c r="P542" s="19" t="s">
        <v>58</v>
      </c>
      <c r="Q542" s="19" t="str">
        <f>TRIM(SalesData[[#This Row],[Customer_Name]])</f>
        <v>Manish Tiwari</v>
      </c>
      <c r="R542" s="21">
        <f>SalesData[[#This Row],[Sales]]-SalesData[[#This Row],[Cost]]</f>
        <v>3138.6099999999997</v>
      </c>
      <c r="S542" s="22">
        <f>IFERROR(SalesData[[#This Row],[Profit]]/SalesData[[#This Row],[Sales]],0)</f>
        <v>0.62493603515527774</v>
      </c>
      <c r="T542" s="19">
        <f>YEAR(SalesData[[#This Row],[Order_Date]])</f>
        <v>2025</v>
      </c>
      <c r="U542" s="19" t="str">
        <f>TEXT(SalesData[[#This Row],[Order_Date]],"mmm")</f>
        <v>May</v>
      </c>
      <c r="V542" s="19" t="str">
        <f>"Q"&amp;ROUNDUP(MONTH(SalesData[[#This Row],[Order_Date]])/3,0)</f>
        <v>Q2</v>
      </c>
      <c r="W542" s="19" t="str">
        <f>IF(SalesData[[#This Row],[Sales]]&gt;=50000,"High",IF(AND(SalesData[[#This Row],[Sales]]&gt;= 20000, SalesData[[#This Row],[Sales]]&lt; 50000),"Medium","Low"))</f>
        <v>Low</v>
      </c>
      <c r="X542" s="19" t="str">
        <f>IF(SalesData[[#This Row],[Profit]]&gt;0,"Profit","Loss")</f>
        <v>Profit</v>
      </c>
      <c r="Y542" s="19" t="str">
        <f>IF(AND(SalesData[[#This Row],[Sales]]&gt;= 50000, SalesData[[#This Row],[Quantity]]&gt;=2),"Yes","No")</f>
        <v>No</v>
      </c>
      <c r="Z542" s="19" t="str">
        <f>UPPER(SalesData[[#This Row],[Customer_Name]])</f>
        <v>MANISH TIWARI</v>
      </c>
      <c r="AA542" s="19" t="str">
        <f>LOWER(SalesData[[#This Row],[Customer_Name]])</f>
        <v>manish tiwari</v>
      </c>
      <c r="AB542" s="19">
        <f>LEN(SalesData[[#This Row],[Customer_Name]])</f>
        <v>13</v>
      </c>
      <c r="AC542" s="19" t="str">
        <f>LEFT(SalesData[[#This Row],[Order_ID]],3)</f>
        <v>ORD</v>
      </c>
      <c r="AD542" s="19" t="str">
        <f>RIGHT(SalesData[[#This Row],[Order_ID]],4)</f>
        <v>0338</v>
      </c>
      <c r="AE542" s="19" t="str">
        <f>_xlfn.CONCAT(SalesData[[#This Row],[Clean_Customer_Name]],"-",SalesData[[#This Row],[Region]])</f>
        <v>Manish Tiwari-East</v>
      </c>
      <c r="AF542" s="19" t="str">
        <f>MID(SalesData[[#This Row],[Order_ID]],4,4)</f>
        <v>0338</v>
      </c>
      <c r="AG542" s="19" t="e">
        <f ca="1">_xlfn.SINGLE(_xlfn.XLOOKUP(SalesData[[#This Row],[Product]],Product_Master!A:A,Product_Master!B:B,"Not Found"))</f>
        <v>#NAME?</v>
      </c>
      <c r="AH542" s="19" t="str">
        <f>VLOOKUP(SalesData[[#This Row],[Product]],Product_Master!$A$1:$B$21,2,FALSE)</f>
        <v>Pooja</v>
      </c>
      <c r="AI542" s="16"/>
    </row>
    <row r="543" spans="1:35" ht="13.8">
      <c r="A543" s="16" t="s">
        <v>680</v>
      </c>
      <c r="B543" s="17">
        <v>45893</v>
      </c>
      <c r="C543" s="16" t="s">
        <v>170</v>
      </c>
      <c r="D543" s="16" t="s">
        <v>171</v>
      </c>
      <c r="E543" s="16" t="s">
        <v>172</v>
      </c>
      <c r="F543" s="16" t="s">
        <v>173</v>
      </c>
      <c r="G543" s="16" t="s">
        <v>40</v>
      </c>
      <c r="H543" s="16" t="s">
        <v>41</v>
      </c>
      <c r="I543" s="16" t="s">
        <v>42</v>
      </c>
      <c r="J543" s="16" t="s">
        <v>162</v>
      </c>
      <c r="K543" s="18">
        <v>10671.63</v>
      </c>
      <c r="L543" s="18">
        <v>4918.95</v>
      </c>
      <c r="M543" s="19">
        <v>5</v>
      </c>
      <c r="N543" s="20">
        <v>0.05</v>
      </c>
      <c r="O543" s="19" t="s">
        <v>25</v>
      </c>
      <c r="P543" s="19" t="s">
        <v>58</v>
      </c>
      <c r="Q543" s="19" t="str">
        <f>TRIM(SalesData[[#This Row],[Customer_Name]])</f>
        <v>Manish Tiwari</v>
      </c>
      <c r="R543" s="21">
        <f>SalesData[[#This Row],[Sales]]-SalesData[[#This Row],[Cost]]</f>
        <v>5752.6799999999994</v>
      </c>
      <c r="S543" s="22">
        <f>IFERROR(SalesData[[#This Row],[Profit]]/SalesData[[#This Row],[Sales]],0)</f>
        <v>0.53906291728630018</v>
      </c>
      <c r="T543" s="19">
        <f>YEAR(SalesData[[#This Row],[Order_Date]])</f>
        <v>2025</v>
      </c>
      <c r="U543" s="19" t="str">
        <f>TEXT(SalesData[[#This Row],[Order_Date]],"mmm")</f>
        <v>Aug</v>
      </c>
      <c r="V543" s="19" t="str">
        <f>"Q"&amp;ROUNDUP(MONTH(SalesData[[#This Row],[Order_Date]])/3,0)</f>
        <v>Q3</v>
      </c>
      <c r="W543" s="19" t="str">
        <f>IF(SalesData[[#This Row],[Sales]]&gt;=50000,"High",IF(AND(SalesData[[#This Row],[Sales]]&gt;= 20000, SalesData[[#This Row],[Sales]]&lt; 50000),"Medium","Low"))</f>
        <v>Low</v>
      </c>
      <c r="X543" s="19" t="str">
        <f>IF(SalesData[[#This Row],[Profit]]&gt;0,"Profit","Loss")</f>
        <v>Profit</v>
      </c>
      <c r="Y543" s="19" t="str">
        <f>IF(AND(SalesData[[#This Row],[Sales]]&gt;= 50000, SalesData[[#This Row],[Quantity]]&gt;=2),"Yes","No")</f>
        <v>No</v>
      </c>
      <c r="Z543" s="19" t="str">
        <f>UPPER(SalesData[[#This Row],[Customer_Name]])</f>
        <v>MANISH TIWARI</v>
      </c>
      <c r="AA543" s="19" t="str">
        <f>LOWER(SalesData[[#This Row],[Customer_Name]])</f>
        <v>manish tiwari</v>
      </c>
      <c r="AB543" s="19">
        <f>LEN(SalesData[[#This Row],[Customer_Name]])</f>
        <v>13</v>
      </c>
      <c r="AC543" s="19" t="str">
        <f>LEFT(SalesData[[#This Row],[Order_ID]],3)</f>
        <v>ORD</v>
      </c>
      <c r="AD543" s="19" t="str">
        <f>RIGHT(SalesData[[#This Row],[Order_ID]],4)</f>
        <v>0527</v>
      </c>
      <c r="AE543" s="19" t="str">
        <f>_xlfn.CONCAT(SalesData[[#This Row],[Clean_Customer_Name]],"-",SalesData[[#This Row],[Region]])</f>
        <v>Manish Tiwari-East</v>
      </c>
      <c r="AF543" s="19" t="str">
        <f>MID(SalesData[[#This Row],[Order_ID]],4,4)</f>
        <v>0527</v>
      </c>
      <c r="AG543" s="19" t="e">
        <f ca="1">_xlfn.SINGLE(_xlfn.XLOOKUP(SalesData[[#This Row],[Product]],Product_Master!A:A,Product_Master!B:B,"Not Found"))</f>
        <v>#NAME?</v>
      </c>
      <c r="AH543" s="19" t="str">
        <f>VLOOKUP(SalesData[[#This Row],[Product]],Product_Master!$A$1:$B$21,2,FALSE)</f>
        <v>Pooja</v>
      </c>
      <c r="AI543" s="16"/>
    </row>
    <row r="544" spans="1:35" ht="13.8">
      <c r="A544" s="16" t="s">
        <v>615</v>
      </c>
      <c r="B544" s="17">
        <v>45615</v>
      </c>
      <c r="C544" s="16" t="s">
        <v>170</v>
      </c>
      <c r="D544" s="16" t="s">
        <v>171</v>
      </c>
      <c r="E544" s="16" t="s">
        <v>106</v>
      </c>
      <c r="F544" s="16" t="s">
        <v>107</v>
      </c>
      <c r="G544" s="16" t="s">
        <v>40</v>
      </c>
      <c r="H544" s="16" t="s">
        <v>108</v>
      </c>
      <c r="I544" s="16" t="s">
        <v>56</v>
      </c>
      <c r="J544" s="16" t="s">
        <v>91</v>
      </c>
      <c r="K544" s="18">
        <v>1060.27</v>
      </c>
      <c r="L544" s="18">
        <v>684.53</v>
      </c>
      <c r="M544" s="19">
        <v>1</v>
      </c>
      <c r="N544" s="20">
        <v>0</v>
      </c>
      <c r="O544" s="19" t="s">
        <v>34</v>
      </c>
      <c r="P544" s="19" t="s">
        <v>58</v>
      </c>
      <c r="Q544" s="19" t="str">
        <f>TRIM(SalesData[[#This Row],[Customer_Name]])</f>
        <v>Manish Tiwari</v>
      </c>
      <c r="R544" s="21">
        <f>SalesData[[#This Row],[Sales]]-SalesData[[#This Row],[Cost]]</f>
        <v>375.74</v>
      </c>
      <c r="S544" s="22">
        <f>IFERROR(SalesData[[#This Row],[Profit]]/SalesData[[#This Row],[Sales]],0)</f>
        <v>0.35438143114489706</v>
      </c>
      <c r="T544" s="19">
        <f>YEAR(SalesData[[#This Row],[Order_Date]])</f>
        <v>2024</v>
      </c>
      <c r="U544" s="19" t="str">
        <f>TEXT(SalesData[[#This Row],[Order_Date]],"mmm")</f>
        <v>Nov</v>
      </c>
      <c r="V544" s="19" t="str">
        <f>"Q"&amp;ROUNDUP(MONTH(SalesData[[#This Row],[Order_Date]])/3,0)</f>
        <v>Q4</v>
      </c>
      <c r="W544" s="19" t="str">
        <f>IF(SalesData[[#This Row],[Sales]]&gt;=50000,"High",IF(AND(SalesData[[#This Row],[Sales]]&gt;= 20000, SalesData[[#This Row],[Sales]]&lt; 50000),"Medium","Low"))</f>
        <v>Low</v>
      </c>
      <c r="X544" s="19" t="str">
        <f>IF(SalesData[[#This Row],[Profit]]&gt;0,"Profit","Loss")</f>
        <v>Profit</v>
      </c>
      <c r="Y544" s="19" t="str">
        <f>IF(AND(SalesData[[#This Row],[Sales]]&gt;= 50000, SalesData[[#This Row],[Quantity]]&gt;=2),"Yes","No")</f>
        <v>No</v>
      </c>
      <c r="Z544" s="19" t="str">
        <f>UPPER(SalesData[[#This Row],[Customer_Name]])</f>
        <v>MANISH TIWARI</v>
      </c>
      <c r="AA544" s="19" t="str">
        <f>LOWER(SalesData[[#This Row],[Customer_Name]])</f>
        <v>manish tiwari</v>
      </c>
      <c r="AB544" s="19">
        <f>LEN(SalesData[[#This Row],[Customer_Name]])</f>
        <v>13</v>
      </c>
      <c r="AC544" s="19" t="str">
        <f>LEFT(SalesData[[#This Row],[Order_ID]],3)</f>
        <v>ORD</v>
      </c>
      <c r="AD544" s="19" t="str">
        <f>RIGHT(SalesData[[#This Row],[Order_ID]],4)</f>
        <v>0462</v>
      </c>
      <c r="AE544" s="19" t="str">
        <f>_xlfn.CONCAT(SalesData[[#This Row],[Clean_Customer_Name]],"-",SalesData[[#This Row],[Region]])</f>
        <v>Manish Tiwari-West</v>
      </c>
      <c r="AF544" s="19" t="str">
        <f>MID(SalesData[[#This Row],[Order_ID]],4,4)</f>
        <v>0462</v>
      </c>
      <c r="AG544" s="19" t="e">
        <f ca="1">_xlfn.SINGLE(_xlfn.XLOOKUP(SalesData[[#This Row],[Product]],Product_Master!A:A,Product_Master!B:B,"Not Found"))</f>
        <v>#NAME?</v>
      </c>
      <c r="AH544" s="19" t="str">
        <f>VLOOKUP(SalesData[[#This Row],[Product]],Product_Master!$A$1:$B$21,2,FALSE)</f>
        <v>Aditya</v>
      </c>
      <c r="AI544" s="16"/>
    </row>
    <row r="545" spans="1:35" ht="13.8">
      <c r="A545" s="16" t="s">
        <v>945</v>
      </c>
      <c r="B545" s="17">
        <v>45694</v>
      </c>
      <c r="C545" s="16" t="s">
        <v>170</v>
      </c>
      <c r="D545" s="16" t="s">
        <v>171</v>
      </c>
      <c r="E545" s="16" t="s">
        <v>106</v>
      </c>
      <c r="F545" s="16" t="s">
        <v>107</v>
      </c>
      <c r="G545" s="16" t="s">
        <v>40</v>
      </c>
      <c r="H545" s="16" t="s">
        <v>108</v>
      </c>
      <c r="I545" s="16" t="s">
        <v>23</v>
      </c>
      <c r="J545" s="16" t="s">
        <v>24</v>
      </c>
      <c r="K545" s="18">
        <v>8150.74</v>
      </c>
      <c r="L545" s="18">
        <v>2016.36</v>
      </c>
      <c r="M545" s="19">
        <v>3</v>
      </c>
      <c r="N545" s="20">
        <v>0.05</v>
      </c>
      <c r="O545" s="19" t="s">
        <v>44</v>
      </c>
      <c r="P545" s="19" t="s">
        <v>58</v>
      </c>
      <c r="Q545" s="19" t="str">
        <f>TRIM(SalesData[[#This Row],[Customer_Name]])</f>
        <v>Manish Tiwari</v>
      </c>
      <c r="R545" s="21">
        <f>SalesData[[#This Row],[Sales]]-SalesData[[#This Row],[Cost]]</f>
        <v>6134.38</v>
      </c>
      <c r="S545" s="22">
        <f>IFERROR(SalesData[[#This Row],[Profit]]/SalesData[[#This Row],[Sales]],0)</f>
        <v>0.75261632686111934</v>
      </c>
      <c r="T545" s="19">
        <f>YEAR(SalesData[[#This Row],[Order_Date]])</f>
        <v>2025</v>
      </c>
      <c r="U545" s="19" t="str">
        <f>TEXT(SalesData[[#This Row],[Order_Date]],"mmm")</f>
        <v>Feb</v>
      </c>
      <c r="V545" s="19" t="str">
        <f>"Q"&amp;ROUNDUP(MONTH(SalesData[[#This Row],[Order_Date]])/3,0)</f>
        <v>Q1</v>
      </c>
      <c r="W545" s="19" t="str">
        <f>IF(SalesData[[#This Row],[Sales]]&gt;=50000,"High",IF(AND(SalesData[[#This Row],[Sales]]&gt;= 20000, SalesData[[#This Row],[Sales]]&lt; 50000),"Medium","Low"))</f>
        <v>Low</v>
      </c>
      <c r="X545" s="19" t="str">
        <f>IF(SalesData[[#This Row],[Profit]]&gt;0,"Profit","Loss")</f>
        <v>Profit</v>
      </c>
      <c r="Y545" s="19" t="str">
        <f>IF(AND(SalesData[[#This Row],[Sales]]&gt;= 50000, SalesData[[#This Row],[Quantity]]&gt;=2),"Yes","No")</f>
        <v>No</v>
      </c>
      <c r="Z545" s="19" t="str">
        <f>UPPER(SalesData[[#This Row],[Customer_Name]])</f>
        <v>MANISH TIWARI</v>
      </c>
      <c r="AA545" s="19" t="str">
        <f>LOWER(SalesData[[#This Row],[Customer_Name]])</f>
        <v>manish tiwari</v>
      </c>
      <c r="AB545" s="19">
        <f>LEN(SalesData[[#This Row],[Customer_Name]])</f>
        <v>13</v>
      </c>
      <c r="AC545" s="19" t="str">
        <f>LEFT(SalesData[[#This Row],[Order_ID]],3)</f>
        <v>ORD</v>
      </c>
      <c r="AD545" s="19" t="str">
        <f>RIGHT(SalesData[[#This Row],[Order_ID]],4)</f>
        <v>0792</v>
      </c>
      <c r="AE545" s="19" t="str">
        <f>_xlfn.CONCAT(SalesData[[#This Row],[Clean_Customer_Name]],"-",SalesData[[#This Row],[Region]])</f>
        <v>Manish Tiwari-North</v>
      </c>
      <c r="AF545" s="19" t="str">
        <f>MID(SalesData[[#This Row],[Order_ID]],4,4)</f>
        <v>0792</v>
      </c>
      <c r="AG545" s="19" t="e">
        <f ca="1">_xlfn.SINGLE(_xlfn.XLOOKUP(SalesData[[#This Row],[Product]],Product_Master!A:A,Product_Master!B:B,"Not Found"))</f>
        <v>#NAME?</v>
      </c>
      <c r="AH545" s="19" t="str">
        <f>VLOOKUP(SalesData[[#This Row],[Product]],Product_Master!$A$1:$B$21,2,FALSE)</f>
        <v>Aditya</v>
      </c>
      <c r="AI545" s="16"/>
    </row>
    <row r="546" spans="1:35" ht="13.8">
      <c r="A546" s="16" t="s">
        <v>220</v>
      </c>
      <c r="B546" s="17">
        <v>45898</v>
      </c>
      <c r="C546" s="16" t="s">
        <v>170</v>
      </c>
      <c r="D546" s="16" t="s">
        <v>171</v>
      </c>
      <c r="E546" s="16" t="s">
        <v>132</v>
      </c>
      <c r="F546" s="16" t="s">
        <v>133</v>
      </c>
      <c r="G546" s="16" t="s">
        <v>40</v>
      </c>
      <c r="H546" s="16" t="s">
        <v>41</v>
      </c>
      <c r="I546" s="16" t="s">
        <v>53</v>
      </c>
      <c r="J546" s="16" t="s">
        <v>102</v>
      </c>
      <c r="K546" s="18">
        <v>1676.01</v>
      </c>
      <c r="L546" s="18">
        <v>723.36</v>
      </c>
      <c r="M546" s="19">
        <v>3</v>
      </c>
      <c r="N546" s="20">
        <v>0</v>
      </c>
      <c r="O546" s="19" t="s">
        <v>44</v>
      </c>
      <c r="P546" s="19" t="s">
        <v>98</v>
      </c>
      <c r="Q546" s="19" t="str">
        <f>TRIM(SalesData[[#This Row],[Customer_Name]])</f>
        <v>Manish Tiwari</v>
      </c>
      <c r="R546" s="21">
        <f>SalesData[[#This Row],[Sales]]-SalesData[[#This Row],[Cost]]</f>
        <v>952.65</v>
      </c>
      <c r="S546" s="22">
        <f>IFERROR(SalesData[[#This Row],[Profit]]/SalesData[[#This Row],[Sales]],0)</f>
        <v>0.56840352981187459</v>
      </c>
      <c r="T546" s="19">
        <f>YEAR(SalesData[[#This Row],[Order_Date]])</f>
        <v>2025</v>
      </c>
      <c r="U546" s="19" t="str">
        <f>TEXT(SalesData[[#This Row],[Order_Date]],"mmm")</f>
        <v>Aug</v>
      </c>
      <c r="V546" s="19" t="str">
        <f>"Q"&amp;ROUNDUP(MONTH(SalesData[[#This Row],[Order_Date]])/3,0)</f>
        <v>Q3</v>
      </c>
      <c r="W546" s="19" t="str">
        <f>IF(SalesData[[#This Row],[Sales]]&gt;=50000,"High",IF(AND(SalesData[[#This Row],[Sales]]&gt;= 20000, SalesData[[#This Row],[Sales]]&lt; 50000),"Medium","Low"))</f>
        <v>Low</v>
      </c>
      <c r="X546" s="19" t="str">
        <f>IF(SalesData[[#This Row],[Profit]]&gt;0,"Profit","Loss")</f>
        <v>Profit</v>
      </c>
      <c r="Y546" s="19" t="str">
        <f>IF(AND(SalesData[[#This Row],[Sales]]&gt;= 50000, SalesData[[#This Row],[Quantity]]&gt;=2),"Yes","No")</f>
        <v>No</v>
      </c>
      <c r="Z546" s="19" t="str">
        <f>UPPER(SalesData[[#This Row],[Customer_Name]])</f>
        <v>MANISH TIWARI</v>
      </c>
      <c r="AA546" s="19" t="str">
        <f>LOWER(SalesData[[#This Row],[Customer_Name]])</f>
        <v>manish tiwari</v>
      </c>
      <c r="AB546" s="19">
        <f>LEN(SalesData[[#This Row],[Customer_Name]])</f>
        <v>13</v>
      </c>
      <c r="AC546" s="19" t="str">
        <f>LEFT(SalesData[[#This Row],[Order_ID]],3)</f>
        <v>ORD</v>
      </c>
      <c r="AD546" s="19" t="str">
        <f>RIGHT(SalesData[[#This Row],[Order_ID]],4)</f>
        <v>0071</v>
      </c>
      <c r="AE546" s="19" t="str">
        <f>_xlfn.CONCAT(SalesData[[#This Row],[Clean_Customer_Name]],"-",SalesData[[#This Row],[Region]])</f>
        <v>Manish Tiwari-Central</v>
      </c>
      <c r="AF546" s="19" t="str">
        <f>MID(SalesData[[#This Row],[Order_ID]],4,4)</f>
        <v>0071</v>
      </c>
      <c r="AG546" s="19" t="e">
        <f ca="1">_xlfn.SINGLE(_xlfn.XLOOKUP(SalesData[[#This Row],[Product]],Product_Master!A:A,Product_Master!B:B,"Not Found"))</f>
        <v>#NAME?</v>
      </c>
      <c r="AH546" s="19" t="str">
        <f>VLOOKUP(SalesData[[#This Row],[Product]],Product_Master!$A$1:$B$21,2,FALSE)</f>
        <v>Kavya</v>
      </c>
      <c r="AI546" s="16"/>
    </row>
    <row r="547" spans="1:35" ht="13.8">
      <c r="A547" s="16" t="s">
        <v>522</v>
      </c>
      <c r="B547" s="17">
        <v>45715</v>
      </c>
      <c r="C547" s="16" t="s">
        <v>170</v>
      </c>
      <c r="D547" s="16" t="s">
        <v>171</v>
      </c>
      <c r="E547" s="16" t="s">
        <v>132</v>
      </c>
      <c r="F547" s="16" t="s">
        <v>133</v>
      </c>
      <c r="G547" s="16" t="s">
        <v>40</v>
      </c>
      <c r="H547" s="16" t="s">
        <v>41</v>
      </c>
      <c r="I547" s="16" t="s">
        <v>23</v>
      </c>
      <c r="J547" s="16" t="s">
        <v>75</v>
      </c>
      <c r="K547" s="18">
        <v>2205.0700000000002</v>
      </c>
      <c r="L547" s="18">
        <v>1076.3599999999999</v>
      </c>
      <c r="M547" s="19">
        <v>4</v>
      </c>
      <c r="N547" s="20">
        <v>0.15</v>
      </c>
      <c r="O547" s="19" t="s">
        <v>25</v>
      </c>
      <c r="P547" s="19" t="s">
        <v>98</v>
      </c>
      <c r="Q547" s="19" t="str">
        <f>TRIM(SalesData[[#This Row],[Customer_Name]])</f>
        <v>Manish Tiwari</v>
      </c>
      <c r="R547" s="21">
        <f>SalesData[[#This Row],[Sales]]-SalesData[[#This Row],[Cost]]</f>
        <v>1128.7100000000003</v>
      </c>
      <c r="S547" s="22">
        <f>IFERROR(SalesData[[#This Row],[Profit]]/SalesData[[#This Row],[Sales]],0)</f>
        <v>0.51187037146213055</v>
      </c>
      <c r="T547" s="19">
        <f>YEAR(SalesData[[#This Row],[Order_Date]])</f>
        <v>2025</v>
      </c>
      <c r="U547" s="19" t="str">
        <f>TEXT(SalesData[[#This Row],[Order_Date]],"mmm")</f>
        <v>Feb</v>
      </c>
      <c r="V547" s="19" t="str">
        <f>"Q"&amp;ROUNDUP(MONTH(SalesData[[#This Row],[Order_Date]])/3,0)</f>
        <v>Q1</v>
      </c>
      <c r="W547" s="19" t="str">
        <f>IF(SalesData[[#This Row],[Sales]]&gt;=50000,"High",IF(AND(SalesData[[#This Row],[Sales]]&gt;= 20000, SalesData[[#This Row],[Sales]]&lt; 50000),"Medium","Low"))</f>
        <v>Low</v>
      </c>
      <c r="X547" s="19" t="str">
        <f>IF(SalesData[[#This Row],[Profit]]&gt;0,"Profit","Loss")</f>
        <v>Profit</v>
      </c>
      <c r="Y547" s="19" t="str">
        <f>IF(AND(SalesData[[#This Row],[Sales]]&gt;= 50000, SalesData[[#This Row],[Quantity]]&gt;=2),"Yes","No")</f>
        <v>No</v>
      </c>
      <c r="Z547" s="19" t="str">
        <f>UPPER(SalesData[[#This Row],[Customer_Name]])</f>
        <v>MANISH TIWARI</v>
      </c>
      <c r="AA547" s="19" t="str">
        <f>LOWER(SalesData[[#This Row],[Customer_Name]])</f>
        <v>manish tiwari</v>
      </c>
      <c r="AB547" s="19">
        <f>LEN(SalesData[[#This Row],[Customer_Name]])</f>
        <v>13</v>
      </c>
      <c r="AC547" s="19" t="str">
        <f>LEFT(SalesData[[#This Row],[Order_ID]],3)</f>
        <v>ORD</v>
      </c>
      <c r="AD547" s="19" t="str">
        <f>RIGHT(SalesData[[#This Row],[Order_ID]],4)</f>
        <v>0369</v>
      </c>
      <c r="AE547" s="19" t="str">
        <f>_xlfn.CONCAT(SalesData[[#This Row],[Clean_Customer_Name]],"-",SalesData[[#This Row],[Region]])</f>
        <v>Manish Tiwari-North</v>
      </c>
      <c r="AF547" s="19" t="str">
        <f>MID(SalesData[[#This Row],[Order_ID]],4,4)</f>
        <v>0369</v>
      </c>
      <c r="AG547" s="19" t="e">
        <f ca="1">_xlfn.SINGLE(_xlfn.XLOOKUP(SalesData[[#This Row],[Product]],Product_Master!A:A,Product_Master!B:B,"Not Found"))</f>
        <v>#NAME?</v>
      </c>
      <c r="AH547" s="19" t="str">
        <f>VLOOKUP(SalesData[[#This Row],[Product]],Product_Master!$A$1:$B$21,2,FALSE)</f>
        <v>Kavya</v>
      </c>
      <c r="AI547" s="16"/>
    </row>
    <row r="548" spans="1:35" ht="13.8">
      <c r="A548" s="16" t="s">
        <v>1001</v>
      </c>
      <c r="B548" s="17">
        <v>45298</v>
      </c>
      <c r="C548" s="16" t="s">
        <v>170</v>
      </c>
      <c r="D548" s="16" t="s">
        <v>171</v>
      </c>
      <c r="E548" s="16" t="s">
        <v>132</v>
      </c>
      <c r="F548" s="16" t="s">
        <v>133</v>
      </c>
      <c r="G548" s="16" t="s">
        <v>40</v>
      </c>
      <c r="H548" s="16" t="s">
        <v>41</v>
      </c>
      <c r="I548" s="16" t="s">
        <v>53</v>
      </c>
      <c r="J548" s="16" t="s">
        <v>54</v>
      </c>
      <c r="K548" s="18">
        <v>1354.7</v>
      </c>
      <c r="L548" s="18">
        <v>533.48</v>
      </c>
      <c r="M548" s="19">
        <v>2</v>
      </c>
      <c r="N548" s="20">
        <v>0.1</v>
      </c>
      <c r="O548" s="19" t="s">
        <v>34</v>
      </c>
      <c r="P548" s="19" t="s">
        <v>58</v>
      </c>
      <c r="Q548" s="19" t="str">
        <f>TRIM(SalesData[[#This Row],[Customer_Name]])</f>
        <v>Manish Tiwari</v>
      </c>
      <c r="R548" s="21">
        <f>SalesData[[#This Row],[Sales]]-SalesData[[#This Row],[Cost]]</f>
        <v>821.22</v>
      </c>
      <c r="S548" s="22">
        <f>IFERROR(SalesData[[#This Row],[Profit]]/SalesData[[#This Row],[Sales]],0)</f>
        <v>0.6062006348268989</v>
      </c>
      <c r="T548" s="19">
        <f>YEAR(SalesData[[#This Row],[Order_Date]])</f>
        <v>2024</v>
      </c>
      <c r="U548" s="19" t="str">
        <f>TEXT(SalesData[[#This Row],[Order_Date]],"mmm")</f>
        <v>Jan</v>
      </c>
      <c r="V548" s="19" t="str">
        <f>"Q"&amp;ROUNDUP(MONTH(SalesData[[#This Row],[Order_Date]])/3,0)</f>
        <v>Q1</v>
      </c>
      <c r="W548" s="19" t="str">
        <f>IF(SalesData[[#This Row],[Sales]]&gt;=50000,"High",IF(AND(SalesData[[#This Row],[Sales]]&gt;= 20000, SalesData[[#This Row],[Sales]]&lt; 50000),"Medium","Low"))</f>
        <v>Low</v>
      </c>
      <c r="X548" s="19" t="str">
        <f>IF(SalesData[[#This Row],[Profit]]&gt;0,"Profit","Loss")</f>
        <v>Profit</v>
      </c>
      <c r="Y548" s="19" t="str">
        <f>IF(AND(SalesData[[#This Row],[Sales]]&gt;= 50000, SalesData[[#This Row],[Quantity]]&gt;=2),"Yes","No")</f>
        <v>No</v>
      </c>
      <c r="Z548" s="19" t="str">
        <f>UPPER(SalesData[[#This Row],[Customer_Name]])</f>
        <v>MANISH TIWARI</v>
      </c>
      <c r="AA548" s="19" t="str">
        <f>LOWER(SalesData[[#This Row],[Customer_Name]])</f>
        <v>manish tiwari</v>
      </c>
      <c r="AB548" s="19">
        <f>LEN(SalesData[[#This Row],[Customer_Name]])</f>
        <v>13</v>
      </c>
      <c r="AC548" s="19" t="str">
        <f>LEFT(SalesData[[#This Row],[Order_ID]],3)</f>
        <v>ORD</v>
      </c>
      <c r="AD548" s="19" t="str">
        <f>RIGHT(SalesData[[#This Row],[Order_ID]],4)</f>
        <v>0848</v>
      </c>
      <c r="AE548" s="19" t="str">
        <f>_xlfn.CONCAT(SalesData[[#This Row],[Clean_Customer_Name]],"-",SalesData[[#This Row],[Region]])</f>
        <v>Manish Tiwari-Central</v>
      </c>
      <c r="AF548" s="19" t="str">
        <f>MID(SalesData[[#This Row],[Order_ID]],4,4)</f>
        <v>0848</v>
      </c>
      <c r="AG548" s="19" t="e">
        <f ca="1">_xlfn.SINGLE(_xlfn.XLOOKUP(SalesData[[#This Row],[Product]],Product_Master!A:A,Product_Master!B:B,"Not Found"))</f>
        <v>#NAME?</v>
      </c>
      <c r="AH548" s="19" t="str">
        <f>VLOOKUP(SalesData[[#This Row],[Product]],Product_Master!$A$1:$B$21,2,FALSE)</f>
        <v>Kavya</v>
      </c>
      <c r="AI548" s="16"/>
    </row>
    <row r="549" spans="1:35" ht="13.8">
      <c r="A549" s="16" t="s">
        <v>190</v>
      </c>
      <c r="B549" s="17">
        <v>45983</v>
      </c>
      <c r="C549" s="16" t="s">
        <v>170</v>
      </c>
      <c r="D549" s="16" t="s">
        <v>171</v>
      </c>
      <c r="E549" s="16" t="s">
        <v>38</v>
      </c>
      <c r="F549" s="16" t="s">
        <v>39</v>
      </c>
      <c r="G549" s="16" t="s">
        <v>40</v>
      </c>
      <c r="H549" s="16" t="s">
        <v>41</v>
      </c>
      <c r="I549" s="16" t="s">
        <v>56</v>
      </c>
      <c r="J549" s="16" t="s">
        <v>191</v>
      </c>
      <c r="K549" s="18">
        <v>3552.96</v>
      </c>
      <c r="L549" s="18">
        <v>1002.24</v>
      </c>
      <c r="M549" s="19">
        <v>2</v>
      </c>
      <c r="N549" s="20">
        <v>0.05</v>
      </c>
      <c r="O549" s="19" t="s">
        <v>25</v>
      </c>
      <c r="P549" s="19" t="s">
        <v>45</v>
      </c>
      <c r="Q549" s="19" t="str">
        <f>TRIM(SalesData[[#This Row],[Customer_Name]])</f>
        <v>Manish Tiwari</v>
      </c>
      <c r="R549" s="21">
        <f>SalesData[[#This Row],[Sales]]-SalesData[[#This Row],[Cost]]</f>
        <v>2550.7200000000003</v>
      </c>
      <c r="S549" s="22">
        <f>IFERROR(SalesData[[#This Row],[Profit]]/SalesData[[#This Row],[Sales]],0)</f>
        <v>0.71791407727641188</v>
      </c>
      <c r="T549" s="19">
        <f>YEAR(SalesData[[#This Row],[Order_Date]])</f>
        <v>2025</v>
      </c>
      <c r="U549" s="19" t="str">
        <f>TEXT(SalesData[[#This Row],[Order_Date]],"mmm")</f>
        <v>Nov</v>
      </c>
      <c r="V549" s="19" t="str">
        <f>"Q"&amp;ROUNDUP(MONTH(SalesData[[#This Row],[Order_Date]])/3,0)</f>
        <v>Q4</v>
      </c>
      <c r="W549" s="19" t="str">
        <f>IF(SalesData[[#This Row],[Sales]]&gt;=50000,"High",IF(AND(SalesData[[#This Row],[Sales]]&gt;= 20000, SalesData[[#This Row],[Sales]]&lt; 50000),"Medium","Low"))</f>
        <v>Low</v>
      </c>
      <c r="X549" s="19" t="str">
        <f>IF(SalesData[[#This Row],[Profit]]&gt;0,"Profit","Loss")</f>
        <v>Profit</v>
      </c>
      <c r="Y549" s="19" t="str">
        <f>IF(AND(SalesData[[#This Row],[Sales]]&gt;= 50000, SalesData[[#This Row],[Quantity]]&gt;=2),"Yes","No")</f>
        <v>No</v>
      </c>
      <c r="Z549" s="19" t="str">
        <f>UPPER(SalesData[[#This Row],[Customer_Name]])</f>
        <v>MANISH TIWARI</v>
      </c>
      <c r="AA549" s="19" t="str">
        <f>LOWER(SalesData[[#This Row],[Customer_Name]])</f>
        <v>manish tiwari</v>
      </c>
      <c r="AB549" s="19">
        <f>LEN(SalesData[[#This Row],[Customer_Name]])</f>
        <v>13</v>
      </c>
      <c r="AC549" s="19" t="str">
        <f>LEFT(SalesData[[#This Row],[Order_ID]],3)</f>
        <v>ORD</v>
      </c>
      <c r="AD549" s="19" t="str">
        <f>RIGHT(SalesData[[#This Row],[Order_ID]],4)</f>
        <v>0050</v>
      </c>
      <c r="AE549" s="19" t="str">
        <f>_xlfn.CONCAT(SalesData[[#This Row],[Clean_Customer_Name]],"-",SalesData[[#This Row],[Region]])</f>
        <v>Manish Tiwari-West</v>
      </c>
      <c r="AF549" s="19" t="str">
        <f>MID(SalesData[[#This Row],[Order_ID]],4,4)</f>
        <v>0050</v>
      </c>
      <c r="AG549" s="19" t="e">
        <f ca="1">_xlfn.SINGLE(_xlfn.XLOOKUP(SalesData[[#This Row],[Product]],Product_Master!A:A,Product_Master!B:B,"Not Found"))</f>
        <v>#NAME?</v>
      </c>
      <c r="AH549" s="19" t="str">
        <f>VLOOKUP(SalesData[[#This Row],[Product]],Product_Master!$A$1:$B$21,2,FALSE)</f>
        <v>Manish</v>
      </c>
      <c r="AI549" s="16"/>
    </row>
    <row r="550" spans="1:35" ht="13.8">
      <c r="A550" s="16" t="s">
        <v>275</v>
      </c>
      <c r="B550" s="17">
        <v>45663</v>
      </c>
      <c r="C550" s="16" t="s">
        <v>170</v>
      </c>
      <c r="D550" s="16" t="s">
        <v>171</v>
      </c>
      <c r="E550" s="16" t="s">
        <v>38</v>
      </c>
      <c r="F550" s="16" t="s">
        <v>39</v>
      </c>
      <c r="G550" s="16" t="s">
        <v>40</v>
      </c>
      <c r="H550" s="16" t="s">
        <v>41</v>
      </c>
      <c r="I550" s="16" t="s">
        <v>84</v>
      </c>
      <c r="J550" s="16" t="s">
        <v>85</v>
      </c>
      <c r="K550" s="18">
        <v>1068.97</v>
      </c>
      <c r="L550" s="18">
        <v>548.09</v>
      </c>
      <c r="M550" s="19">
        <v>1</v>
      </c>
      <c r="N550" s="20">
        <v>0.1</v>
      </c>
      <c r="O550" s="19" t="s">
        <v>25</v>
      </c>
      <c r="P550" s="19" t="s">
        <v>26</v>
      </c>
      <c r="Q550" s="19" t="str">
        <f>TRIM(SalesData[[#This Row],[Customer_Name]])</f>
        <v>Manish Tiwari</v>
      </c>
      <c r="R550" s="21">
        <f>SalesData[[#This Row],[Sales]]-SalesData[[#This Row],[Cost]]</f>
        <v>520.88</v>
      </c>
      <c r="S550" s="22">
        <f>IFERROR(SalesData[[#This Row],[Profit]]/SalesData[[#This Row],[Sales]],0)</f>
        <v>0.48727279530763257</v>
      </c>
      <c r="T550" s="19">
        <f>YEAR(SalesData[[#This Row],[Order_Date]])</f>
        <v>2025</v>
      </c>
      <c r="U550" s="19" t="str">
        <f>TEXT(SalesData[[#This Row],[Order_Date]],"mmm")</f>
        <v>Jan</v>
      </c>
      <c r="V550" s="19" t="str">
        <f>"Q"&amp;ROUNDUP(MONTH(SalesData[[#This Row],[Order_Date]])/3,0)</f>
        <v>Q1</v>
      </c>
      <c r="W550" s="19" t="str">
        <f>IF(SalesData[[#This Row],[Sales]]&gt;=50000,"High",IF(AND(SalesData[[#This Row],[Sales]]&gt;= 20000, SalesData[[#This Row],[Sales]]&lt; 50000),"Medium","Low"))</f>
        <v>Low</v>
      </c>
      <c r="X550" s="19" t="str">
        <f>IF(SalesData[[#This Row],[Profit]]&gt;0,"Profit","Loss")</f>
        <v>Profit</v>
      </c>
      <c r="Y550" s="19" t="str">
        <f>IF(AND(SalesData[[#This Row],[Sales]]&gt;= 50000, SalesData[[#This Row],[Quantity]]&gt;=2),"Yes","No")</f>
        <v>No</v>
      </c>
      <c r="Z550" s="19" t="str">
        <f>UPPER(SalesData[[#This Row],[Customer_Name]])</f>
        <v>MANISH TIWARI</v>
      </c>
      <c r="AA550" s="19" t="str">
        <f>LOWER(SalesData[[#This Row],[Customer_Name]])</f>
        <v>manish tiwari</v>
      </c>
      <c r="AB550" s="19">
        <f>LEN(SalesData[[#This Row],[Customer_Name]])</f>
        <v>13</v>
      </c>
      <c r="AC550" s="19" t="str">
        <f>LEFT(SalesData[[#This Row],[Order_ID]],3)</f>
        <v>ORD</v>
      </c>
      <c r="AD550" s="19" t="str">
        <f>RIGHT(SalesData[[#This Row],[Order_ID]],4)</f>
        <v>0122</v>
      </c>
      <c r="AE550" s="19" t="str">
        <f>_xlfn.CONCAT(SalesData[[#This Row],[Clean_Customer_Name]],"-",SalesData[[#This Row],[Region]])</f>
        <v>Manish Tiwari-South</v>
      </c>
      <c r="AF550" s="19" t="str">
        <f>MID(SalesData[[#This Row],[Order_ID]],4,4)</f>
        <v>0122</v>
      </c>
      <c r="AG550" s="19" t="e">
        <f ca="1">_xlfn.SINGLE(_xlfn.XLOOKUP(SalesData[[#This Row],[Product]],Product_Master!A:A,Product_Master!B:B,"Not Found"))</f>
        <v>#NAME?</v>
      </c>
      <c r="AH550" s="19" t="str">
        <f>VLOOKUP(SalesData[[#This Row],[Product]],Product_Master!$A$1:$B$21,2,FALSE)</f>
        <v>Manish</v>
      </c>
      <c r="AI550" s="16"/>
    </row>
    <row r="551" spans="1:35" ht="13.8">
      <c r="A551" s="16" t="s">
        <v>752</v>
      </c>
      <c r="B551" s="17">
        <v>45335</v>
      </c>
      <c r="C551" s="16" t="s">
        <v>170</v>
      </c>
      <c r="D551" s="16" t="s">
        <v>171</v>
      </c>
      <c r="E551" s="16" t="s">
        <v>38</v>
      </c>
      <c r="F551" s="16" t="s">
        <v>39</v>
      </c>
      <c r="G551" s="16" t="s">
        <v>40</v>
      </c>
      <c r="H551" s="16" t="s">
        <v>41</v>
      </c>
      <c r="I551" s="16" t="s">
        <v>53</v>
      </c>
      <c r="J551" s="16" t="s">
        <v>102</v>
      </c>
      <c r="K551" s="18">
        <v>2465.96</v>
      </c>
      <c r="L551" s="18">
        <v>1003.74</v>
      </c>
      <c r="M551" s="19">
        <v>2</v>
      </c>
      <c r="N551" s="20">
        <v>0</v>
      </c>
      <c r="O551" s="19" t="s">
        <v>34</v>
      </c>
      <c r="P551" s="19" t="s">
        <v>26</v>
      </c>
      <c r="Q551" s="19" t="str">
        <f>TRIM(SalesData[[#This Row],[Customer_Name]])</f>
        <v>Manish Tiwari</v>
      </c>
      <c r="R551" s="21">
        <f>SalesData[[#This Row],[Sales]]-SalesData[[#This Row],[Cost]]</f>
        <v>1462.22</v>
      </c>
      <c r="S551" s="22">
        <f>IFERROR(SalesData[[#This Row],[Profit]]/SalesData[[#This Row],[Sales]],0)</f>
        <v>0.59296176742526241</v>
      </c>
      <c r="T551" s="19">
        <f>YEAR(SalesData[[#This Row],[Order_Date]])</f>
        <v>2024</v>
      </c>
      <c r="U551" s="19" t="str">
        <f>TEXT(SalesData[[#This Row],[Order_Date]],"mmm")</f>
        <v>Feb</v>
      </c>
      <c r="V551" s="19" t="str">
        <f>"Q"&amp;ROUNDUP(MONTH(SalesData[[#This Row],[Order_Date]])/3,0)</f>
        <v>Q1</v>
      </c>
      <c r="W551" s="19" t="str">
        <f>IF(SalesData[[#This Row],[Sales]]&gt;=50000,"High",IF(AND(SalesData[[#This Row],[Sales]]&gt;= 20000, SalesData[[#This Row],[Sales]]&lt; 50000),"Medium","Low"))</f>
        <v>Low</v>
      </c>
      <c r="X551" s="19" t="str">
        <f>IF(SalesData[[#This Row],[Profit]]&gt;0,"Profit","Loss")</f>
        <v>Profit</v>
      </c>
      <c r="Y551" s="19" t="str">
        <f>IF(AND(SalesData[[#This Row],[Sales]]&gt;= 50000, SalesData[[#This Row],[Quantity]]&gt;=2),"Yes","No")</f>
        <v>No</v>
      </c>
      <c r="Z551" s="19" t="str">
        <f>UPPER(SalesData[[#This Row],[Customer_Name]])</f>
        <v>MANISH TIWARI</v>
      </c>
      <c r="AA551" s="19" t="str">
        <f>LOWER(SalesData[[#This Row],[Customer_Name]])</f>
        <v>manish tiwari</v>
      </c>
      <c r="AB551" s="19">
        <f>LEN(SalesData[[#This Row],[Customer_Name]])</f>
        <v>13</v>
      </c>
      <c r="AC551" s="19" t="str">
        <f>LEFT(SalesData[[#This Row],[Order_ID]],3)</f>
        <v>ORD</v>
      </c>
      <c r="AD551" s="19" t="str">
        <f>RIGHT(SalesData[[#This Row],[Order_ID]],4)</f>
        <v>0599</v>
      </c>
      <c r="AE551" s="19" t="str">
        <f>_xlfn.CONCAT(SalesData[[#This Row],[Clean_Customer_Name]],"-",SalesData[[#This Row],[Region]])</f>
        <v>Manish Tiwari-Central</v>
      </c>
      <c r="AF551" s="19" t="str">
        <f>MID(SalesData[[#This Row],[Order_ID]],4,4)</f>
        <v>0599</v>
      </c>
      <c r="AG551" s="19" t="e">
        <f ca="1">_xlfn.SINGLE(_xlfn.XLOOKUP(SalesData[[#This Row],[Product]],Product_Master!A:A,Product_Master!B:B,"Not Found"))</f>
        <v>#NAME?</v>
      </c>
      <c r="AH551" s="19" t="str">
        <f>VLOOKUP(SalesData[[#This Row],[Product]],Product_Master!$A$1:$B$21,2,FALSE)</f>
        <v>Manish</v>
      </c>
      <c r="AI551" s="16"/>
    </row>
    <row r="552" spans="1:35" ht="13.8">
      <c r="A552" s="16" t="s">
        <v>1018</v>
      </c>
      <c r="B552" s="17">
        <v>45452</v>
      </c>
      <c r="C552" s="16" t="s">
        <v>170</v>
      </c>
      <c r="D552" s="16" t="s">
        <v>171</v>
      </c>
      <c r="E552" s="16" t="s">
        <v>87</v>
      </c>
      <c r="F552" s="16" t="s">
        <v>88</v>
      </c>
      <c r="G552" s="16" t="s">
        <v>89</v>
      </c>
      <c r="H552" s="16" t="s">
        <v>90</v>
      </c>
      <c r="I552" s="16" t="s">
        <v>23</v>
      </c>
      <c r="J552" s="16" t="s">
        <v>24</v>
      </c>
      <c r="K552" s="18">
        <v>21328.6</v>
      </c>
      <c r="L552" s="18">
        <v>8764.7999999999993</v>
      </c>
      <c r="M552" s="19">
        <v>5</v>
      </c>
      <c r="N552" s="20">
        <v>0.2</v>
      </c>
      <c r="O552" s="19" t="s">
        <v>136</v>
      </c>
      <c r="P552" s="19" t="s">
        <v>58</v>
      </c>
      <c r="Q552" s="19" t="str">
        <f>TRIM(SalesData[[#This Row],[Customer_Name]])</f>
        <v>Manish Tiwari</v>
      </c>
      <c r="R552" s="21">
        <f>SalesData[[#This Row],[Sales]]-SalesData[[#This Row],[Cost]]</f>
        <v>12563.8</v>
      </c>
      <c r="S552" s="22">
        <f>IFERROR(SalesData[[#This Row],[Profit]]/SalesData[[#This Row],[Sales]],0)</f>
        <v>0.58905882242622587</v>
      </c>
      <c r="T552" s="19">
        <f>YEAR(SalesData[[#This Row],[Order_Date]])</f>
        <v>2024</v>
      </c>
      <c r="U552" s="19" t="str">
        <f>TEXT(SalesData[[#This Row],[Order_Date]],"mmm")</f>
        <v>Jun</v>
      </c>
      <c r="V552" s="19" t="str">
        <f>"Q"&amp;ROUNDUP(MONTH(SalesData[[#This Row],[Order_Date]])/3,0)</f>
        <v>Q2</v>
      </c>
      <c r="W552" s="19" t="str">
        <f>IF(SalesData[[#This Row],[Sales]]&gt;=50000,"High",IF(AND(SalesData[[#This Row],[Sales]]&gt;= 20000, SalesData[[#This Row],[Sales]]&lt; 50000),"Medium","Low"))</f>
        <v>Medium</v>
      </c>
      <c r="X552" s="19" t="str">
        <f>IF(SalesData[[#This Row],[Profit]]&gt;0,"Profit","Loss")</f>
        <v>Profit</v>
      </c>
      <c r="Y552" s="19" t="str">
        <f>IF(AND(SalesData[[#This Row],[Sales]]&gt;= 50000, SalesData[[#This Row],[Quantity]]&gt;=2),"Yes","No")</f>
        <v>No</v>
      </c>
      <c r="Z552" s="19" t="str">
        <f>UPPER(SalesData[[#This Row],[Customer_Name]])</f>
        <v>MANISH TIWARI</v>
      </c>
      <c r="AA552" s="19" t="str">
        <f>LOWER(SalesData[[#This Row],[Customer_Name]])</f>
        <v>manish tiwari</v>
      </c>
      <c r="AB552" s="19">
        <f>LEN(SalesData[[#This Row],[Customer_Name]])</f>
        <v>13</v>
      </c>
      <c r="AC552" s="19" t="str">
        <f>LEFT(SalesData[[#This Row],[Order_ID]],3)</f>
        <v>ORD</v>
      </c>
      <c r="AD552" s="19" t="str">
        <f>RIGHT(SalesData[[#This Row],[Order_ID]],4)</f>
        <v>0865</v>
      </c>
      <c r="AE552" s="19" t="str">
        <f>_xlfn.CONCAT(SalesData[[#This Row],[Clean_Customer_Name]],"-",SalesData[[#This Row],[Region]])</f>
        <v>Manish Tiwari-North</v>
      </c>
      <c r="AF552" s="19" t="str">
        <f>MID(SalesData[[#This Row],[Order_ID]],4,4)</f>
        <v>0865</v>
      </c>
      <c r="AG552" s="19" t="e">
        <f ca="1">_xlfn.SINGLE(_xlfn.XLOOKUP(SalesData[[#This Row],[Product]],Product_Master!A:A,Product_Master!B:B,"Not Found"))</f>
        <v>#NAME?</v>
      </c>
      <c r="AH552" s="19" t="str">
        <f>VLOOKUP(SalesData[[#This Row],[Product]],Product_Master!$A$1:$B$21,2,FALSE)</f>
        <v>Rahul</v>
      </c>
      <c r="AI552" s="16"/>
    </row>
    <row r="553" spans="1:35" ht="13.8">
      <c r="A553" s="16" t="s">
        <v>629</v>
      </c>
      <c r="B553" s="17">
        <v>45384</v>
      </c>
      <c r="C553" s="16" t="s">
        <v>170</v>
      </c>
      <c r="D553" s="16" t="s">
        <v>171</v>
      </c>
      <c r="E553" s="16" t="s">
        <v>182</v>
      </c>
      <c r="F553" s="16" t="s">
        <v>183</v>
      </c>
      <c r="G553" s="16" t="s">
        <v>89</v>
      </c>
      <c r="H553" s="16" t="s">
        <v>90</v>
      </c>
      <c r="I553" s="16" t="s">
        <v>56</v>
      </c>
      <c r="J553" s="16" t="s">
        <v>57</v>
      </c>
      <c r="K553" s="18">
        <v>25829.02</v>
      </c>
      <c r="L553" s="18">
        <v>23346.560000000001</v>
      </c>
      <c r="M553" s="19">
        <v>4</v>
      </c>
      <c r="N553" s="20">
        <v>0.05</v>
      </c>
      <c r="O553" s="19" t="s">
        <v>34</v>
      </c>
      <c r="P553" s="19" t="s">
        <v>58</v>
      </c>
      <c r="Q553" s="19" t="str">
        <f>TRIM(SalesData[[#This Row],[Customer_Name]])</f>
        <v>Manish Tiwari</v>
      </c>
      <c r="R553" s="21">
        <f>SalesData[[#This Row],[Sales]]-SalesData[[#This Row],[Cost]]</f>
        <v>2482.4599999999991</v>
      </c>
      <c r="S553" s="22">
        <f>IFERROR(SalesData[[#This Row],[Profit]]/SalesData[[#This Row],[Sales]],0)</f>
        <v>9.6111273288727136E-2</v>
      </c>
      <c r="T553" s="19">
        <f>YEAR(SalesData[[#This Row],[Order_Date]])</f>
        <v>2024</v>
      </c>
      <c r="U553" s="19" t="str">
        <f>TEXT(SalesData[[#This Row],[Order_Date]],"mmm")</f>
        <v>Apr</v>
      </c>
      <c r="V553" s="19" t="str">
        <f>"Q"&amp;ROUNDUP(MONTH(SalesData[[#This Row],[Order_Date]])/3,0)</f>
        <v>Q2</v>
      </c>
      <c r="W553" s="19" t="str">
        <f>IF(SalesData[[#This Row],[Sales]]&gt;=50000,"High",IF(AND(SalesData[[#This Row],[Sales]]&gt;= 20000, SalesData[[#This Row],[Sales]]&lt; 50000),"Medium","Low"))</f>
        <v>Medium</v>
      </c>
      <c r="X553" s="19" t="str">
        <f>IF(SalesData[[#This Row],[Profit]]&gt;0,"Profit","Loss")</f>
        <v>Profit</v>
      </c>
      <c r="Y553" s="19" t="str">
        <f>IF(AND(SalesData[[#This Row],[Sales]]&gt;= 50000, SalesData[[#This Row],[Quantity]]&gt;=2),"Yes","No")</f>
        <v>No</v>
      </c>
      <c r="Z553" s="19" t="str">
        <f>UPPER(SalesData[[#This Row],[Customer_Name]])</f>
        <v>MANISH TIWARI</v>
      </c>
      <c r="AA553" s="19" t="str">
        <f>LOWER(SalesData[[#This Row],[Customer_Name]])</f>
        <v>manish tiwari</v>
      </c>
      <c r="AB553" s="19">
        <f>LEN(SalesData[[#This Row],[Customer_Name]])</f>
        <v>13</v>
      </c>
      <c r="AC553" s="19" t="str">
        <f>LEFT(SalesData[[#This Row],[Order_ID]],3)</f>
        <v>ORD</v>
      </c>
      <c r="AD553" s="19" t="str">
        <f>RIGHT(SalesData[[#This Row],[Order_ID]],4)</f>
        <v>0476</v>
      </c>
      <c r="AE553" s="19" t="str">
        <f>_xlfn.CONCAT(SalesData[[#This Row],[Clean_Customer_Name]],"-",SalesData[[#This Row],[Region]])</f>
        <v>Manish Tiwari-West</v>
      </c>
      <c r="AF553" s="19" t="str">
        <f>MID(SalesData[[#This Row],[Order_ID]],4,4)</f>
        <v>0476</v>
      </c>
      <c r="AG553" s="19" t="e">
        <f ca="1">_xlfn.SINGLE(_xlfn.XLOOKUP(SalesData[[#This Row],[Product]],Product_Master!A:A,Product_Master!B:B,"Not Found"))</f>
        <v>#NAME?</v>
      </c>
      <c r="AH553" s="19" t="str">
        <f>VLOOKUP(SalesData[[#This Row],[Product]],Product_Master!$A$1:$B$21,2,FALSE)</f>
        <v>Priya</v>
      </c>
      <c r="AI553" s="16"/>
    </row>
    <row r="554" spans="1:35" ht="13.8">
      <c r="A554" s="16" t="s">
        <v>249</v>
      </c>
      <c r="B554" s="17">
        <v>45684</v>
      </c>
      <c r="C554" s="16" t="s">
        <v>170</v>
      </c>
      <c r="D554" s="16" t="s">
        <v>171</v>
      </c>
      <c r="E554" s="16" t="s">
        <v>187</v>
      </c>
      <c r="F554" s="16" t="s">
        <v>188</v>
      </c>
      <c r="G554" s="16" t="s">
        <v>89</v>
      </c>
      <c r="H554" s="16" t="s">
        <v>189</v>
      </c>
      <c r="I554" s="16" t="s">
        <v>23</v>
      </c>
      <c r="J554" s="16" t="s">
        <v>75</v>
      </c>
      <c r="K554" s="18">
        <v>18309.099999999999</v>
      </c>
      <c r="L554" s="18">
        <v>11928.1</v>
      </c>
      <c r="M554" s="19">
        <v>2</v>
      </c>
      <c r="N554" s="20">
        <v>0.05</v>
      </c>
      <c r="O554" s="19" t="s">
        <v>25</v>
      </c>
      <c r="P554" s="19" t="s">
        <v>45</v>
      </c>
      <c r="Q554" s="19" t="str">
        <f>TRIM(SalesData[[#This Row],[Customer_Name]])</f>
        <v>Manish Tiwari</v>
      </c>
      <c r="R554" s="21">
        <f>SalesData[[#This Row],[Sales]]-SalesData[[#This Row],[Cost]]</f>
        <v>6380.9999999999982</v>
      </c>
      <c r="S554" s="22">
        <f>IFERROR(SalesData[[#This Row],[Profit]]/SalesData[[#This Row],[Sales]],0)</f>
        <v>0.34851521920793477</v>
      </c>
      <c r="T554" s="19">
        <f>YEAR(SalesData[[#This Row],[Order_Date]])</f>
        <v>2025</v>
      </c>
      <c r="U554" s="19" t="str">
        <f>TEXT(SalesData[[#This Row],[Order_Date]],"mmm")</f>
        <v>Jan</v>
      </c>
      <c r="V554" s="19" t="str">
        <f>"Q"&amp;ROUNDUP(MONTH(SalesData[[#This Row],[Order_Date]])/3,0)</f>
        <v>Q1</v>
      </c>
      <c r="W554" s="19" t="str">
        <f>IF(SalesData[[#This Row],[Sales]]&gt;=50000,"High",IF(AND(SalesData[[#This Row],[Sales]]&gt;= 20000, SalesData[[#This Row],[Sales]]&lt; 50000),"Medium","Low"))</f>
        <v>Low</v>
      </c>
      <c r="X554" s="19" t="str">
        <f>IF(SalesData[[#This Row],[Profit]]&gt;0,"Profit","Loss")</f>
        <v>Profit</v>
      </c>
      <c r="Y554" s="19" t="str">
        <f>IF(AND(SalesData[[#This Row],[Sales]]&gt;= 50000, SalesData[[#This Row],[Quantity]]&gt;=2),"Yes","No")</f>
        <v>No</v>
      </c>
      <c r="Z554" s="19" t="str">
        <f>UPPER(SalesData[[#This Row],[Customer_Name]])</f>
        <v>MANISH TIWARI</v>
      </c>
      <c r="AA554" s="19" t="str">
        <f>LOWER(SalesData[[#This Row],[Customer_Name]])</f>
        <v>manish tiwari</v>
      </c>
      <c r="AB554" s="19">
        <f>LEN(SalesData[[#This Row],[Customer_Name]])</f>
        <v>13</v>
      </c>
      <c r="AC554" s="19" t="str">
        <f>LEFT(SalesData[[#This Row],[Order_ID]],3)</f>
        <v>ORD</v>
      </c>
      <c r="AD554" s="19" t="str">
        <f>RIGHT(SalesData[[#This Row],[Order_ID]],4)</f>
        <v>0098</v>
      </c>
      <c r="AE554" s="19" t="str">
        <f>_xlfn.CONCAT(SalesData[[#This Row],[Clean_Customer_Name]],"-",SalesData[[#This Row],[Region]])</f>
        <v>Manish Tiwari-North</v>
      </c>
      <c r="AF554" s="19" t="str">
        <f>MID(SalesData[[#This Row],[Order_ID]],4,4)</f>
        <v>0098</v>
      </c>
      <c r="AG554" s="19" t="e">
        <f ca="1">_xlfn.SINGLE(_xlfn.XLOOKUP(SalesData[[#This Row],[Product]],Product_Master!A:A,Product_Master!B:B,"Not Found"))</f>
        <v>#NAME?</v>
      </c>
      <c r="AH554" s="19" t="str">
        <f>VLOOKUP(SalesData[[#This Row],[Product]],Product_Master!$A$1:$B$21,2,FALSE)</f>
        <v>Amit</v>
      </c>
      <c r="AI554" s="16"/>
    </row>
    <row r="555" spans="1:35" ht="13.8">
      <c r="A555" s="16" t="s">
        <v>345</v>
      </c>
      <c r="B555" s="17">
        <v>45918</v>
      </c>
      <c r="C555" s="16" t="s">
        <v>170</v>
      </c>
      <c r="D555" s="16" t="s">
        <v>171</v>
      </c>
      <c r="E555" s="16" t="s">
        <v>187</v>
      </c>
      <c r="F555" s="16" t="s">
        <v>188</v>
      </c>
      <c r="G555" s="16" t="s">
        <v>89</v>
      </c>
      <c r="H555" s="16" t="s">
        <v>189</v>
      </c>
      <c r="I555" s="16" t="s">
        <v>23</v>
      </c>
      <c r="J555" s="16" t="s">
        <v>75</v>
      </c>
      <c r="K555" s="18">
        <v>7550.9</v>
      </c>
      <c r="L555" s="18">
        <v>5022.32</v>
      </c>
      <c r="M555" s="19">
        <v>1</v>
      </c>
      <c r="N555" s="20">
        <v>0.15</v>
      </c>
      <c r="O555" s="19" t="s">
        <v>34</v>
      </c>
      <c r="P555" s="19" t="s">
        <v>26</v>
      </c>
      <c r="Q555" s="19" t="str">
        <f>TRIM(SalesData[[#This Row],[Customer_Name]])</f>
        <v>Manish Tiwari</v>
      </c>
      <c r="R555" s="21">
        <f>SalesData[[#This Row],[Sales]]-SalesData[[#This Row],[Cost]]</f>
        <v>2528.58</v>
      </c>
      <c r="S555" s="22">
        <f>IFERROR(SalesData[[#This Row],[Profit]]/SalesData[[#This Row],[Sales]],0)</f>
        <v>0.33487133984028394</v>
      </c>
      <c r="T555" s="19">
        <f>YEAR(SalesData[[#This Row],[Order_Date]])</f>
        <v>2025</v>
      </c>
      <c r="U555" s="19" t="str">
        <f>TEXT(SalesData[[#This Row],[Order_Date]],"mmm")</f>
        <v>Sept</v>
      </c>
      <c r="V555" s="19" t="str">
        <f>"Q"&amp;ROUNDUP(MONTH(SalesData[[#This Row],[Order_Date]])/3,0)</f>
        <v>Q3</v>
      </c>
      <c r="W555" s="19" t="str">
        <f>IF(SalesData[[#This Row],[Sales]]&gt;=50000,"High",IF(AND(SalesData[[#This Row],[Sales]]&gt;= 20000, SalesData[[#This Row],[Sales]]&lt; 50000),"Medium","Low"))</f>
        <v>Low</v>
      </c>
      <c r="X555" s="19" t="str">
        <f>IF(SalesData[[#This Row],[Profit]]&gt;0,"Profit","Loss")</f>
        <v>Profit</v>
      </c>
      <c r="Y555" s="19" t="str">
        <f>IF(AND(SalesData[[#This Row],[Sales]]&gt;= 50000, SalesData[[#This Row],[Quantity]]&gt;=2),"Yes","No")</f>
        <v>No</v>
      </c>
      <c r="Z555" s="19" t="str">
        <f>UPPER(SalesData[[#This Row],[Customer_Name]])</f>
        <v>MANISH TIWARI</v>
      </c>
      <c r="AA555" s="19" t="str">
        <f>LOWER(SalesData[[#This Row],[Customer_Name]])</f>
        <v>manish tiwari</v>
      </c>
      <c r="AB555" s="19">
        <f>LEN(SalesData[[#This Row],[Customer_Name]])</f>
        <v>13</v>
      </c>
      <c r="AC555" s="19" t="str">
        <f>LEFT(SalesData[[#This Row],[Order_ID]],3)</f>
        <v>ORD</v>
      </c>
      <c r="AD555" s="19" t="str">
        <f>RIGHT(SalesData[[#This Row],[Order_ID]],4)</f>
        <v>0192</v>
      </c>
      <c r="AE555" s="19" t="str">
        <f>_xlfn.CONCAT(SalesData[[#This Row],[Clean_Customer_Name]],"-",SalesData[[#This Row],[Region]])</f>
        <v>Manish Tiwari-North</v>
      </c>
      <c r="AF555" s="19" t="str">
        <f>MID(SalesData[[#This Row],[Order_ID]],4,4)</f>
        <v>0192</v>
      </c>
      <c r="AG555" s="19" t="e">
        <f ca="1">_xlfn.SINGLE(_xlfn.XLOOKUP(SalesData[[#This Row],[Product]],Product_Master!A:A,Product_Master!B:B,"Not Found"))</f>
        <v>#NAME?</v>
      </c>
      <c r="AH555" s="19" t="str">
        <f>VLOOKUP(SalesData[[#This Row],[Product]],Product_Master!$A$1:$B$21,2,FALSE)</f>
        <v>Amit</v>
      </c>
      <c r="AI555" s="16"/>
    </row>
    <row r="556" spans="1:35" ht="13.8">
      <c r="A556" s="16" t="s">
        <v>501</v>
      </c>
      <c r="B556" s="17">
        <v>45855</v>
      </c>
      <c r="C556" s="16" t="s">
        <v>170</v>
      </c>
      <c r="D556" s="16" t="s">
        <v>171</v>
      </c>
      <c r="E556" s="16" t="s">
        <v>187</v>
      </c>
      <c r="F556" s="16" t="s">
        <v>188</v>
      </c>
      <c r="G556" s="16" t="s">
        <v>89</v>
      </c>
      <c r="H556" s="16" t="s">
        <v>189</v>
      </c>
      <c r="I556" s="16" t="s">
        <v>42</v>
      </c>
      <c r="J556" s="16" t="s">
        <v>162</v>
      </c>
      <c r="K556" s="18">
        <v>13028.4</v>
      </c>
      <c r="L556" s="18">
        <v>10108.4</v>
      </c>
      <c r="M556" s="19">
        <v>2</v>
      </c>
      <c r="N556" s="20">
        <v>0.05</v>
      </c>
      <c r="O556" s="19" t="s">
        <v>25</v>
      </c>
      <c r="P556" s="19" t="s">
        <v>58</v>
      </c>
      <c r="Q556" s="19" t="str">
        <f>TRIM(SalesData[[#This Row],[Customer_Name]])</f>
        <v>Manish Tiwari</v>
      </c>
      <c r="R556" s="21">
        <f>SalesData[[#This Row],[Sales]]-SalesData[[#This Row],[Cost]]</f>
        <v>2920</v>
      </c>
      <c r="S556" s="22">
        <f>IFERROR(SalesData[[#This Row],[Profit]]/SalesData[[#This Row],[Sales]],0)</f>
        <v>0.22412575604064966</v>
      </c>
      <c r="T556" s="19">
        <f>YEAR(SalesData[[#This Row],[Order_Date]])</f>
        <v>2025</v>
      </c>
      <c r="U556" s="19" t="str">
        <f>TEXT(SalesData[[#This Row],[Order_Date]],"mmm")</f>
        <v>Jul</v>
      </c>
      <c r="V556" s="19" t="str">
        <f>"Q"&amp;ROUNDUP(MONTH(SalesData[[#This Row],[Order_Date]])/3,0)</f>
        <v>Q3</v>
      </c>
      <c r="W556" s="19" t="str">
        <f>IF(SalesData[[#This Row],[Sales]]&gt;=50000,"High",IF(AND(SalesData[[#This Row],[Sales]]&gt;= 20000, SalesData[[#This Row],[Sales]]&lt; 50000),"Medium","Low"))</f>
        <v>Low</v>
      </c>
      <c r="X556" s="19" t="str">
        <f>IF(SalesData[[#This Row],[Profit]]&gt;0,"Profit","Loss")</f>
        <v>Profit</v>
      </c>
      <c r="Y556" s="19" t="str">
        <f>IF(AND(SalesData[[#This Row],[Sales]]&gt;= 50000, SalesData[[#This Row],[Quantity]]&gt;=2),"Yes","No")</f>
        <v>No</v>
      </c>
      <c r="Z556" s="19" t="str">
        <f>UPPER(SalesData[[#This Row],[Customer_Name]])</f>
        <v>MANISH TIWARI</v>
      </c>
      <c r="AA556" s="19" t="str">
        <f>LOWER(SalesData[[#This Row],[Customer_Name]])</f>
        <v>manish tiwari</v>
      </c>
      <c r="AB556" s="19">
        <f>LEN(SalesData[[#This Row],[Customer_Name]])</f>
        <v>13</v>
      </c>
      <c r="AC556" s="19" t="str">
        <f>LEFT(SalesData[[#This Row],[Order_ID]],3)</f>
        <v>ORD</v>
      </c>
      <c r="AD556" s="19" t="str">
        <f>RIGHT(SalesData[[#This Row],[Order_ID]],4)</f>
        <v>0348</v>
      </c>
      <c r="AE556" s="19" t="str">
        <f>_xlfn.CONCAT(SalesData[[#This Row],[Clean_Customer_Name]],"-",SalesData[[#This Row],[Region]])</f>
        <v>Manish Tiwari-East</v>
      </c>
      <c r="AF556" s="19" t="str">
        <f>MID(SalesData[[#This Row],[Order_ID]],4,4)</f>
        <v>0348</v>
      </c>
      <c r="AG556" s="19" t="e">
        <f ca="1">_xlfn.SINGLE(_xlfn.XLOOKUP(SalesData[[#This Row],[Product]],Product_Master!A:A,Product_Master!B:B,"Not Found"))</f>
        <v>#NAME?</v>
      </c>
      <c r="AH556" s="19" t="str">
        <f>VLOOKUP(SalesData[[#This Row],[Product]],Product_Master!$A$1:$B$21,2,FALSE)</f>
        <v>Amit</v>
      </c>
      <c r="AI556" s="16"/>
    </row>
    <row r="557" spans="1:35" ht="13.8">
      <c r="A557" s="16" t="s">
        <v>304</v>
      </c>
      <c r="B557" s="17">
        <v>45885</v>
      </c>
      <c r="C557" s="16" t="s">
        <v>170</v>
      </c>
      <c r="D557" s="16" t="s">
        <v>171</v>
      </c>
      <c r="E557" s="16" t="s">
        <v>95</v>
      </c>
      <c r="F557" s="16" t="s">
        <v>96</v>
      </c>
      <c r="G557" s="16" t="s">
        <v>89</v>
      </c>
      <c r="H557" s="16" t="s">
        <v>97</v>
      </c>
      <c r="I557" s="16" t="s">
        <v>53</v>
      </c>
      <c r="J557" s="16" t="s">
        <v>54</v>
      </c>
      <c r="K557" s="18">
        <v>26882.560000000001</v>
      </c>
      <c r="L557" s="18">
        <v>14507.16</v>
      </c>
      <c r="M557" s="19">
        <v>4</v>
      </c>
      <c r="N557" s="20">
        <v>0.2</v>
      </c>
      <c r="O557" s="19" t="s">
        <v>44</v>
      </c>
      <c r="P557" s="19" t="s">
        <v>77</v>
      </c>
      <c r="Q557" s="19" t="str">
        <f>TRIM(SalesData[[#This Row],[Customer_Name]])</f>
        <v>Manish Tiwari</v>
      </c>
      <c r="R557" s="21">
        <f>SalesData[[#This Row],[Sales]]-SalesData[[#This Row],[Cost]]</f>
        <v>12375.400000000001</v>
      </c>
      <c r="S557" s="22">
        <f>IFERROR(SalesData[[#This Row],[Profit]]/SalesData[[#This Row],[Sales]],0)</f>
        <v>0.46035050233311114</v>
      </c>
      <c r="T557" s="19">
        <f>YEAR(SalesData[[#This Row],[Order_Date]])</f>
        <v>2025</v>
      </c>
      <c r="U557" s="19" t="str">
        <f>TEXT(SalesData[[#This Row],[Order_Date]],"mmm")</f>
        <v>Aug</v>
      </c>
      <c r="V557" s="19" t="str">
        <f>"Q"&amp;ROUNDUP(MONTH(SalesData[[#This Row],[Order_Date]])/3,0)</f>
        <v>Q3</v>
      </c>
      <c r="W557" s="19" t="str">
        <f>IF(SalesData[[#This Row],[Sales]]&gt;=50000,"High",IF(AND(SalesData[[#This Row],[Sales]]&gt;= 20000, SalesData[[#This Row],[Sales]]&lt; 50000),"Medium","Low"))</f>
        <v>Medium</v>
      </c>
      <c r="X557" s="19" t="str">
        <f>IF(SalesData[[#This Row],[Profit]]&gt;0,"Profit","Loss")</f>
        <v>Profit</v>
      </c>
      <c r="Y557" s="19" t="str">
        <f>IF(AND(SalesData[[#This Row],[Sales]]&gt;= 50000, SalesData[[#This Row],[Quantity]]&gt;=2),"Yes","No")</f>
        <v>No</v>
      </c>
      <c r="Z557" s="19" t="str">
        <f>UPPER(SalesData[[#This Row],[Customer_Name]])</f>
        <v>MANISH TIWARI</v>
      </c>
      <c r="AA557" s="19" t="str">
        <f>LOWER(SalesData[[#This Row],[Customer_Name]])</f>
        <v>manish tiwari</v>
      </c>
      <c r="AB557" s="19">
        <f>LEN(SalesData[[#This Row],[Customer_Name]])</f>
        <v>13</v>
      </c>
      <c r="AC557" s="19" t="str">
        <f>LEFT(SalesData[[#This Row],[Order_ID]],3)</f>
        <v>ORD</v>
      </c>
      <c r="AD557" s="19" t="str">
        <f>RIGHT(SalesData[[#This Row],[Order_ID]],4)</f>
        <v>0151</v>
      </c>
      <c r="AE557" s="19" t="str">
        <f>_xlfn.CONCAT(SalesData[[#This Row],[Clean_Customer_Name]],"-",SalesData[[#This Row],[Region]])</f>
        <v>Manish Tiwari-Central</v>
      </c>
      <c r="AF557" s="19" t="str">
        <f>MID(SalesData[[#This Row],[Order_ID]],4,4)</f>
        <v>0151</v>
      </c>
      <c r="AG557" s="19" t="e">
        <f ca="1">_xlfn.SINGLE(_xlfn.XLOOKUP(SalesData[[#This Row],[Product]],Product_Master!A:A,Product_Master!B:B,"Not Found"))</f>
        <v>#NAME?</v>
      </c>
      <c r="AH557" s="19" t="str">
        <f>VLOOKUP(SalesData[[#This Row],[Product]],Product_Master!$A$1:$B$21,2,FALSE)</f>
        <v>Neha</v>
      </c>
      <c r="AI557" s="16"/>
    </row>
    <row r="558" spans="1:35" ht="13.8">
      <c r="A558" s="16" t="s">
        <v>446</v>
      </c>
      <c r="B558" s="17">
        <v>45690</v>
      </c>
      <c r="C558" s="16" t="s">
        <v>170</v>
      </c>
      <c r="D558" s="16" t="s">
        <v>171</v>
      </c>
      <c r="E558" s="16" t="s">
        <v>95</v>
      </c>
      <c r="F558" s="16" t="s">
        <v>96</v>
      </c>
      <c r="G558" s="16" t="s">
        <v>89</v>
      </c>
      <c r="H558" s="16" t="s">
        <v>97</v>
      </c>
      <c r="I558" s="16" t="s">
        <v>56</v>
      </c>
      <c r="J558" s="16" t="s">
        <v>91</v>
      </c>
      <c r="K558" s="18">
        <v>4965.3900000000003</v>
      </c>
      <c r="L558" s="18">
        <v>3643.31</v>
      </c>
      <c r="M558" s="19">
        <v>1</v>
      </c>
      <c r="N558" s="20">
        <v>0</v>
      </c>
      <c r="O558" s="19" t="s">
        <v>34</v>
      </c>
      <c r="P558" s="19" t="s">
        <v>58</v>
      </c>
      <c r="Q558" s="19" t="str">
        <f>TRIM(SalesData[[#This Row],[Customer_Name]])</f>
        <v>Manish Tiwari</v>
      </c>
      <c r="R558" s="21">
        <f>SalesData[[#This Row],[Sales]]-SalesData[[#This Row],[Cost]]</f>
        <v>1322.0800000000004</v>
      </c>
      <c r="S558" s="22">
        <f>IFERROR(SalesData[[#This Row],[Profit]]/SalesData[[#This Row],[Sales]],0)</f>
        <v>0.26625904511025322</v>
      </c>
      <c r="T558" s="19">
        <f>YEAR(SalesData[[#This Row],[Order_Date]])</f>
        <v>2025</v>
      </c>
      <c r="U558" s="19" t="str">
        <f>TEXT(SalesData[[#This Row],[Order_Date]],"mmm")</f>
        <v>Feb</v>
      </c>
      <c r="V558" s="19" t="str">
        <f>"Q"&amp;ROUNDUP(MONTH(SalesData[[#This Row],[Order_Date]])/3,0)</f>
        <v>Q1</v>
      </c>
      <c r="W558" s="19" t="str">
        <f>IF(SalesData[[#This Row],[Sales]]&gt;=50000,"High",IF(AND(SalesData[[#This Row],[Sales]]&gt;= 20000, SalesData[[#This Row],[Sales]]&lt; 50000),"Medium","Low"))</f>
        <v>Low</v>
      </c>
      <c r="X558" s="19" t="str">
        <f>IF(SalesData[[#This Row],[Profit]]&gt;0,"Profit","Loss")</f>
        <v>Profit</v>
      </c>
      <c r="Y558" s="19" t="str">
        <f>IF(AND(SalesData[[#This Row],[Sales]]&gt;= 50000, SalesData[[#This Row],[Quantity]]&gt;=2),"Yes","No")</f>
        <v>No</v>
      </c>
      <c r="Z558" s="19" t="str">
        <f>UPPER(SalesData[[#This Row],[Customer_Name]])</f>
        <v>MANISH TIWARI</v>
      </c>
      <c r="AA558" s="19" t="str">
        <f>LOWER(SalesData[[#This Row],[Customer_Name]])</f>
        <v>manish tiwari</v>
      </c>
      <c r="AB558" s="19">
        <f>LEN(SalesData[[#This Row],[Customer_Name]])</f>
        <v>13</v>
      </c>
      <c r="AC558" s="19" t="str">
        <f>LEFT(SalesData[[#This Row],[Order_ID]],3)</f>
        <v>ORD</v>
      </c>
      <c r="AD558" s="19" t="str">
        <f>RIGHT(SalesData[[#This Row],[Order_ID]],4)</f>
        <v>0293</v>
      </c>
      <c r="AE558" s="19" t="str">
        <f>_xlfn.CONCAT(SalesData[[#This Row],[Clean_Customer_Name]],"-",SalesData[[#This Row],[Region]])</f>
        <v>Manish Tiwari-West</v>
      </c>
      <c r="AF558" s="19" t="str">
        <f>MID(SalesData[[#This Row],[Order_ID]],4,4)</f>
        <v>0293</v>
      </c>
      <c r="AG558" s="19" t="e">
        <f ca="1">_xlfn.SINGLE(_xlfn.XLOOKUP(SalesData[[#This Row],[Product]],Product_Master!A:A,Product_Master!B:B,"Not Found"))</f>
        <v>#NAME?</v>
      </c>
      <c r="AH558" s="19" t="str">
        <f>VLOOKUP(SalesData[[#This Row],[Product]],Product_Master!$A$1:$B$21,2,FALSE)</f>
        <v>Neha</v>
      </c>
      <c r="AI558" s="16"/>
    </row>
    <row r="559" spans="1:35" ht="13.8">
      <c r="A559" s="16" t="s">
        <v>765</v>
      </c>
      <c r="B559" s="17">
        <v>45328</v>
      </c>
      <c r="C559" s="16" t="s">
        <v>170</v>
      </c>
      <c r="D559" s="16" t="s">
        <v>171</v>
      </c>
      <c r="E559" s="16" t="s">
        <v>95</v>
      </c>
      <c r="F559" s="16" t="s">
        <v>96</v>
      </c>
      <c r="G559" s="16" t="s">
        <v>89</v>
      </c>
      <c r="H559" s="16" t="s">
        <v>97</v>
      </c>
      <c r="I559" s="16" t="s">
        <v>84</v>
      </c>
      <c r="J559" s="16" t="s">
        <v>134</v>
      </c>
      <c r="K559" s="18">
        <v>4725.95</v>
      </c>
      <c r="L559" s="18">
        <v>3687.96</v>
      </c>
      <c r="M559" s="19">
        <v>1</v>
      </c>
      <c r="N559" s="20">
        <v>0.15</v>
      </c>
      <c r="O559" s="19" t="s">
        <v>25</v>
      </c>
      <c r="P559" s="19" t="s">
        <v>26</v>
      </c>
      <c r="Q559" s="19" t="str">
        <f>TRIM(SalesData[[#This Row],[Customer_Name]])</f>
        <v>Manish Tiwari</v>
      </c>
      <c r="R559" s="21">
        <f>SalesData[[#This Row],[Sales]]-SalesData[[#This Row],[Cost]]</f>
        <v>1037.9899999999998</v>
      </c>
      <c r="S559" s="22">
        <f>IFERROR(SalesData[[#This Row],[Profit]]/SalesData[[#This Row],[Sales]],0)</f>
        <v>0.21963626360837499</v>
      </c>
      <c r="T559" s="19">
        <f>YEAR(SalesData[[#This Row],[Order_Date]])</f>
        <v>2024</v>
      </c>
      <c r="U559" s="19" t="str">
        <f>TEXT(SalesData[[#This Row],[Order_Date]],"mmm")</f>
        <v>Feb</v>
      </c>
      <c r="V559" s="19" t="str">
        <f>"Q"&amp;ROUNDUP(MONTH(SalesData[[#This Row],[Order_Date]])/3,0)</f>
        <v>Q1</v>
      </c>
      <c r="W559" s="19" t="str">
        <f>IF(SalesData[[#This Row],[Sales]]&gt;=50000,"High",IF(AND(SalesData[[#This Row],[Sales]]&gt;= 20000, SalesData[[#This Row],[Sales]]&lt; 50000),"Medium","Low"))</f>
        <v>Low</v>
      </c>
      <c r="X559" s="19" t="str">
        <f>IF(SalesData[[#This Row],[Profit]]&gt;0,"Profit","Loss")</f>
        <v>Profit</v>
      </c>
      <c r="Y559" s="19" t="str">
        <f>IF(AND(SalesData[[#This Row],[Sales]]&gt;= 50000, SalesData[[#This Row],[Quantity]]&gt;=2),"Yes","No")</f>
        <v>No</v>
      </c>
      <c r="Z559" s="19" t="str">
        <f>UPPER(SalesData[[#This Row],[Customer_Name]])</f>
        <v>MANISH TIWARI</v>
      </c>
      <c r="AA559" s="19" t="str">
        <f>LOWER(SalesData[[#This Row],[Customer_Name]])</f>
        <v>manish tiwari</v>
      </c>
      <c r="AB559" s="19">
        <f>LEN(SalesData[[#This Row],[Customer_Name]])</f>
        <v>13</v>
      </c>
      <c r="AC559" s="19" t="str">
        <f>LEFT(SalesData[[#This Row],[Order_ID]],3)</f>
        <v>ORD</v>
      </c>
      <c r="AD559" s="19" t="str">
        <f>RIGHT(SalesData[[#This Row],[Order_ID]],4)</f>
        <v>0612</v>
      </c>
      <c r="AE559" s="19" t="str">
        <f>_xlfn.CONCAT(SalesData[[#This Row],[Clean_Customer_Name]],"-",SalesData[[#This Row],[Region]])</f>
        <v>Manish Tiwari-South</v>
      </c>
      <c r="AF559" s="19" t="str">
        <f>MID(SalesData[[#This Row],[Order_ID]],4,4)</f>
        <v>0612</v>
      </c>
      <c r="AG559" s="19" t="e">
        <f ca="1">_xlfn.SINGLE(_xlfn.XLOOKUP(SalesData[[#This Row],[Product]],Product_Master!A:A,Product_Master!B:B,"Not Found"))</f>
        <v>#NAME?</v>
      </c>
      <c r="AH559" s="19" t="str">
        <f>VLOOKUP(SalesData[[#This Row],[Product]],Product_Master!$A$1:$B$21,2,FALSE)</f>
        <v>Neha</v>
      </c>
      <c r="AI559" s="16"/>
    </row>
    <row r="560" spans="1:35" ht="13.8">
      <c r="A560" s="16" t="s">
        <v>336</v>
      </c>
      <c r="B560" s="17">
        <v>45728</v>
      </c>
      <c r="C560" s="16" t="s">
        <v>170</v>
      </c>
      <c r="D560" s="16" t="s">
        <v>171</v>
      </c>
      <c r="E560" s="16" t="s">
        <v>193</v>
      </c>
      <c r="F560" s="16" t="s">
        <v>194</v>
      </c>
      <c r="G560" s="16" t="s">
        <v>89</v>
      </c>
      <c r="H560" s="16" t="s">
        <v>90</v>
      </c>
      <c r="I560" s="16" t="s">
        <v>42</v>
      </c>
      <c r="J560" s="16" t="s">
        <v>162</v>
      </c>
      <c r="K560" s="18">
        <v>2043.72</v>
      </c>
      <c r="L560" s="18">
        <v>1037.96</v>
      </c>
      <c r="M560" s="19">
        <v>2</v>
      </c>
      <c r="N560" s="20">
        <v>0</v>
      </c>
      <c r="O560" s="19" t="s">
        <v>44</v>
      </c>
      <c r="P560" s="19" t="s">
        <v>26</v>
      </c>
      <c r="Q560" s="19" t="str">
        <f>TRIM(SalesData[[#This Row],[Customer_Name]])</f>
        <v>Manish Tiwari</v>
      </c>
      <c r="R560" s="21">
        <f>SalesData[[#This Row],[Sales]]-SalesData[[#This Row],[Cost]]</f>
        <v>1005.76</v>
      </c>
      <c r="S560" s="22">
        <f>IFERROR(SalesData[[#This Row],[Profit]]/SalesData[[#This Row],[Sales]],0)</f>
        <v>0.49212220852171529</v>
      </c>
      <c r="T560" s="19">
        <f>YEAR(SalesData[[#This Row],[Order_Date]])</f>
        <v>2025</v>
      </c>
      <c r="U560" s="19" t="str">
        <f>TEXT(SalesData[[#This Row],[Order_Date]],"mmm")</f>
        <v>Mar</v>
      </c>
      <c r="V560" s="19" t="str">
        <f>"Q"&amp;ROUNDUP(MONTH(SalesData[[#This Row],[Order_Date]])/3,0)</f>
        <v>Q1</v>
      </c>
      <c r="W560" s="19" t="str">
        <f>IF(SalesData[[#This Row],[Sales]]&gt;=50000,"High",IF(AND(SalesData[[#This Row],[Sales]]&gt;= 20000, SalesData[[#This Row],[Sales]]&lt; 50000),"Medium","Low"))</f>
        <v>Low</v>
      </c>
      <c r="X560" s="19" t="str">
        <f>IF(SalesData[[#This Row],[Profit]]&gt;0,"Profit","Loss")</f>
        <v>Profit</v>
      </c>
      <c r="Y560" s="19" t="str">
        <f>IF(AND(SalesData[[#This Row],[Sales]]&gt;= 50000, SalesData[[#This Row],[Quantity]]&gt;=2),"Yes","No")</f>
        <v>No</v>
      </c>
      <c r="Z560" s="19" t="str">
        <f>UPPER(SalesData[[#This Row],[Customer_Name]])</f>
        <v>MANISH TIWARI</v>
      </c>
      <c r="AA560" s="19" t="str">
        <f>LOWER(SalesData[[#This Row],[Customer_Name]])</f>
        <v>manish tiwari</v>
      </c>
      <c r="AB560" s="19">
        <f>LEN(SalesData[[#This Row],[Customer_Name]])</f>
        <v>13</v>
      </c>
      <c r="AC560" s="19" t="str">
        <f>LEFT(SalesData[[#This Row],[Order_ID]],3)</f>
        <v>ORD</v>
      </c>
      <c r="AD560" s="19" t="str">
        <f>RIGHT(SalesData[[#This Row],[Order_ID]],4)</f>
        <v>0183</v>
      </c>
      <c r="AE560" s="19" t="str">
        <f>_xlfn.CONCAT(SalesData[[#This Row],[Clean_Customer_Name]],"-",SalesData[[#This Row],[Region]])</f>
        <v>Manish Tiwari-East</v>
      </c>
      <c r="AF560" s="19" t="str">
        <f>MID(SalesData[[#This Row],[Order_ID]],4,4)</f>
        <v>0183</v>
      </c>
      <c r="AG560" s="19" t="e">
        <f ca="1">_xlfn.SINGLE(_xlfn.XLOOKUP(SalesData[[#This Row],[Product]],Product_Master!A:A,Product_Master!B:B,"Not Found"))</f>
        <v>#NAME?</v>
      </c>
      <c r="AH560" s="19" t="str">
        <f>VLOOKUP(SalesData[[#This Row],[Product]],Product_Master!$A$1:$B$21,2,FALSE)</f>
        <v>Simran</v>
      </c>
      <c r="AI560" s="16"/>
    </row>
    <row r="561" spans="1:35" ht="13.8">
      <c r="A561" s="16" t="s">
        <v>386</v>
      </c>
      <c r="B561" s="17">
        <v>45717</v>
      </c>
      <c r="C561" s="16" t="s">
        <v>170</v>
      </c>
      <c r="D561" s="16" t="s">
        <v>171</v>
      </c>
      <c r="E561" s="16" t="s">
        <v>193</v>
      </c>
      <c r="F561" s="16" t="s">
        <v>194</v>
      </c>
      <c r="G561" s="16" t="s">
        <v>89</v>
      </c>
      <c r="H561" s="16" t="s">
        <v>90</v>
      </c>
      <c r="I561" s="16" t="s">
        <v>84</v>
      </c>
      <c r="J561" s="16" t="s">
        <v>134</v>
      </c>
      <c r="K561" s="18">
        <v>7166.9</v>
      </c>
      <c r="L561" s="18">
        <v>2706.4</v>
      </c>
      <c r="M561" s="19">
        <v>5</v>
      </c>
      <c r="N561" s="20">
        <v>0.05</v>
      </c>
      <c r="O561" s="19" t="s">
        <v>76</v>
      </c>
      <c r="P561" s="19" t="s">
        <v>58</v>
      </c>
      <c r="Q561" s="19" t="str">
        <f>TRIM(SalesData[[#This Row],[Customer_Name]])</f>
        <v>Manish Tiwari</v>
      </c>
      <c r="R561" s="21">
        <f>SalesData[[#This Row],[Sales]]-SalesData[[#This Row],[Cost]]</f>
        <v>4460.5</v>
      </c>
      <c r="S561" s="22">
        <f>IFERROR(SalesData[[#This Row],[Profit]]/SalesData[[#This Row],[Sales]],0)</f>
        <v>0.62237508546233378</v>
      </c>
      <c r="T561" s="19">
        <f>YEAR(SalesData[[#This Row],[Order_Date]])</f>
        <v>2025</v>
      </c>
      <c r="U561" s="19" t="str">
        <f>TEXT(SalesData[[#This Row],[Order_Date]],"mmm")</f>
        <v>Mar</v>
      </c>
      <c r="V561" s="19" t="str">
        <f>"Q"&amp;ROUNDUP(MONTH(SalesData[[#This Row],[Order_Date]])/3,0)</f>
        <v>Q1</v>
      </c>
      <c r="W561" s="19" t="str">
        <f>IF(SalesData[[#This Row],[Sales]]&gt;=50000,"High",IF(AND(SalesData[[#This Row],[Sales]]&gt;= 20000, SalesData[[#This Row],[Sales]]&lt; 50000),"Medium","Low"))</f>
        <v>Low</v>
      </c>
      <c r="X561" s="19" t="str">
        <f>IF(SalesData[[#This Row],[Profit]]&gt;0,"Profit","Loss")</f>
        <v>Profit</v>
      </c>
      <c r="Y561" s="19" t="str">
        <f>IF(AND(SalesData[[#This Row],[Sales]]&gt;= 50000, SalesData[[#This Row],[Quantity]]&gt;=2),"Yes","No")</f>
        <v>No</v>
      </c>
      <c r="Z561" s="19" t="str">
        <f>UPPER(SalesData[[#This Row],[Customer_Name]])</f>
        <v>MANISH TIWARI</v>
      </c>
      <c r="AA561" s="19" t="str">
        <f>LOWER(SalesData[[#This Row],[Customer_Name]])</f>
        <v>manish tiwari</v>
      </c>
      <c r="AB561" s="19">
        <f>LEN(SalesData[[#This Row],[Customer_Name]])</f>
        <v>13</v>
      </c>
      <c r="AC561" s="19" t="str">
        <f>LEFT(SalesData[[#This Row],[Order_ID]],3)</f>
        <v>ORD</v>
      </c>
      <c r="AD561" s="19" t="str">
        <f>RIGHT(SalesData[[#This Row],[Order_ID]],4)</f>
        <v>0233</v>
      </c>
      <c r="AE561" s="19" t="str">
        <f>_xlfn.CONCAT(SalesData[[#This Row],[Clean_Customer_Name]],"-",SalesData[[#This Row],[Region]])</f>
        <v>Manish Tiwari-South</v>
      </c>
      <c r="AF561" s="19" t="str">
        <f>MID(SalesData[[#This Row],[Order_ID]],4,4)</f>
        <v>0233</v>
      </c>
      <c r="AG561" s="19" t="e">
        <f ca="1">_xlfn.SINGLE(_xlfn.XLOOKUP(SalesData[[#This Row],[Product]],Product_Master!A:A,Product_Master!B:B,"Not Found"))</f>
        <v>#NAME?</v>
      </c>
      <c r="AH561" s="19" t="str">
        <f>VLOOKUP(SalesData[[#This Row],[Product]],Product_Master!$A$1:$B$21,2,FALSE)</f>
        <v>Simran</v>
      </c>
      <c r="AI561" s="16"/>
    </row>
    <row r="562" spans="1:35" ht="13.8">
      <c r="A562" s="16" t="s">
        <v>452</v>
      </c>
      <c r="B562" s="17">
        <v>45659</v>
      </c>
      <c r="C562" s="16" t="s">
        <v>170</v>
      </c>
      <c r="D562" s="16" t="s">
        <v>171</v>
      </c>
      <c r="E562" s="16" t="s">
        <v>193</v>
      </c>
      <c r="F562" s="16" t="s">
        <v>194</v>
      </c>
      <c r="G562" s="16" t="s">
        <v>89</v>
      </c>
      <c r="H562" s="16" t="s">
        <v>90</v>
      </c>
      <c r="I562" s="16" t="s">
        <v>23</v>
      </c>
      <c r="J562" s="16" t="s">
        <v>24</v>
      </c>
      <c r="K562" s="18">
        <v>709.03</v>
      </c>
      <c r="L562" s="18">
        <v>498.46</v>
      </c>
      <c r="M562" s="19">
        <v>1</v>
      </c>
      <c r="N562" s="20">
        <v>0.15</v>
      </c>
      <c r="O562" s="19" t="s">
        <v>34</v>
      </c>
      <c r="P562" s="19" t="s">
        <v>98</v>
      </c>
      <c r="Q562" s="19" t="str">
        <f>TRIM(SalesData[[#This Row],[Customer_Name]])</f>
        <v>Manish Tiwari</v>
      </c>
      <c r="R562" s="21">
        <f>SalesData[[#This Row],[Sales]]-SalesData[[#This Row],[Cost]]</f>
        <v>210.57</v>
      </c>
      <c r="S562" s="22">
        <f>IFERROR(SalesData[[#This Row],[Profit]]/SalesData[[#This Row],[Sales]],0)</f>
        <v>0.29698320240328335</v>
      </c>
      <c r="T562" s="19">
        <f>YEAR(SalesData[[#This Row],[Order_Date]])</f>
        <v>2025</v>
      </c>
      <c r="U562" s="19" t="str">
        <f>TEXT(SalesData[[#This Row],[Order_Date]],"mmm")</f>
        <v>Jan</v>
      </c>
      <c r="V562" s="19" t="str">
        <f>"Q"&amp;ROUNDUP(MONTH(SalesData[[#This Row],[Order_Date]])/3,0)</f>
        <v>Q1</v>
      </c>
      <c r="W562" s="19" t="str">
        <f>IF(SalesData[[#This Row],[Sales]]&gt;=50000,"High",IF(AND(SalesData[[#This Row],[Sales]]&gt;= 20000, SalesData[[#This Row],[Sales]]&lt; 50000),"Medium","Low"))</f>
        <v>Low</v>
      </c>
      <c r="X562" s="19" t="str">
        <f>IF(SalesData[[#This Row],[Profit]]&gt;0,"Profit","Loss")</f>
        <v>Profit</v>
      </c>
      <c r="Y562" s="19" t="str">
        <f>IF(AND(SalesData[[#This Row],[Sales]]&gt;= 50000, SalesData[[#This Row],[Quantity]]&gt;=2),"Yes","No")</f>
        <v>No</v>
      </c>
      <c r="Z562" s="19" t="str">
        <f>UPPER(SalesData[[#This Row],[Customer_Name]])</f>
        <v>MANISH TIWARI</v>
      </c>
      <c r="AA562" s="19" t="str">
        <f>LOWER(SalesData[[#This Row],[Customer_Name]])</f>
        <v>manish tiwari</v>
      </c>
      <c r="AB562" s="19">
        <f>LEN(SalesData[[#This Row],[Customer_Name]])</f>
        <v>13</v>
      </c>
      <c r="AC562" s="19" t="str">
        <f>LEFT(SalesData[[#This Row],[Order_ID]],3)</f>
        <v>ORD</v>
      </c>
      <c r="AD562" s="19" t="str">
        <f>RIGHT(SalesData[[#This Row],[Order_ID]],4)</f>
        <v>0299</v>
      </c>
      <c r="AE562" s="19" t="str">
        <f>_xlfn.CONCAT(SalesData[[#This Row],[Clean_Customer_Name]],"-",SalesData[[#This Row],[Region]])</f>
        <v>Manish Tiwari-North</v>
      </c>
      <c r="AF562" s="19" t="str">
        <f>MID(SalesData[[#This Row],[Order_ID]],4,4)</f>
        <v>0299</v>
      </c>
      <c r="AG562" s="19" t="e">
        <f ca="1">_xlfn.SINGLE(_xlfn.XLOOKUP(SalesData[[#This Row],[Product]],Product_Master!A:A,Product_Master!B:B,"Not Found"))</f>
        <v>#NAME?</v>
      </c>
      <c r="AH562" s="19" t="str">
        <f>VLOOKUP(SalesData[[#This Row],[Product]],Product_Master!$A$1:$B$21,2,FALSE)</f>
        <v>Simran</v>
      </c>
      <c r="AI562" s="16"/>
    </row>
    <row r="563" spans="1:35" ht="13.8">
      <c r="A563" s="16" t="s">
        <v>898</v>
      </c>
      <c r="B563" s="17">
        <v>45642</v>
      </c>
      <c r="C563" s="16" t="s">
        <v>170</v>
      </c>
      <c r="D563" s="16" t="s">
        <v>171</v>
      </c>
      <c r="E563" s="16" t="s">
        <v>193</v>
      </c>
      <c r="F563" s="16" t="s">
        <v>194</v>
      </c>
      <c r="G563" s="16" t="s">
        <v>89</v>
      </c>
      <c r="H563" s="16" t="s">
        <v>90</v>
      </c>
      <c r="I563" s="16" t="s">
        <v>56</v>
      </c>
      <c r="J563" s="16" t="s">
        <v>57</v>
      </c>
      <c r="K563" s="18">
        <v>1269.02</v>
      </c>
      <c r="L563" s="18">
        <v>1041.98</v>
      </c>
      <c r="M563" s="19">
        <v>2</v>
      </c>
      <c r="N563" s="20">
        <v>0</v>
      </c>
      <c r="O563" s="19" t="s">
        <v>76</v>
      </c>
      <c r="P563" s="19" t="s">
        <v>58</v>
      </c>
      <c r="Q563" s="19" t="str">
        <f>TRIM(SalesData[[#This Row],[Customer_Name]])</f>
        <v>Manish Tiwari</v>
      </c>
      <c r="R563" s="21">
        <f>SalesData[[#This Row],[Sales]]-SalesData[[#This Row],[Cost]]</f>
        <v>227.03999999999996</v>
      </c>
      <c r="S563" s="22">
        <f>IFERROR(SalesData[[#This Row],[Profit]]/SalesData[[#This Row],[Sales]],0)</f>
        <v>0.17890970985484861</v>
      </c>
      <c r="T563" s="19">
        <f>YEAR(SalesData[[#This Row],[Order_Date]])</f>
        <v>2024</v>
      </c>
      <c r="U563" s="19" t="str">
        <f>TEXT(SalesData[[#This Row],[Order_Date]],"mmm")</f>
        <v>Dec</v>
      </c>
      <c r="V563" s="19" t="str">
        <f>"Q"&amp;ROUNDUP(MONTH(SalesData[[#This Row],[Order_Date]])/3,0)</f>
        <v>Q4</v>
      </c>
      <c r="W563" s="19" t="str">
        <f>IF(SalesData[[#This Row],[Sales]]&gt;=50000,"High",IF(AND(SalesData[[#This Row],[Sales]]&gt;= 20000, SalesData[[#This Row],[Sales]]&lt; 50000),"Medium","Low"))</f>
        <v>Low</v>
      </c>
      <c r="X563" s="19" t="str">
        <f>IF(SalesData[[#This Row],[Profit]]&gt;0,"Profit","Loss")</f>
        <v>Profit</v>
      </c>
      <c r="Y563" s="19" t="str">
        <f>IF(AND(SalesData[[#This Row],[Sales]]&gt;= 50000, SalesData[[#This Row],[Quantity]]&gt;=2),"Yes","No")</f>
        <v>No</v>
      </c>
      <c r="Z563" s="19" t="str">
        <f>UPPER(SalesData[[#This Row],[Customer_Name]])</f>
        <v>MANISH TIWARI</v>
      </c>
      <c r="AA563" s="19" t="str">
        <f>LOWER(SalesData[[#This Row],[Customer_Name]])</f>
        <v>manish tiwari</v>
      </c>
      <c r="AB563" s="19">
        <f>LEN(SalesData[[#This Row],[Customer_Name]])</f>
        <v>13</v>
      </c>
      <c r="AC563" s="19" t="str">
        <f>LEFT(SalesData[[#This Row],[Order_ID]],3)</f>
        <v>ORD</v>
      </c>
      <c r="AD563" s="19" t="str">
        <f>RIGHT(SalesData[[#This Row],[Order_ID]],4)</f>
        <v>0745</v>
      </c>
      <c r="AE563" s="19" t="str">
        <f>_xlfn.CONCAT(SalesData[[#This Row],[Clean_Customer_Name]],"-",SalesData[[#This Row],[Region]])</f>
        <v>Manish Tiwari-West</v>
      </c>
      <c r="AF563" s="19" t="str">
        <f>MID(SalesData[[#This Row],[Order_ID]],4,4)</f>
        <v>0745</v>
      </c>
      <c r="AG563" s="19" t="e">
        <f ca="1">_xlfn.SINGLE(_xlfn.XLOOKUP(SalesData[[#This Row],[Product]],Product_Master!A:A,Product_Master!B:B,"Not Found"))</f>
        <v>#NAME?</v>
      </c>
      <c r="AH563" s="19" t="str">
        <f>VLOOKUP(SalesData[[#This Row],[Product]],Product_Master!$A$1:$B$21,2,FALSE)</f>
        <v>Simran</v>
      </c>
      <c r="AI563" s="16"/>
    </row>
    <row r="564" spans="1:35" ht="13.8">
      <c r="A564" s="16" t="s">
        <v>1146</v>
      </c>
      <c r="B564" s="17">
        <v>45966</v>
      </c>
      <c r="C564" s="16" t="s">
        <v>170</v>
      </c>
      <c r="D564" s="16" t="s">
        <v>171</v>
      </c>
      <c r="E564" s="16" t="s">
        <v>193</v>
      </c>
      <c r="F564" s="16" t="s">
        <v>194</v>
      </c>
      <c r="G564" s="16" t="s">
        <v>89</v>
      </c>
      <c r="H564" s="16" t="s">
        <v>90</v>
      </c>
      <c r="I564" s="16" t="s">
        <v>42</v>
      </c>
      <c r="J564" s="16" t="s">
        <v>68</v>
      </c>
      <c r="K564" s="18">
        <v>5569.08</v>
      </c>
      <c r="L564" s="18">
        <v>2005.96</v>
      </c>
      <c r="M564" s="19">
        <v>4</v>
      </c>
      <c r="N564" s="20">
        <v>0</v>
      </c>
      <c r="O564" s="19" t="s">
        <v>44</v>
      </c>
      <c r="P564" s="19" t="s">
        <v>58</v>
      </c>
      <c r="Q564" s="19" t="str">
        <f>TRIM(SalesData[[#This Row],[Customer_Name]])</f>
        <v>Manish Tiwari</v>
      </c>
      <c r="R564" s="21">
        <f>SalesData[[#This Row],[Sales]]-SalesData[[#This Row],[Cost]]</f>
        <v>3563.12</v>
      </c>
      <c r="S564" s="22">
        <f>IFERROR(SalesData[[#This Row],[Profit]]/SalesData[[#This Row],[Sales]],0)</f>
        <v>0.6398040609939164</v>
      </c>
      <c r="T564" s="19">
        <f>YEAR(SalesData[[#This Row],[Order_Date]])</f>
        <v>2025</v>
      </c>
      <c r="U564" s="19" t="str">
        <f>TEXT(SalesData[[#This Row],[Order_Date]],"mmm")</f>
        <v>Nov</v>
      </c>
      <c r="V564" s="19" t="str">
        <f>"Q"&amp;ROUNDUP(MONTH(SalesData[[#This Row],[Order_Date]])/3,0)</f>
        <v>Q4</v>
      </c>
      <c r="W564" s="19" t="str">
        <f>IF(SalesData[[#This Row],[Sales]]&gt;=50000,"High",IF(AND(SalesData[[#This Row],[Sales]]&gt;= 20000, SalesData[[#This Row],[Sales]]&lt; 50000),"Medium","Low"))</f>
        <v>Low</v>
      </c>
      <c r="X564" s="19" t="str">
        <f>IF(SalesData[[#This Row],[Profit]]&gt;0,"Profit","Loss")</f>
        <v>Profit</v>
      </c>
      <c r="Y564" s="19" t="str">
        <f>IF(AND(SalesData[[#This Row],[Sales]]&gt;= 50000, SalesData[[#This Row],[Quantity]]&gt;=2),"Yes","No")</f>
        <v>No</v>
      </c>
      <c r="Z564" s="19" t="str">
        <f>UPPER(SalesData[[#This Row],[Customer_Name]])</f>
        <v>MANISH TIWARI</v>
      </c>
      <c r="AA564" s="19" t="str">
        <f>LOWER(SalesData[[#This Row],[Customer_Name]])</f>
        <v>manish tiwari</v>
      </c>
      <c r="AB564" s="19">
        <f>LEN(SalesData[[#This Row],[Customer_Name]])</f>
        <v>13</v>
      </c>
      <c r="AC564" s="19" t="str">
        <f>LEFT(SalesData[[#This Row],[Order_ID]],3)</f>
        <v>ORD</v>
      </c>
      <c r="AD564" s="19" t="str">
        <f>RIGHT(SalesData[[#This Row],[Order_ID]],4)</f>
        <v>0993</v>
      </c>
      <c r="AE564" s="19" t="str">
        <f>_xlfn.CONCAT(SalesData[[#This Row],[Clean_Customer_Name]],"-",SalesData[[#This Row],[Region]])</f>
        <v>Manish Tiwari-East</v>
      </c>
      <c r="AF564" s="19" t="str">
        <f>MID(SalesData[[#This Row],[Order_ID]],4,4)</f>
        <v>0993</v>
      </c>
      <c r="AG564" s="19" t="e">
        <f ca="1">_xlfn.SINGLE(_xlfn.XLOOKUP(SalesData[[#This Row],[Product]],Product_Master!A:A,Product_Master!B:B,"Not Found"))</f>
        <v>#NAME?</v>
      </c>
      <c r="AH564" s="19" t="str">
        <f>VLOOKUP(SalesData[[#This Row],[Product]],Product_Master!$A$1:$B$21,2,FALSE)</f>
        <v>Simran</v>
      </c>
      <c r="AI564" s="16"/>
    </row>
    <row r="565" spans="1:35" ht="13.8">
      <c r="A565" s="16" t="s">
        <v>492</v>
      </c>
      <c r="B565" s="17">
        <v>45846</v>
      </c>
      <c r="C565" s="16" t="s">
        <v>207</v>
      </c>
      <c r="D565" s="16" t="s">
        <v>208</v>
      </c>
      <c r="E565" s="16" t="s">
        <v>30</v>
      </c>
      <c r="F565" s="16" t="s">
        <v>31</v>
      </c>
      <c r="G565" s="16" t="s">
        <v>21</v>
      </c>
      <c r="H565" s="16" t="s">
        <v>32</v>
      </c>
      <c r="I565" s="16" t="s">
        <v>84</v>
      </c>
      <c r="J565" s="16" t="s">
        <v>85</v>
      </c>
      <c r="K565" s="18">
        <v>184663.5</v>
      </c>
      <c r="L565" s="18">
        <v>147915.12</v>
      </c>
      <c r="M565" s="19">
        <v>3</v>
      </c>
      <c r="N565" s="20">
        <v>0</v>
      </c>
      <c r="O565" s="19" t="s">
        <v>44</v>
      </c>
      <c r="P565" s="19" t="s">
        <v>58</v>
      </c>
      <c r="Q565" s="19" t="str">
        <f>TRIM(SalesData[[#This Row],[Customer_Name]])</f>
        <v>Kavya Nair</v>
      </c>
      <c r="R565" s="21">
        <f>SalesData[[#This Row],[Sales]]-SalesData[[#This Row],[Cost]]</f>
        <v>36748.380000000005</v>
      </c>
      <c r="S565" s="22">
        <f>IFERROR(SalesData[[#This Row],[Profit]]/SalesData[[#This Row],[Sales]],0)</f>
        <v>0.19900186014020099</v>
      </c>
      <c r="T565" s="19">
        <f>YEAR(SalesData[[#This Row],[Order_Date]])</f>
        <v>2025</v>
      </c>
      <c r="U565" s="19" t="str">
        <f>TEXT(SalesData[[#This Row],[Order_Date]],"mmm")</f>
        <v>Jul</v>
      </c>
      <c r="V565" s="19" t="str">
        <f>"Q"&amp;ROUNDUP(MONTH(SalesData[[#This Row],[Order_Date]])/3,0)</f>
        <v>Q3</v>
      </c>
      <c r="W565" s="19" t="str">
        <f>IF(SalesData[[#This Row],[Sales]]&gt;=50000,"High",IF(AND(SalesData[[#This Row],[Sales]]&gt;= 20000, SalesData[[#This Row],[Sales]]&lt; 50000),"Medium","Low"))</f>
        <v>High</v>
      </c>
      <c r="X565" s="19" t="str">
        <f>IF(SalesData[[#This Row],[Profit]]&gt;0,"Profit","Loss")</f>
        <v>Profit</v>
      </c>
      <c r="Y565" s="19" t="str">
        <f>IF(AND(SalesData[[#This Row],[Sales]]&gt;= 50000, SalesData[[#This Row],[Quantity]]&gt;=2),"Yes","No")</f>
        <v>Yes</v>
      </c>
      <c r="Z565" s="19" t="str">
        <f>UPPER(SalesData[[#This Row],[Customer_Name]])</f>
        <v>KAVYA NAIR</v>
      </c>
      <c r="AA565" s="19" t="str">
        <f>LOWER(SalesData[[#This Row],[Customer_Name]])</f>
        <v>kavya nair</v>
      </c>
      <c r="AB565" s="19">
        <f>LEN(SalesData[[#This Row],[Customer_Name]])</f>
        <v>10</v>
      </c>
      <c r="AC565" s="19" t="str">
        <f>LEFT(SalesData[[#This Row],[Order_ID]],3)</f>
        <v>ORD</v>
      </c>
      <c r="AD565" s="19" t="str">
        <f>RIGHT(SalesData[[#This Row],[Order_ID]],4)</f>
        <v>0339</v>
      </c>
      <c r="AE565" s="19" t="str">
        <f>_xlfn.CONCAT(SalesData[[#This Row],[Clean_Customer_Name]],"-",SalesData[[#This Row],[Region]])</f>
        <v>Kavya Nair-South</v>
      </c>
      <c r="AF565" s="19" t="str">
        <f>MID(SalesData[[#This Row],[Order_ID]],4,4)</f>
        <v>0339</v>
      </c>
      <c r="AG565" s="19" t="e">
        <f ca="1">_xlfn.SINGLE(_xlfn.XLOOKUP(SalesData[[#This Row],[Product]],Product_Master!A:A,Product_Master!B:B,"Not Found"))</f>
        <v>#NAME?</v>
      </c>
      <c r="AH565" s="19" t="str">
        <f>VLOOKUP(SalesData[[#This Row],[Product]],Product_Master!$A$1:$B$21,2,FALSE)</f>
        <v>Rahul</v>
      </c>
      <c r="AI565" s="16"/>
    </row>
    <row r="566" spans="1:35" ht="13.8">
      <c r="A566" s="16" t="s">
        <v>598</v>
      </c>
      <c r="B566" s="17">
        <v>45401</v>
      </c>
      <c r="C566" s="16" t="s">
        <v>207</v>
      </c>
      <c r="D566" s="16" t="s">
        <v>208</v>
      </c>
      <c r="E566" s="16" t="s">
        <v>30</v>
      </c>
      <c r="F566" s="16" t="s">
        <v>31</v>
      </c>
      <c r="G566" s="16" t="s">
        <v>21</v>
      </c>
      <c r="H566" s="16" t="s">
        <v>32</v>
      </c>
      <c r="I566" s="16" t="s">
        <v>56</v>
      </c>
      <c r="J566" s="16" t="s">
        <v>57</v>
      </c>
      <c r="K566" s="18">
        <v>54356.45</v>
      </c>
      <c r="L566" s="18">
        <v>46856.36</v>
      </c>
      <c r="M566" s="19">
        <v>1</v>
      </c>
      <c r="N566" s="20">
        <v>0</v>
      </c>
      <c r="O566" s="19" t="s">
        <v>76</v>
      </c>
      <c r="P566" s="19" t="s">
        <v>45</v>
      </c>
      <c r="Q566" s="19" t="str">
        <f>TRIM(SalesData[[#This Row],[Customer_Name]])</f>
        <v>Kavya Nair</v>
      </c>
      <c r="R566" s="21">
        <f>SalesData[[#This Row],[Sales]]-SalesData[[#This Row],[Cost]]</f>
        <v>7500.0899999999965</v>
      </c>
      <c r="S566" s="22">
        <f>IFERROR(SalesData[[#This Row],[Profit]]/SalesData[[#This Row],[Sales]],0)</f>
        <v>0.13797976137146553</v>
      </c>
      <c r="T566" s="19">
        <f>YEAR(SalesData[[#This Row],[Order_Date]])</f>
        <v>2024</v>
      </c>
      <c r="U566" s="19" t="str">
        <f>TEXT(SalesData[[#This Row],[Order_Date]],"mmm")</f>
        <v>Apr</v>
      </c>
      <c r="V566" s="19" t="str">
        <f>"Q"&amp;ROUNDUP(MONTH(SalesData[[#This Row],[Order_Date]])/3,0)</f>
        <v>Q2</v>
      </c>
      <c r="W566" s="19" t="str">
        <f>IF(SalesData[[#This Row],[Sales]]&gt;=50000,"High",IF(AND(SalesData[[#This Row],[Sales]]&gt;= 20000, SalesData[[#This Row],[Sales]]&lt; 50000),"Medium","Low"))</f>
        <v>High</v>
      </c>
      <c r="X566" s="19" t="str">
        <f>IF(SalesData[[#This Row],[Profit]]&gt;0,"Profit","Loss")</f>
        <v>Profit</v>
      </c>
      <c r="Y566" s="19" t="str">
        <f>IF(AND(SalesData[[#This Row],[Sales]]&gt;= 50000, SalesData[[#This Row],[Quantity]]&gt;=2),"Yes","No")</f>
        <v>No</v>
      </c>
      <c r="Z566" s="19" t="str">
        <f>UPPER(SalesData[[#This Row],[Customer_Name]])</f>
        <v>KAVYA NAIR</v>
      </c>
      <c r="AA566" s="19" t="str">
        <f>LOWER(SalesData[[#This Row],[Customer_Name]])</f>
        <v>kavya nair</v>
      </c>
      <c r="AB566" s="19">
        <f>LEN(SalesData[[#This Row],[Customer_Name]])</f>
        <v>10</v>
      </c>
      <c r="AC566" s="19" t="str">
        <f>LEFT(SalesData[[#This Row],[Order_ID]],3)</f>
        <v>ORD</v>
      </c>
      <c r="AD566" s="19" t="str">
        <f>RIGHT(SalesData[[#This Row],[Order_ID]],4)</f>
        <v>0445</v>
      </c>
      <c r="AE566" s="19" t="str">
        <f>_xlfn.CONCAT(SalesData[[#This Row],[Clean_Customer_Name]],"-",SalesData[[#This Row],[Region]])</f>
        <v>Kavya Nair-West</v>
      </c>
      <c r="AF566" s="19" t="str">
        <f>MID(SalesData[[#This Row],[Order_ID]],4,4)</f>
        <v>0445</v>
      </c>
      <c r="AG566" s="19" t="e">
        <f ca="1">_xlfn.SINGLE(_xlfn.XLOOKUP(SalesData[[#This Row],[Product]],Product_Master!A:A,Product_Master!B:B,"Not Found"))</f>
        <v>#NAME?</v>
      </c>
      <c r="AH566" s="19" t="str">
        <f>VLOOKUP(SalesData[[#This Row],[Product]],Product_Master!$A$1:$B$21,2,FALSE)</f>
        <v>Rahul</v>
      </c>
      <c r="AI566" s="16"/>
    </row>
    <row r="567" spans="1:35" ht="13.8">
      <c r="A567" s="16" t="s">
        <v>846</v>
      </c>
      <c r="B567" s="17">
        <v>45533</v>
      </c>
      <c r="C567" s="16" t="s">
        <v>207</v>
      </c>
      <c r="D567" s="16" t="s">
        <v>208</v>
      </c>
      <c r="E567" s="16" t="s">
        <v>30</v>
      </c>
      <c r="F567" s="16" t="s">
        <v>31</v>
      </c>
      <c r="G567" s="16" t="s">
        <v>21</v>
      </c>
      <c r="H567" s="16" t="s">
        <v>32</v>
      </c>
      <c r="I567" s="16" t="s">
        <v>56</v>
      </c>
      <c r="J567" s="16" t="s">
        <v>57</v>
      </c>
      <c r="K567" s="18">
        <v>119438.88</v>
      </c>
      <c r="L567" s="18">
        <v>88656.16</v>
      </c>
      <c r="M567" s="19">
        <v>2</v>
      </c>
      <c r="N567" s="20">
        <v>0</v>
      </c>
      <c r="O567" s="19" t="s">
        <v>34</v>
      </c>
      <c r="P567" s="19" t="s">
        <v>77</v>
      </c>
      <c r="Q567" s="19" t="str">
        <f>TRIM(SalesData[[#This Row],[Customer_Name]])</f>
        <v>Kavya Nair</v>
      </c>
      <c r="R567" s="21">
        <f>SalesData[[#This Row],[Sales]]-SalesData[[#This Row],[Cost]]</f>
        <v>30782.720000000001</v>
      </c>
      <c r="S567" s="22">
        <f>IFERROR(SalesData[[#This Row],[Profit]]/SalesData[[#This Row],[Sales]],0)</f>
        <v>0.25772780186820238</v>
      </c>
      <c r="T567" s="19">
        <f>YEAR(SalesData[[#This Row],[Order_Date]])</f>
        <v>2024</v>
      </c>
      <c r="U567" s="19" t="str">
        <f>TEXT(SalesData[[#This Row],[Order_Date]],"mmm")</f>
        <v>Aug</v>
      </c>
      <c r="V567" s="19" t="str">
        <f>"Q"&amp;ROUNDUP(MONTH(SalesData[[#This Row],[Order_Date]])/3,0)</f>
        <v>Q3</v>
      </c>
      <c r="W567" s="19" t="str">
        <f>IF(SalesData[[#This Row],[Sales]]&gt;=50000,"High",IF(AND(SalesData[[#This Row],[Sales]]&gt;= 20000, SalesData[[#This Row],[Sales]]&lt; 50000),"Medium","Low"))</f>
        <v>High</v>
      </c>
      <c r="X567" s="19" t="str">
        <f>IF(SalesData[[#This Row],[Profit]]&gt;0,"Profit","Loss")</f>
        <v>Profit</v>
      </c>
      <c r="Y567" s="19" t="str">
        <f>IF(AND(SalesData[[#This Row],[Sales]]&gt;= 50000, SalesData[[#This Row],[Quantity]]&gt;=2),"Yes","No")</f>
        <v>Yes</v>
      </c>
      <c r="Z567" s="19" t="str">
        <f>UPPER(SalesData[[#This Row],[Customer_Name]])</f>
        <v>KAVYA NAIR</v>
      </c>
      <c r="AA567" s="19" t="str">
        <f>LOWER(SalesData[[#This Row],[Customer_Name]])</f>
        <v>kavya nair</v>
      </c>
      <c r="AB567" s="19">
        <f>LEN(SalesData[[#This Row],[Customer_Name]])</f>
        <v>10</v>
      </c>
      <c r="AC567" s="19" t="str">
        <f>LEFT(SalesData[[#This Row],[Order_ID]],3)</f>
        <v>ORD</v>
      </c>
      <c r="AD567" s="19" t="str">
        <f>RIGHT(SalesData[[#This Row],[Order_ID]],4)</f>
        <v>0693</v>
      </c>
      <c r="AE567" s="19" t="str">
        <f>_xlfn.CONCAT(SalesData[[#This Row],[Clean_Customer_Name]],"-",SalesData[[#This Row],[Region]])</f>
        <v>Kavya Nair-West</v>
      </c>
      <c r="AF567" s="19" t="str">
        <f>MID(SalesData[[#This Row],[Order_ID]],4,4)</f>
        <v>0693</v>
      </c>
      <c r="AG567" s="19" t="e">
        <f ca="1">_xlfn.SINGLE(_xlfn.XLOOKUP(SalesData[[#This Row],[Product]],Product_Master!A:A,Product_Master!B:B,"Not Found"))</f>
        <v>#NAME?</v>
      </c>
      <c r="AH567" s="19" t="str">
        <f>VLOOKUP(SalesData[[#This Row],[Product]],Product_Master!$A$1:$B$21,2,FALSE)</f>
        <v>Rahul</v>
      </c>
      <c r="AI567" s="16"/>
    </row>
    <row r="568" spans="1:35" ht="13.8">
      <c r="A568" s="16" t="s">
        <v>206</v>
      </c>
      <c r="B568" s="17">
        <v>45722</v>
      </c>
      <c r="C568" s="16" t="s">
        <v>207</v>
      </c>
      <c r="D568" s="16" t="s">
        <v>208</v>
      </c>
      <c r="E568" s="16" t="s">
        <v>81</v>
      </c>
      <c r="F568" s="16" t="s">
        <v>82</v>
      </c>
      <c r="G568" s="16" t="s">
        <v>21</v>
      </c>
      <c r="H568" s="16" t="s">
        <v>83</v>
      </c>
      <c r="I568" s="16" t="s">
        <v>84</v>
      </c>
      <c r="J568" s="16" t="s">
        <v>85</v>
      </c>
      <c r="K568" s="18">
        <v>115310.96</v>
      </c>
      <c r="L568" s="18">
        <v>77829.679999999993</v>
      </c>
      <c r="M568" s="19">
        <v>4</v>
      </c>
      <c r="N568" s="20">
        <v>0</v>
      </c>
      <c r="O568" s="19" t="s">
        <v>34</v>
      </c>
      <c r="P568" s="19" t="s">
        <v>26</v>
      </c>
      <c r="Q568" s="19" t="str">
        <f>TRIM(SalesData[[#This Row],[Customer_Name]])</f>
        <v>Kavya Nair</v>
      </c>
      <c r="R568" s="21">
        <f>SalesData[[#This Row],[Sales]]-SalesData[[#This Row],[Cost]]</f>
        <v>37481.280000000013</v>
      </c>
      <c r="S568" s="22">
        <f>IFERROR(SalesData[[#This Row],[Profit]]/SalesData[[#This Row],[Sales]],0)</f>
        <v>0.32504525155284469</v>
      </c>
      <c r="T568" s="19">
        <f>YEAR(SalesData[[#This Row],[Order_Date]])</f>
        <v>2025</v>
      </c>
      <c r="U568" s="19" t="str">
        <f>TEXT(SalesData[[#This Row],[Order_Date]],"mmm")</f>
        <v>Mar</v>
      </c>
      <c r="V568" s="19" t="str">
        <f>"Q"&amp;ROUNDUP(MONTH(SalesData[[#This Row],[Order_Date]])/3,0)</f>
        <v>Q1</v>
      </c>
      <c r="W568" s="19" t="str">
        <f>IF(SalesData[[#This Row],[Sales]]&gt;=50000,"High",IF(AND(SalesData[[#This Row],[Sales]]&gt;= 20000, SalesData[[#This Row],[Sales]]&lt; 50000),"Medium","Low"))</f>
        <v>High</v>
      </c>
      <c r="X568" s="19" t="str">
        <f>IF(SalesData[[#This Row],[Profit]]&gt;0,"Profit","Loss")</f>
        <v>Profit</v>
      </c>
      <c r="Y568" s="19" t="str">
        <f>IF(AND(SalesData[[#This Row],[Sales]]&gt;= 50000, SalesData[[#This Row],[Quantity]]&gt;=2),"Yes","No")</f>
        <v>Yes</v>
      </c>
      <c r="Z568" s="19" t="str">
        <f>UPPER(SalesData[[#This Row],[Customer_Name]])</f>
        <v>KAVYA NAIR</v>
      </c>
      <c r="AA568" s="19" t="str">
        <f>LOWER(SalesData[[#This Row],[Customer_Name]])</f>
        <v>kavya nair</v>
      </c>
      <c r="AB568" s="19">
        <f>LEN(SalesData[[#This Row],[Customer_Name]])</f>
        <v>10</v>
      </c>
      <c r="AC568" s="19" t="str">
        <f>LEFT(SalesData[[#This Row],[Order_ID]],3)</f>
        <v>ORD</v>
      </c>
      <c r="AD568" s="19" t="str">
        <f>RIGHT(SalesData[[#This Row],[Order_ID]],4)</f>
        <v>0059</v>
      </c>
      <c r="AE568" s="19" t="str">
        <f>_xlfn.CONCAT(SalesData[[#This Row],[Clean_Customer_Name]],"-",SalesData[[#This Row],[Region]])</f>
        <v>Kavya Nair-South</v>
      </c>
      <c r="AF568" s="19" t="str">
        <f>MID(SalesData[[#This Row],[Order_ID]],4,4)</f>
        <v>0059</v>
      </c>
      <c r="AG568" s="19" t="e">
        <f ca="1">_xlfn.SINGLE(_xlfn.XLOOKUP(SalesData[[#This Row],[Product]],Product_Master!A:A,Product_Master!B:B,"Not Found"))</f>
        <v>#NAME?</v>
      </c>
      <c r="AH568" s="19" t="str">
        <f>VLOOKUP(SalesData[[#This Row],[Product]],Product_Master!$A$1:$B$21,2,FALSE)</f>
        <v>Priya</v>
      </c>
      <c r="AI568" s="16"/>
    </row>
    <row r="569" spans="1:35" ht="13.8">
      <c r="A569" s="16" t="s">
        <v>245</v>
      </c>
      <c r="B569" s="17">
        <v>45822</v>
      </c>
      <c r="C569" s="16" t="s">
        <v>207</v>
      </c>
      <c r="D569" s="16" t="s">
        <v>208</v>
      </c>
      <c r="E569" s="16" t="s">
        <v>81</v>
      </c>
      <c r="F569" s="16" t="s">
        <v>82</v>
      </c>
      <c r="G569" s="16" t="s">
        <v>21</v>
      </c>
      <c r="H569" s="16" t="s">
        <v>83</v>
      </c>
      <c r="I569" s="16" t="s">
        <v>84</v>
      </c>
      <c r="J569" s="16" t="s">
        <v>85</v>
      </c>
      <c r="K569" s="18">
        <v>70271.98</v>
      </c>
      <c r="L569" s="18">
        <v>55324.44</v>
      </c>
      <c r="M569" s="19">
        <v>3</v>
      </c>
      <c r="N569" s="20">
        <v>0.15</v>
      </c>
      <c r="O569" s="19" t="s">
        <v>25</v>
      </c>
      <c r="P569" s="19" t="s">
        <v>58</v>
      </c>
      <c r="Q569" s="19" t="str">
        <f>TRIM(SalesData[[#This Row],[Customer_Name]])</f>
        <v>Kavya Nair</v>
      </c>
      <c r="R569" s="21">
        <f>SalesData[[#This Row],[Sales]]-SalesData[[#This Row],[Cost]]</f>
        <v>14947.539999999994</v>
      </c>
      <c r="S569" s="22">
        <f>IFERROR(SalesData[[#This Row],[Profit]]/SalesData[[#This Row],[Sales]],0)</f>
        <v>0.21270981691422378</v>
      </c>
      <c r="T569" s="19">
        <f>YEAR(SalesData[[#This Row],[Order_Date]])</f>
        <v>2025</v>
      </c>
      <c r="U569" s="19" t="str">
        <f>TEXT(SalesData[[#This Row],[Order_Date]],"mmm")</f>
        <v>Jun</v>
      </c>
      <c r="V569" s="19" t="str">
        <f>"Q"&amp;ROUNDUP(MONTH(SalesData[[#This Row],[Order_Date]])/3,0)</f>
        <v>Q2</v>
      </c>
      <c r="W569" s="19" t="str">
        <f>IF(SalesData[[#This Row],[Sales]]&gt;=50000,"High",IF(AND(SalesData[[#This Row],[Sales]]&gt;= 20000, SalesData[[#This Row],[Sales]]&lt; 50000),"Medium","Low"))</f>
        <v>High</v>
      </c>
      <c r="X569" s="19" t="str">
        <f>IF(SalesData[[#This Row],[Profit]]&gt;0,"Profit","Loss")</f>
        <v>Profit</v>
      </c>
      <c r="Y569" s="19" t="str">
        <f>IF(AND(SalesData[[#This Row],[Sales]]&gt;= 50000, SalesData[[#This Row],[Quantity]]&gt;=2),"Yes","No")</f>
        <v>Yes</v>
      </c>
      <c r="Z569" s="19" t="str">
        <f>UPPER(SalesData[[#This Row],[Customer_Name]])</f>
        <v>KAVYA NAIR</v>
      </c>
      <c r="AA569" s="19" t="str">
        <f>LOWER(SalesData[[#This Row],[Customer_Name]])</f>
        <v>kavya nair</v>
      </c>
      <c r="AB569" s="19">
        <f>LEN(SalesData[[#This Row],[Customer_Name]])</f>
        <v>10</v>
      </c>
      <c r="AC569" s="19" t="str">
        <f>LEFT(SalesData[[#This Row],[Order_ID]],3)</f>
        <v>ORD</v>
      </c>
      <c r="AD569" s="19" t="str">
        <f>RIGHT(SalesData[[#This Row],[Order_ID]],4)</f>
        <v>0094</v>
      </c>
      <c r="AE569" s="19" t="str">
        <f>_xlfn.CONCAT(SalesData[[#This Row],[Clean_Customer_Name]],"-",SalesData[[#This Row],[Region]])</f>
        <v>Kavya Nair-South</v>
      </c>
      <c r="AF569" s="19" t="str">
        <f>MID(SalesData[[#This Row],[Order_ID]],4,4)</f>
        <v>0094</v>
      </c>
      <c r="AG569" s="19" t="e">
        <f ca="1">_xlfn.SINGLE(_xlfn.XLOOKUP(SalesData[[#This Row],[Product]],Product_Master!A:A,Product_Master!B:B,"Not Found"))</f>
        <v>#NAME?</v>
      </c>
      <c r="AH569" s="19" t="str">
        <f>VLOOKUP(SalesData[[#This Row],[Product]],Product_Master!$A$1:$B$21,2,FALSE)</f>
        <v>Priya</v>
      </c>
      <c r="AI569" s="16"/>
    </row>
    <row r="570" spans="1:35" ht="13.8">
      <c r="A570" s="16" t="s">
        <v>408</v>
      </c>
      <c r="B570" s="17">
        <v>45518</v>
      </c>
      <c r="C570" s="16" t="s">
        <v>207</v>
      </c>
      <c r="D570" s="16" t="s">
        <v>208</v>
      </c>
      <c r="E570" s="16" t="s">
        <v>81</v>
      </c>
      <c r="F570" s="16" t="s">
        <v>82</v>
      </c>
      <c r="G570" s="16" t="s">
        <v>21</v>
      </c>
      <c r="H570" s="16" t="s">
        <v>83</v>
      </c>
      <c r="I570" s="16" t="s">
        <v>42</v>
      </c>
      <c r="J570" s="16" t="s">
        <v>43</v>
      </c>
      <c r="K570" s="18">
        <v>45393.82</v>
      </c>
      <c r="L570" s="18">
        <v>32516.78</v>
      </c>
      <c r="M570" s="19">
        <v>2</v>
      </c>
      <c r="N570" s="20">
        <v>0.2</v>
      </c>
      <c r="O570" s="19" t="s">
        <v>34</v>
      </c>
      <c r="P570" s="19" t="s">
        <v>26</v>
      </c>
      <c r="Q570" s="19" t="str">
        <f>TRIM(SalesData[[#This Row],[Customer_Name]])</f>
        <v>Kavya Nair</v>
      </c>
      <c r="R570" s="21">
        <f>SalesData[[#This Row],[Sales]]-SalesData[[#This Row],[Cost]]</f>
        <v>12877.04</v>
      </c>
      <c r="S570" s="22">
        <f>IFERROR(SalesData[[#This Row],[Profit]]/SalesData[[#This Row],[Sales]],0)</f>
        <v>0.28367385692589875</v>
      </c>
      <c r="T570" s="19">
        <f>YEAR(SalesData[[#This Row],[Order_Date]])</f>
        <v>2024</v>
      </c>
      <c r="U570" s="19" t="str">
        <f>TEXT(SalesData[[#This Row],[Order_Date]],"mmm")</f>
        <v>Aug</v>
      </c>
      <c r="V570" s="19" t="str">
        <f>"Q"&amp;ROUNDUP(MONTH(SalesData[[#This Row],[Order_Date]])/3,0)</f>
        <v>Q3</v>
      </c>
      <c r="W570" s="19" t="str">
        <f>IF(SalesData[[#This Row],[Sales]]&gt;=50000,"High",IF(AND(SalesData[[#This Row],[Sales]]&gt;= 20000, SalesData[[#This Row],[Sales]]&lt; 50000),"Medium","Low"))</f>
        <v>Medium</v>
      </c>
      <c r="X570" s="19" t="str">
        <f>IF(SalesData[[#This Row],[Profit]]&gt;0,"Profit","Loss")</f>
        <v>Profit</v>
      </c>
      <c r="Y570" s="19" t="str">
        <f>IF(AND(SalesData[[#This Row],[Sales]]&gt;= 50000, SalesData[[#This Row],[Quantity]]&gt;=2),"Yes","No")</f>
        <v>No</v>
      </c>
      <c r="Z570" s="19" t="str">
        <f>UPPER(SalesData[[#This Row],[Customer_Name]])</f>
        <v>KAVYA NAIR</v>
      </c>
      <c r="AA570" s="19" t="str">
        <f>LOWER(SalesData[[#This Row],[Customer_Name]])</f>
        <v>kavya nair</v>
      </c>
      <c r="AB570" s="19">
        <f>LEN(SalesData[[#This Row],[Customer_Name]])</f>
        <v>10</v>
      </c>
      <c r="AC570" s="19" t="str">
        <f>LEFT(SalesData[[#This Row],[Order_ID]],3)</f>
        <v>ORD</v>
      </c>
      <c r="AD570" s="19" t="str">
        <f>RIGHT(SalesData[[#This Row],[Order_ID]],4)</f>
        <v>0255</v>
      </c>
      <c r="AE570" s="19" t="str">
        <f>_xlfn.CONCAT(SalesData[[#This Row],[Clean_Customer_Name]],"-",SalesData[[#This Row],[Region]])</f>
        <v>Kavya Nair-East</v>
      </c>
      <c r="AF570" s="19" t="str">
        <f>MID(SalesData[[#This Row],[Order_ID]],4,4)</f>
        <v>0255</v>
      </c>
      <c r="AG570" s="19" t="e">
        <f ca="1">_xlfn.SINGLE(_xlfn.XLOOKUP(SalesData[[#This Row],[Product]],Product_Master!A:A,Product_Master!B:B,"Not Found"))</f>
        <v>#NAME?</v>
      </c>
      <c r="AH570" s="19" t="str">
        <f>VLOOKUP(SalesData[[#This Row],[Product]],Product_Master!$A$1:$B$21,2,FALSE)</f>
        <v>Priya</v>
      </c>
      <c r="AI570" s="16"/>
    </row>
    <row r="571" spans="1:35" ht="13.8">
      <c r="A571" s="16" t="s">
        <v>771</v>
      </c>
      <c r="B571" s="17">
        <v>45650</v>
      </c>
      <c r="C571" s="16" t="s">
        <v>207</v>
      </c>
      <c r="D571" s="16" t="s">
        <v>208</v>
      </c>
      <c r="E571" s="16" t="s">
        <v>81</v>
      </c>
      <c r="F571" s="16" t="s">
        <v>82</v>
      </c>
      <c r="G571" s="16" t="s">
        <v>21</v>
      </c>
      <c r="H571" s="16" t="s">
        <v>83</v>
      </c>
      <c r="I571" s="16" t="s">
        <v>84</v>
      </c>
      <c r="J571" s="16" t="s">
        <v>134</v>
      </c>
      <c r="K571" s="18">
        <v>110727.67999999999</v>
      </c>
      <c r="L571" s="18">
        <v>95508.800000000003</v>
      </c>
      <c r="M571" s="19">
        <v>5</v>
      </c>
      <c r="N571" s="20">
        <v>0.05</v>
      </c>
      <c r="O571" s="19" t="s">
        <v>44</v>
      </c>
      <c r="P571" s="19" t="s">
        <v>45</v>
      </c>
      <c r="Q571" s="19" t="str">
        <f>TRIM(SalesData[[#This Row],[Customer_Name]])</f>
        <v>Kavya Nair</v>
      </c>
      <c r="R571" s="21">
        <f>SalesData[[#This Row],[Sales]]-SalesData[[#This Row],[Cost]]</f>
        <v>15218.87999999999</v>
      </c>
      <c r="S571" s="22">
        <f>IFERROR(SalesData[[#This Row],[Profit]]/SalesData[[#This Row],[Sales]],0)</f>
        <v>0.13744422352206775</v>
      </c>
      <c r="T571" s="19">
        <f>YEAR(SalesData[[#This Row],[Order_Date]])</f>
        <v>2024</v>
      </c>
      <c r="U571" s="19" t="str">
        <f>TEXT(SalesData[[#This Row],[Order_Date]],"mmm")</f>
        <v>Dec</v>
      </c>
      <c r="V571" s="19" t="str">
        <f>"Q"&amp;ROUNDUP(MONTH(SalesData[[#This Row],[Order_Date]])/3,0)</f>
        <v>Q4</v>
      </c>
      <c r="W571" s="19" t="str">
        <f>IF(SalesData[[#This Row],[Sales]]&gt;=50000,"High",IF(AND(SalesData[[#This Row],[Sales]]&gt;= 20000, SalesData[[#This Row],[Sales]]&lt; 50000),"Medium","Low"))</f>
        <v>High</v>
      </c>
      <c r="X571" s="19" t="str">
        <f>IF(SalesData[[#This Row],[Profit]]&gt;0,"Profit","Loss")</f>
        <v>Profit</v>
      </c>
      <c r="Y571" s="19" t="str">
        <f>IF(AND(SalesData[[#This Row],[Sales]]&gt;= 50000, SalesData[[#This Row],[Quantity]]&gt;=2),"Yes","No")</f>
        <v>Yes</v>
      </c>
      <c r="Z571" s="19" t="str">
        <f>UPPER(SalesData[[#This Row],[Customer_Name]])</f>
        <v>KAVYA NAIR</v>
      </c>
      <c r="AA571" s="19" t="str">
        <f>LOWER(SalesData[[#This Row],[Customer_Name]])</f>
        <v>kavya nair</v>
      </c>
      <c r="AB571" s="19">
        <f>LEN(SalesData[[#This Row],[Customer_Name]])</f>
        <v>10</v>
      </c>
      <c r="AC571" s="19" t="str">
        <f>LEFT(SalesData[[#This Row],[Order_ID]],3)</f>
        <v>ORD</v>
      </c>
      <c r="AD571" s="19" t="str">
        <f>RIGHT(SalesData[[#This Row],[Order_ID]],4)</f>
        <v>0618</v>
      </c>
      <c r="AE571" s="19" t="str">
        <f>_xlfn.CONCAT(SalesData[[#This Row],[Clean_Customer_Name]],"-",SalesData[[#This Row],[Region]])</f>
        <v>Kavya Nair-South</v>
      </c>
      <c r="AF571" s="19" t="str">
        <f>MID(SalesData[[#This Row],[Order_ID]],4,4)</f>
        <v>0618</v>
      </c>
      <c r="AG571" s="19" t="e">
        <f ca="1">_xlfn.SINGLE(_xlfn.XLOOKUP(SalesData[[#This Row],[Product]],Product_Master!A:A,Product_Master!B:B,"Not Found"))</f>
        <v>#NAME?</v>
      </c>
      <c r="AH571" s="19" t="str">
        <f>VLOOKUP(SalesData[[#This Row],[Product]],Product_Master!$A$1:$B$21,2,FALSE)</f>
        <v>Priya</v>
      </c>
      <c r="AI571" s="16"/>
    </row>
    <row r="572" spans="1:35" ht="13.8">
      <c r="A572" s="16" t="s">
        <v>528</v>
      </c>
      <c r="B572" s="17">
        <v>45969</v>
      </c>
      <c r="C572" s="16" t="s">
        <v>207</v>
      </c>
      <c r="D572" s="16" t="s">
        <v>208</v>
      </c>
      <c r="E572" s="16" t="s">
        <v>62</v>
      </c>
      <c r="F572" s="16" t="s">
        <v>63</v>
      </c>
      <c r="G572" s="16" t="s">
        <v>21</v>
      </c>
      <c r="H572" s="16" t="s">
        <v>64</v>
      </c>
      <c r="I572" s="16" t="s">
        <v>84</v>
      </c>
      <c r="J572" s="16" t="s">
        <v>142</v>
      </c>
      <c r="K572" s="18">
        <v>11641.73</v>
      </c>
      <c r="L572" s="18">
        <v>8964.6</v>
      </c>
      <c r="M572" s="19">
        <v>5</v>
      </c>
      <c r="N572" s="20">
        <v>0.05</v>
      </c>
      <c r="O572" s="19" t="s">
        <v>76</v>
      </c>
      <c r="P572" s="19" t="s">
        <v>45</v>
      </c>
      <c r="Q572" s="19" t="str">
        <f>TRIM(SalesData[[#This Row],[Customer_Name]])</f>
        <v>Kavya Nair</v>
      </c>
      <c r="R572" s="21">
        <f>SalesData[[#This Row],[Sales]]-SalesData[[#This Row],[Cost]]</f>
        <v>2677.1299999999992</v>
      </c>
      <c r="S572" s="22">
        <f>IFERROR(SalesData[[#This Row],[Profit]]/SalesData[[#This Row],[Sales]],0)</f>
        <v>0.22995980837899516</v>
      </c>
      <c r="T572" s="19">
        <f>YEAR(SalesData[[#This Row],[Order_Date]])</f>
        <v>2025</v>
      </c>
      <c r="U572" s="19" t="str">
        <f>TEXT(SalesData[[#This Row],[Order_Date]],"mmm")</f>
        <v>Nov</v>
      </c>
      <c r="V572" s="19" t="str">
        <f>"Q"&amp;ROUNDUP(MONTH(SalesData[[#This Row],[Order_Date]])/3,0)</f>
        <v>Q4</v>
      </c>
      <c r="W572" s="19" t="str">
        <f>IF(SalesData[[#This Row],[Sales]]&gt;=50000,"High",IF(AND(SalesData[[#This Row],[Sales]]&gt;= 20000, SalesData[[#This Row],[Sales]]&lt; 50000),"Medium","Low"))</f>
        <v>Low</v>
      </c>
      <c r="X572" s="19" t="str">
        <f>IF(SalesData[[#This Row],[Profit]]&gt;0,"Profit","Loss")</f>
        <v>Profit</v>
      </c>
      <c r="Y572" s="19" t="str">
        <f>IF(AND(SalesData[[#This Row],[Sales]]&gt;= 50000, SalesData[[#This Row],[Quantity]]&gt;=2),"Yes","No")</f>
        <v>No</v>
      </c>
      <c r="Z572" s="19" t="str">
        <f>UPPER(SalesData[[#This Row],[Customer_Name]])</f>
        <v>KAVYA NAIR</v>
      </c>
      <c r="AA572" s="19" t="str">
        <f>LOWER(SalesData[[#This Row],[Customer_Name]])</f>
        <v>kavya nair</v>
      </c>
      <c r="AB572" s="19">
        <f>LEN(SalesData[[#This Row],[Customer_Name]])</f>
        <v>10</v>
      </c>
      <c r="AC572" s="19" t="str">
        <f>LEFT(SalesData[[#This Row],[Order_ID]],3)</f>
        <v>ORD</v>
      </c>
      <c r="AD572" s="19" t="str">
        <f>RIGHT(SalesData[[#This Row],[Order_ID]],4)</f>
        <v>0375</v>
      </c>
      <c r="AE572" s="19" t="str">
        <f>_xlfn.CONCAT(SalesData[[#This Row],[Clean_Customer_Name]],"-",SalesData[[#This Row],[Region]])</f>
        <v>Kavya Nair-South</v>
      </c>
      <c r="AF572" s="19" t="str">
        <f>MID(SalesData[[#This Row],[Order_ID]],4,4)</f>
        <v>0375</v>
      </c>
      <c r="AG572" s="19" t="e">
        <f ca="1">_xlfn.SINGLE(_xlfn.XLOOKUP(SalesData[[#This Row],[Product]],Product_Master!A:A,Product_Master!B:B,"Not Found"))</f>
        <v>#NAME?</v>
      </c>
      <c r="AH572" s="19" t="str">
        <f>VLOOKUP(SalesData[[#This Row],[Product]],Product_Master!$A$1:$B$21,2,FALSE)</f>
        <v>Amit</v>
      </c>
      <c r="AI572" s="16"/>
    </row>
    <row r="573" spans="1:35" ht="13.8">
      <c r="A573" s="16" t="s">
        <v>968</v>
      </c>
      <c r="B573" s="17">
        <v>45802</v>
      </c>
      <c r="C573" s="16" t="s">
        <v>207</v>
      </c>
      <c r="D573" s="16" t="s">
        <v>208</v>
      </c>
      <c r="E573" s="16" t="s">
        <v>62</v>
      </c>
      <c r="F573" s="16" t="s">
        <v>63</v>
      </c>
      <c r="G573" s="16" t="s">
        <v>21</v>
      </c>
      <c r="H573" s="16" t="s">
        <v>64</v>
      </c>
      <c r="I573" s="16" t="s">
        <v>84</v>
      </c>
      <c r="J573" s="16" t="s">
        <v>85</v>
      </c>
      <c r="K573" s="18">
        <v>2132.41</v>
      </c>
      <c r="L573" s="18">
        <v>1939.45</v>
      </c>
      <c r="M573" s="19">
        <v>1</v>
      </c>
      <c r="N573" s="20">
        <v>0</v>
      </c>
      <c r="O573" s="19" t="s">
        <v>136</v>
      </c>
      <c r="P573" s="19" t="s">
        <v>77</v>
      </c>
      <c r="Q573" s="19" t="str">
        <f>TRIM(SalesData[[#This Row],[Customer_Name]])</f>
        <v>Kavya Nair</v>
      </c>
      <c r="R573" s="21">
        <f>SalesData[[#This Row],[Sales]]-SalesData[[#This Row],[Cost]]</f>
        <v>192.95999999999981</v>
      </c>
      <c r="S573" s="22">
        <f>IFERROR(SalesData[[#This Row],[Profit]]/SalesData[[#This Row],[Sales]],0)</f>
        <v>9.0489164841657949E-2</v>
      </c>
      <c r="T573" s="19">
        <f>YEAR(SalesData[[#This Row],[Order_Date]])</f>
        <v>2025</v>
      </c>
      <c r="U573" s="19" t="str">
        <f>TEXT(SalesData[[#This Row],[Order_Date]],"mmm")</f>
        <v>May</v>
      </c>
      <c r="V573" s="19" t="str">
        <f>"Q"&amp;ROUNDUP(MONTH(SalesData[[#This Row],[Order_Date]])/3,0)</f>
        <v>Q2</v>
      </c>
      <c r="W573" s="19" t="str">
        <f>IF(SalesData[[#This Row],[Sales]]&gt;=50000,"High",IF(AND(SalesData[[#This Row],[Sales]]&gt;= 20000, SalesData[[#This Row],[Sales]]&lt; 50000),"Medium","Low"))</f>
        <v>Low</v>
      </c>
      <c r="X573" s="19" t="str">
        <f>IF(SalesData[[#This Row],[Profit]]&gt;0,"Profit","Loss")</f>
        <v>Profit</v>
      </c>
      <c r="Y573" s="19" t="str">
        <f>IF(AND(SalesData[[#This Row],[Sales]]&gt;= 50000, SalesData[[#This Row],[Quantity]]&gt;=2),"Yes","No")</f>
        <v>No</v>
      </c>
      <c r="Z573" s="19" t="str">
        <f>UPPER(SalesData[[#This Row],[Customer_Name]])</f>
        <v>KAVYA NAIR</v>
      </c>
      <c r="AA573" s="19" t="str">
        <f>LOWER(SalesData[[#This Row],[Customer_Name]])</f>
        <v>kavya nair</v>
      </c>
      <c r="AB573" s="19">
        <f>LEN(SalesData[[#This Row],[Customer_Name]])</f>
        <v>10</v>
      </c>
      <c r="AC573" s="19" t="str">
        <f>LEFT(SalesData[[#This Row],[Order_ID]],3)</f>
        <v>ORD</v>
      </c>
      <c r="AD573" s="19" t="str">
        <f>RIGHT(SalesData[[#This Row],[Order_ID]],4)</f>
        <v>0815</v>
      </c>
      <c r="AE573" s="19" t="str">
        <f>_xlfn.CONCAT(SalesData[[#This Row],[Clean_Customer_Name]],"-",SalesData[[#This Row],[Region]])</f>
        <v>Kavya Nair-South</v>
      </c>
      <c r="AF573" s="19" t="str">
        <f>MID(SalesData[[#This Row],[Order_ID]],4,4)</f>
        <v>0815</v>
      </c>
      <c r="AG573" s="19" t="e">
        <f ca="1">_xlfn.SINGLE(_xlfn.XLOOKUP(SalesData[[#This Row],[Product]],Product_Master!A:A,Product_Master!B:B,"Not Found"))</f>
        <v>#NAME?</v>
      </c>
      <c r="AH573" s="19" t="str">
        <f>VLOOKUP(SalesData[[#This Row],[Product]],Product_Master!$A$1:$B$21,2,FALSE)</f>
        <v>Amit</v>
      </c>
      <c r="AI573" s="16"/>
    </row>
    <row r="574" spans="1:35" ht="13.8">
      <c r="A574" s="16" t="s">
        <v>257</v>
      </c>
      <c r="B574" s="17">
        <v>45940</v>
      </c>
      <c r="C574" s="16" t="s">
        <v>207</v>
      </c>
      <c r="D574" s="16" t="s">
        <v>208</v>
      </c>
      <c r="E574" s="16" t="s">
        <v>19</v>
      </c>
      <c r="F574" s="16" t="s">
        <v>20</v>
      </c>
      <c r="G574" s="16" t="s">
        <v>21</v>
      </c>
      <c r="H574" s="16" t="s">
        <v>22</v>
      </c>
      <c r="I574" s="16" t="s">
        <v>53</v>
      </c>
      <c r="J574" s="16" t="s">
        <v>54</v>
      </c>
      <c r="K574" s="18">
        <v>7274.17</v>
      </c>
      <c r="L574" s="18">
        <v>2966.21</v>
      </c>
      <c r="M574" s="19">
        <v>1</v>
      </c>
      <c r="N574" s="20">
        <v>0</v>
      </c>
      <c r="O574" s="19" t="s">
        <v>25</v>
      </c>
      <c r="P574" s="19" t="s">
        <v>77</v>
      </c>
      <c r="Q574" s="19" t="str">
        <f>TRIM(SalesData[[#This Row],[Customer_Name]])</f>
        <v>Kavya Nair</v>
      </c>
      <c r="R574" s="21">
        <f>SalesData[[#This Row],[Sales]]-SalesData[[#This Row],[Cost]]</f>
        <v>4307.96</v>
      </c>
      <c r="S574" s="22">
        <f>IFERROR(SalesData[[#This Row],[Profit]]/SalesData[[#This Row],[Sales]],0)</f>
        <v>0.5922270169655095</v>
      </c>
      <c r="T574" s="19">
        <f>YEAR(SalesData[[#This Row],[Order_Date]])</f>
        <v>2025</v>
      </c>
      <c r="U574" s="19" t="str">
        <f>TEXT(SalesData[[#This Row],[Order_Date]],"mmm")</f>
        <v>Oct</v>
      </c>
      <c r="V574" s="19" t="str">
        <f>"Q"&amp;ROUNDUP(MONTH(SalesData[[#This Row],[Order_Date]])/3,0)</f>
        <v>Q4</v>
      </c>
      <c r="W574" s="19" t="str">
        <f>IF(SalesData[[#This Row],[Sales]]&gt;=50000,"High",IF(AND(SalesData[[#This Row],[Sales]]&gt;= 20000, SalesData[[#This Row],[Sales]]&lt; 50000),"Medium","Low"))</f>
        <v>Low</v>
      </c>
      <c r="X574" s="19" t="str">
        <f>IF(SalesData[[#This Row],[Profit]]&gt;0,"Profit","Loss")</f>
        <v>Profit</v>
      </c>
      <c r="Y574" s="19" t="str">
        <f>IF(AND(SalesData[[#This Row],[Sales]]&gt;= 50000, SalesData[[#This Row],[Quantity]]&gt;=2),"Yes","No")</f>
        <v>No</v>
      </c>
      <c r="Z574" s="19" t="str">
        <f>UPPER(SalesData[[#This Row],[Customer_Name]])</f>
        <v>KAVYA NAIR</v>
      </c>
      <c r="AA574" s="19" t="str">
        <f>LOWER(SalesData[[#This Row],[Customer_Name]])</f>
        <v>kavya nair</v>
      </c>
      <c r="AB574" s="19">
        <f>LEN(SalesData[[#This Row],[Customer_Name]])</f>
        <v>10</v>
      </c>
      <c r="AC574" s="19" t="str">
        <f>LEFT(SalesData[[#This Row],[Order_ID]],3)</f>
        <v>ORD</v>
      </c>
      <c r="AD574" s="19" t="str">
        <f>RIGHT(SalesData[[#This Row],[Order_ID]],4)</f>
        <v>0106</v>
      </c>
      <c r="AE574" s="19" t="str">
        <f>_xlfn.CONCAT(SalesData[[#This Row],[Clean_Customer_Name]],"-",SalesData[[#This Row],[Region]])</f>
        <v>Kavya Nair-Central</v>
      </c>
      <c r="AF574" s="19" t="str">
        <f>MID(SalesData[[#This Row],[Order_ID]],4,4)</f>
        <v>0106</v>
      </c>
      <c r="AG574" s="19" t="e">
        <f ca="1">_xlfn.SINGLE(_xlfn.XLOOKUP(SalesData[[#This Row],[Product]],Product_Master!A:A,Product_Master!B:B,"Not Found"))</f>
        <v>#NAME?</v>
      </c>
      <c r="AH574" s="19" t="str">
        <f>VLOOKUP(SalesData[[#This Row],[Product]],Product_Master!$A$1:$B$21,2,FALSE)</f>
        <v>Neha</v>
      </c>
      <c r="AI574" s="16"/>
    </row>
    <row r="575" spans="1:35" ht="13.8">
      <c r="A575" s="16" t="s">
        <v>274</v>
      </c>
      <c r="B575" s="17">
        <v>45793</v>
      </c>
      <c r="C575" s="16" t="s">
        <v>207</v>
      </c>
      <c r="D575" s="16" t="s">
        <v>208</v>
      </c>
      <c r="E575" s="16" t="s">
        <v>19</v>
      </c>
      <c r="F575" s="16" t="s">
        <v>20</v>
      </c>
      <c r="G575" s="16" t="s">
        <v>21</v>
      </c>
      <c r="H575" s="16" t="s">
        <v>22</v>
      </c>
      <c r="I575" s="16" t="s">
        <v>53</v>
      </c>
      <c r="J575" s="16" t="s">
        <v>102</v>
      </c>
      <c r="K575" s="18">
        <v>43632.9</v>
      </c>
      <c r="L575" s="18">
        <v>14724.35</v>
      </c>
      <c r="M575" s="19">
        <v>5</v>
      </c>
      <c r="N575" s="20">
        <v>0</v>
      </c>
      <c r="O575" s="19" t="s">
        <v>44</v>
      </c>
      <c r="P575" s="19" t="s">
        <v>58</v>
      </c>
      <c r="Q575" s="19" t="str">
        <f>TRIM(SalesData[[#This Row],[Customer_Name]])</f>
        <v>Kavya Nair</v>
      </c>
      <c r="R575" s="21">
        <f>SalesData[[#This Row],[Sales]]-SalesData[[#This Row],[Cost]]</f>
        <v>28908.550000000003</v>
      </c>
      <c r="S575" s="22">
        <f>IFERROR(SalesData[[#This Row],[Profit]]/SalesData[[#This Row],[Sales]],0)</f>
        <v>0.66254019329450942</v>
      </c>
      <c r="T575" s="19">
        <f>YEAR(SalesData[[#This Row],[Order_Date]])</f>
        <v>2025</v>
      </c>
      <c r="U575" s="19" t="str">
        <f>TEXT(SalesData[[#This Row],[Order_Date]],"mmm")</f>
        <v>May</v>
      </c>
      <c r="V575" s="19" t="str">
        <f>"Q"&amp;ROUNDUP(MONTH(SalesData[[#This Row],[Order_Date]])/3,0)</f>
        <v>Q2</v>
      </c>
      <c r="W575" s="19" t="str">
        <f>IF(SalesData[[#This Row],[Sales]]&gt;=50000,"High",IF(AND(SalesData[[#This Row],[Sales]]&gt;= 20000, SalesData[[#This Row],[Sales]]&lt; 50000),"Medium","Low"))</f>
        <v>Medium</v>
      </c>
      <c r="X575" s="19" t="str">
        <f>IF(SalesData[[#This Row],[Profit]]&gt;0,"Profit","Loss")</f>
        <v>Profit</v>
      </c>
      <c r="Y575" s="19" t="str">
        <f>IF(AND(SalesData[[#This Row],[Sales]]&gt;= 50000, SalesData[[#This Row],[Quantity]]&gt;=2),"Yes","No")</f>
        <v>No</v>
      </c>
      <c r="Z575" s="19" t="str">
        <f>UPPER(SalesData[[#This Row],[Customer_Name]])</f>
        <v>KAVYA NAIR</v>
      </c>
      <c r="AA575" s="19" t="str">
        <f>LOWER(SalesData[[#This Row],[Customer_Name]])</f>
        <v>kavya nair</v>
      </c>
      <c r="AB575" s="19">
        <f>LEN(SalesData[[#This Row],[Customer_Name]])</f>
        <v>10</v>
      </c>
      <c r="AC575" s="19" t="str">
        <f>LEFT(SalesData[[#This Row],[Order_ID]],3)</f>
        <v>ORD</v>
      </c>
      <c r="AD575" s="19" t="str">
        <f>RIGHT(SalesData[[#This Row],[Order_ID]],4)</f>
        <v>0121</v>
      </c>
      <c r="AE575" s="19" t="str">
        <f>_xlfn.CONCAT(SalesData[[#This Row],[Clean_Customer_Name]],"-",SalesData[[#This Row],[Region]])</f>
        <v>Kavya Nair-Central</v>
      </c>
      <c r="AF575" s="19" t="str">
        <f>MID(SalesData[[#This Row],[Order_ID]],4,4)</f>
        <v>0121</v>
      </c>
      <c r="AG575" s="19" t="e">
        <f ca="1">_xlfn.SINGLE(_xlfn.XLOOKUP(SalesData[[#This Row],[Product]],Product_Master!A:A,Product_Master!B:B,"Not Found"))</f>
        <v>#NAME?</v>
      </c>
      <c r="AH575" s="19" t="str">
        <f>VLOOKUP(SalesData[[#This Row],[Product]],Product_Master!$A$1:$B$21,2,FALSE)</f>
        <v>Neha</v>
      </c>
      <c r="AI575" s="16"/>
    </row>
    <row r="576" spans="1:35" ht="13.8">
      <c r="A576" s="16" t="s">
        <v>440</v>
      </c>
      <c r="B576" s="17">
        <v>45392</v>
      </c>
      <c r="C576" s="16" t="s">
        <v>207</v>
      </c>
      <c r="D576" s="16" t="s">
        <v>208</v>
      </c>
      <c r="E576" s="16" t="s">
        <v>19</v>
      </c>
      <c r="F576" s="16" t="s">
        <v>20</v>
      </c>
      <c r="G576" s="16" t="s">
        <v>21</v>
      </c>
      <c r="H576" s="16" t="s">
        <v>22</v>
      </c>
      <c r="I576" s="16" t="s">
        <v>23</v>
      </c>
      <c r="J576" s="16" t="s">
        <v>24</v>
      </c>
      <c r="K576" s="18">
        <v>18173.400000000001</v>
      </c>
      <c r="L576" s="18">
        <v>8499.6</v>
      </c>
      <c r="M576" s="19">
        <v>3</v>
      </c>
      <c r="N576" s="20">
        <v>0.2</v>
      </c>
      <c r="O576" s="19" t="s">
        <v>34</v>
      </c>
      <c r="P576" s="19" t="s">
        <v>58</v>
      </c>
      <c r="Q576" s="19" t="str">
        <f>TRIM(SalesData[[#This Row],[Customer_Name]])</f>
        <v>Kavya Nair</v>
      </c>
      <c r="R576" s="21">
        <f>SalesData[[#This Row],[Sales]]-SalesData[[#This Row],[Cost]]</f>
        <v>9673.8000000000011</v>
      </c>
      <c r="S576" s="22">
        <f>IFERROR(SalesData[[#This Row],[Profit]]/SalesData[[#This Row],[Sales]],0)</f>
        <v>0.53230545742678859</v>
      </c>
      <c r="T576" s="19">
        <f>YEAR(SalesData[[#This Row],[Order_Date]])</f>
        <v>2024</v>
      </c>
      <c r="U576" s="19" t="str">
        <f>TEXT(SalesData[[#This Row],[Order_Date]],"mmm")</f>
        <v>Apr</v>
      </c>
      <c r="V576" s="19" t="str">
        <f>"Q"&amp;ROUNDUP(MONTH(SalesData[[#This Row],[Order_Date]])/3,0)</f>
        <v>Q2</v>
      </c>
      <c r="W576" s="19" t="str">
        <f>IF(SalesData[[#This Row],[Sales]]&gt;=50000,"High",IF(AND(SalesData[[#This Row],[Sales]]&gt;= 20000, SalesData[[#This Row],[Sales]]&lt; 50000),"Medium","Low"))</f>
        <v>Low</v>
      </c>
      <c r="X576" s="19" t="str">
        <f>IF(SalesData[[#This Row],[Profit]]&gt;0,"Profit","Loss")</f>
        <v>Profit</v>
      </c>
      <c r="Y576" s="19" t="str">
        <f>IF(AND(SalesData[[#This Row],[Sales]]&gt;= 50000, SalesData[[#This Row],[Quantity]]&gt;=2),"Yes","No")</f>
        <v>No</v>
      </c>
      <c r="Z576" s="19" t="str">
        <f>UPPER(SalesData[[#This Row],[Customer_Name]])</f>
        <v>KAVYA NAIR</v>
      </c>
      <c r="AA576" s="19" t="str">
        <f>LOWER(SalesData[[#This Row],[Customer_Name]])</f>
        <v>kavya nair</v>
      </c>
      <c r="AB576" s="19">
        <f>LEN(SalesData[[#This Row],[Customer_Name]])</f>
        <v>10</v>
      </c>
      <c r="AC576" s="19" t="str">
        <f>LEFT(SalesData[[#This Row],[Order_ID]],3)</f>
        <v>ORD</v>
      </c>
      <c r="AD576" s="19" t="str">
        <f>RIGHT(SalesData[[#This Row],[Order_ID]],4)</f>
        <v>0287</v>
      </c>
      <c r="AE576" s="19" t="str">
        <f>_xlfn.CONCAT(SalesData[[#This Row],[Clean_Customer_Name]],"-",SalesData[[#This Row],[Region]])</f>
        <v>Kavya Nair-North</v>
      </c>
      <c r="AF576" s="19" t="str">
        <f>MID(SalesData[[#This Row],[Order_ID]],4,4)</f>
        <v>0287</v>
      </c>
      <c r="AG576" s="19" t="e">
        <f ca="1">_xlfn.SINGLE(_xlfn.XLOOKUP(SalesData[[#This Row],[Product]],Product_Master!A:A,Product_Master!B:B,"Not Found"))</f>
        <v>#NAME?</v>
      </c>
      <c r="AH576" s="19" t="str">
        <f>VLOOKUP(SalesData[[#This Row],[Product]],Product_Master!$A$1:$B$21,2,FALSE)</f>
        <v>Neha</v>
      </c>
      <c r="AI576" s="16"/>
    </row>
    <row r="577" spans="1:35" ht="13.8">
      <c r="A577" s="16" t="s">
        <v>456</v>
      </c>
      <c r="B577" s="17">
        <v>45961</v>
      </c>
      <c r="C577" s="16" t="s">
        <v>207</v>
      </c>
      <c r="D577" s="16" t="s">
        <v>208</v>
      </c>
      <c r="E577" s="16" t="s">
        <v>19</v>
      </c>
      <c r="F577" s="16" t="s">
        <v>20</v>
      </c>
      <c r="G577" s="16" t="s">
        <v>21</v>
      </c>
      <c r="H577" s="16" t="s">
        <v>22</v>
      </c>
      <c r="I577" s="16" t="s">
        <v>42</v>
      </c>
      <c r="J577" s="16" t="s">
        <v>162</v>
      </c>
      <c r="K577" s="18">
        <v>15293.4</v>
      </c>
      <c r="L577" s="18">
        <v>5757.26</v>
      </c>
      <c r="M577" s="19">
        <v>2</v>
      </c>
      <c r="N577" s="20">
        <v>0.15</v>
      </c>
      <c r="O577" s="19" t="s">
        <v>44</v>
      </c>
      <c r="P577" s="19" t="s">
        <v>77</v>
      </c>
      <c r="Q577" s="19" t="str">
        <f>TRIM(SalesData[[#This Row],[Customer_Name]])</f>
        <v>Kavya Nair</v>
      </c>
      <c r="R577" s="21">
        <f>SalesData[[#This Row],[Sales]]-SalesData[[#This Row],[Cost]]</f>
        <v>9536.14</v>
      </c>
      <c r="S577" s="22">
        <f>IFERROR(SalesData[[#This Row],[Profit]]/SalesData[[#This Row],[Sales]],0)</f>
        <v>0.6235461048556894</v>
      </c>
      <c r="T577" s="19">
        <f>YEAR(SalesData[[#This Row],[Order_Date]])</f>
        <v>2025</v>
      </c>
      <c r="U577" s="19" t="str">
        <f>TEXT(SalesData[[#This Row],[Order_Date]],"mmm")</f>
        <v>Oct</v>
      </c>
      <c r="V577" s="19" t="str">
        <f>"Q"&amp;ROUNDUP(MONTH(SalesData[[#This Row],[Order_Date]])/3,0)</f>
        <v>Q4</v>
      </c>
      <c r="W577" s="19" t="str">
        <f>IF(SalesData[[#This Row],[Sales]]&gt;=50000,"High",IF(AND(SalesData[[#This Row],[Sales]]&gt;= 20000, SalesData[[#This Row],[Sales]]&lt; 50000),"Medium","Low"))</f>
        <v>Low</v>
      </c>
      <c r="X577" s="19" t="str">
        <f>IF(SalesData[[#This Row],[Profit]]&gt;0,"Profit","Loss")</f>
        <v>Profit</v>
      </c>
      <c r="Y577" s="19" t="str">
        <f>IF(AND(SalesData[[#This Row],[Sales]]&gt;= 50000, SalesData[[#This Row],[Quantity]]&gt;=2),"Yes","No")</f>
        <v>No</v>
      </c>
      <c r="Z577" s="19" t="str">
        <f>UPPER(SalesData[[#This Row],[Customer_Name]])</f>
        <v>KAVYA NAIR</v>
      </c>
      <c r="AA577" s="19" t="str">
        <f>LOWER(SalesData[[#This Row],[Customer_Name]])</f>
        <v>kavya nair</v>
      </c>
      <c r="AB577" s="19">
        <f>LEN(SalesData[[#This Row],[Customer_Name]])</f>
        <v>10</v>
      </c>
      <c r="AC577" s="19" t="str">
        <f>LEFT(SalesData[[#This Row],[Order_ID]],3)</f>
        <v>ORD</v>
      </c>
      <c r="AD577" s="19" t="str">
        <f>RIGHT(SalesData[[#This Row],[Order_ID]],4)</f>
        <v>0303</v>
      </c>
      <c r="AE577" s="19" t="str">
        <f>_xlfn.CONCAT(SalesData[[#This Row],[Clean_Customer_Name]],"-",SalesData[[#This Row],[Region]])</f>
        <v>Kavya Nair-East</v>
      </c>
      <c r="AF577" s="19" t="str">
        <f>MID(SalesData[[#This Row],[Order_ID]],4,4)</f>
        <v>0303</v>
      </c>
      <c r="AG577" s="19" t="e">
        <f ca="1">_xlfn.SINGLE(_xlfn.XLOOKUP(SalesData[[#This Row],[Product]],Product_Master!A:A,Product_Master!B:B,"Not Found"))</f>
        <v>#NAME?</v>
      </c>
      <c r="AH577" s="19" t="str">
        <f>VLOOKUP(SalesData[[#This Row],[Product]],Product_Master!$A$1:$B$21,2,FALSE)</f>
        <v>Neha</v>
      </c>
      <c r="AI577" s="16"/>
    </row>
    <row r="578" spans="1:35" ht="13.8">
      <c r="A578" s="16" t="s">
        <v>498</v>
      </c>
      <c r="B578" s="17">
        <v>45658</v>
      </c>
      <c r="C578" s="16" t="s">
        <v>207</v>
      </c>
      <c r="D578" s="16" t="s">
        <v>208</v>
      </c>
      <c r="E578" s="16" t="s">
        <v>19</v>
      </c>
      <c r="F578" s="16" t="s">
        <v>20</v>
      </c>
      <c r="G578" s="16" t="s">
        <v>21</v>
      </c>
      <c r="H578" s="16" t="s">
        <v>22</v>
      </c>
      <c r="I578" s="16" t="s">
        <v>56</v>
      </c>
      <c r="J578" s="16" t="s">
        <v>57</v>
      </c>
      <c r="K578" s="18">
        <v>11946.54</v>
      </c>
      <c r="L578" s="18">
        <v>5942.3</v>
      </c>
      <c r="M578" s="19">
        <v>2</v>
      </c>
      <c r="N578" s="20">
        <v>0</v>
      </c>
      <c r="O578" s="19" t="s">
        <v>25</v>
      </c>
      <c r="P578" s="19" t="s">
        <v>58</v>
      </c>
      <c r="Q578" s="19" t="str">
        <f>TRIM(SalesData[[#This Row],[Customer_Name]])</f>
        <v>Kavya Nair</v>
      </c>
      <c r="R578" s="21">
        <f>SalesData[[#This Row],[Sales]]-SalesData[[#This Row],[Cost]]</f>
        <v>6004.2400000000007</v>
      </c>
      <c r="S578" s="22">
        <f>IFERROR(SalesData[[#This Row],[Profit]]/SalesData[[#This Row],[Sales]],0)</f>
        <v>0.50259238239691162</v>
      </c>
      <c r="T578" s="19">
        <f>YEAR(SalesData[[#This Row],[Order_Date]])</f>
        <v>2025</v>
      </c>
      <c r="U578" s="19" t="str">
        <f>TEXT(SalesData[[#This Row],[Order_Date]],"mmm")</f>
        <v>Jan</v>
      </c>
      <c r="V578" s="19" t="str">
        <f>"Q"&amp;ROUNDUP(MONTH(SalesData[[#This Row],[Order_Date]])/3,0)</f>
        <v>Q1</v>
      </c>
      <c r="W578" s="19" t="str">
        <f>IF(SalesData[[#This Row],[Sales]]&gt;=50000,"High",IF(AND(SalesData[[#This Row],[Sales]]&gt;= 20000, SalesData[[#This Row],[Sales]]&lt; 50000),"Medium","Low"))</f>
        <v>Low</v>
      </c>
      <c r="X578" s="19" t="str">
        <f>IF(SalesData[[#This Row],[Profit]]&gt;0,"Profit","Loss")</f>
        <v>Profit</v>
      </c>
      <c r="Y578" s="19" t="str">
        <f>IF(AND(SalesData[[#This Row],[Sales]]&gt;= 50000, SalesData[[#This Row],[Quantity]]&gt;=2),"Yes","No")</f>
        <v>No</v>
      </c>
      <c r="Z578" s="19" t="str">
        <f>UPPER(SalesData[[#This Row],[Customer_Name]])</f>
        <v>KAVYA NAIR</v>
      </c>
      <c r="AA578" s="19" t="str">
        <f>LOWER(SalesData[[#This Row],[Customer_Name]])</f>
        <v>kavya nair</v>
      </c>
      <c r="AB578" s="19">
        <f>LEN(SalesData[[#This Row],[Customer_Name]])</f>
        <v>10</v>
      </c>
      <c r="AC578" s="19" t="str">
        <f>LEFT(SalesData[[#This Row],[Order_ID]],3)</f>
        <v>ORD</v>
      </c>
      <c r="AD578" s="19" t="str">
        <f>RIGHT(SalesData[[#This Row],[Order_ID]],4)</f>
        <v>0345</v>
      </c>
      <c r="AE578" s="19" t="str">
        <f>_xlfn.CONCAT(SalesData[[#This Row],[Clean_Customer_Name]],"-",SalesData[[#This Row],[Region]])</f>
        <v>Kavya Nair-West</v>
      </c>
      <c r="AF578" s="19" t="str">
        <f>MID(SalesData[[#This Row],[Order_ID]],4,4)</f>
        <v>0345</v>
      </c>
      <c r="AG578" s="19" t="e">
        <f ca="1">_xlfn.SINGLE(_xlfn.XLOOKUP(SalesData[[#This Row],[Product]],Product_Master!A:A,Product_Master!B:B,"Not Found"))</f>
        <v>#NAME?</v>
      </c>
      <c r="AH578" s="19" t="str">
        <f>VLOOKUP(SalesData[[#This Row],[Product]],Product_Master!$A$1:$B$21,2,FALSE)</f>
        <v>Neha</v>
      </c>
      <c r="AI578" s="16"/>
    </row>
    <row r="579" spans="1:35" ht="13.8">
      <c r="A579" s="16" t="s">
        <v>570</v>
      </c>
      <c r="B579" s="17">
        <v>45824</v>
      </c>
      <c r="C579" s="16" t="s">
        <v>207</v>
      </c>
      <c r="D579" s="16" t="s">
        <v>208</v>
      </c>
      <c r="E579" s="16" t="s">
        <v>19</v>
      </c>
      <c r="F579" s="16" t="s">
        <v>20</v>
      </c>
      <c r="G579" s="16" t="s">
        <v>21</v>
      </c>
      <c r="H579" s="16" t="s">
        <v>22</v>
      </c>
      <c r="I579" s="16" t="s">
        <v>42</v>
      </c>
      <c r="J579" s="16" t="s">
        <v>68</v>
      </c>
      <c r="K579" s="18">
        <v>18645.849999999999</v>
      </c>
      <c r="L579" s="18">
        <v>9221.0400000000009</v>
      </c>
      <c r="M579" s="19">
        <v>3</v>
      </c>
      <c r="N579" s="20">
        <v>0.15</v>
      </c>
      <c r="O579" s="19" t="s">
        <v>25</v>
      </c>
      <c r="P579" s="19" t="s">
        <v>58</v>
      </c>
      <c r="Q579" s="19" t="str">
        <f>TRIM(SalesData[[#This Row],[Customer_Name]])</f>
        <v>Kavya Nair</v>
      </c>
      <c r="R579" s="21">
        <f>SalesData[[#This Row],[Sales]]-SalesData[[#This Row],[Cost]]</f>
        <v>9424.8099999999977</v>
      </c>
      <c r="S579" s="22">
        <f>IFERROR(SalesData[[#This Row],[Profit]]/SalesData[[#This Row],[Sales]],0)</f>
        <v>0.50546421857946933</v>
      </c>
      <c r="T579" s="19">
        <f>YEAR(SalesData[[#This Row],[Order_Date]])</f>
        <v>2025</v>
      </c>
      <c r="U579" s="19" t="str">
        <f>TEXT(SalesData[[#This Row],[Order_Date]],"mmm")</f>
        <v>Jun</v>
      </c>
      <c r="V579" s="19" t="str">
        <f>"Q"&amp;ROUNDUP(MONTH(SalesData[[#This Row],[Order_Date]])/3,0)</f>
        <v>Q2</v>
      </c>
      <c r="W579" s="19" t="str">
        <f>IF(SalesData[[#This Row],[Sales]]&gt;=50000,"High",IF(AND(SalesData[[#This Row],[Sales]]&gt;= 20000, SalesData[[#This Row],[Sales]]&lt; 50000),"Medium","Low"))</f>
        <v>Low</v>
      </c>
      <c r="X579" s="19" t="str">
        <f>IF(SalesData[[#This Row],[Profit]]&gt;0,"Profit","Loss")</f>
        <v>Profit</v>
      </c>
      <c r="Y579" s="19" t="str">
        <f>IF(AND(SalesData[[#This Row],[Sales]]&gt;= 50000, SalesData[[#This Row],[Quantity]]&gt;=2),"Yes","No")</f>
        <v>No</v>
      </c>
      <c r="Z579" s="19" t="str">
        <f>UPPER(SalesData[[#This Row],[Customer_Name]])</f>
        <v>KAVYA NAIR</v>
      </c>
      <c r="AA579" s="19" t="str">
        <f>LOWER(SalesData[[#This Row],[Customer_Name]])</f>
        <v>kavya nair</v>
      </c>
      <c r="AB579" s="19">
        <f>LEN(SalesData[[#This Row],[Customer_Name]])</f>
        <v>10</v>
      </c>
      <c r="AC579" s="19" t="str">
        <f>LEFT(SalesData[[#This Row],[Order_ID]],3)</f>
        <v>ORD</v>
      </c>
      <c r="AD579" s="19" t="str">
        <f>RIGHT(SalesData[[#This Row],[Order_ID]],4)</f>
        <v>0417</v>
      </c>
      <c r="AE579" s="19" t="str">
        <f>_xlfn.CONCAT(SalesData[[#This Row],[Clean_Customer_Name]],"-",SalesData[[#This Row],[Region]])</f>
        <v>Kavya Nair-East</v>
      </c>
      <c r="AF579" s="19" t="str">
        <f>MID(SalesData[[#This Row],[Order_ID]],4,4)</f>
        <v>0417</v>
      </c>
      <c r="AG579" s="19" t="e">
        <f ca="1">_xlfn.SINGLE(_xlfn.XLOOKUP(SalesData[[#This Row],[Product]],Product_Master!A:A,Product_Master!B:B,"Not Found"))</f>
        <v>#NAME?</v>
      </c>
      <c r="AH579" s="19" t="str">
        <f>VLOOKUP(SalesData[[#This Row],[Product]],Product_Master!$A$1:$B$21,2,FALSE)</f>
        <v>Neha</v>
      </c>
      <c r="AI579" s="16"/>
    </row>
    <row r="580" spans="1:35" ht="13.8">
      <c r="A580" s="16" t="s">
        <v>676</v>
      </c>
      <c r="B580" s="17">
        <v>45987</v>
      </c>
      <c r="C580" s="16" t="s">
        <v>207</v>
      </c>
      <c r="D580" s="16" t="s">
        <v>208</v>
      </c>
      <c r="E580" s="16" t="s">
        <v>19</v>
      </c>
      <c r="F580" s="16" t="s">
        <v>20</v>
      </c>
      <c r="G580" s="16" t="s">
        <v>21</v>
      </c>
      <c r="H580" s="16" t="s">
        <v>22</v>
      </c>
      <c r="I580" s="16" t="s">
        <v>84</v>
      </c>
      <c r="J580" s="16" t="s">
        <v>134</v>
      </c>
      <c r="K580" s="18">
        <v>26432.16</v>
      </c>
      <c r="L580" s="18">
        <v>14096.85</v>
      </c>
      <c r="M580" s="19">
        <v>5</v>
      </c>
      <c r="N580" s="20">
        <v>0.2</v>
      </c>
      <c r="O580" s="19" t="s">
        <v>76</v>
      </c>
      <c r="P580" s="19" t="s">
        <v>45</v>
      </c>
      <c r="Q580" s="19" t="str">
        <f>TRIM(SalesData[[#This Row],[Customer_Name]])</f>
        <v>Kavya Nair</v>
      </c>
      <c r="R580" s="21">
        <f>SalesData[[#This Row],[Sales]]-SalesData[[#This Row],[Cost]]</f>
        <v>12335.31</v>
      </c>
      <c r="S580" s="22">
        <f>IFERROR(SalesData[[#This Row],[Profit]]/SalesData[[#This Row],[Sales]],0)</f>
        <v>0.46667809214229938</v>
      </c>
      <c r="T580" s="19">
        <f>YEAR(SalesData[[#This Row],[Order_Date]])</f>
        <v>2025</v>
      </c>
      <c r="U580" s="19" t="str">
        <f>TEXT(SalesData[[#This Row],[Order_Date]],"mmm")</f>
        <v>Nov</v>
      </c>
      <c r="V580" s="19" t="str">
        <f>"Q"&amp;ROUNDUP(MONTH(SalesData[[#This Row],[Order_Date]])/3,0)</f>
        <v>Q4</v>
      </c>
      <c r="W580" s="19" t="str">
        <f>IF(SalesData[[#This Row],[Sales]]&gt;=50000,"High",IF(AND(SalesData[[#This Row],[Sales]]&gt;= 20000, SalesData[[#This Row],[Sales]]&lt; 50000),"Medium","Low"))</f>
        <v>Medium</v>
      </c>
      <c r="X580" s="19" t="str">
        <f>IF(SalesData[[#This Row],[Profit]]&gt;0,"Profit","Loss")</f>
        <v>Profit</v>
      </c>
      <c r="Y580" s="19" t="str">
        <f>IF(AND(SalesData[[#This Row],[Sales]]&gt;= 50000, SalesData[[#This Row],[Quantity]]&gt;=2),"Yes","No")</f>
        <v>No</v>
      </c>
      <c r="Z580" s="19" t="str">
        <f>UPPER(SalesData[[#This Row],[Customer_Name]])</f>
        <v>KAVYA NAIR</v>
      </c>
      <c r="AA580" s="19" t="str">
        <f>LOWER(SalesData[[#This Row],[Customer_Name]])</f>
        <v>kavya nair</v>
      </c>
      <c r="AB580" s="19">
        <f>LEN(SalesData[[#This Row],[Customer_Name]])</f>
        <v>10</v>
      </c>
      <c r="AC580" s="19" t="str">
        <f>LEFT(SalesData[[#This Row],[Order_ID]],3)</f>
        <v>ORD</v>
      </c>
      <c r="AD580" s="19" t="str">
        <f>RIGHT(SalesData[[#This Row],[Order_ID]],4)</f>
        <v>0523</v>
      </c>
      <c r="AE580" s="19" t="str">
        <f>_xlfn.CONCAT(SalesData[[#This Row],[Clean_Customer_Name]],"-",SalesData[[#This Row],[Region]])</f>
        <v>Kavya Nair-South</v>
      </c>
      <c r="AF580" s="19" t="str">
        <f>MID(SalesData[[#This Row],[Order_ID]],4,4)</f>
        <v>0523</v>
      </c>
      <c r="AG580" s="19" t="e">
        <f ca="1">_xlfn.SINGLE(_xlfn.XLOOKUP(SalesData[[#This Row],[Product]],Product_Master!A:A,Product_Master!B:B,"Not Found"))</f>
        <v>#NAME?</v>
      </c>
      <c r="AH580" s="19" t="str">
        <f>VLOOKUP(SalesData[[#This Row],[Product]],Product_Master!$A$1:$B$21,2,FALSE)</f>
        <v>Neha</v>
      </c>
      <c r="AI580" s="16"/>
    </row>
    <row r="581" spans="1:35" ht="13.8">
      <c r="A581" s="16" t="s">
        <v>822</v>
      </c>
      <c r="B581" s="17">
        <v>45398</v>
      </c>
      <c r="C581" s="16" t="s">
        <v>207</v>
      </c>
      <c r="D581" s="16" t="s">
        <v>208</v>
      </c>
      <c r="E581" s="16" t="s">
        <v>19</v>
      </c>
      <c r="F581" s="16" t="s">
        <v>20</v>
      </c>
      <c r="G581" s="16" t="s">
        <v>21</v>
      </c>
      <c r="H581" s="16" t="s">
        <v>22</v>
      </c>
      <c r="I581" s="16" t="s">
        <v>56</v>
      </c>
      <c r="J581" s="16" t="s">
        <v>57</v>
      </c>
      <c r="K581" s="18">
        <v>26821.48</v>
      </c>
      <c r="L581" s="18">
        <v>11643.64</v>
      </c>
      <c r="M581" s="19">
        <v>4</v>
      </c>
      <c r="N581" s="20">
        <v>0.1</v>
      </c>
      <c r="O581" s="19" t="s">
        <v>76</v>
      </c>
      <c r="P581" s="19" t="s">
        <v>58</v>
      </c>
      <c r="Q581" s="19" t="str">
        <f>TRIM(SalesData[[#This Row],[Customer_Name]])</f>
        <v>Kavya Nair</v>
      </c>
      <c r="R581" s="21">
        <f>SalesData[[#This Row],[Sales]]-SalesData[[#This Row],[Cost]]</f>
        <v>15177.84</v>
      </c>
      <c r="S581" s="22">
        <f>IFERROR(SalesData[[#This Row],[Profit]]/SalesData[[#This Row],[Sales]],0)</f>
        <v>0.56588376182074962</v>
      </c>
      <c r="T581" s="19">
        <f>YEAR(SalesData[[#This Row],[Order_Date]])</f>
        <v>2024</v>
      </c>
      <c r="U581" s="19" t="str">
        <f>TEXT(SalesData[[#This Row],[Order_Date]],"mmm")</f>
        <v>Apr</v>
      </c>
      <c r="V581" s="19" t="str">
        <f>"Q"&amp;ROUNDUP(MONTH(SalesData[[#This Row],[Order_Date]])/3,0)</f>
        <v>Q2</v>
      </c>
      <c r="W581" s="19" t="str">
        <f>IF(SalesData[[#This Row],[Sales]]&gt;=50000,"High",IF(AND(SalesData[[#This Row],[Sales]]&gt;= 20000, SalesData[[#This Row],[Sales]]&lt; 50000),"Medium","Low"))</f>
        <v>Medium</v>
      </c>
      <c r="X581" s="19" t="str">
        <f>IF(SalesData[[#This Row],[Profit]]&gt;0,"Profit","Loss")</f>
        <v>Profit</v>
      </c>
      <c r="Y581" s="19" t="str">
        <f>IF(AND(SalesData[[#This Row],[Sales]]&gt;= 50000, SalesData[[#This Row],[Quantity]]&gt;=2),"Yes","No")</f>
        <v>No</v>
      </c>
      <c r="Z581" s="19" t="str">
        <f>UPPER(SalesData[[#This Row],[Customer_Name]])</f>
        <v>KAVYA NAIR</v>
      </c>
      <c r="AA581" s="19" t="str">
        <f>LOWER(SalesData[[#This Row],[Customer_Name]])</f>
        <v>kavya nair</v>
      </c>
      <c r="AB581" s="19">
        <f>LEN(SalesData[[#This Row],[Customer_Name]])</f>
        <v>10</v>
      </c>
      <c r="AC581" s="19" t="str">
        <f>LEFT(SalesData[[#This Row],[Order_ID]],3)</f>
        <v>ORD</v>
      </c>
      <c r="AD581" s="19" t="str">
        <f>RIGHT(SalesData[[#This Row],[Order_ID]],4)</f>
        <v>0669</v>
      </c>
      <c r="AE581" s="19" t="str">
        <f>_xlfn.CONCAT(SalesData[[#This Row],[Clean_Customer_Name]],"-",SalesData[[#This Row],[Region]])</f>
        <v>Kavya Nair-West</v>
      </c>
      <c r="AF581" s="19" t="str">
        <f>MID(SalesData[[#This Row],[Order_ID]],4,4)</f>
        <v>0669</v>
      </c>
      <c r="AG581" s="19" t="e">
        <f ca="1">_xlfn.SINGLE(_xlfn.XLOOKUP(SalesData[[#This Row],[Product]],Product_Master!A:A,Product_Master!B:B,"Not Found"))</f>
        <v>#NAME?</v>
      </c>
      <c r="AH581" s="19" t="str">
        <f>VLOOKUP(SalesData[[#This Row],[Product]],Product_Master!$A$1:$B$21,2,FALSE)</f>
        <v>Neha</v>
      </c>
      <c r="AI581" s="16"/>
    </row>
    <row r="582" spans="1:35" ht="13.8">
      <c r="A582" s="16" t="s">
        <v>470</v>
      </c>
      <c r="B582" s="17">
        <v>45364</v>
      </c>
      <c r="C582" s="16" t="s">
        <v>207</v>
      </c>
      <c r="D582" s="16" t="s">
        <v>208</v>
      </c>
      <c r="E582" s="16" t="s">
        <v>152</v>
      </c>
      <c r="F582" s="16" t="s">
        <v>153</v>
      </c>
      <c r="G582" s="16" t="s">
        <v>21</v>
      </c>
      <c r="H582" s="16" t="s">
        <v>32</v>
      </c>
      <c r="I582" s="16" t="s">
        <v>56</v>
      </c>
      <c r="J582" s="16" t="s">
        <v>191</v>
      </c>
      <c r="K582" s="18">
        <v>28209.14</v>
      </c>
      <c r="L582" s="18">
        <v>15625.82</v>
      </c>
      <c r="M582" s="19">
        <v>2</v>
      </c>
      <c r="N582" s="20">
        <v>0</v>
      </c>
      <c r="O582" s="19" t="s">
        <v>25</v>
      </c>
      <c r="P582" s="19" t="s">
        <v>77</v>
      </c>
      <c r="Q582" s="19" t="str">
        <f>TRIM(SalesData[[#This Row],[Customer_Name]])</f>
        <v>Kavya Nair</v>
      </c>
      <c r="R582" s="21">
        <f>SalesData[[#This Row],[Sales]]-SalesData[[#This Row],[Cost]]</f>
        <v>12583.32</v>
      </c>
      <c r="S582" s="22">
        <f>IFERROR(SalesData[[#This Row],[Profit]]/SalesData[[#This Row],[Sales]],0)</f>
        <v>0.44607244318685363</v>
      </c>
      <c r="T582" s="19">
        <f>YEAR(SalesData[[#This Row],[Order_Date]])</f>
        <v>2024</v>
      </c>
      <c r="U582" s="19" t="str">
        <f>TEXT(SalesData[[#This Row],[Order_Date]],"mmm")</f>
        <v>Mar</v>
      </c>
      <c r="V582" s="19" t="str">
        <f>"Q"&amp;ROUNDUP(MONTH(SalesData[[#This Row],[Order_Date]])/3,0)</f>
        <v>Q1</v>
      </c>
      <c r="W582" s="19" t="str">
        <f>IF(SalesData[[#This Row],[Sales]]&gt;=50000,"High",IF(AND(SalesData[[#This Row],[Sales]]&gt;= 20000, SalesData[[#This Row],[Sales]]&lt; 50000),"Medium","Low"))</f>
        <v>Medium</v>
      </c>
      <c r="X582" s="19" t="str">
        <f>IF(SalesData[[#This Row],[Profit]]&gt;0,"Profit","Loss")</f>
        <v>Profit</v>
      </c>
      <c r="Y582" s="19" t="str">
        <f>IF(AND(SalesData[[#This Row],[Sales]]&gt;= 50000, SalesData[[#This Row],[Quantity]]&gt;=2),"Yes","No")</f>
        <v>No</v>
      </c>
      <c r="Z582" s="19" t="str">
        <f>UPPER(SalesData[[#This Row],[Customer_Name]])</f>
        <v>KAVYA NAIR</v>
      </c>
      <c r="AA582" s="19" t="str">
        <f>LOWER(SalesData[[#This Row],[Customer_Name]])</f>
        <v>kavya nair</v>
      </c>
      <c r="AB582" s="19">
        <f>LEN(SalesData[[#This Row],[Customer_Name]])</f>
        <v>10</v>
      </c>
      <c r="AC582" s="19" t="str">
        <f>LEFT(SalesData[[#This Row],[Order_ID]],3)</f>
        <v>ORD</v>
      </c>
      <c r="AD582" s="19" t="str">
        <f>RIGHT(SalesData[[#This Row],[Order_ID]],4)</f>
        <v>0317</v>
      </c>
      <c r="AE582" s="19" t="str">
        <f>_xlfn.CONCAT(SalesData[[#This Row],[Clean_Customer_Name]],"-",SalesData[[#This Row],[Region]])</f>
        <v>Kavya Nair-West</v>
      </c>
      <c r="AF582" s="19" t="str">
        <f>MID(SalesData[[#This Row],[Order_ID]],4,4)</f>
        <v>0317</v>
      </c>
      <c r="AG582" s="19" t="e">
        <f ca="1">_xlfn.SINGLE(_xlfn.XLOOKUP(SalesData[[#This Row],[Product]],Product_Master!A:A,Product_Master!B:B,"Not Found"))</f>
        <v>#NAME?</v>
      </c>
      <c r="AH582" s="19" t="str">
        <f>VLOOKUP(SalesData[[#This Row],[Product]],Product_Master!$A$1:$B$21,2,FALSE)</f>
        <v>Simran</v>
      </c>
      <c r="AI582" s="16"/>
    </row>
    <row r="583" spans="1:35" ht="13.8">
      <c r="A583" s="16" t="s">
        <v>566</v>
      </c>
      <c r="B583" s="17">
        <v>45793</v>
      </c>
      <c r="C583" s="16" t="s">
        <v>207</v>
      </c>
      <c r="D583" s="16" t="s">
        <v>208</v>
      </c>
      <c r="E583" s="16" t="s">
        <v>152</v>
      </c>
      <c r="F583" s="16" t="s">
        <v>153</v>
      </c>
      <c r="G583" s="16" t="s">
        <v>21</v>
      </c>
      <c r="H583" s="16" t="s">
        <v>32</v>
      </c>
      <c r="I583" s="16" t="s">
        <v>84</v>
      </c>
      <c r="J583" s="16" t="s">
        <v>134</v>
      </c>
      <c r="K583" s="18">
        <v>25807.99</v>
      </c>
      <c r="L583" s="18">
        <v>25200.54</v>
      </c>
      <c r="M583" s="19">
        <v>3</v>
      </c>
      <c r="N583" s="20">
        <v>0.15</v>
      </c>
      <c r="O583" s="19" t="s">
        <v>25</v>
      </c>
      <c r="P583" s="19" t="s">
        <v>58</v>
      </c>
      <c r="Q583" s="19" t="str">
        <f>TRIM(SalesData[[#This Row],[Customer_Name]])</f>
        <v>Kavya Nair</v>
      </c>
      <c r="R583" s="21">
        <f>SalesData[[#This Row],[Sales]]-SalesData[[#This Row],[Cost]]</f>
        <v>607.45000000000073</v>
      </c>
      <c r="S583" s="22">
        <f>IFERROR(SalesData[[#This Row],[Profit]]/SalesData[[#This Row],[Sales]],0)</f>
        <v>2.3537284383634706E-2</v>
      </c>
      <c r="T583" s="19">
        <f>YEAR(SalesData[[#This Row],[Order_Date]])</f>
        <v>2025</v>
      </c>
      <c r="U583" s="19" t="str">
        <f>TEXT(SalesData[[#This Row],[Order_Date]],"mmm")</f>
        <v>May</v>
      </c>
      <c r="V583" s="19" t="str">
        <f>"Q"&amp;ROUNDUP(MONTH(SalesData[[#This Row],[Order_Date]])/3,0)</f>
        <v>Q2</v>
      </c>
      <c r="W583" s="19" t="str">
        <f>IF(SalesData[[#This Row],[Sales]]&gt;=50000,"High",IF(AND(SalesData[[#This Row],[Sales]]&gt;= 20000, SalesData[[#This Row],[Sales]]&lt; 50000),"Medium","Low"))</f>
        <v>Medium</v>
      </c>
      <c r="X583" s="19" t="str">
        <f>IF(SalesData[[#This Row],[Profit]]&gt;0,"Profit","Loss")</f>
        <v>Profit</v>
      </c>
      <c r="Y583" s="19" t="str">
        <f>IF(AND(SalesData[[#This Row],[Sales]]&gt;= 50000, SalesData[[#This Row],[Quantity]]&gt;=2),"Yes","No")</f>
        <v>No</v>
      </c>
      <c r="Z583" s="19" t="str">
        <f>UPPER(SalesData[[#This Row],[Customer_Name]])</f>
        <v>KAVYA NAIR</v>
      </c>
      <c r="AA583" s="19" t="str">
        <f>LOWER(SalesData[[#This Row],[Customer_Name]])</f>
        <v>kavya nair</v>
      </c>
      <c r="AB583" s="19">
        <f>LEN(SalesData[[#This Row],[Customer_Name]])</f>
        <v>10</v>
      </c>
      <c r="AC583" s="19" t="str">
        <f>LEFT(SalesData[[#This Row],[Order_ID]],3)</f>
        <v>ORD</v>
      </c>
      <c r="AD583" s="19" t="str">
        <f>RIGHT(SalesData[[#This Row],[Order_ID]],4)</f>
        <v>0413</v>
      </c>
      <c r="AE583" s="19" t="str">
        <f>_xlfn.CONCAT(SalesData[[#This Row],[Clean_Customer_Name]],"-",SalesData[[#This Row],[Region]])</f>
        <v>Kavya Nair-South</v>
      </c>
      <c r="AF583" s="19" t="str">
        <f>MID(SalesData[[#This Row],[Order_ID]],4,4)</f>
        <v>0413</v>
      </c>
      <c r="AG583" s="19" t="e">
        <f ca="1">_xlfn.SINGLE(_xlfn.XLOOKUP(SalesData[[#This Row],[Product]],Product_Master!A:A,Product_Master!B:B,"Not Found"))</f>
        <v>#NAME?</v>
      </c>
      <c r="AH583" s="19" t="str">
        <f>VLOOKUP(SalesData[[#This Row],[Product]],Product_Master!$A$1:$B$21,2,FALSE)</f>
        <v>Simran</v>
      </c>
      <c r="AI583" s="16"/>
    </row>
    <row r="584" spans="1:35" ht="13.8">
      <c r="A584" s="16" t="s">
        <v>691</v>
      </c>
      <c r="B584" s="17">
        <v>45362</v>
      </c>
      <c r="C584" s="16" t="s">
        <v>207</v>
      </c>
      <c r="D584" s="16" t="s">
        <v>208</v>
      </c>
      <c r="E584" s="16" t="s">
        <v>49</v>
      </c>
      <c r="F584" s="16" t="s">
        <v>50</v>
      </c>
      <c r="G584" s="16" t="s">
        <v>51</v>
      </c>
      <c r="H584" s="16" t="s">
        <v>52</v>
      </c>
      <c r="I584" s="16" t="s">
        <v>53</v>
      </c>
      <c r="J584" s="16" t="s">
        <v>102</v>
      </c>
      <c r="K584" s="18">
        <v>15234.07</v>
      </c>
      <c r="L584" s="18">
        <v>12982.54</v>
      </c>
      <c r="M584" s="19">
        <v>2</v>
      </c>
      <c r="N584" s="20">
        <v>0.15</v>
      </c>
      <c r="O584" s="19" t="s">
        <v>34</v>
      </c>
      <c r="P584" s="19" t="s">
        <v>98</v>
      </c>
      <c r="Q584" s="19" t="str">
        <f>TRIM(SalesData[[#This Row],[Customer_Name]])</f>
        <v>Kavya Nair</v>
      </c>
      <c r="R584" s="21">
        <f>SalesData[[#This Row],[Sales]]-SalesData[[#This Row],[Cost]]</f>
        <v>2251.5299999999988</v>
      </c>
      <c r="S584" s="22">
        <f>IFERROR(SalesData[[#This Row],[Profit]]/SalesData[[#This Row],[Sales]],0)</f>
        <v>0.14779569740719314</v>
      </c>
      <c r="T584" s="19">
        <f>YEAR(SalesData[[#This Row],[Order_Date]])</f>
        <v>2024</v>
      </c>
      <c r="U584" s="19" t="str">
        <f>TEXT(SalesData[[#This Row],[Order_Date]],"mmm")</f>
        <v>Mar</v>
      </c>
      <c r="V584" s="19" t="str">
        <f>"Q"&amp;ROUNDUP(MONTH(SalesData[[#This Row],[Order_Date]])/3,0)</f>
        <v>Q1</v>
      </c>
      <c r="W584" s="19" t="str">
        <f>IF(SalesData[[#This Row],[Sales]]&gt;=50000,"High",IF(AND(SalesData[[#This Row],[Sales]]&gt;= 20000, SalesData[[#This Row],[Sales]]&lt; 50000),"Medium","Low"))</f>
        <v>Low</v>
      </c>
      <c r="X584" s="19" t="str">
        <f>IF(SalesData[[#This Row],[Profit]]&gt;0,"Profit","Loss")</f>
        <v>Profit</v>
      </c>
      <c r="Y584" s="19" t="str">
        <f>IF(AND(SalesData[[#This Row],[Sales]]&gt;= 50000, SalesData[[#This Row],[Quantity]]&gt;=2),"Yes","No")</f>
        <v>No</v>
      </c>
      <c r="Z584" s="19" t="str">
        <f>UPPER(SalesData[[#This Row],[Customer_Name]])</f>
        <v>KAVYA NAIR</v>
      </c>
      <c r="AA584" s="19" t="str">
        <f>LOWER(SalesData[[#This Row],[Customer_Name]])</f>
        <v>kavya nair</v>
      </c>
      <c r="AB584" s="19">
        <f>LEN(SalesData[[#This Row],[Customer_Name]])</f>
        <v>10</v>
      </c>
      <c r="AC584" s="19" t="str">
        <f>LEFT(SalesData[[#This Row],[Order_ID]],3)</f>
        <v>ORD</v>
      </c>
      <c r="AD584" s="19" t="str">
        <f>RIGHT(SalesData[[#This Row],[Order_ID]],4)</f>
        <v>0538</v>
      </c>
      <c r="AE584" s="19" t="str">
        <f>_xlfn.CONCAT(SalesData[[#This Row],[Clean_Customer_Name]],"-",SalesData[[#This Row],[Region]])</f>
        <v>Kavya Nair-Central</v>
      </c>
      <c r="AF584" s="19" t="str">
        <f>MID(SalesData[[#This Row],[Order_ID]],4,4)</f>
        <v>0538</v>
      </c>
      <c r="AG584" s="19" t="e">
        <f ca="1">_xlfn.SINGLE(_xlfn.XLOOKUP(SalesData[[#This Row],[Product]],Product_Master!A:A,Product_Master!B:B,"Not Found"))</f>
        <v>#NAME?</v>
      </c>
      <c r="AH584" s="19" t="str">
        <f>VLOOKUP(SalesData[[#This Row],[Product]],Product_Master!$A$1:$B$21,2,FALSE)</f>
        <v>Rohan</v>
      </c>
      <c r="AI584" s="16"/>
    </row>
    <row r="585" spans="1:35" ht="13.8">
      <c r="A585" s="16" t="s">
        <v>1039</v>
      </c>
      <c r="B585" s="17">
        <v>45808</v>
      </c>
      <c r="C585" s="16" t="s">
        <v>207</v>
      </c>
      <c r="D585" s="16" t="s">
        <v>208</v>
      </c>
      <c r="E585" s="16" t="s">
        <v>49</v>
      </c>
      <c r="F585" s="16" t="s">
        <v>50</v>
      </c>
      <c r="G585" s="16" t="s">
        <v>51</v>
      </c>
      <c r="H585" s="16" t="s">
        <v>52</v>
      </c>
      <c r="I585" s="16" t="s">
        <v>42</v>
      </c>
      <c r="J585" s="16" t="s">
        <v>43</v>
      </c>
      <c r="K585" s="18">
        <v>47102.45</v>
      </c>
      <c r="L585" s="18">
        <v>22612.5</v>
      </c>
      <c r="M585" s="19">
        <v>3</v>
      </c>
      <c r="N585" s="20">
        <v>0.1</v>
      </c>
      <c r="O585" s="19" t="s">
        <v>136</v>
      </c>
      <c r="P585" s="19" t="s">
        <v>45</v>
      </c>
      <c r="Q585" s="19" t="str">
        <f>TRIM(SalesData[[#This Row],[Customer_Name]])</f>
        <v>Kavya Nair</v>
      </c>
      <c r="R585" s="21">
        <f>SalesData[[#This Row],[Sales]]-SalesData[[#This Row],[Cost]]</f>
        <v>24489.949999999997</v>
      </c>
      <c r="S585" s="22">
        <f>IFERROR(SalesData[[#This Row],[Profit]]/SalesData[[#This Row],[Sales]],0)</f>
        <v>0.51992943042240902</v>
      </c>
      <c r="T585" s="19">
        <f>YEAR(SalesData[[#This Row],[Order_Date]])</f>
        <v>2025</v>
      </c>
      <c r="U585" s="19" t="str">
        <f>TEXT(SalesData[[#This Row],[Order_Date]],"mmm")</f>
        <v>May</v>
      </c>
      <c r="V585" s="19" t="str">
        <f>"Q"&amp;ROUNDUP(MONTH(SalesData[[#This Row],[Order_Date]])/3,0)</f>
        <v>Q2</v>
      </c>
      <c r="W585" s="19" t="str">
        <f>IF(SalesData[[#This Row],[Sales]]&gt;=50000,"High",IF(AND(SalesData[[#This Row],[Sales]]&gt;= 20000, SalesData[[#This Row],[Sales]]&lt; 50000),"Medium","Low"))</f>
        <v>Medium</v>
      </c>
      <c r="X585" s="19" t="str">
        <f>IF(SalesData[[#This Row],[Profit]]&gt;0,"Profit","Loss")</f>
        <v>Profit</v>
      </c>
      <c r="Y585" s="19" t="str">
        <f>IF(AND(SalesData[[#This Row],[Sales]]&gt;= 50000, SalesData[[#This Row],[Quantity]]&gt;=2),"Yes","No")</f>
        <v>No</v>
      </c>
      <c r="Z585" s="19" t="str">
        <f>UPPER(SalesData[[#This Row],[Customer_Name]])</f>
        <v>KAVYA NAIR</v>
      </c>
      <c r="AA585" s="19" t="str">
        <f>LOWER(SalesData[[#This Row],[Customer_Name]])</f>
        <v>kavya nair</v>
      </c>
      <c r="AB585" s="19">
        <f>LEN(SalesData[[#This Row],[Customer_Name]])</f>
        <v>10</v>
      </c>
      <c r="AC585" s="19" t="str">
        <f>LEFT(SalesData[[#This Row],[Order_ID]],3)</f>
        <v>ORD</v>
      </c>
      <c r="AD585" s="19" t="str">
        <f>RIGHT(SalesData[[#This Row],[Order_ID]],4)</f>
        <v>0886</v>
      </c>
      <c r="AE585" s="19" t="str">
        <f>_xlfn.CONCAT(SalesData[[#This Row],[Clean_Customer_Name]],"-",SalesData[[#This Row],[Region]])</f>
        <v>Kavya Nair-East</v>
      </c>
      <c r="AF585" s="19" t="str">
        <f>MID(SalesData[[#This Row],[Order_ID]],4,4)</f>
        <v>0886</v>
      </c>
      <c r="AG585" s="19" t="e">
        <f ca="1">_xlfn.SINGLE(_xlfn.XLOOKUP(SalesData[[#This Row],[Product]],Product_Master!A:A,Product_Master!B:B,"Not Found"))</f>
        <v>#NAME?</v>
      </c>
      <c r="AH585" s="19" t="str">
        <f>VLOOKUP(SalesData[[#This Row],[Product]],Product_Master!$A$1:$B$21,2,FALSE)</f>
        <v>Rohan</v>
      </c>
      <c r="AI585" s="16"/>
    </row>
    <row r="586" spans="1:35" ht="13.8">
      <c r="A586" s="16" t="s">
        <v>295</v>
      </c>
      <c r="B586" s="17">
        <v>45816</v>
      </c>
      <c r="C586" s="16" t="s">
        <v>207</v>
      </c>
      <c r="D586" s="16" t="s">
        <v>208</v>
      </c>
      <c r="E586" s="16" t="s">
        <v>175</v>
      </c>
      <c r="F586" s="16" t="s">
        <v>176</v>
      </c>
      <c r="G586" s="16" t="s">
        <v>51</v>
      </c>
      <c r="H586" s="16" t="s">
        <v>177</v>
      </c>
      <c r="I586" s="16" t="s">
        <v>84</v>
      </c>
      <c r="J586" s="16" t="s">
        <v>85</v>
      </c>
      <c r="K586" s="18">
        <v>15585.06</v>
      </c>
      <c r="L586" s="18">
        <v>15504.55</v>
      </c>
      <c r="M586" s="19">
        <v>1</v>
      </c>
      <c r="N586" s="20">
        <v>0.2</v>
      </c>
      <c r="O586" s="19" t="s">
        <v>136</v>
      </c>
      <c r="P586" s="19" t="s">
        <v>45</v>
      </c>
      <c r="Q586" s="19" t="str">
        <f>TRIM(SalesData[[#This Row],[Customer_Name]])</f>
        <v>Kavya Nair</v>
      </c>
      <c r="R586" s="21">
        <f>SalesData[[#This Row],[Sales]]-SalesData[[#This Row],[Cost]]</f>
        <v>80.510000000000218</v>
      </c>
      <c r="S586" s="22">
        <f>IFERROR(SalesData[[#This Row],[Profit]]/SalesData[[#This Row],[Sales]],0)</f>
        <v>5.1658447256539416E-3</v>
      </c>
      <c r="T586" s="19">
        <f>YEAR(SalesData[[#This Row],[Order_Date]])</f>
        <v>2025</v>
      </c>
      <c r="U586" s="19" t="str">
        <f>TEXT(SalesData[[#This Row],[Order_Date]],"mmm")</f>
        <v>Jun</v>
      </c>
      <c r="V586" s="19" t="str">
        <f>"Q"&amp;ROUNDUP(MONTH(SalesData[[#This Row],[Order_Date]])/3,0)</f>
        <v>Q2</v>
      </c>
      <c r="W586" s="19" t="str">
        <f>IF(SalesData[[#This Row],[Sales]]&gt;=50000,"High",IF(AND(SalesData[[#This Row],[Sales]]&gt;= 20000, SalesData[[#This Row],[Sales]]&lt; 50000),"Medium","Low"))</f>
        <v>Low</v>
      </c>
      <c r="X586" s="19" t="str">
        <f>IF(SalesData[[#This Row],[Profit]]&gt;0,"Profit","Loss")</f>
        <v>Profit</v>
      </c>
      <c r="Y586" s="19" t="str">
        <f>IF(AND(SalesData[[#This Row],[Sales]]&gt;= 50000, SalesData[[#This Row],[Quantity]]&gt;=2),"Yes","No")</f>
        <v>No</v>
      </c>
      <c r="Z586" s="19" t="str">
        <f>UPPER(SalesData[[#This Row],[Customer_Name]])</f>
        <v>KAVYA NAIR</v>
      </c>
      <c r="AA586" s="19" t="str">
        <f>LOWER(SalesData[[#This Row],[Customer_Name]])</f>
        <v>kavya nair</v>
      </c>
      <c r="AB586" s="19">
        <f>LEN(SalesData[[#This Row],[Customer_Name]])</f>
        <v>10</v>
      </c>
      <c r="AC586" s="19" t="str">
        <f>LEFT(SalesData[[#This Row],[Order_ID]],3)</f>
        <v>ORD</v>
      </c>
      <c r="AD586" s="19" t="str">
        <f>RIGHT(SalesData[[#This Row],[Order_ID]],4)</f>
        <v>0142</v>
      </c>
      <c r="AE586" s="19" t="str">
        <f>_xlfn.CONCAT(SalesData[[#This Row],[Clean_Customer_Name]],"-",SalesData[[#This Row],[Region]])</f>
        <v>Kavya Nair-South</v>
      </c>
      <c r="AF586" s="19" t="str">
        <f>MID(SalesData[[#This Row],[Order_ID]],4,4)</f>
        <v>0142</v>
      </c>
      <c r="AG586" s="19" t="e">
        <f ca="1">_xlfn.SINGLE(_xlfn.XLOOKUP(SalesData[[#This Row],[Product]],Product_Master!A:A,Product_Master!B:B,"Not Found"))</f>
        <v>#NAME?</v>
      </c>
      <c r="AH586" s="19" t="str">
        <f>VLOOKUP(SalesData[[#This Row],[Product]],Product_Master!$A$1:$B$21,2,FALSE)</f>
        <v>Arjun</v>
      </c>
      <c r="AI586" s="16"/>
    </row>
    <row r="587" spans="1:35" ht="13.8">
      <c r="A587" s="16" t="s">
        <v>742</v>
      </c>
      <c r="B587" s="17">
        <v>45629</v>
      </c>
      <c r="C587" s="16" t="s">
        <v>207</v>
      </c>
      <c r="D587" s="16" t="s">
        <v>208</v>
      </c>
      <c r="E587" s="16" t="s">
        <v>123</v>
      </c>
      <c r="F587" s="16" t="s">
        <v>124</v>
      </c>
      <c r="G587" s="16" t="s">
        <v>51</v>
      </c>
      <c r="H587" s="16" t="s">
        <v>125</v>
      </c>
      <c r="I587" s="16" t="s">
        <v>42</v>
      </c>
      <c r="J587" s="16" t="s">
        <v>43</v>
      </c>
      <c r="K587" s="18">
        <v>90624.49</v>
      </c>
      <c r="L587" s="18">
        <v>72608.160000000003</v>
      </c>
      <c r="M587" s="19">
        <v>4</v>
      </c>
      <c r="N587" s="20">
        <v>0.05</v>
      </c>
      <c r="O587" s="19" t="s">
        <v>34</v>
      </c>
      <c r="P587" s="19" t="s">
        <v>58</v>
      </c>
      <c r="Q587" s="19" t="str">
        <f>TRIM(SalesData[[#This Row],[Customer_Name]])</f>
        <v>Kavya Nair</v>
      </c>
      <c r="R587" s="21">
        <f>SalesData[[#This Row],[Sales]]-SalesData[[#This Row],[Cost]]</f>
        <v>18016.330000000002</v>
      </c>
      <c r="S587" s="22">
        <f>IFERROR(SalesData[[#This Row],[Profit]]/SalesData[[#This Row],[Sales]],0)</f>
        <v>0.19880200153402244</v>
      </c>
      <c r="T587" s="19">
        <f>YEAR(SalesData[[#This Row],[Order_Date]])</f>
        <v>2024</v>
      </c>
      <c r="U587" s="19" t="str">
        <f>TEXT(SalesData[[#This Row],[Order_Date]],"mmm")</f>
        <v>Dec</v>
      </c>
      <c r="V587" s="19" t="str">
        <f>"Q"&amp;ROUNDUP(MONTH(SalesData[[#This Row],[Order_Date]])/3,0)</f>
        <v>Q4</v>
      </c>
      <c r="W587" s="19" t="str">
        <f>IF(SalesData[[#This Row],[Sales]]&gt;=50000,"High",IF(AND(SalesData[[#This Row],[Sales]]&gt;= 20000, SalesData[[#This Row],[Sales]]&lt; 50000),"Medium","Low"))</f>
        <v>High</v>
      </c>
      <c r="X587" s="19" t="str">
        <f>IF(SalesData[[#This Row],[Profit]]&gt;0,"Profit","Loss")</f>
        <v>Profit</v>
      </c>
      <c r="Y587" s="19" t="str">
        <f>IF(AND(SalesData[[#This Row],[Sales]]&gt;= 50000, SalesData[[#This Row],[Quantity]]&gt;=2),"Yes","No")</f>
        <v>Yes</v>
      </c>
      <c r="Z587" s="19" t="str">
        <f>UPPER(SalesData[[#This Row],[Customer_Name]])</f>
        <v>KAVYA NAIR</v>
      </c>
      <c r="AA587" s="19" t="str">
        <f>LOWER(SalesData[[#This Row],[Customer_Name]])</f>
        <v>kavya nair</v>
      </c>
      <c r="AB587" s="19">
        <f>LEN(SalesData[[#This Row],[Customer_Name]])</f>
        <v>10</v>
      </c>
      <c r="AC587" s="19" t="str">
        <f>LEFT(SalesData[[#This Row],[Order_ID]],3)</f>
        <v>ORD</v>
      </c>
      <c r="AD587" s="19" t="str">
        <f>RIGHT(SalesData[[#This Row],[Order_ID]],4)</f>
        <v>0589</v>
      </c>
      <c r="AE587" s="19" t="str">
        <f>_xlfn.CONCAT(SalesData[[#This Row],[Clean_Customer_Name]],"-",SalesData[[#This Row],[Region]])</f>
        <v>Kavya Nair-East</v>
      </c>
      <c r="AF587" s="19" t="str">
        <f>MID(SalesData[[#This Row],[Order_ID]],4,4)</f>
        <v>0589</v>
      </c>
      <c r="AG587" s="19" t="e">
        <f ca="1">_xlfn.SINGLE(_xlfn.XLOOKUP(SalesData[[#This Row],[Product]],Product_Master!A:A,Product_Master!B:B,"Not Found"))</f>
        <v>#NAME?</v>
      </c>
      <c r="AH587" s="19" t="str">
        <f>VLOOKUP(SalesData[[#This Row],[Product]],Product_Master!$A$1:$B$21,2,FALSE)</f>
        <v>Sneha</v>
      </c>
      <c r="AI587" s="16"/>
    </row>
    <row r="588" spans="1:35" ht="13.8">
      <c r="A588" s="16" t="s">
        <v>754</v>
      </c>
      <c r="B588" s="17">
        <v>45347</v>
      </c>
      <c r="C588" s="16" t="s">
        <v>207</v>
      </c>
      <c r="D588" s="16" t="s">
        <v>208</v>
      </c>
      <c r="E588" s="16" t="s">
        <v>123</v>
      </c>
      <c r="F588" s="16" t="s">
        <v>124</v>
      </c>
      <c r="G588" s="16" t="s">
        <v>51</v>
      </c>
      <c r="H588" s="16" t="s">
        <v>125</v>
      </c>
      <c r="I588" s="16" t="s">
        <v>42</v>
      </c>
      <c r="J588" s="16" t="s">
        <v>43</v>
      </c>
      <c r="K588" s="18">
        <v>120828.56</v>
      </c>
      <c r="L588" s="18">
        <v>97266.15</v>
      </c>
      <c r="M588" s="19">
        <v>5</v>
      </c>
      <c r="N588" s="20">
        <v>0.15</v>
      </c>
      <c r="O588" s="19" t="s">
        <v>25</v>
      </c>
      <c r="P588" s="19" t="s">
        <v>58</v>
      </c>
      <c r="Q588" s="19" t="str">
        <f>TRIM(SalesData[[#This Row],[Customer_Name]])</f>
        <v>Kavya Nair</v>
      </c>
      <c r="R588" s="21">
        <f>SalesData[[#This Row],[Sales]]-SalesData[[#This Row],[Cost]]</f>
        <v>23562.410000000003</v>
      </c>
      <c r="S588" s="22">
        <f>IFERROR(SalesData[[#This Row],[Profit]]/SalesData[[#This Row],[Sales]],0)</f>
        <v>0.19500695861971709</v>
      </c>
      <c r="T588" s="19">
        <f>YEAR(SalesData[[#This Row],[Order_Date]])</f>
        <v>2024</v>
      </c>
      <c r="U588" s="19" t="str">
        <f>TEXT(SalesData[[#This Row],[Order_Date]],"mmm")</f>
        <v>Feb</v>
      </c>
      <c r="V588" s="19" t="str">
        <f>"Q"&amp;ROUNDUP(MONTH(SalesData[[#This Row],[Order_Date]])/3,0)</f>
        <v>Q1</v>
      </c>
      <c r="W588" s="19" t="str">
        <f>IF(SalesData[[#This Row],[Sales]]&gt;=50000,"High",IF(AND(SalesData[[#This Row],[Sales]]&gt;= 20000, SalesData[[#This Row],[Sales]]&lt; 50000),"Medium","Low"))</f>
        <v>High</v>
      </c>
      <c r="X588" s="19" t="str">
        <f>IF(SalesData[[#This Row],[Profit]]&gt;0,"Profit","Loss")</f>
        <v>Profit</v>
      </c>
      <c r="Y588" s="19" t="str">
        <f>IF(AND(SalesData[[#This Row],[Sales]]&gt;= 50000, SalesData[[#This Row],[Quantity]]&gt;=2),"Yes","No")</f>
        <v>Yes</v>
      </c>
      <c r="Z588" s="19" t="str">
        <f>UPPER(SalesData[[#This Row],[Customer_Name]])</f>
        <v>KAVYA NAIR</v>
      </c>
      <c r="AA588" s="19" t="str">
        <f>LOWER(SalesData[[#This Row],[Customer_Name]])</f>
        <v>kavya nair</v>
      </c>
      <c r="AB588" s="19">
        <f>LEN(SalesData[[#This Row],[Customer_Name]])</f>
        <v>10</v>
      </c>
      <c r="AC588" s="19" t="str">
        <f>LEFT(SalesData[[#This Row],[Order_ID]],3)</f>
        <v>ORD</v>
      </c>
      <c r="AD588" s="19" t="str">
        <f>RIGHT(SalesData[[#This Row],[Order_ID]],4)</f>
        <v>0601</v>
      </c>
      <c r="AE588" s="19" t="str">
        <f>_xlfn.CONCAT(SalesData[[#This Row],[Clean_Customer_Name]],"-",SalesData[[#This Row],[Region]])</f>
        <v>Kavya Nair-East</v>
      </c>
      <c r="AF588" s="19" t="str">
        <f>MID(SalesData[[#This Row],[Order_ID]],4,4)</f>
        <v>0601</v>
      </c>
      <c r="AG588" s="19" t="e">
        <f ca="1">_xlfn.SINGLE(_xlfn.XLOOKUP(SalesData[[#This Row],[Product]],Product_Master!A:A,Product_Master!B:B,"Not Found"))</f>
        <v>#NAME?</v>
      </c>
      <c r="AH588" s="19" t="str">
        <f>VLOOKUP(SalesData[[#This Row],[Product]],Product_Master!$A$1:$B$21,2,FALSE)</f>
        <v>Sneha</v>
      </c>
      <c r="AI588" s="16"/>
    </row>
    <row r="589" spans="1:35" ht="13.8">
      <c r="A589" s="16" t="s">
        <v>419</v>
      </c>
      <c r="B589" s="17">
        <v>45389</v>
      </c>
      <c r="C589" s="16" t="s">
        <v>207</v>
      </c>
      <c r="D589" s="16" t="s">
        <v>208</v>
      </c>
      <c r="E589" s="16" t="s">
        <v>110</v>
      </c>
      <c r="F589" s="16" t="s">
        <v>111</v>
      </c>
      <c r="G589" s="16" t="s">
        <v>40</v>
      </c>
      <c r="H589" s="16" t="s">
        <v>112</v>
      </c>
      <c r="I589" s="16" t="s">
        <v>42</v>
      </c>
      <c r="J589" s="16" t="s">
        <v>43</v>
      </c>
      <c r="K589" s="18">
        <v>8736.1200000000008</v>
      </c>
      <c r="L589" s="18">
        <v>6503</v>
      </c>
      <c r="M589" s="19">
        <v>5</v>
      </c>
      <c r="N589" s="20">
        <v>0.2</v>
      </c>
      <c r="O589" s="19" t="s">
        <v>136</v>
      </c>
      <c r="P589" s="19" t="s">
        <v>45</v>
      </c>
      <c r="Q589" s="19" t="str">
        <f>TRIM(SalesData[[#This Row],[Customer_Name]])</f>
        <v>Kavya Nair</v>
      </c>
      <c r="R589" s="21">
        <f>SalesData[[#This Row],[Sales]]-SalesData[[#This Row],[Cost]]</f>
        <v>2233.1200000000008</v>
      </c>
      <c r="S589" s="22">
        <f>IFERROR(SalesData[[#This Row],[Profit]]/SalesData[[#This Row],[Sales]],0)</f>
        <v>0.25561919936997207</v>
      </c>
      <c r="T589" s="19">
        <f>YEAR(SalesData[[#This Row],[Order_Date]])</f>
        <v>2024</v>
      </c>
      <c r="U589" s="19" t="str">
        <f>TEXT(SalesData[[#This Row],[Order_Date]],"mmm")</f>
        <v>Apr</v>
      </c>
      <c r="V589" s="19" t="str">
        <f>"Q"&amp;ROUNDUP(MONTH(SalesData[[#This Row],[Order_Date]])/3,0)</f>
        <v>Q2</v>
      </c>
      <c r="W589" s="19" t="str">
        <f>IF(SalesData[[#This Row],[Sales]]&gt;=50000,"High",IF(AND(SalesData[[#This Row],[Sales]]&gt;= 20000, SalesData[[#This Row],[Sales]]&lt; 50000),"Medium","Low"))</f>
        <v>Low</v>
      </c>
      <c r="X589" s="19" t="str">
        <f>IF(SalesData[[#This Row],[Profit]]&gt;0,"Profit","Loss")</f>
        <v>Profit</v>
      </c>
      <c r="Y589" s="19" t="str">
        <f>IF(AND(SalesData[[#This Row],[Sales]]&gt;= 50000, SalesData[[#This Row],[Quantity]]&gt;=2),"Yes","No")</f>
        <v>No</v>
      </c>
      <c r="Z589" s="19" t="str">
        <f>UPPER(SalesData[[#This Row],[Customer_Name]])</f>
        <v>KAVYA NAIR</v>
      </c>
      <c r="AA589" s="19" t="str">
        <f>LOWER(SalesData[[#This Row],[Customer_Name]])</f>
        <v>kavya nair</v>
      </c>
      <c r="AB589" s="19">
        <f>LEN(SalesData[[#This Row],[Customer_Name]])</f>
        <v>10</v>
      </c>
      <c r="AC589" s="19" t="str">
        <f>LEFT(SalesData[[#This Row],[Order_ID]],3)</f>
        <v>ORD</v>
      </c>
      <c r="AD589" s="19" t="str">
        <f>RIGHT(SalesData[[#This Row],[Order_ID]],4)</f>
        <v>0266</v>
      </c>
      <c r="AE589" s="19" t="str">
        <f>_xlfn.CONCAT(SalesData[[#This Row],[Clean_Customer_Name]],"-",SalesData[[#This Row],[Region]])</f>
        <v>Kavya Nair-East</v>
      </c>
      <c r="AF589" s="19" t="str">
        <f>MID(SalesData[[#This Row],[Order_ID]],4,4)</f>
        <v>0266</v>
      </c>
      <c r="AG589" s="19" t="e">
        <f ca="1">_xlfn.SINGLE(_xlfn.XLOOKUP(SalesData[[#This Row],[Product]],Product_Master!A:A,Product_Master!B:B,"Not Found"))</f>
        <v>#NAME?</v>
      </c>
      <c r="AH589" s="19" t="str">
        <f>VLOOKUP(SalesData[[#This Row],[Product]],Product_Master!$A$1:$B$21,2,FALSE)</f>
        <v>Vikas</v>
      </c>
      <c r="AI589" s="16"/>
    </row>
    <row r="590" spans="1:35" ht="13.8">
      <c r="A590" s="16" t="s">
        <v>840</v>
      </c>
      <c r="B590" s="17">
        <v>45986</v>
      </c>
      <c r="C590" s="16" t="s">
        <v>207</v>
      </c>
      <c r="D590" s="16" t="s">
        <v>208</v>
      </c>
      <c r="E590" s="16" t="s">
        <v>110</v>
      </c>
      <c r="F590" s="16" t="s">
        <v>111</v>
      </c>
      <c r="G590" s="16" t="s">
        <v>40</v>
      </c>
      <c r="H590" s="16" t="s">
        <v>112</v>
      </c>
      <c r="I590" s="16" t="s">
        <v>53</v>
      </c>
      <c r="J590" s="16" t="s">
        <v>54</v>
      </c>
      <c r="K590" s="18">
        <v>15717.5</v>
      </c>
      <c r="L590" s="18">
        <v>4631.28</v>
      </c>
      <c r="M590" s="19">
        <v>4</v>
      </c>
      <c r="N590" s="20">
        <v>0.2</v>
      </c>
      <c r="O590" s="19" t="s">
        <v>34</v>
      </c>
      <c r="P590" s="19" t="s">
        <v>58</v>
      </c>
      <c r="Q590" s="19" t="str">
        <f>TRIM(SalesData[[#This Row],[Customer_Name]])</f>
        <v>Kavya Nair</v>
      </c>
      <c r="R590" s="21">
        <f>SalesData[[#This Row],[Sales]]-SalesData[[#This Row],[Cost]]</f>
        <v>11086.220000000001</v>
      </c>
      <c r="S590" s="22">
        <f>IFERROR(SalesData[[#This Row],[Profit]]/SalesData[[#This Row],[Sales]],0)</f>
        <v>0.70534245268013374</v>
      </c>
      <c r="T590" s="19">
        <f>YEAR(SalesData[[#This Row],[Order_Date]])</f>
        <v>2025</v>
      </c>
      <c r="U590" s="19" t="str">
        <f>TEXT(SalesData[[#This Row],[Order_Date]],"mmm")</f>
        <v>Nov</v>
      </c>
      <c r="V590" s="19" t="str">
        <f>"Q"&amp;ROUNDUP(MONTH(SalesData[[#This Row],[Order_Date]])/3,0)</f>
        <v>Q4</v>
      </c>
      <c r="W590" s="19" t="str">
        <f>IF(SalesData[[#This Row],[Sales]]&gt;=50000,"High",IF(AND(SalesData[[#This Row],[Sales]]&gt;= 20000, SalesData[[#This Row],[Sales]]&lt; 50000),"Medium","Low"))</f>
        <v>Low</v>
      </c>
      <c r="X590" s="19" t="str">
        <f>IF(SalesData[[#This Row],[Profit]]&gt;0,"Profit","Loss")</f>
        <v>Profit</v>
      </c>
      <c r="Y590" s="19" t="str">
        <f>IF(AND(SalesData[[#This Row],[Sales]]&gt;= 50000, SalesData[[#This Row],[Quantity]]&gt;=2),"Yes","No")</f>
        <v>No</v>
      </c>
      <c r="Z590" s="19" t="str">
        <f>UPPER(SalesData[[#This Row],[Customer_Name]])</f>
        <v>KAVYA NAIR</v>
      </c>
      <c r="AA590" s="19" t="str">
        <f>LOWER(SalesData[[#This Row],[Customer_Name]])</f>
        <v>kavya nair</v>
      </c>
      <c r="AB590" s="19">
        <f>LEN(SalesData[[#This Row],[Customer_Name]])</f>
        <v>10</v>
      </c>
      <c r="AC590" s="19" t="str">
        <f>LEFT(SalesData[[#This Row],[Order_ID]],3)</f>
        <v>ORD</v>
      </c>
      <c r="AD590" s="19" t="str">
        <f>RIGHT(SalesData[[#This Row],[Order_ID]],4)</f>
        <v>0687</v>
      </c>
      <c r="AE590" s="19" t="str">
        <f>_xlfn.CONCAT(SalesData[[#This Row],[Clean_Customer_Name]],"-",SalesData[[#This Row],[Region]])</f>
        <v>Kavya Nair-Central</v>
      </c>
      <c r="AF590" s="19" t="str">
        <f>MID(SalesData[[#This Row],[Order_ID]],4,4)</f>
        <v>0687</v>
      </c>
      <c r="AG590" s="19" t="e">
        <f ca="1">_xlfn.SINGLE(_xlfn.XLOOKUP(SalesData[[#This Row],[Product]],Product_Master!A:A,Product_Master!B:B,"Not Found"))</f>
        <v>#NAME?</v>
      </c>
      <c r="AH590" s="19" t="str">
        <f>VLOOKUP(SalesData[[#This Row],[Product]],Product_Master!$A$1:$B$21,2,FALSE)</f>
        <v>Vikas</v>
      </c>
      <c r="AI590" s="16"/>
    </row>
    <row r="591" spans="1:35" ht="13.8">
      <c r="A591" s="16" t="s">
        <v>288</v>
      </c>
      <c r="B591" s="17">
        <v>45973</v>
      </c>
      <c r="C591" s="16" t="s">
        <v>207</v>
      </c>
      <c r="D591" s="16" t="s">
        <v>208</v>
      </c>
      <c r="E591" s="16" t="s">
        <v>172</v>
      </c>
      <c r="F591" s="16" t="s">
        <v>173</v>
      </c>
      <c r="G591" s="16" t="s">
        <v>40</v>
      </c>
      <c r="H591" s="16" t="s">
        <v>41</v>
      </c>
      <c r="I591" s="16" t="s">
        <v>53</v>
      </c>
      <c r="J591" s="16" t="s">
        <v>102</v>
      </c>
      <c r="K591" s="18">
        <v>11395.48</v>
      </c>
      <c r="L591" s="18">
        <v>3865.04</v>
      </c>
      <c r="M591" s="19">
        <v>4</v>
      </c>
      <c r="N591" s="20">
        <v>0.1</v>
      </c>
      <c r="O591" s="19" t="s">
        <v>34</v>
      </c>
      <c r="P591" s="19" t="s">
        <v>45</v>
      </c>
      <c r="Q591" s="19" t="str">
        <f>TRIM(SalesData[[#This Row],[Customer_Name]])</f>
        <v>Kavya Nair</v>
      </c>
      <c r="R591" s="21">
        <f>SalesData[[#This Row],[Sales]]-SalesData[[#This Row],[Cost]]</f>
        <v>7530.44</v>
      </c>
      <c r="S591" s="22">
        <f>IFERROR(SalesData[[#This Row],[Profit]]/SalesData[[#This Row],[Sales]],0)</f>
        <v>0.66082692435948287</v>
      </c>
      <c r="T591" s="19">
        <f>YEAR(SalesData[[#This Row],[Order_Date]])</f>
        <v>2025</v>
      </c>
      <c r="U591" s="19" t="str">
        <f>TEXT(SalesData[[#This Row],[Order_Date]],"mmm")</f>
        <v>Nov</v>
      </c>
      <c r="V591" s="19" t="str">
        <f>"Q"&amp;ROUNDUP(MONTH(SalesData[[#This Row],[Order_Date]])/3,0)</f>
        <v>Q4</v>
      </c>
      <c r="W591" s="19" t="str">
        <f>IF(SalesData[[#This Row],[Sales]]&gt;=50000,"High",IF(AND(SalesData[[#This Row],[Sales]]&gt;= 20000, SalesData[[#This Row],[Sales]]&lt; 50000),"Medium","Low"))</f>
        <v>Low</v>
      </c>
      <c r="X591" s="19" t="str">
        <f>IF(SalesData[[#This Row],[Profit]]&gt;0,"Profit","Loss")</f>
        <v>Profit</v>
      </c>
      <c r="Y591" s="19" t="str">
        <f>IF(AND(SalesData[[#This Row],[Sales]]&gt;= 50000, SalesData[[#This Row],[Quantity]]&gt;=2),"Yes","No")</f>
        <v>No</v>
      </c>
      <c r="Z591" s="19" t="str">
        <f>UPPER(SalesData[[#This Row],[Customer_Name]])</f>
        <v>KAVYA NAIR</v>
      </c>
      <c r="AA591" s="19" t="str">
        <f>LOWER(SalesData[[#This Row],[Customer_Name]])</f>
        <v>kavya nair</v>
      </c>
      <c r="AB591" s="19">
        <f>LEN(SalesData[[#This Row],[Customer_Name]])</f>
        <v>10</v>
      </c>
      <c r="AC591" s="19" t="str">
        <f>LEFT(SalesData[[#This Row],[Order_ID]],3)</f>
        <v>ORD</v>
      </c>
      <c r="AD591" s="19" t="str">
        <f>RIGHT(SalesData[[#This Row],[Order_ID]],4)</f>
        <v>0135</v>
      </c>
      <c r="AE591" s="19" t="str">
        <f>_xlfn.CONCAT(SalesData[[#This Row],[Clean_Customer_Name]],"-",SalesData[[#This Row],[Region]])</f>
        <v>Kavya Nair-Central</v>
      </c>
      <c r="AF591" s="19" t="str">
        <f>MID(SalesData[[#This Row],[Order_ID]],4,4)</f>
        <v>0135</v>
      </c>
      <c r="AG591" s="19" t="e">
        <f ca="1">_xlfn.SINGLE(_xlfn.XLOOKUP(SalesData[[#This Row],[Product]],Product_Master!A:A,Product_Master!B:B,"Not Found"))</f>
        <v>#NAME?</v>
      </c>
      <c r="AH591" s="19" t="str">
        <f>VLOOKUP(SalesData[[#This Row],[Product]],Product_Master!$A$1:$B$21,2,FALSE)</f>
        <v>Pooja</v>
      </c>
      <c r="AI591" s="16"/>
    </row>
    <row r="592" spans="1:35" ht="13.8">
      <c r="A592" s="16" t="s">
        <v>1129</v>
      </c>
      <c r="B592" s="17">
        <v>45674</v>
      </c>
      <c r="C592" s="16" t="s">
        <v>207</v>
      </c>
      <c r="D592" s="16" t="s">
        <v>208</v>
      </c>
      <c r="E592" s="16" t="s">
        <v>106</v>
      </c>
      <c r="F592" s="16" t="s">
        <v>107</v>
      </c>
      <c r="G592" s="16" t="s">
        <v>40</v>
      </c>
      <c r="H592" s="16" t="s">
        <v>108</v>
      </c>
      <c r="I592" s="16" t="s">
        <v>42</v>
      </c>
      <c r="J592" s="16" t="s">
        <v>162</v>
      </c>
      <c r="K592" s="18">
        <v>7072.99</v>
      </c>
      <c r="L592" s="18">
        <v>2794.16</v>
      </c>
      <c r="M592" s="19">
        <v>4</v>
      </c>
      <c r="N592" s="20">
        <v>0.2</v>
      </c>
      <c r="O592" s="19" t="s">
        <v>25</v>
      </c>
      <c r="P592" s="19" t="s">
        <v>26</v>
      </c>
      <c r="Q592" s="19" t="str">
        <f>TRIM(SalesData[[#This Row],[Customer_Name]])</f>
        <v>Kavya Nair</v>
      </c>
      <c r="R592" s="21">
        <f>SalesData[[#This Row],[Sales]]-SalesData[[#This Row],[Cost]]</f>
        <v>4278.83</v>
      </c>
      <c r="S592" s="22">
        <f>IFERROR(SalesData[[#This Row],[Profit]]/SalesData[[#This Row],[Sales]],0)</f>
        <v>0.60495349208750471</v>
      </c>
      <c r="T592" s="19">
        <f>YEAR(SalesData[[#This Row],[Order_Date]])</f>
        <v>2025</v>
      </c>
      <c r="U592" s="19" t="str">
        <f>TEXT(SalesData[[#This Row],[Order_Date]],"mmm")</f>
        <v>Jan</v>
      </c>
      <c r="V592" s="19" t="str">
        <f>"Q"&amp;ROUNDUP(MONTH(SalesData[[#This Row],[Order_Date]])/3,0)</f>
        <v>Q1</v>
      </c>
      <c r="W592" s="19" t="str">
        <f>IF(SalesData[[#This Row],[Sales]]&gt;=50000,"High",IF(AND(SalesData[[#This Row],[Sales]]&gt;= 20000, SalesData[[#This Row],[Sales]]&lt; 50000),"Medium","Low"))</f>
        <v>Low</v>
      </c>
      <c r="X592" s="19" t="str">
        <f>IF(SalesData[[#This Row],[Profit]]&gt;0,"Profit","Loss")</f>
        <v>Profit</v>
      </c>
      <c r="Y592" s="19" t="str">
        <f>IF(AND(SalesData[[#This Row],[Sales]]&gt;= 50000, SalesData[[#This Row],[Quantity]]&gt;=2),"Yes","No")</f>
        <v>No</v>
      </c>
      <c r="Z592" s="19" t="str">
        <f>UPPER(SalesData[[#This Row],[Customer_Name]])</f>
        <v>KAVYA NAIR</v>
      </c>
      <c r="AA592" s="19" t="str">
        <f>LOWER(SalesData[[#This Row],[Customer_Name]])</f>
        <v>kavya nair</v>
      </c>
      <c r="AB592" s="19">
        <f>LEN(SalesData[[#This Row],[Customer_Name]])</f>
        <v>10</v>
      </c>
      <c r="AC592" s="19" t="str">
        <f>LEFT(SalesData[[#This Row],[Order_ID]],3)</f>
        <v>ORD</v>
      </c>
      <c r="AD592" s="19" t="str">
        <f>RIGHT(SalesData[[#This Row],[Order_ID]],4)</f>
        <v>0976</v>
      </c>
      <c r="AE592" s="19" t="str">
        <f>_xlfn.CONCAT(SalesData[[#This Row],[Clean_Customer_Name]],"-",SalesData[[#This Row],[Region]])</f>
        <v>Kavya Nair-East</v>
      </c>
      <c r="AF592" s="19" t="str">
        <f>MID(SalesData[[#This Row],[Order_ID]],4,4)</f>
        <v>0976</v>
      </c>
      <c r="AG592" s="19" t="e">
        <f ca="1">_xlfn.SINGLE(_xlfn.XLOOKUP(SalesData[[#This Row],[Product]],Product_Master!A:A,Product_Master!B:B,"Not Found"))</f>
        <v>#NAME?</v>
      </c>
      <c r="AH592" s="19" t="str">
        <f>VLOOKUP(SalesData[[#This Row],[Product]],Product_Master!$A$1:$B$21,2,FALSE)</f>
        <v>Aditya</v>
      </c>
      <c r="AI592" s="16"/>
    </row>
    <row r="593" spans="1:35" ht="13.8">
      <c r="A593" s="16" t="s">
        <v>745</v>
      </c>
      <c r="B593" s="17">
        <v>45745</v>
      </c>
      <c r="C593" s="16" t="s">
        <v>207</v>
      </c>
      <c r="D593" s="16" t="s">
        <v>208</v>
      </c>
      <c r="E593" s="16" t="s">
        <v>132</v>
      </c>
      <c r="F593" s="16" t="s">
        <v>133</v>
      </c>
      <c r="G593" s="16" t="s">
        <v>40</v>
      </c>
      <c r="H593" s="16" t="s">
        <v>41</v>
      </c>
      <c r="I593" s="16" t="s">
        <v>84</v>
      </c>
      <c r="J593" s="16" t="s">
        <v>142</v>
      </c>
      <c r="K593" s="18">
        <v>1452.76</v>
      </c>
      <c r="L593" s="18">
        <v>697.8</v>
      </c>
      <c r="M593" s="19">
        <v>3</v>
      </c>
      <c r="N593" s="20">
        <v>0.05</v>
      </c>
      <c r="O593" s="19" t="s">
        <v>76</v>
      </c>
      <c r="P593" s="19" t="s">
        <v>58</v>
      </c>
      <c r="Q593" s="19" t="str">
        <f>TRIM(SalesData[[#This Row],[Customer_Name]])</f>
        <v>Kavya Nair</v>
      </c>
      <c r="R593" s="21">
        <f>SalesData[[#This Row],[Sales]]-SalesData[[#This Row],[Cost]]</f>
        <v>754.96</v>
      </c>
      <c r="S593" s="22">
        <f>IFERROR(SalesData[[#This Row],[Profit]]/SalesData[[#This Row],[Sales]],0)</f>
        <v>0.51967289848288778</v>
      </c>
      <c r="T593" s="19">
        <f>YEAR(SalesData[[#This Row],[Order_Date]])</f>
        <v>2025</v>
      </c>
      <c r="U593" s="19" t="str">
        <f>TEXT(SalesData[[#This Row],[Order_Date]],"mmm")</f>
        <v>Mar</v>
      </c>
      <c r="V593" s="19" t="str">
        <f>"Q"&amp;ROUNDUP(MONTH(SalesData[[#This Row],[Order_Date]])/3,0)</f>
        <v>Q1</v>
      </c>
      <c r="W593" s="19" t="str">
        <f>IF(SalesData[[#This Row],[Sales]]&gt;=50000,"High",IF(AND(SalesData[[#This Row],[Sales]]&gt;= 20000, SalesData[[#This Row],[Sales]]&lt; 50000),"Medium","Low"))</f>
        <v>Low</v>
      </c>
      <c r="X593" s="19" t="str">
        <f>IF(SalesData[[#This Row],[Profit]]&gt;0,"Profit","Loss")</f>
        <v>Profit</v>
      </c>
      <c r="Y593" s="19" t="str">
        <f>IF(AND(SalesData[[#This Row],[Sales]]&gt;= 50000, SalesData[[#This Row],[Quantity]]&gt;=2),"Yes","No")</f>
        <v>No</v>
      </c>
      <c r="Z593" s="19" t="str">
        <f>UPPER(SalesData[[#This Row],[Customer_Name]])</f>
        <v>KAVYA NAIR</v>
      </c>
      <c r="AA593" s="19" t="str">
        <f>LOWER(SalesData[[#This Row],[Customer_Name]])</f>
        <v>kavya nair</v>
      </c>
      <c r="AB593" s="19">
        <f>LEN(SalesData[[#This Row],[Customer_Name]])</f>
        <v>10</v>
      </c>
      <c r="AC593" s="19" t="str">
        <f>LEFT(SalesData[[#This Row],[Order_ID]],3)</f>
        <v>ORD</v>
      </c>
      <c r="AD593" s="19" t="str">
        <f>RIGHT(SalesData[[#This Row],[Order_ID]],4)</f>
        <v>0592</v>
      </c>
      <c r="AE593" s="19" t="str">
        <f>_xlfn.CONCAT(SalesData[[#This Row],[Clean_Customer_Name]],"-",SalesData[[#This Row],[Region]])</f>
        <v>Kavya Nair-South</v>
      </c>
      <c r="AF593" s="19" t="str">
        <f>MID(SalesData[[#This Row],[Order_ID]],4,4)</f>
        <v>0592</v>
      </c>
      <c r="AG593" s="19" t="e">
        <f ca="1">_xlfn.SINGLE(_xlfn.XLOOKUP(SalesData[[#This Row],[Product]],Product_Master!A:A,Product_Master!B:B,"Not Found"))</f>
        <v>#NAME?</v>
      </c>
      <c r="AH593" s="19" t="str">
        <f>VLOOKUP(SalesData[[#This Row],[Product]],Product_Master!$A$1:$B$21,2,FALSE)</f>
        <v>Kavya</v>
      </c>
      <c r="AI593" s="16"/>
    </row>
    <row r="594" spans="1:35" ht="13.8">
      <c r="A594" s="16" t="s">
        <v>285</v>
      </c>
      <c r="B594" s="17">
        <v>45715</v>
      </c>
      <c r="C594" s="16" t="s">
        <v>207</v>
      </c>
      <c r="D594" s="16" t="s">
        <v>208</v>
      </c>
      <c r="E594" s="16" t="s">
        <v>38</v>
      </c>
      <c r="F594" s="16" t="s">
        <v>39</v>
      </c>
      <c r="G594" s="16" t="s">
        <v>40</v>
      </c>
      <c r="H594" s="16" t="s">
        <v>41</v>
      </c>
      <c r="I594" s="16" t="s">
        <v>84</v>
      </c>
      <c r="J594" s="16" t="s">
        <v>85</v>
      </c>
      <c r="K594" s="18">
        <v>3713.91</v>
      </c>
      <c r="L594" s="18">
        <v>1598.22</v>
      </c>
      <c r="M594" s="19">
        <v>3</v>
      </c>
      <c r="N594" s="20">
        <v>0</v>
      </c>
      <c r="O594" s="19" t="s">
        <v>44</v>
      </c>
      <c r="P594" s="19" t="s">
        <v>26</v>
      </c>
      <c r="Q594" s="19" t="str">
        <f>TRIM(SalesData[[#This Row],[Customer_Name]])</f>
        <v>Kavya Nair</v>
      </c>
      <c r="R594" s="21">
        <f>SalesData[[#This Row],[Sales]]-SalesData[[#This Row],[Cost]]</f>
        <v>2115.6899999999996</v>
      </c>
      <c r="S594" s="22">
        <f>IFERROR(SalesData[[#This Row],[Profit]]/SalesData[[#This Row],[Sales]],0)</f>
        <v>0.56966647010832239</v>
      </c>
      <c r="T594" s="19">
        <f>YEAR(SalesData[[#This Row],[Order_Date]])</f>
        <v>2025</v>
      </c>
      <c r="U594" s="19" t="str">
        <f>TEXT(SalesData[[#This Row],[Order_Date]],"mmm")</f>
        <v>Feb</v>
      </c>
      <c r="V594" s="19" t="str">
        <f>"Q"&amp;ROUNDUP(MONTH(SalesData[[#This Row],[Order_Date]])/3,0)</f>
        <v>Q1</v>
      </c>
      <c r="W594" s="19" t="str">
        <f>IF(SalesData[[#This Row],[Sales]]&gt;=50000,"High",IF(AND(SalesData[[#This Row],[Sales]]&gt;= 20000, SalesData[[#This Row],[Sales]]&lt; 50000),"Medium","Low"))</f>
        <v>Low</v>
      </c>
      <c r="X594" s="19" t="str">
        <f>IF(SalesData[[#This Row],[Profit]]&gt;0,"Profit","Loss")</f>
        <v>Profit</v>
      </c>
      <c r="Y594" s="19" t="str">
        <f>IF(AND(SalesData[[#This Row],[Sales]]&gt;= 50000, SalesData[[#This Row],[Quantity]]&gt;=2),"Yes","No")</f>
        <v>No</v>
      </c>
      <c r="Z594" s="19" t="str">
        <f>UPPER(SalesData[[#This Row],[Customer_Name]])</f>
        <v>KAVYA NAIR</v>
      </c>
      <c r="AA594" s="19" t="str">
        <f>LOWER(SalesData[[#This Row],[Customer_Name]])</f>
        <v>kavya nair</v>
      </c>
      <c r="AB594" s="19">
        <f>LEN(SalesData[[#This Row],[Customer_Name]])</f>
        <v>10</v>
      </c>
      <c r="AC594" s="19" t="str">
        <f>LEFT(SalesData[[#This Row],[Order_ID]],3)</f>
        <v>ORD</v>
      </c>
      <c r="AD594" s="19" t="str">
        <f>RIGHT(SalesData[[#This Row],[Order_ID]],4)</f>
        <v>0132</v>
      </c>
      <c r="AE594" s="19" t="str">
        <f>_xlfn.CONCAT(SalesData[[#This Row],[Clean_Customer_Name]],"-",SalesData[[#This Row],[Region]])</f>
        <v>Kavya Nair-South</v>
      </c>
      <c r="AF594" s="19" t="str">
        <f>MID(SalesData[[#This Row],[Order_ID]],4,4)</f>
        <v>0132</v>
      </c>
      <c r="AG594" s="19" t="e">
        <f ca="1">_xlfn.SINGLE(_xlfn.XLOOKUP(SalesData[[#This Row],[Product]],Product_Master!A:A,Product_Master!B:B,"Not Found"))</f>
        <v>#NAME?</v>
      </c>
      <c r="AH594" s="19" t="str">
        <f>VLOOKUP(SalesData[[#This Row],[Product]],Product_Master!$A$1:$B$21,2,FALSE)</f>
        <v>Manish</v>
      </c>
      <c r="AI594" s="16"/>
    </row>
    <row r="595" spans="1:35" ht="13.8">
      <c r="A595" s="16" t="s">
        <v>569</v>
      </c>
      <c r="B595" s="17">
        <v>45418</v>
      </c>
      <c r="C595" s="16" t="s">
        <v>207</v>
      </c>
      <c r="D595" s="16" t="s">
        <v>208</v>
      </c>
      <c r="E595" s="16" t="s">
        <v>38</v>
      </c>
      <c r="F595" s="16" t="s">
        <v>39</v>
      </c>
      <c r="G595" s="16" t="s">
        <v>40</v>
      </c>
      <c r="H595" s="16" t="s">
        <v>41</v>
      </c>
      <c r="I595" s="16" t="s">
        <v>56</v>
      </c>
      <c r="J595" s="16" t="s">
        <v>91</v>
      </c>
      <c r="K595" s="18">
        <v>8184.2</v>
      </c>
      <c r="L595" s="18">
        <v>2376.35</v>
      </c>
      <c r="M595" s="19">
        <v>5</v>
      </c>
      <c r="N595" s="20">
        <v>0.05</v>
      </c>
      <c r="O595" s="19" t="s">
        <v>25</v>
      </c>
      <c r="P595" s="19" t="s">
        <v>45</v>
      </c>
      <c r="Q595" s="19" t="str">
        <f>TRIM(SalesData[[#This Row],[Customer_Name]])</f>
        <v>Kavya Nair</v>
      </c>
      <c r="R595" s="21">
        <f>SalesData[[#This Row],[Sales]]-SalesData[[#This Row],[Cost]]</f>
        <v>5807.85</v>
      </c>
      <c r="S595" s="22">
        <f>IFERROR(SalesData[[#This Row],[Profit]]/SalesData[[#This Row],[Sales]],0)</f>
        <v>0.70964174873536823</v>
      </c>
      <c r="T595" s="19">
        <f>YEAR(SalesData[[#This Row],[Order_Date]])</f>
        <v>2024</v>
      </c>
      <c r="U595" s="19" t="str">
        <f>TEXT(SalesData[[#This Row],[Order_Date]],"mmm")</f>
        <v>May</v>
      </c>
      <c r="V595" s="19" t="str">
        <f>"Q"&amp;ROUNDUP(MONTH(SalesData[[#This Row],[Order_Date]])/3,0)</f>
        <v>Q2</v>
      </c>
      <c r="W595" s="19" t="str">
        <f>IF(SalesData[[#This Row],[Sales]]&gt;=50000,"High",IF(AND(SalesData[[#This Row],[Sales]]&gt;= 20000, SalesData[[#This Row],[Sales]]&lt; 50000),"Medium","Low"))</f>
        <v>Low</v>
      </c>
      <c r="X595" s="19" t="str">
        <f>IF(SalesData[[#This Row],[Profit]]&gt;0,"Profit","Loss")</f>
        <v>Profit</v>
      </c>
      <c r="Y595" s="19" t="str">
        <f>IF(AND(SalesData[[#This Row],[Sales]]&gt;= 50000, SalesData[[#This Row],[Quantity]]&gt;=2),"Yes","No")</f>
        <v>No</v>
      </c>
      <c r="Z595" s="19" t="str">
        <f>UPPER(SalesData[[#This Row],[Customer_Name]])</f>
        <v>KAVYA NAIR</v>
      </c>
      <c r="AA595" s="19" t="str">
        <f>LOWER(SalesData[[#This Row],[Customer_Name]])</f>
        <v>kavya nair</v>
      </c>
      <c r="AB595" s="19">
        <f>LEN(SalesData[[#This Row],[Customer_Name]])</f>
        <v>10</v>
      </c>
      <c r="AC595" s="19" t="str">
        <f>LEFT(SalesData[[#This Row],[Order_ID]],3)</f>
        <v>ORD</v>
      </c>
      <c r="AD595" s="19" t="str">
        <f>RIGHT(SalesData[[#This Row],[Order_ID]],4)</f>
        <v>0416</v>
      </c>
      <c r="AE595" s="19" t="str">
        <f>_xlfn.CONCAT(SalesData[[#This Row],[Clean_Customer_Name]],"-",SalesData[[#This Row],[Region]])</f>
        <v>Kavya Nair-West</v>
      </c>
      <c r="AF595" s="19" t="str">
        <f>MID(SalesData[[#This Row],[Order_ID]],4,4)</f>
        <v>0416</v>
      </c>
      <c r="AG595" s="19" t="e">
        <f ca="1">_xlfn.SINGLE(_xlfn.XLOOKUP(SalesData[[#This Row],[Product]],Product_Master!A:A,Product_Master!B:B,"Not Found"))</f>
        <v>#NAME?</v>
      </c>
      <c r="AH595" s="19" t="str">
        <f>VLOOKUP(SalesData[[#This Row],[Product]],Product_Master!$A$1:$B$21,2,FALSE)</f>
        <v>Manish</v>
      </c>
      <c r="AI595" s="16"/>
    </row>
    <row r="596" spans="1:35" ht="13.8">
      <c r="A596" s="16" t="s">
        <v>897</v>
      </c>
      <c r="B596" s="17">
        <v>45411</v>
      </c>
      <c r="C596" s="16" t="s">
        <v>207</v>
      </c>
      <c r="D596" s="16" t="s">
        <v>208</v>
      </c>
      <c r="E596" s="16" t="s">
        <v>38</v>
      </c>
      <c r="F596" s="16" t="s">
        <v>39</v>
      </c>
      <c r="G596" s="16" t="s">
        <v>40</v>
      </c>
      <c r="H596" s="16" t="s">
        <v>41</v>
      </c>
      <c r="I596" s="16" t="s">
        <v>23</v>
      </c>
      <c r="J596" s="16" t="s">
        <v>33</v>
      </c>
      <c r="K596" s="18">
        <v>2461.0100000000002</v>
      </c>
      <c r="L596" s="18">
        <v>1084.68</v>
      </c>
      <c r="M596" s="19">
        <v>2</v>
      </c>
      <c r="N596" s="20">
        <v>0.1</v>
      </c>
      <c r="O596" s="19" t="s">
        <v>44</v>
      </c>
      <c r="P596" s="19" t="s">
        <v>58</v>
      </c>
      <c r="Q596" s="19" t="str">
        <f>TRIM(SalesData[[#This Row],[Customer_Name]])</f>
        <v>Kavya Nair</v>
      </c>
      <c r="R596" s="21">
        <f>SalesData[[#This Row],[Sales]]-SalesData[[#This Row],[Cost]]</f>
        <v>1376.3300000000002</v>
      </c>
      <c r="S596" s="22">
        <f>IFERROR(SalesData[[#This Row],[Profit]]/SalesData[[#This Row],[Sales]],0)</f>
        <v>0.55925412737046987</v>
      </c>
      <c r="T596" s="19">
        <f>YEAR(SalesData[[#This Row],[Order_Date]])</f>
        <v>2024</v>
      </c>
      <c r="U596" s="19" t="str">
        <f>TEXT(SalesData[[#This Row],[Order_Date]],"mmm")</f>
        <v>Apr</v>
      </c>
      <c r="V596" s="19" t="str">
        <f>"Q"&amp;ROUNDUP(MONTH(SalesData[[#This Row],[Order_Date]])/3,0)</f>
        <v>Q2</v>
      </c>
      <c r="W596" s="19" t="str">
        <f>IF(SalesData[[#This Row],[Sales]]&gt;=50000,"High",IF(AND(SalesData[[#This Row],[Sales]]&gt;= 20000, SalesData[[#This Row],[Sales]]&lt; 50000),"Medium","Low"))</f>
        <v>Low</v>
      </c>
      <c r="X596" s="19" t="str">
        <f>IF(SalesData[[#This Row],[Profit]]&gt;0,"Profit","Loss")</f>
        <v>Profit</v>
      </c>
      <c r="Y596" s="19" t="str">
        <f>IF(AND(SalesData[[#This Row],[Sales]]&gt;= 50000, SalesData[[#This Row],[Quantity]]&gt;=2),"Yes","No")</f>
        <v>No</v>
      </c>
      <c r="Z596" s="19" t="str">
        <f>UPPER(SalesData[[#This Row],[Customer_Name]])</f>
        <v>KAVYA NAIR</v>
      </c>
      <c r="AA596" s="19" t="str">
        <f>LOWER(SalesData[[#This Row],[Customer_Name]])</f>
        <v>kavya nair</v>
      </c>
      <c r="AB596" s="19">
        <f>LEN(SalesData[[#This Row],[Customer_Name]])</f>
        <v>10</v>
      </c>
      <c r="AC596" s="19" t="str">
        <f>LEFT(SalesData[[#This Row],[Order_ID]],3)</f>
        <v>ORD</v>
      </c>
      <c r="AD596" s="19" t="str">
        <f>RIGHT(SalesData[[#This Row],[Order_ID]],4)</f>
        <v>0744</v>
      </c>
      <c r="AE596" s="19" t="str">
        <f>_xlfn.CONCAT(SalesData[[#This Row],[Clean_Customer_Name]],"-",SalesData[[#This Row],[Region]])</f>
        <v>Kavya Nair-North</v>
      </c>
      <c r="AF596" s="19" t="str">
        <f>MID(SalesData[[#This Row],[Order_ID]],4,4)</f>
        <v>0744</v>
      </c>
      <c r="AG596" s="19" t="e">
        <f ca="1">_xlfn.SINGLE(_xlfn.XLOOKUP(SalesData[[#This Row],[Product]],Product_Master!A:A,Product_Master!B:B,"Not Found"))</f>
        <v>#NAME?</v>
      </c>
      <c r="AH596" s="19" t="str">
        <f>VLOOKUP(SalesData[[#This Row],[Product]],Product_Master!$A$1:$B$21,2,FALSE)</f>
        <v>Manish</v>
      </c>
      <c r="AI596" s="16"/>
    </row>
    <row r="597" spans="1:35" ht="13.8">
      <c r="A597" s="16" t="s">
        <v>1080</v>
      </c>
      <c r="B597" s="17">
        <v>45734</v>
      </c>
      <c r="C597" s="16" t="s">
        <v>207</v>
      </c>
      <c r="D597" s="16" t="s">
        <v>208</v>
      </c>
      <c r="E597" s="16" t="s">
        <v>38</v>
      </c>
      <c r="F597" s="16" t="s">
        <v>39</v>
      </c>
      <c r="G597" s="16" t="s">
        <v>40</v>
      </c>
      <c r="H597" s="16" t="s">
        <v>41</v>
      </c>
      <c r="I597" s="16" t="s">
        <v>56</v>
      </c>
      <c r="J597" s="16" t="s">
        <v>191</v>
      </c>
      <c r="K597" s="18">
        <v>5025.8500000000004</v>
      </c>
      <c r="L597" s="18">
        <v>1947</v>
      </c>
      <c r="M597" s="19">
        <v>4</v>
      </c>
      <c r="N597" s="20">
        <v>0.1</v>
      </c>
      <c r="O597" s="19" t="s">
        <v>136</v>
      </c>
      <c r="P597" s="19" t="s">
        <v>58</v>
      </c>
      <c r="Q597" s="19" t="str">
        <f>TRIM(SalesData[[#This Row],[Customer_Name]])</f>
        <v>Kavya Nair</v>
      </c>
      <c r="R597" s="21">
        <f>SalesData[[#This Row],[Sales]]-SalesData[[#This Row],[Cost]]</f>
        <v>3078.8500000000004</v>
      </c>
      <c r="S597" s="22">
        <f>IFERROR(SalesData[[#This Row],[Profit]]/SalesData[[#This Row],[Sales]],0)</f>
        <v>0.61260284330013837</v>
      </c>
      <c r="T597" s="19">
        <f>YEAR(SalesData[[#This Row],[Order_Date]])</f>
        <v>2025</v>
      </c>
      <c r="U597" s="19" t="str">
        <f>TEXT(SalesData[[#This Row],[Order_Date]],"mmm")</f>
        <v>Mar</v>
      </c>
      <c r="V597" s="19" t="str">
        <f>"Q"&amp;ROUNDUP(MONTH(SalesData[[#This Row],[Order_Date]])/3,0)</f>
        <v>Q1</v>
      </c>
      <c r="W597" s="19" t="str">
        <f>IF(SalesData[[#This Row],[Sales]]&gt;=50000,"High",IF(AND(SalesData[[#This Row],[Sales]]&gt;= 20000, SalesData[[#This Row],[Sales]]&lt; 50000),"Medium","Low"))</f>
        <v>Low</v>
      </c>
      <c r="X597" s="19" t="str">
        <f>IF(SalesData[[#This Row],[Profit]]&gt;0,"Profit","Loss")</f>
        <v>Profit</v>
      </c>
      <c r="Y597" s="19" t="str">
        <f>IF(AND(SalesData[[#This Row],[Sales]]&gt;= 50000, SalesData[[#This Row],[Quantity]]&gt;=2),"Yes","No")</f>
        <v>No</v>
      </c>
      <c r="Z597" s="19" t="str">
        <f>UPPER(SalesData[[#This Row],[Customer_Name]])</f>
        <v>KAVYA NAIR</v>
      </c>
      <c r="AA597" s="19" t="str">
        <f>LOWER(SalesData[[#This Row],[Customer_Name]])</f>
        <v>kavya nair</v>
      </c>
      <c r="AB597" s="19">
        <f>LEN(SalesData[[#This Row],[Customer_Name]])</f>
        <v>10</v>
      </c>
      <c r="AC597" s="19" t="str">
        <f>LEFT(SalesData[[#This Row],[Order_ID]],3)</f>
        <v>ORD</v>
      </c>
      <c r="AD597" s="19" t="str">
        <f>RIGHT(SalesData[[#This Row],[Order_ID]],4)</f>
        <v>0927</v>
      </c>
      <c r="AE597" s="19" t="str">
        <f>_xlfn.CONCAT(SalesData[[#This Row],[Clean_Customer_Name]],"-",SalesData[[#This Row],[Region]])</f>
        <v>Kavya Nair-West</v>
      </c>
      <c r="AF597" s="19" t="str">
        <f>MID(SalesData[[#This Row],[Order_ID]],4,4)</f>
        <v>0927</v>
      </c>
      <c r="AG597" s="19" t="e">
        <f ca="1">_xlfn.SINGLE(_xlfn.XLOOKUP(SalesData[[#This Row],[Product]],Product_Master!A:A,Product_Master!B:B,"Not Found"))</f>
        <v>#NAME?</v>
      </c>
      <c r="AH597" s="19" t="str">
        <f>VLOOKUP(SalesData[[#This Row],[Product]],Product_Master!$A$1:$B$21,2,FALSE)</f>
        <v>Manish</v>
      </c>
      <c r="AI597" s="16"/>
    </row>
    <row r="598" spans="1:35" ht="13.8">
      <c r="A598" s="16" t="s">
        <v>1123</v>
      </c>
      <c r="B598" s="17">
        <v>45460</v>
      </c>
      <c r="C598" s="16" t="s">
        <v>207</v>
      </c>
      <c r="D598" s="16" t="s">
        <v>208</v>
      </c>
      <c r="E598" s="16" t="s">
        <v>38</v>
      </c>
      <c r="F598" s="16" t="s">
        <v>39</v>
      </c>
      <c r="G598" s="16" t="s">
        <v>40</v>
      </c>
      <c r="H598" s="16" t="s">
        <v>41</v>
      </c>
      <c r="I598" s="16" t="s">
        <v>84</v>
      </c>
      <c r="J598" s="16" t="s">
        <v>142</v>
      </c>
      <c r="K598" s="18">
        <v>1676.37</v>
      </c>
      <c r="L598" s="18">
        <v>948.98</v>
      </c>
      <c r="M598" s="19">
        <v>2</v>
      </c>
      <c r="N598" s="20">
        <v>0.05</v>
      </c>
      <c r="O598" s="19" t="s">
        <v>44</v>
      </c>
      <c r="P598" s="19" t="s">
        <v>45</v>
      </c>
      <c r="Q598" s="19" t="str">
        <f>TRIM(SalesData[[#This Row],[Customer_Name]])</f>
        <v>Kavya Nair</v>
      </c>
      <c r="R598" s="21">
        <f>SalesData[[#This Row],[Sales]]-SalesData[[#This Row],[Cost]]</f>
        <v>727.38999999999987</v>
      </c>
      <c r="S598" s="22">
        <f>IFERROR(SalesData[[#This Row],[Profit]]/SalesData[[#This Row],[Sales]],0)</f>
        <v>0.43390778885329606</v>
      </c>
      <c r="T598" s="19">
        <f>YEAR(SalesData[[#This Row],[Order_Date]])</f>
        <v>2024</v>
      </c>
      <c r="U598" s="19" t="str">
        <f>TEXT(SalesData[[#This Row],[Order_Date]],"mmm")</f>
        <v>Jun</v>
      </c>
      <c r="V598" s="19" t="str">
        <f>"Q"&amp;ROUNDUP(MONTH(SalesData[[#This Row],[Order_Date]])/3,0)</f>
        <v>Q2</v>
      </c>
      <c r="W598" s="19" t="str">
        <f>IF(SalesData[[#This Row],[Sales]]&gt;=50000,"High",IF(AND(SalesData[[#This Row],[Sales]]&gt;= 20000, SalesData[[#This Row],[Sales]]&lt; 50000),"Medium","Low"))</f>
        <v>Low</v>
      </c>
      <c r="X598" s="19" t="str">
        <f>IF(SalesData[[#This Row],[Profit]]&gt;0,"Profit","Loss")</f>
        <v>Profit</v>
      </c>
      <c r="Y598" s="19" t="str">
        <f>IF(AND(SalesData[[#This Row],[Sales]]&gt;= 50000, SalesData[[#This Row],[Quantity]]&gt;=2),"Yes","No")</f>
        <v>No</v>
      </c>
      <c r="Z598" s="19" t="str">
        <f>UPPER(SalesData[[#This Row],[Customer_Name]])</f>
        <v>KAVYA NAIR</v>
      </c>
      <c r="AA598" s="19" t="str">
        <f>LOWER(SalesData[[#This Row],[Customer_Name]])</f>
        <v>kavya nair</v>
      </c>
      <c r="AB598" s="19">
        <f>LEN(SalesData[[#This Row],[Customer_Name]])</f>
        <v>10</v>
      </c>
      <c r="AC598" s="19" t="str">
        <f>LEFT(SalesData[[#This Row],[Order_ID]],3)</f>
        <v>ORD</v>
      </c>
      <c r="AD598" s="19" t="str">
        <f>RIGHT(SalesData[[#This Row],[Order_ID]],4)</f>
        <v>0970</v>
      </c>
      <c r="AE598" s="19" t="str">
        <f>_xlfn.CONCAT(SalesData[[#This Row],[Clean_Customer_Name]],"-",SalesData[[#This Row],[Region]])</f>
        <v>Kavya Nair-South</v>
      </c>
      <c r="AF598" s="19" t="str">
        <f>MID(SalesData[[#This Row],[Order_ID]],4,4)</f>
        <v>0970</v>
      </c>
      <c r="AG598" s="19" t="e">
        <f ca="1">_xlfn.SINGLE(_xlfn.XLOOKUP(SalesData[[#This Row],[Product]],Product_Master!A:A,Product_Master!B:B,"Not Found"))</f>
        <v>#NAME?</v>
      </c>
      <c r="AH598" s="19" t="str">
        <f>VLOOKUP(SalesData[[#This Row],[Product]],Product_Master!$A$1:$B$21,2,FALSE)</f>
        <v>Manish</v>
      </c>
      <c r="AI598" s="16"/>
    </row>
    <row r="599" spans="1:35" ht="13.8">
      <c r="A599" s="16" t="s">
        <v>453</v>
      </c>
      <c r="B599" s="17">
        <v>46019</v>
      </c>
      <c r="C599" s="16" t="s">
        <v>207</v>
      </c>
      <c r="D599" s="16" t="s">
        <v>208</v>
      </c>
      <c r="E599" s="16" t="s">
        <v>87</v>
      </c>
      <c r="F599" s="16" t="s">
        <v>88</v>
      </c>
      <c r="G599" s="16" t="s">
        <v>89</v>
      </c>
      <c r="H599" s="16" t="s">
        <v>90</v>
      </c>
      <c r="I599" s="16" t="s">
        <v>56</v>
      </c>
      <c r="J599" s="16" t="s">
        <v>91</v>
      </c>
      <c r="K599" s="18">
        <v>9216.08</v>
      </c>
      <c r="L599" s="18">
        <v>7183.72</v>
      </c>
      <c r="M599" s="19">
        <v>4</v>
      </c>
      <c r="N599" s="20">
        <v>0</v>
      </c>
      <c r="O599" s="19" t="s">
        <v>76</v>
      </c>
      <c r="P599" s="19" t="s">
        <v>45</v>
      </c>
      <c r="Q599" s="19" t="str">
        <f>TRIM(SalesData[[#This Row],[Customer_Name]])</f>
        <v>Kavya Nair</v>
      </c>
      <c r="R599" s="21">
        <f>SalesData[[#This Row],[Sales]]-SalesData[[#This Row],[Cost]]</f>
        <v>2032.3599999999997</v>
      </c>
      <c r="S599" s="22">
        <f>IFERROR(SalesData[[#This Row],[Profit]]/SalesData[[#This Row],[Sales]],0)</f>
        <v>0.22052325934670702</v>
      </c>
      <c r="T599" s="19">
        <f>YEAR(SalesData[[#This Row],[Order_Date]])</f>
        <v>2025</v>
      </c>
      <c r="U599" s="19" t="str">
        <f>TEXT(SalesData[[#This Row],[Order_Date]],"mmm")</f>
        <v>Dec</v>
      </c>
      <c r="V599" s="19" t="str">
        <f>"Q"&amp;ROUNDUP(MONTH(SalesData[[#This Row],[Order_Date]])/3,0)</f>
        <v>Q4</v>
      </c>
      <c r="W599" s="19" t="str">
        <f>IF(SalesData[[#This Row],[Sales]]&gt;=50000,"High",IF(AND(SalesData[[#This Row],[Sales]]&gt;= 20000, SalesData[[#This Row],[Sales]]&lt; 50000),"Medium","Low"))</f>
        <v>Low</v>
      </c>
      <c r="X599" s="19" t="str">
        <f>IF(SalesData[[#This Row],[Profit]]&gt;0,"Profit","Loss")</f>
        <v>Profit</v>
      </c>
      <c r="Y599" s="19" t="str">
        <f>IF(AND(SalesData[[#This Row],[Sales]]&gt;= 50000, SalesData[[#This Row],[Quantity]]&gt;=2),"Yes","No")</f>
        <v>No</v>
      </c>
      <c r="Z599" s="19" t="str">
        <f>UPPER(SalesData[[#This Row],[Customer_Name]])</f>
        <v>KAVYA NAIR</v>
      </c>
      <c r="AA599" s="19" t="str">
        <f>LOWER(SalesData[[#This Row],[Customer_Name]])</f>
        <v>kavya nair</v>
      </c>
      <c r="AB599" s="19">
        <f>LEN(SalesData[[#This Row],[Customer_Name]])</f>
        <v>10</v>
      </c>
      <c r="AC599" s="19" t="str">
        <f>LEFT(SalesData[[#This Row],[Order_ID]],3)</f>
        <v>ORD</v>
      </c>
      <c r="AD599" s="19" t="str">
        <f>RIGHT(SalesData[[#This Row],[Order_ID]],4)</f>
        <v>0300</v>
      </c>
      <c r="AE599" s="19" t="str">
        <f>_xlfn.CONCAT(SalesData[[#This Row],[Clean_Customer_Name]],"-",SalesData[[#This Row],[Region]])</f>
        <v>Kavya Nair-West</v>
      </c>
      <c r="AF599" s="19" t="str">
        <f>MID(SalesData[[#This Row],[Order_ID]],4,4)</f>
        <v>0300</v>
      </c>
      <c r="AG599" s="19" t="e">
        <f ca="1">_xlfn.SINGLE(_xlfn.XLOOKUP(SalesData[[#This Row],[Product]],Product_Master!A:A,Product_Master!B:B,"Not Found"))</f>
        <v>#NAME?</v>
      </c>
      <c r="AH599" s="19" t="str">
        <f>VLOOKUP(SalesData[[#This Row],[Product]],Product_Master!$A$1:$B$21,2,FALSE)</f>
        <v>Rahul</v>
      </c>
      <c r="AI599" s="16"/>
    </row>
    <row r="600" spans="1:35" ht="13.8">
      <c r="A600" s="16" t="s">
        <v>844</v>
      </c>
      <c r="B600" s="17">
        <v>45421</v>
      </c>
      <c r="C600" s="16" t="s">
        <v>207</v>
      </c>
      <c r="D600" s="16" t="s">
        <v>208</v>
      </c>
      <c r="E600" s="16" t="s">
        <v>87</v>
      </c>
      <c r="F600" s="16" t="s">
        <v>88</v>
      </c>
      <c r="G600" s="16" t="s">
        <v>89</v>
      </c>
      <c r="H600" s="16" t="s">
        <v>90</v>
      </c>
      <c r="I600" s="16" t="s">
        <v>42</v>
      </c>
      <c r="J600" s="16" t="s">
        <v>162</v>
      </c>
      <c r="K600" s="18">
        <v>5031.9799999999996</v>
      </c>
      <c r="L600" s="18">
        <v>3343.02</v>
      </c>
      <c r="M600" s="19">
        <v>2</v>
      </c>
      <c r="N600" s="20">
        <v>0.15</v>
      </c>
      <c r="O600" s="19" t="s">
        <v>136</v>
      </c>
      <c r="P600" s="19" t="s">
        <v>58</v>
      </c>
      <c r="Q600" s="19" t="str">
        <f>TRIM(SalesData[[#This Row],[Customer_Name]])</f>
        <v>Kavya Nair</v>
      </c>
      <c r="R600" s="21">
        <f>SalesData[[#This Row],[Sales]]-SalesData[[#This Row],[Cost]]</f>
        <v>1688.9599999999996</v>
      </c>
      <c r="S600" s="22">
        <f>IFERROR(SalesData[[#This Row],[Profit]]/SalesData[[#This Row],[Sales]],0)</f>
        <v>0.33564521321626867</v>
      </c>
      <c r="T600" s="19">
        <f>YEAR(SalesData[[#This Row],[Order_Date]])</f>
        <v>2024</v>
      </c>
      <c r="U600" s="19" t="str">
        <f>TEXT(SalesData[[#This Row],[Order_Date]],"mmm")</f>
        <v>May</v>
      </c>
      <c r="V600" s="19" t="str">
        <f>"Q"&amp;ROUNDUP(MONTH(SalesData[[#This Row],[Order_Date]])/3,0)</f>
        <v>Q2</v>
      </c>
      <c r="W600" s="19" t="str">
        <f>IF(SalesData[[#This Row],[Sales]]&gt;=50000,"High",IF(AND(SalesData[[#This Row],[Sales]]&gt;= 20000, SalesData[[#This Row],[Sales]]&lt; 50000),"Medium","Low"))</f>
        <v>Low</v>
      </c>
      <c r="X600" s="19" t="str">
        <f>IF(SalesData[[#This Row],[Profit]]&gt;0,"Profit","Loss")</f>
        <v>Profit</v>
      </c>
      <c r="Y600" s="19" t="str">
        <f>IF(AND(SalesData[[#This Row],[Sales]]&gt;= 50000, SalesData[[#This Row],[Quantity]]&gt;=2),"Yes","No")</f>
        <v>No</v>
      </c>
      <c r="Z600" s="19" t="str">
        <f>UPPER(SalesData[[#This Row],[Customer_Name]])</f>
        <v>KAVYA NAIR</v>
      </c>
      <c r="AA600" s="19" t="str">
        <f>LOWER(SalesData[[#This Row],[Customer_Name]])</f>
        <v>kavya nair</v>
      </c>
      <c r="AB600" s="19">
        <f>LEN(SalesData[[#This Row],[Customer_Name]])</f>
        <v>10</v>
      </c>
      <c r="AC600" s="19" t="str">
        <f>LEFT(SalesData[[#This Row],[Order_ID]],3)</f>
        <v>ORD</v>
      </c>
      <c r="AD600" s="19" t="str">
        <f>RIGHT(SalesData[[#This Row],[Order_ID]],4)</f>
        <v>0691</v>
      </c>
      <c r="AE600" s="19" t="str">
        <f>_xlfn.CONCAT(SalesData[[#This Row],[Clean_Customer_Name]],"-",SalesData[[#This Row],[Region]])</f>
        <v>Kavya Nair-East</v>
      </c>
      <c r="AF600" s="19" t="str">
        <f>MID(SalesData[[#This Row],[Order_ID]],4,4)</f>
        <v>0691</v>
      </c>
      <c r="AG600" s="19" t="e">
        <f ca="1">_xlfn.SINGLE(_xlfn.XLOOKUP(SalesData[[#This Row],[Product]],Product_Master!A:A,Product_Master!B:B,"Not Found"))</f>
        <v>#NAME?</v>
      </c>
      <c r="AH600" s="19" t="str">
        <f>VLOOKUP(SalesData[[#This Row],[Product]],Product_Master!$A$1:$B$21,2,FALSE)</f>
        <v>Rahul</v>
      </c>
      <c r="AI600" s="16"/>
    </row>
    <row r="601" spans="1:35" ht="13.8">
      <c r="A601" s="16" t="s">
        <v>368</v>
      </c>
      <c r="B601" s="17">
        <v>45918</v>
      </c>
      <c r="C601" s="16" t="s">
        <v>207</v>
      </c>
      <c r="D601" s="16" t="s">
        <v>208</v>
      </c>
      <c r="E601" s="16" t="s">
        <v>182</v>
      </c>
      <c r="F601" s="16" t="s">
        <v>183</v>
      </c>
      <c r="G601" s="16" t="s">
        <v>89</v>
      </c>
      <c r="H601" s="16" t="s">
        <v>90</v>
      </c>
      <c r="I601" s="16" t="s">
        <v>53</v>
      </c>
      <c r="J601" s="16" t="s">
        <v>54</v>
      </c>
      <c r="K601" s="18">
        <v>48307.6</v>
      </c>
      <c r="L601" s="18">
        <v>25789.52</v>
      </c>
      <c r="M601" s="19">
        <v>4</v>
      </c>
      <c r="N601" s="20">
        <v>0</v>
      </c>
      <c r="O601" s="19" t="s">
        <v>76</v>
      </c>
      <c r="P601" s="19" t="s">
        <v>58</v>
      </c>
      <c r="Q601" s="19" t="str">
        <f>TRIM(SalesData[[#This Row],[Customer_Name]])</f>
        <v>Kavya Nair</v>
      </c>
      <c r="R601" s="21">
        <f>SalesData[[#This Row],[Sales]]-SalesData[[#This Row],[Cost]]</f>
        <v>22518.079999999998</v>
      </c>
      <c r="S601" s="22">
        <f>IFERROR(SalesData[[#This Row],[Profit]]/SalesData[[#This Row],[Sales]],0)</f>
        <v>0.4661394894385148</v>
      </c>
      <c r="T601" s="19">
        <f>YEAR(SalesData[[#This Row],[Order_Date]])</f>
        <v>2025</v>
      </c>
      <c r="U601" s="19" t="str">
        <f>TEXT(SalesData[[#This Row],[Order_Date]],"mmm")</f>
        <v>Sept</v>
      </c>
      <c r="V601" s="19" t="str">
        <f>"Q"&amp;ROUNDUP(MONTH(SalesData[[#This Row],[Order_Date]])/3,0)</f>
        <v>Q3</v>
      </c>
      <c r="W601" s="19" t="str">
        <f>IF(SalesData[[#This Row],[Sales]]&gt;=50000,"High",IF(AND(SalesData[[#This Row],[Sales]]&gt;= 20000, SalesData[[#This Row],[Sales]]&lt; 50000),"Medium","Low"))</f>
        <v>Medium</v>
      </c>
      <c r="X601" s="19" t="str">
        <f>IF(SalesData[[#This Row],[Profit]]&gt;0,"Profit","Loss")</f>
        <v>Profit</v>
      </c>
      <c r="Y601" s="19" t="str">
        <f>IF(AND(SalesData[[#This Row],[Sales]]&gt;= 50000, SalesData[[#This Row],[Quantity]]&gt;=2),"Yes","No")</f>
        <v>No</v>
      </c>
      <c r="Z601" s="19" t="str">
        <f>UPPER(SalesData[[#This Row],[Customer_Name]])</f>
        <v>KAVYA NAIR</v>
      </c>
      <c r="AA601" s="19" t="str">
        <f>LOWER(SalesData[[#This Row],[Customer_Name]])</f>
        <v>kavya nair</v>
      </c>
      <c r="AB601" s="19">
        <f>LEN(SalesData[[#This Row],[Customer_Name]])</f>
        <v>10</v>
      </c>
      <c r="AC601" s="19" t="str">
        <f>LEFT(SalesData[[#This Row],[Order_ID]],3)</f>
        <v>ORD</v>
      </c>
      <c r="AD601" s="19" t="str">
        <f>RIGHT(SalesData[[#This Row],[Order_ID]],4)</f>
        <v>0215</v>
      </c>
      <c r="AE601" s="19" t="str">
        <f>_xlfn.CONCAT(SalesData[[#This Row],[Clean_Customer_Name]],"-",SalesData[[#This Row],[Region]])</f>
        <v>Kavya Nair-Central</v>
      </c>
      <c r="AF601" s="19" t="str">
        <f>MID(SalesData[[#This Row],[Order_ID]],4,4)</f>
        <v>0215</v>
      </c>
      <c r="AG601" s="19" t="e">
        <f ca="1">_xlfn.SINGLE(_xlfn.XLOOKUP(SalesData[[#This Row],[Product]],Product_Master!A:A,Product_Master!B:B,"Not Found"))</f>
        <v>#NAME?</v>
      </c>
      <c r="AH601" s="19" t="str">
        <f>VLOOKUP(SalesData[[#This Row],[Product]],Product_Master!$A$1:$B$21,2,FALSE)</f>
        <v>Priya</v>
      </c>
      <c r="AI601" s="16"/>
    </row>
    <row r="602" spans="1:35" ht="13.8">
      <c r="A602" s="16" t="s">
        <v>607</v>
      </c>
      <c r="B602" s="17">
        <v>45705</v>
      </c>
      <c r="C602" s="16" t="s">
        <v>207</v>
      </c>
      <c r="D602" s="16" t="s">
        <v>208</v>
      </c>
      <c r="E602" s="16" t="s">
        <v>187</v>
      </c>
      <c r="F602" s="16" t="s">
        <v>188</v>
      </c>
      <c r="G602" s="16" t="s">
        <v>89</v>
      </c>
      <c r="H602" s="16" t="s">
        <v>189</v>
      </c>
      <c r="I602" s="16" t="s">
        <v>56</v>
      </c>
      <c r="J602" s="16" t="s">
        <v>57</v>
      </c>
      <c r="K602" s="18">
        <v>10982.19</v>
      </c>
      <c r="L602" s="18">
        <v>5334.34</v>
      </c>
      <c r="M602" s="19">
        <v>1</v>
      </c>
      <c r="N602" s="20">
        <v>0.1</v>
      </c>
      <c r="O602" s="19" t="s">
        <v>44</v>
      </c>
      <c r="P602" s="19" t="s">
        <v>77</v>
      </c>
      <c r="Q602" s="19" t="str">
        <f>TRIM(SalesData[[#This Row],[Customer_Name]])</f>
        <v>Kavya Nair</v>
      </c>
      <c r="R602" s="21">
        <f>SalesData[[#This Row],[Sales]]-SalesData[[#This Row],[Cost]]</f>
        <v>5647.85</v>
      </c>
      <c r="S602" s="22">
        <f>IFERROR(SalesData[[#This Row],[Profit]]/SalesData[[#This Row],[Sales]],0)</f>
        <v>0.51427356474437247</v>
      </c>
      <c r="T602" s="19">
        <f>YEAR(SalesData[[#This Row],[Order_Date]])</f>
        <v>2025</v>
      </c>
      <c r="U602" s="19" t="str">
        <f>TEXT(SalesData[[#This Row],[Order_Date]],"mmm")</f>
        <v>Feb</v>
      </c>
      <c r="V602" s="19" t="str">
        <f>"Q"&amp;ROUNDUP(MONTH(SalesData[[#This Row],[Order_Date]])/3,0)</f>
        <v>Q1</v>
      </c>
      <c r="W602" s="19" t="str">
        <f>IF(SalesData[[#This Row],[Sales]]&gt;=50000,"High",IF(AND(SalesData[[#This Row],[Sales]]&gt;= 20000, SalesData[[#This Row],[Sales]]&lt; 50000),"Medium","Low"))</f>
        <v>Low</v>
      </c>
      <c r="X602" s="19" t="str">
        <f>IF(SalesData[[#This Row],[Profit]]&gt;0,"Profit","Loss")</f>
        <v>Profit</v>
      </c>
      <c r="Y602" s="19" t="str">
        <f>IF(AND(SalesData[[#This Row],[Sales]]&gt;= 50000, SalesData[[#This Row],[Quantity]]&gt;=2),"Yes","No")</f>
        <v>No</v>
      </c>
      <c r="Z602" s="19" t="str">
        <f>UPPER(SalesData[[#This Row],[Customer_Name]])</f>
        <v>KAVYA NAIR</v>
      </c>
      <c r="AA602" s="19" t="str">
        <f>LOWER(SalesData[[#This Row],[Customer_Name]])</f>
        <v>kavya nair</v>
      </c>
      <c r="AB602" s="19">
        <f>LEN(SalesData[[#This Row],[Customer_Name]])</f>
        <v>10</v>
      </c>
      <c r="AC602" s="19" t="str">
        <f>LEFT(SalesData[[#This Row],[Order_ID]],3)</f>
        <v>ORD</v>
      </c>
      <c r="AD602" s="19" t="str">
        <f>RIGHT(SalesData[[#This Row],[Order_ID]],4)</f>
        <v>0454</v>
      </c>
      <c r="AE602" s="19" t="str">
        <f>_xlfn.CONCAT(SalesData[[#This Row],[Clean_Customer_Name]],"-",SalesData[[#This Row],[Region]])</f>
        <v>Kavya Nair-West</v>
      </c>
      <c r="AF602" s="19" t="str">
        <f>MID(SalesData[[#This Row],[Order_ID]],4,4)</f>
        <v>0454</v>
      </c>
      <c r="AG602" s="19" t="e">
        <f ca="1">_xlfn.SINGLE(_xlfn.XLOOKUP(SalesData[[#This Row],[Product]],Product_Master!A:A,Product_Master!B:B,"Not Found"))</f>
        <v>#NAME?</v>
      </c>
      <c r="AH602" s="19" t="str">
        <f>VLOOKUP(SalesData[[#This Row],[Product]],Product_Master!$A$1:$B$21,2,FALSE)</f>
        <v>Amit</v>
      </c>
      <c r="AI602" s="16"/>
    </row>
    <row r="603" spans="1:35" ht="13.8">
      <c r="A603" s="16" t="s">
        <v>649</v>
      </c>
      <c r="B603" s="17">
        <v>45862</v>
      </c>
      <c r="C603" s="16" t="s">
        <v>207</v>
      </c>
      <c r="D603" s="16" t="s">
        <v>208</v>
      </c>
      <c r="E603" s="16" t="s">
        <v>187</v>
      </c>
      <c r="F603" s="16" t="s">
        <v>188</v>
      </c>
      <c r="G603" s="16" t="s">
        <v>89</v>
      </c>
      <c r="H603" s="16" t="s">
        <v>189</v>
      </c>
      <c r="I603" s="16" t="s">
        <v>53</v>
      </c>
      <c r="J603" s="16" t="s">
        <v>54</v>
      </c>
      <c r="K603" s="18">
        <v>33946.28</v>
      </c>
      <c r="L603" s="18">
        <v>20586.36</v>
      </c>
      <c r="M603" s="19">
        <v>4</v>
      </c>
      <c r="N603" s="20">
        <v>0.15</v>
      </c>
      <c r="O603" s="19" t="s">
        <v>44</v>
      </c>
      <c r="P603" s="19" t="s">
        <v>45</v>
      </c>
      <c r="Q603" s="19" t="str">
        <f>TRIM(SalesData[[#This Row],[Customer_Name]])</f>
        <v>Kavya Nair</v>
      </c>
      <c r="R603" s="21">
        <f>SalesData[[#This Row],[Sales]]-SalesData[[#This Row],[Cost]]</f>
        <v>13359.919999999998</v>
      </c>
      <c r="S603" s="22">
        <f>IFERROR(SalesData[[#This Row],[Profit]]/SalesData[[#This Row],[Sales]],0)</f>
        <v>0.39356064935539326</v>
      </c>
      <c r="T603" s="19">
        <f>YEAR(SalesData[[#This Row],[Order_Date]])</f>
        <v>2025</v>
      </c>
      <c r="U603" s="19" t="str">
        <f>TEXT(SalesData[[#This Row],[Order_Date]],"mmm")</f>
        <v>Jul</v>
      </c>
      <c r="V603" s="19" t="str">
        <f>"Q"&amp;ROUNDUP(MONTH(SalesData[[#This Row],[Order_Date]])/3,0)</f>
        <v>Q3</v>
      </c>
      <c r="W603" s="19" t="str">
        <f>IF(SalesData[[#This Row],[Sales]]&gt;=50000,"High",IF(AND(SalesData[[#This Row],[Sales]]&gt;= 20000, SalesData[[#This Row],[Sales]]&lt; 50000),"Medium","Low"))</f>
        <v>Medium</v>
      </c>
      <c r="X603" s="19" t="str">
        <f>IF(SalesData[[#This Row],[Profit]]&gt;0,"Profit","Loss")</f>
        <v>Profit</v>
      </c>
      <c r="Y603" s="19" t="str">
        <f>IF(AND(SalesData[[#This Row],[Sales]]&gt;= 50000, SalesData[[#This Row],[Quantity]]&gt;=2),"Yes","No")</f>
        <v>No</v>
      </c>
      <c r="Z603" s="19" t="str">
        <f>UPPER(SalesData[[#This Row],[Customer_Name]])</f>
        <v>KAVYA NAIR</v>
      </c>
      <c r="AA603" s="19" t="str">
        <f>LOWER(SalesData[[#This Row],[Customer_Name]])</f>
        <v>kavya nair</v>
      </c>
      <c r="AB603" s="19">
        <f>LEN(SalesData[[#This Row],[Customer_Name]])</f>
        <v>10</v>
      </c>
      <c r="AC603" s="19" t="str">
        <f>LEFT(SalesData[[#This Row],[Order_ID]],3)</f>
        <v>ORD</v>
      </c>
      <c r="AD603" s="19" t="str">
        <f>RIGHT(SalesData[[#This Row],[Order_ID]],4)</f>
        <v>0496</v>
      </c>
      <c r="AE603" s="19" t="str">
        <f>_xlfn.CONCAT(SalesData[[#This Row],[Clean_Customer_Name]],"-",SalesData[[#This Row],[Region]])</f>
        <v>Kavya Nair-Central</v>
      </c>
      <c r="AF603" s="19" t="str">
        <f>MID(SalesData[[#This Row],[Order_ID]],4,4)</f>
        <v>0496</v>
      </c>
      <c r="AG603" s="19" t="e">
        <f ca="1">_xlfn.SINGLE(_xlfn.XLOOKUP(SalesData[[#This Row],[Product]],Product_Master!A:A,Product_Master!B:B,"Not Found"))</f>
        <v>#NAME?</v>
      </c>
      <c r="AH603" s="19" t="str">
        <f>VLOOKUP(SalesData[[#This Row],[Product]],Product_Master!$A$1:$B$21,2,FALSE)</f>
        <v>Amit</v>
      </c>
      <c r="AI603" s="16"/>
    </row>
    <row r="604" spans="1:35" ht="13.8">
      <c r="A604" s="16" t="s">
        <v>365</v>
      </c>
      <c r="B604" s="17">
        <v>45996</v>
      </c>
      <c r="C604" s="16" t="s">
        <v>207</v>
      </c>
      <c r="D604" s="16" t="s">
        <v>208</v>
      </c>
      <c r="E604" s="16" t="s">
        <v>95</v>
      </c>
      <c r="F604" s="16" t="s">
        <v>96</v>
      </c>
      <c r="G604" s="16" t="s">
        <v>89</v>
      </c>
      <c r="H604" s="16" t="s">
        <v>97</v>
      </c>
      <c r="I604" s="16" t="s">
        <v>84</v>
      </c>
      <c r="J604" s="16" t="s">
        <v>142</v>
      </c>
      <c r="K604" s="18">
        <v>4215.1099999999997</v>
      </c>
      <c r="L604" s="18">
        <v>3567.84</v>
      </c>
      <c r="M604" s="19">
        <v>1</v>
      </c>
      <c r="N604" s="20">
        <v>0.2</v>
      </c>
      <c r="O604" s="19" t="s">
        <v>34</v>
      </c>
      <c r="P604" s="19" t="s">
        <v>58</v>
      </c>
      <c r="Q604" s="19" t="str">
        <f>TRIM(SalesData[[#This Row],[Customer_Name]])</f>
        <v>Kavya Nair</v>
      </c>
      <c r="R604" s="21">
        <f>SalesData[[#This Row],[Sales]]-SalesData[[#This Row],[Cost]]</f>
        <v>647.26999999999953</v>
      </c>
      <c r="S604" s="22">
        <f>IFERROR(SalesData[[#This Row],[Profit]]/SalesData[[#This Row],[Sales]],0)</f>
        <v>0.1535594563368452</v>
      </c>
      <c r="T604" s="19">
        <f>YEAR(SalesData[[#This Row],[Order_Date]])</f>
        <v>2025</v>
      </c>
      <c r="U604" s="19" t="str">
        <f>TEXT(SalesData[[#This Row],[Order_Date]],"mmm")</f>
        <v>Dec</v>
      </c>
      <c r="V604" s="19" t="str">
        <f>"Q"&amp;ROUNDUP(MONTH(SalesData[[#This Row],[Order_Date]])/3,0)</f>
        <v>Q4</v>
      </c>
      <c r="W604" s="19" t="str">
        <f>IF(SalesData[[#This Row],[Sales]]&gt;=50000,"High",IF(AND(SalesData[[#This Row],[Sales]]&gt;= 20000, SalesData[[#This Row],[Sales]]&lt; 50000),"Medium","Low"))</f>
        <v>Low</v>
      </c>
      <c r="X604" s="19" t="str">
        <f>IF(SalesData[[#This Row],[Profit]]&gt;0,"Profit","Loss")</f>
        <v>Profit</v>
      </c>
      <c r="Y604" s="19" t="str">
        <f>IF(AND(SalesData[[#This Row],[Sales]]&gt;= 50000, SalesData[[#This Row],[Quantity]]&gt;=2),"Yes","No")</f>
        <v>No</v>
      </c>
      <c r="Z604" s="19" t="str">
        <f>UPPER(SalesData[[#This Row],[Customer_Name]])</f>
        <v>KAVYA NAIR</v>
      </c>
      <c r="AA604" s="19" t="str">
        <f>LOWER(SalesData[[#This Row],[Customer_Name]])</f>
        <v>kavya nair</v>
      </c>
      <c r="AB604" s="19">
        <f>LEN(SalesData[[#This Row],[Customer_Name]])</f>
        <v>10</v>
      </c>
      <c r="AC604" s="19" t="str">
        <f>LEFT(SalesData[[#This Row],[Order_ID]],3)</f>
        <v>ORD</v>
      </c>
      <c r="AD604" s="19" t="str">
        <f>RIGHT(SalesData[[#This Row],[Order_ID]],4)</f>
        <v>0212</v>
      </c>
      <c r="AE604" s="19" t="str">
        <f>_xlfn.CONCAT(SalesData[[#This Row],[Clean_Customer_Name]],"-",SalesData[[#This Row],[Region]])</f>
        <v>Kavya Nair-South</v>
      </c>
      <c r="AF604" s="19" t="str">
        <f>MID(SalesData[[#This Row],[Order_ID]],4,4)</f>
        <v>0212</v>
      </c>
      <c r="AG604" s="19" t="e">
        <f ca="1">_xlfn.SINGLE(_xlfn.XLOOKUP(SalesData[[#This Row],[Product]],Product_Master!A:A,Product_Master!B:B,"Not Found"))</f>
        <v>#NAME?</v>
      </c>
      <c r="AH604" s="19" t="str">
        <f>VLOOKUP(SalesData[[#This Row],[Product]],Product_Master!$A$1:$B$21,2,FALSE)</f>
        <v>Neha</v>
      </c>
      <c r="AI604" s="16"/>
    </row>
    <row r="605" spans="1:35" ht="13.8">
      <c r="A605" s="16" t="s">
        <v>560</v>
      </c>
      <c r="B605" s="17">
        <v>45438</v>
      </c>
      <c r="C605" s="16" t="s">
        <v>207</v>
      </c>
      <c r="D605" s="16" t="s">
        <v>208</v>
      </c>
      <c r="E605" s="16" t="s">
        <v>95</v>
      </c>
      <c r="F605" s="16" t="s">
        <v>96</v>
      </c>
      <c r="G605" s="16" t="s">
        <v>89</v>
      </c>
      <c r="H605" s="16" t="s">
        <v>97</v>
      </c>
      <c r="I605" s="16" t="s">
        <v>56</v>
      </c>
      <c r="J605" s="16" t="s">
        <v>191</v>
      </c>
      <c r="K605" s="18">
        <v>14508.63</v>
      </c>
      <c r="L605" s="18">
        <v>11261.04</v>
      </c>
      <c r="M605" s="19">
        <v>3</v>
      </c>
      <c r="N605" s="20">
        <v>0</v>
      </c>
      <c r="O605" s="19" t="s">
        <v>136</v>
      </c>
      <c r="P605" s="19" t="s">
        <v>77</v>
      </c>
      <c r="Q605" s="19" t="str">
        <f>TRIM(SalesData[[#This Row],[Customer_Name]])</f>
        <v>Kavya Nair</v>
      </c>
      <c r="R605" s="21">
        <f>SalesData[[#This Row],[Sales]]-SalesData[[#This Row],[Cost]]</f>
        <v>3247.5899999999983</v>
      </c>
      <c r="S605" s="22">
        <f>IFERROR(SalesData[[#This Row],[Profit]]/SalesData[[#This Row],[Sales]],0)</f>
        <v>0.22383850163661204</v>
      </c>
      <c r="T605" s="19">
        <f>YEAR(SalesData[[#This Row],[Order_Date]])</f>
        <v>2024</v>
      </c>
      <c r="U605" s="19" t="str">
        <f>TEXT(SalesData[[#This Row],[Order_Date]],"mmm")</f>
        <v>May</v>
      </c>
      <c r="V605" s="19" t="str">
        <f>"Q"&amp;ROUNDUP(MONTH(SalesData[[#This Row],[Order_Date]])/3,0)</f>
        <v>Q2</v>
      </c>
      <c r="W605" s="19" t="str">
        <f>IF(SalesData[[#This Row],[Sales]]&gt;=50000,"High",IF(AND(SalesData[[#This Row],[Sales]]&gt;= 20000, SalesData[[#This Row],[Sales]]&lt; 50000),"Medium","Low"))</f>
        <v>Low</v>
      </c>
      <c r="X605" s="19" t="str">
        <f>IF(SalesData[[#This Row],[Profit]]&gt;0,"Profit","Loss")</f>
        <v>Profit</v>
      </c>
      <c r="Y605" s="19" t="str">
        <f>IF(AND(SalesData[[#This Row],[Sales]]&gt;= 50000, SalesData[[#This Row],[Quantity]]&gt;=2),"Yes","No")</f>
        <v>No</v>
      </c>
      <c r="Z605" s="19" t="str">
        <f>UPPER(SalesData[[#This Row],[Customer_Name]])</f>
        <v>KAVYA NAIR</v>
      </c>
      <c r="AA605" s="19" t="str">
        <f>LOWER(SalesData[[#This Row],[Customer_Name]])</f>
        <v>kavya nair</v>
      </c>
      <c r="AB605" s="19">
        <f>LEN(SalesData[[#This Row],[Customer_Name]])</f>
        <v>10</v>
      </c>
      <c r="AC605" s="19" t="str">
        <f>LEFT(SalesData[[#This Row],[Order_ID]],3)</f>
        <v>ORD</v>
      </c>
      <c r="AD605" s="19" t="str">
        <f>RIGHT(SalesData[[#This Row],[Order_ID]],4)</f>
        <v>0407</v>
      </c>
      <c r="AE605" s="19" t="str">
        <f>_xlfn.CONCAT(SalesData[[#This Row],[Clean_Customer_Name]],"-",SalesData[[#This Row],[Region]])</f>
        <v>Kavya Nair-West</v>
      </c>
      <c r="AF605" s="19" t="str">
        <f>MID(SalesData[[#This Row],[Order_ID]],4,4)</f>
        <v>0407</v>
      </c>
      <c r="AG605" s="19" t="e">
        <f ca="1">_xlfn.SINGLE(_xlfn.XLOOKUP(SalesData[[#This Row],[Product]],Product_Master!A:A,Product_Master!B:B,"Not Found"))</f>
        <v>#NAME?</v>
      </c>
      <c r="AH605" s="19" t="str">
        <f>VLOOKUP(SalesData[[#This Row],[Product]],Product_Master!$A$1:$B$21,2,FALSE)</f>
        <v>Neha</v>
      </c>
      <c r="AI605" s="16"/>
    </row>
    <row r="606" spans="1:35" ht="13.8">
      <c r="A606" s="16" t="s">
        <v>648</v>
      </c>
      <c r="B606" s="17">
        <v>45559</v>
      </c>
      <c r="C606" s="16" t="s">
        <v>207</v>
      </c>
      <c r="D606" s="16" t="s">
        <v>208</v>
      </c>
      <c r="E606" s="16" t="s">
        <v>95</v>
      </c>
      <c r="F606" s="16" t="s">
        <v>96</v>
      </c>
      <c r="G606" s="16" t="s">
        <v>89</v>
      </c>
      <c r="H606" s="16" t="s">
        <v>97</v>
      </c>
      <c r="I606" s="16" t="s">
        <v>84</v>
      </c>
      <c r="J606" s="16" t="s">
        <v>142</v>
      </c>
      <c r="K606" s="18">
        <v>25998.61</v>
      </c>
      <c r="L606" s="18">
        <v>17232.45</v>
      </c>
      <c r="M606" s="19">
        <v>5</v>
      </c>
      <c r="N606" s="20">
        <v>0.1</v>
      </c>
      <c r="O606" s="19" t="s">
        <v>136</v>
      </c>
      <c r="P606" s="19" t="s">
        <v>58</v>
      </c>
      <c r="Q606" s="19" t="str">
        <f>TRIM(SalesData[[#This Row],[Customer_Name]])</f>
        <v>Kavya Nair</v>
      </c>
      <c r="R606" s="21">
        <f>SalesData[[#This Row],[Sales]]-SalesData[[#This Row],[Cost]]</f>
        <v>8766.16</v>
      </c>
      <c r="S606" s="22">
        <f>IFERROR(SalesData[[#This Row],[Profit]]/SalesData[[#This Row],[Sales]],0)</f>
        <v>0.33717802605600838</v>
      </c>
      <c r="T606" s="19">
        <f>YEAR(SalesData[[#This Row],[Order_Date]])</f>
        <v>2024</v>
      </c>
      <c r="U606" s="19" t="str">
        <f>TEXT(SalesData[[#This Row],[Order_Date]],"mmm")</f>
        <v>Sept</v>
      </c>
      <c r="V606" s="19" t="str">
        <f>"Q"&amp;ROUNDUP(MONTH(SalesData[[#This Row],[Order_Date]])/3,0)</f>
        <v>Q3</v>
      </c>
      <c r="W606" s="19" t="str">
        <f>IF(SalesData[[#This Row],[Sales]]&gt;=50000,"High",IF(AND(SalesData[[#This Row],[Sales]]&gt;= 20000, SalesData[[#This Row],[Sales]]&lt; 50000),"Medium","Low"))</f>
        <v>Medium</v>
      </c>
      <c r="X606" s="19" t="str">
        <f>IF(SalesData[[#This Row],[Profit]]&gt;0,"Profit","Loss")</f>
        <v>Profit</v>
      </c>
      <c r="Y606" s="19" t="str">
        <f>IF(AND(SalesData[[#This Row],[Sales]]&gt;= 50000, SalesData[[#This Row],[Quantity]]&gt;=2),"Yes","No")</f>
        <v>No</v>
      </c>
      <c r="Z606" s="19" t="str">
        <f>UPPER(SalesData[[#This Row],[Customer_Name]])</f>
        <v>KAVYA NAIR</v>
      </c>
      <c r="AA606" s="19" t="str">
        <f>LOWER(SalesData[[#This Row],[Customer_Name]])</f>
        <v>kavya nair</v>
      </c>
      <c r="AB606" s="19">
        <f>LEN(SalesData[[#This Row],[Customer_Name]])</f>
        <v>10</v>
      </c>
      <c r="AC606" s="19" t="str">
        <f>LEFT(SalesData[[#This Row],[Order_ID]],3)</f>
        <v>ORD</v>
      </c>
      <c r="AD606" s="19" t="str">
        <f>RIGHT(SalesData[[#This Row],[Order_ID]],4)</f>
        <v>0495</v>
      </c>
      <c r="AE606" s="19" t="str">
        <f>_xlfn.CONCAT(SalesData[[#This Row],[Clean_Customer_Name]],"-",SalesData[[#This Row],[Region]])</f>
        <v>Kavya Nair-South</v>
      </c>
      <c r="AF606" s="19" t="str">
        <f>MID(SalesData[[#This Row],[Order_ID]],4,4)</f>
        <v>0495</v>
      </c>
      <c r="AG606" s="19" t="e">
        <f ca="1">_xlfn.SINGLE(_xlfn.XLOOKUP(SalesData[[#This Row],[Product]],Product_Master!A:A,Product_Master!B:B,"Not Found"))</f>
        <v>#NAME?</v>
      </c>
      <c r="AH606" s="19" t="str">
        <f>VLOOKUP(SalesData[[#This Row],[Product]],Product_Master!$A$1:$B$21,2,FALSE)</f>
        <v>Neha</v>
      </c>
      <c r="AI606" s="16"/>
    </row>
    <row r="607" spans="1:35" ht="13.8">
      <c r="A607" s="16" t="s">
        <v>858</v>
      </c>
      <c r="B607" s="17">
        <v>45897</v>
      </c>
      <c r="C607" s="16" t="s">
        <v>207</v>
      </c>
      <c r="D607" s="16" t="s">
        <v>208</v>
      </c>
      <c r="E607" s="16" t="s">
        <v>95</v>
      </c>
      <c r="F607" s="16" t="s">
        <v>96</v>
      </c>
      <c r="G607" s="16" t="s">
        <v>89</v>
      </c>
      <c r="H607" s="16" t="s">
        <v>97</v>
      </c>
      <c r="I607" s="16" t="s">
        <v>84</v>
      </c>
      <c r="J607" s="16" t="s">
        <v>85</v>
      </c>
      <c r="K607" s="18">
        <v>14421.3</v>
      </c>
      <c r="L607" s="18">
        <v>7579.26</v>
      </c>
      <c r="M607" s="19">
        <v>2</v>
      </c>
      <c r="N607" s="20">
        <v>0.15</v>
      </c>
      <c r="O607" s="19" t="s">
        <v>25</v>
      </c>
      <c r="P607" s="19" t="s">
        <v>58</v>
      </c>
      <c r="Q607" s="19" t="str">
        <f>TRIM(SalesData[[#This Row],[Customer_Name]])</f>
        <v>Kavya Nair</v>
      </c>
      <c r="R607" s="21">
        <f>SalesData[[#This Row],[Sales]]-SalesData[[#This Row],[Cost]]</f>
        <v>6842.0399999999991</v>
      </c>
      <c r="S607" s="22">
        <f>IFERROR(SalesData[[#This Row],[Profit]]/SalesData[[#This Row],[Sales]],0)</f>
        <v>0.47443989099457051</v>
      </c>
      <c r="T607" s="19">
        <f>YEAR(SalesData[[#This Row],[Order_Date]])</f>
        <v>2025</v>
      </c>
      <c r="U607" s="19" t="str">
        <f>TEXT(SalesData[[#This Row],[Order_Date]],"mmm")</f>
        <v>Aug</v>
      </c>
      <c r="V607" s="19" t="str">
        <f>"Q"&amp;ROUNDUP(MONTH(SalesData[[#This Row],[Order_Date]])/3,0)</f>
        <v>Q3</v>
      </c>
      <c r="W607" s="19" t="str">
        <f>IF(SalesData[[#This Row],[Sales]]&gt;=50000,"High",IF(AND(SalesData[[#This Row],[Sales]]&gt;= 20000, SalesData[[#This Row],[Sales]]&lt; 50000),"Medium","Low"))</f>
        <v>Low</v>
      </c>
      <c r="X607" s="19" t="str">
        <f>IF(SalesData[[#This Row],[Profit]]&gt;0,"Profit","Loss")</f>
        <v>Profit</v>
      </c>
      <c r="Y607" s="19" t="str">
        <f>IF(AND(SalesData[[#This Row],[Sales]]&gt;= 50000, SalesData[[#This Row],[Quantity]]&gt;=2),"Yes","No")</f>
        <v>No</v>
      </c>
      <c r="Z607" s="19" t="str">
        <f>UPPER(SalesData[[#This Row],[Customer_Name]])</f>
        <v>KAVYA NAIR</v>
      </c>
      <c r="AA607" s="19" t="str">
        <f>LOWER(SalesData[[#This Row],[Customer_Name]])</f>
        <v>kavya nair</v>
      </c>
      <c r="AB607" s="19">
        <f>LEN(SalesData[[#This Row],[Customer_Name]])</f>
        <v>10</v>
      </c>
      <c r="AC607" s="19" t="str">
        <f>LEFT(SalesData[[#This Row],[Order_ID]],3)</f>
        <v>ORD</v>
      </c>
      <c r="AD607" s="19" t="str">
        <f>RIGHT(SalesData[[#This Row],[Order_ID]],4)</f>
        <v>0705</v>
      </c>
      <c r="AE607" s="19" t="str">
        <f>_xlfn.CONCAT(SalesData[[#This Row],[Clean_Customer_Name]],"-",SalesData[[#This Row],[Region]])</f>
        <v>Kavya Nair-South</v>
      </c>
      <c r="AF607" s="19" t="str">
        <f>MID(SalesData[[#This Row],[Order_ID]],4,4)</f>
        <v>0705</v>
      </c>
      <c r="AG607" s="19" t="e">
        <f ca="1">_xlfn.SINGLE(_xlfn.XLOOKUP(SalesData[[#This Row],[Product]],Product_Master!A:A,Product_Master!B:B,"Not Found"))</f>
        <v>#NAME?</v>
      </c>
      <c r="AH607" s="19" t="str">
        <f>VLOOKUP(SalesData[[#This Row],[Product]],Product_Master!$A$1:$B$21,2,FALSE)</f>
        <v>Neha</v>
      </c>
      <c r="AI607" s="16"/>
    </row>
    <row r="608" spans="1:35" ht="13.8">
      <c r="A608" s="16" t="s">
        <v>594</v>
      </c>
      <c r="B608" s="17">
        <v>45546</v>
      </c>
      <c r="C608" s="16" t="s">
        <v>207</v>
      </c>
      <c r="D608" s="16" t="s">
        <v>208</v>
      </c>
      <c r="E608" s="16" t="s">
        <v>193</v>
      </c>
      <c r="F608" s="16" t="s">
        <v>194</v>
      </c>
      <c r="G608" s="16" t="s">
        <v>89</v>
      </c>
      <c r="H608" s="16" t="s">
        <v>90</v>
      </c>
      <c r="I608" s="16" t="s">
        <v>42</v>
      </c>
      <c r="J608" s="16" t="s">
        <v>162</v>
      </c>
      <c r="K608" s="18">
        <v>2730.86</v>
      </c>
      <c r="L608" s="18">
        <v>1469.37</v>
      </c>
      <c r="M608" s="19">
        <v>3</v>
      </c>
      <c r="N608" s="20">
        <v>0.1</v>
      </c>
      <c r="O608" s="19" t="s">
        <v>136</v>
      </c>
      <c r="P608" s="19" t="s">
        <v>58</v>
      </c>
      <c r="Q608" s="19" t="str">
        <f>TRIM(SalesData[[#This Row],[Customer_Name]])</f>
        <v>Kavya Nair</v>
      </c>
      <c r="R608" s="21">
        <f>SalesData[[#This Row],[Sales]]-SalesData[[#This Row],[Cost]]</f>
        <v>1261.4900000000002</v>
      </c>
      <c r="S608" s="22">
        <f>IFERROR(SalesData[[#This Row],[Profit]]/SalesData[[#This Row],[Sales]],0)</f>
        <v>0.46193872992390683</v>
      </c>
      <c r="T608" s="19">
        <f>YEAR(SalesData[[#This Row],[Order_Date]])</f>
        <v>2024</v>
      </c>
      <c r="U608" s="19" t="str">
        <f>TEXT(SalesData[[#This Row],[Order_Date]],"mmm")</f>
        <v>Sept</v>
      </c>
      <c r="V608" s="19" t="str">
        <f>"Q"&amp;ROUNDUP(MONTH(SalesData[[#This Row],[Order_Date]])/3,0)</f>
        <v>Q3</v>
      </c>
      <c r="W608" s="19" t="str">
        <f>IF(SalesData[[#This Row],[Sales]]&gt;=50000,"High",IF(AND(SalesData[[#This Row],[Sales]]&gt;= 20000, SalesData[[#This Row],[Sales]]&lt; 50000),"Medium","Low"))</f>
        <v>Low</v>
      </c>
      <c r="X608" s="19" t="str">
        <f>IF(SalesData[[#This Row],[Profit]]&gt;0,"Profit","Loss")</f>
        <v>Profit</v>
      </c>
      <c r="Y608" s="19" t="str">
        <f>IF(AND(SalesData[[#This Row],[Sales]]&gt;= 50000, SalesData[[#This Row],[Quantity]]&gt;=2),"Yes","No")</f>
        <v>No</v>
      </c>
      <c r="Z608" s="19" t="str">
        <f>UPPER(SalesData[[#This Row],[Customer_Name]])</f>
        <v>KAVYA NAIR</v>
      </c>
      <c r="AA608" s="19" t="str">
        <f>LOWER(SalesData[[#This Row],[Customer_Name]])</f>
        <v>kavya nair</v>
      </c>
      <c r="AB608" s="19">
        <f>LEN(SalesData[[#This Row],[Customer_Name]])</f>
        <v>10</v>
      </c>
      <c r="AC608" s="19" t="str">
        <f>LEFT(SalesData[[#This Row],[Order_ID]],3)</f>
        <v>ORD</v>
      </c>
      <c r="AD608" s="19" t="str">
        <f>RIGHT(SalesData[[#This Row],[Order_ID]],4)</f>
        <v>0441</v>
      </c>
      <c r="AE608" s="19" t="str">
        <f>_xlfn.CONCAT(SalesData[[#This Row],[Clean_Customer_Name]],"-",SalesData[[#This Row],[Region]])</f>
        <v>Kavya Nair-East</v>
      </c>
      <c r="AF608" s="19" t="str">
        <f>MID(SalesData[[#This Row],[Order_ID]],4,4)</f>
        <v>0441</v>
      </c>
      <c r="AG608" s="19" t="e">
        <f ca="1">_xlfn.SINGLE(_xlfn.XLOOKUP(SalesData[[#This Row],[Product]],Product_Master!A:A,Product_Master!B:B,"Not Found"))</f>
        <v>#NAME?</v>
      </c>
      <c r="AH608" s="19" t="str">
        <f>VLOOKUP(SalesData[[#This Row],[Product]],Product_Master!$A$1:$B$21,2,FALSE)</f>
        <v>Simran</v>
      </c>
      <c r="AI608" s="16"/>
    </row>
    <row r="609" spans="1:35" ht="13.8">
      <c r="A609" s="16" t="s">
        <v>806</v>
      </c>
      <c r="B609" s="17">
        <v>45883</v>
      </c>
      <c r="C609" s="16" t="s">
        <v>207</v>
      </c>
      <c r="D609" s="16" t="s">
        <v>208</v>
      </c>
      <c r="E609" s="16" t="s">
        <v>193</v>
      </c>
      <c r="F609" s="16" t="s">
        <v>194</v>
      </c>
      <c r="G609" s="16" t="s">
        <v>89</v>
      </c>
      <c r="H609" s="16" t="s">
        <v>90</v>
      </c>
      <c r="I609" s="16" t="s">
        <v>23</v>
      </c>
      <c r="J609" s="16" t="s">
        <v>24</v>
      </c>
      <c r="K609" s="18">
        <v>2829.12</v>
      </c>
      <c r="L609" s="18">
        <v>2138.7199999999998</v>
      </c>
      <c r="M609" s="19">
        <v>4</v>
      </c>
      <c r="N609" s="20">
        <v>0.2</v>
      </c>
      <c r="O609" s="19" t="s">
        <v>44</v>
      </c>
      <c r="P609" s="19" t="s">
        <v>26</v>
      </c>
      <c r="Q609" s="19" t="str">
        <f>TRIM(SalesData[[#This Row],[Customer_Name]])</f>
        <v>Kavya Nair</v>
      </c>
      <c r="R609" s="21">
        <f>SalesData[[#This Row],[Sales]]-SalesData[[#This Row],[Cost]]</f>
        <v>690.40000000000009</v>
      </c>
      <c r="S609" s="22">
        <f>IFERROR(SalesData[[#This Row],[Profit]]/SalesData[[#This Row],[Sales]],0)</f>
        <v>0.24403348037552317</v>
      </c>
      <c r="T609" s="19">
        <f>YEAR(SalesData[[#This Row],[Order_Date]])</f>
        <v>2025</v>
      </c>
      <c r="U609" s="19" t="str">
        <f>TEXT(SalesData[[#This Row],[Order_Date]],"mmm")</f>
        <v>Aug</v>
      </c>
      <c r="V609" s="19" t="str">
        <f>"Q"&amp;ROUNDUP(MONTH(SalesData[[#This Row],[Order_Date]])/3,0)</f>
        <v>Q3</v>
      </c>
      <c r="W609" s="19" t="str">
        <f>IF(SalesData[[#This Row],[Sales]]&gt;=50000,"High",IF(AND(SalesData[[#This Row],[Sales]]&gt;= 20000, SalesData[[#This Row],[Sales]]&lt; 50000),"Medium","Low"))</f>
        <v>Low</v>
      </c>
      <c r="X609" s="19" t="str">
        <f>IF(SalesData[[#This Row],[Profit]]&gt;0,"Profit","Loss")</f>
        <v>Profit</v>
      </c>
      <c r="Y609" s="19" t="str">
        <f>IF(AND(SalesData[[#This Row],[Sales]]&gt;= 50000, SalesData[[#This Row],[Quantity]]&gt;=2),"Yes","No")</f>
        <v>No</v>
      </c>
      <c r="Z609" s="19" t="str">
        <f>UPPER(SalesData[[#This Row],[Customer_Name]])</f>
        <v>KAVYA NAIR</v>
      </c>
      <c r="AA609" s="19" t="str">
        <f>LOWER(SalesData[[#This Row],[Customer_Name]])</f>
        <v>kavya nair</v>
      </c>
      <c r="AB609" s="19">
        <f>LEN(SalesData[[#This Row],[Customer_Name]])</f>
        <v>10</v>
      </c>
      <c r="AC609" s="19" t="str">
        <f>LEFT(SalesData[[#This Row],[Order_ID]],3)</f>
        <v>ORD</v>
      </c>
      <c r="AD609" s="19" t="str">
        <f>RIGHT(SalesData[[#This Row],[Order_ID]],4)</f>
        <v>0653</v>
      </c>
      <c r="AE609" s="19" t="str">
        <f>_xlfn.CONCAT(SalesData[[#This Row],[Clean_Customer_Name]],"-",SalesData[[#This Row],[Region]])</f>
        <v>Kavya Nair-North</v>
      </c>
      <c r="AF609" s="19" t="str">
        <f>MID(SalesData[[#This Row],[Order_ID]],4,4)</f>
        <v>0653</v>
      </c>
      <c r="AG609" s="19" t="e">
        <f ca="1">_xlfn.SINGLE(_xlfn.XLOOKUP(SalesData[[#This Row],[Product]],Product_Master!A:A,Product_Master!B:B,"Not Found"))</f>
        <v>#NAME?</v>
      </c>
      <c r="AH609" s="19" t="str">
        <f>VLOOKUP(SalesData[[#This Row],[Product]],Product_Master!$A$1:$B$21,2,FALSE)</f>
        <v>Simran</v>
      </c>
      <c r="AI609" s="16"/>
    </row>
    <row r="610" spans="1:35" ht="13.8">
      <c r="A610" s="16" t="s">
        <v>236</v>
      </c>
      <c r="B610" s="17">
        <v>45753</v>
      </c>
      <c r="C610" s="16" t="s">
        <v>200</v>
      </c>
      <c r="D610" s="16" t="s">
        <v>201</v>
      </c>
      <c r="E610" s="16" t="s">
        <v>30</v>
      </c>
      <c r="F610" s="16" t="s">
        <v>31</v>
      </c>
      <c r="G610" s="16" t="s">
        <v>21</v>
      </c>
      <c r="H610" s="16" t="s">
        <v>32</v>
      </c>
      <c r="I610" s="16" t="s">
        <v>56</v>
      </c>
      <c r="J610" s="16" t="s">
        <v>91</v>
      </c>
      <c r="K610" s="18">
        <v>243570.91</v>
      </c>
      <c r="L610" s="18">
        <v>238555.8</v>
      </c>
      <c r="M610" s="19">
        <v>5</v>
      </c>
      <c r="N610" s="20">
        <v>0.1</v>
      </c>
      <c r="O610" s="19" t="s">
        <v>44</v>
      </c>
      <c r="P610" s="19" t="s">
        <v>98</v>
      </c>
      <c r="Q610" s="19" t="str">
        <f>TRIM(SalesData[[#This Row],[Customer_Name]])</f>
        <v>Karan Mehta</v>
      </c>
      <c r="R610" s="21">
        <f>SalesData[[#This Row],[Sales]]-SalesData[[#This Row],[Cost]]</f>
        <v>5015.1100000000151</v>
      </c>
      <c r="S610" s="22">
        <f>IFERROR(SalesData[[#This Row],[Profit]]/SalesData[[#This Row],[Sales]],0)</f>
        <v>2.0589938264795313E-2</v>
      </c>
      <c r="T610" s="19">
        <f>YEAR(SalesData[[#This Row],[Order_Date]])</f>
        <v>2025</v>
      </c>
      <c r="U610" s="19" t="str">
        <f>TEXT(SalesData[[#This Row],[Order_Date]],"mmm")</f>
        <v>Apr</v>
      </c>
      <c r="V610" s="19" t="str">
        <f>"Q"&amp;ROUNDUP(MONTH(SalesData[[#This Row],[Order_Date]])/3,0)</f>
        <v>Q2</v>
      </c>
      <c r="W610" s="19" t="str">
        <f>IF(SalesData[[#This Row],[Sales]]&gt;=50000,"High",IF(AND(SalesData[[#This Row],[Sales]]&gt;= 20000, SalesData[[#This Row],[Sales]]&lt; 50000),"Medium","Low"))</f>
        <v>High</v>
      </c>
      <c r="X610" s="19" t="str">
        <f>IF(SalesData[[#This Row],[Profit]]&gt;0,"Profit","Loss")</f>
        <v>Profit</v>
      </c>
      <c r="Y610" s="19" t="str">
        <f>IF(AND(SalesData[[#This Row],[Sales]]&gt;= 50000, SalesData[[#This Row],[Quantity]]&gt;=2),"Yes","No")</f>
        <v>Yes</v>
      </c>
      <c r="Z610" s="19" t="str">
        <f>UPPER(SalesData[[#This Row],[Customer_Name]])</f>
        <v>KARAN MEHTA</v>
      </c>
      <c r="AA610" s="19" t="str">
        <f>LOWER(SalesData[[#This Row],[Customer_Name]])</f>
        <v>karan mehta</v>
      </c>
      <c r="AB610" s="19">
        <f>LEN(SalesData[[#This Row],[Customer_Name]])</f>
        <v>11</v>
      </c>
      <c r="AC610" s="19" t="str">
        <f>LEFT(SalesData[[#This Row],[Order_ID]],3)</f>
        <v>ORD</v>
      </c>
      <c r="AD610" s="19" t="str">
        <f>RIGHT(SalesData[[#This Row],[Order_ID]],4)</f>
        <v>0085</v>
      </c>
      <c r="AE610" s="19" t="str">
        <f>_xlfn.CONCAT(SalesData[[#This Row],[Clean_Customer_Name]],"-",SalesData[[#This Row],[Region]])</f>
        <v>Karan Mehta-West</v>
      </c>
      <c r="AF610" s="19" t="str">
        <f>MID(SalesData[[#This Row],[Order_ID]],4,4)</f>
        <v>0085</v>
      </c>
      <c r="AG610" s="19" t="e">
        <f ca="1">_xlfn.SINGLE(_xlfn.XLOOKUP(SalesData[[#This Row],[Product]],Product_Master!A:A,Product_Master!B:B,"Not Found"))</f>
        <v>#NAME?</v>
      </c>
      <c r="AH610" s="19" t="str">
        <f>VLOOKUP(SalesData[[#This Row],[Product]],Product_Master!$A$1:$B$21,2,FALSE)</f>
        <v>Rahul</v>
      </c>
      <c r="AI610" s="16"/>
    </row>
    <row r="611" spans="1:35" ht="13.8">
      <c r="A611" s="16" t="s">
        <v>924</v>
      </c>
      <c r="B611" s="17">
        <v>45625</v>
      </c>
      <c r="C611" s="16" t="s">
        <v>200</v>
      </c>
      <c r="D611" s="16" t="s">
        <v>201</v>
      </c>
      <c r="E611" s="16" t="s">
        <v>30</v>
      </c>
      <c r="F611" s="16" t="s">
        <v>31</v>
      </c>
      <c r="G611" s="16" t="s">
        <v>21</v>
      </c>
      <c r="H611" s="16" t="s">
        <v>32</v>
      </c>
      <c r="I611" s="16" t="s">
        <v>56</v>
      </c>
      <c r="J611" s="16" t="s">
        <v>57</v>
      </c>
      <c r="K611" s="18">
        <v>50771.41</v>
      </c>
      <c r="L611" s="18">
        <v>47624.73</v>
      </c>
      <c r="M611" s="19">
        <v>1</v>
      </c>
      <c r="N611" s="20">
        <v>0.2</v>
      </c>
      <c r="O611" s="19" t="s">
        <v>34</v>
      </c>
      <c r="P611" s="19" t="s">
        <v>26</v>
      </c>
      <c r="Q611" s="19" t="str">
        <f>TRIM(SalesData[[#This Row],[Customer_Name]])</f>
        <v>Karan Mehta</v>
      </c>
      <c r="R611" s="21">
        <f>SalesData[[#This Row],[Sales]]-SalesData[[#This Row],[Cost]]</f>
        <v>3146.6800000000003</v>
      </c>
      <c r="S611" s="22">
        <f>IFERROR(SalesData[[#This Row],[Profit]]/SalesData[[#This Row],[Sales]],0)</f>
        <v>6.1977400273106463E-2</v>
      </c>
      <c r="T611" s="19">
        <f>YEAR(SalesData[[#This Row],[Order_Date]])</f>
        <v>2024</v>
      </c>
      <c r="U611" s="19" t="str">
        <f>TEXT(SalesData[[#This Row],[Order_Date]],"mmm")</f>
        <v>Nov</v>
      </c>
      <c r="V611" s="19" t="str">
        <f>"Q"&amp;ROUNDUP(MONTH(SalesData[[#This Row],[Order_Date]])/3,0)</f>
        <v>Q4</v>
      </c>
      <c r="W611" s="19" t="str">
        <f>IF(SalesData[[#This Row],[Sales]]&gt;=50000,"High",IF(AND(SalesData[[#This Row],[Sales]]&gt;= 20000, SalesData[[#This Row],[Sales]]&lt; 50000),"Medium","Low"))</f>
        <v>High</v>
      </c>
      <c r="X611" s="19" t="str">
        <f>IF(SalesData[[#This Row],[Profit]]&gt;0,"Profit","Loss")</f>
        <v>Profit</v>
      </c>
      <c r="Y611" s="19" t="str">
        <f>IF(AND(SalesData[[#This Row],[Sales]]&gt;= 50000, SalesData[[#This Row],[Quantity]]&gt;=2),"Yes","No")</f>
        <v>No</v>
      </c>
      <c r="Z611" s="19" t="str">
        <f>UPPER(SalesData[[#This Row],[Customer_Name]])</f>
        <v>KARAN MEHTA</v>
      </c>
      <c r="AA611" s="19" t="str">
        <f>LOWER(SalesData[[#This Row],[Customer_Name]])</f>
        <v>karan mehta</v>
      </c>
      <c r="AB611" s="19">
        <f>LEN(SalesData[[#This Row],[Customer_Name]])</f>
        <v>11</v>
      </c>
      <c r="AC611" s="19" t="str">
        <f>LEFT(SalesData[[#This Row],[Order_ID]],3)</f>
        <v>ORD</v>
      </c>
      <c r="AD611" s="19" t="str">
        <f>RIGHT(SalesData[[#This Row],[Order_ID]],4)</f>
        <v>0771</v>
      </c>
      <c r="AE611" s="19" t="str">
        <f>_xlfn.CONCAT(SalesData[[#This Row],[Clean_Customer_Name]],"-",SalesData[[#This Row],[Region]])</f>
        <v>Karan Mehta-West</v>
      </c>
      <c r="AF611" s="19" t="str">
        <f>MID(SalesData[[#This Row],[Order_ID]],4,4)</f>
        <v>0771</v>
      </c>
      <c r="AG611" s="19" t="e">
        <f ca="1">_xlfn.SINGLE(_xlfn.XLOOKUP(SalesData[[#This Row],[Product]],Product_Master!A:A,Product_Master!B:B,"Not Found"))</f>
        <v>#NAME?</v>
      </c>
      <c r="AH611" s="19" t="str">
        <f>VLOOKUP(SalesData[[#This Row],[Product]],Product_Master!$A$1:$B$21,2,FALSE)</f>
        <v>Rahul</v>
      </c>
      <c r="AI611" s="16"/>
    </row>
    <row r="612" spans="1:35" ht="13.8">
      <c r="A612" s="16" t="s">
        <v>1025</v>
      </c>
      <c r="B612" s="17">
        <v>45937</v>
      </c>
      <c r="C612" s="16" t="s">
        <v>200</v>
      </c>
      <c r="D612" s="16" t="s">
        <v>201</v>
      </c>
      <c r="E612" s="16" t="s">
        <v>30</v>
      </c>
      <c r="F612" s="16" t="s">
        <v>31</v>
      </c>
      <c r="G612" s="16" t="s">
        <v>21</v>
      </c>
      <c r="H612" s="16" t="s">
        <v>32</v>
      </c>
      <c r="I612" s="16" t="s">
        <v>42</v>
      </c>
      <c r="J612" s="16" t="s">
        <v>43</v>
      </c>
      <c r="K612" s="18">
        <v>132363.14000000001</v>
      </c>
      <c r="L612" s="18">
        <v>145758.09</v>
      </c>
      <c r="M612" s="19">
        <v>3</v>
      </c>
      <c r="N612" s="20">
        <v>0.2</v>
      </c>
      <c r="O612" s="19" t="s">
        <v>25</v>
      </c>
      <c r="P612" s="19" t="s">
        <v>58</v>
      </c>
      <c r="Q612" s="19" t="str">
        <f>TRIM(SalesData[[#This Row],[Customer_Name]])</f>
        <v>Karan Mehta</v>
      </c>
      <c r="R612" s="21">
        <f>SalesData[[#This Row],[Sales]]-SalesData[[#This Row],[Cost]]</f>
        <v>-13394.949999999983</v>
      </c>
      <c r="S612" s="22">
        <f>IFERROR(SalesData[[#This Row],[Profit]]/SalesData[[#This Row],[Sales]],0)</f>
        <v>-0.10119849075807646</v>
      </c>
      <c r="T612" s="19">
        <f>YEAR(SalesData[[#This Row],[Order_Date]])</f>
        <v>2025</v>
      </c>
      <c r="U612" s="19" t="str">
        <f>TEXT(SalesData[[#This Row],[Order_Date]],"mmm")</f>
        <v>Oct</v>
      </c>
      <c r="V612" s="19" t="str">
        <f>"Q"&amp;ROUNDUP(MONTH(SalesData[[#This Row],[Order_Date]])/3,0)</f>
        <v>Q4</v>
      </c>
      <c r="W612" s="19" t="str">
        <f>IF(SalesData[[#This Row],[Sales]]&gt;=50000,"High",IF(AND(SalesData[[#This Row],[Sales]]&gt;= 20000, SalesData[[#This Row],[Sales]]&lt; 50000),"Medium","Low"))</f>
        <v>High</v>
      </c>
      <c r="X612" s="19" t="str">
        <f>IF(SalesData[[#This Row],[Profit]]&gt;0,"Profit","Loss")</f>
        <v>Loss</v>
      </c>
      <c r="Y612" s="19" t="str">
        <f>IF(AND(SalesData[[#This Row],[Sales]]&gt;= 50000, SalesData[[#This Row],[Quantity]]&gt;=2),"Yes","No")</f>
        <v>Yes</v>
      </c>
      <c r="Z612" s="19" t="str">
        <f>UPPER(SalesData[[#This Row],[Customer_Name]])</f>
        <v>KARAN MEHTA</v>
      </c>
      <c r="AA612" s="19" t="str">
        <f>LOWER(SalesData[[#This Row],[Customer_Name]])</f>
        <v>karan mehta</v>
      </c>
      <c r="AB612" s="19">
        <f>LEN(SalesData[[#This Row],[Customer_Name]])</f>
        <v>11</v>
      </c>
      <c r="AC612" s="19" t="str">
        <f>LEFT(SalesData[[#This Row],[Order_ID]],3)</f>
        <v>ORD</v>
      </c>
      <c r="AD612" s="19" t="str">
        <f>RIGHT(SalesData[[#This Row],[Order_ID]],4)</f>
        <v>0872</v>
      </c>
      <c r="AE612" s="19" t="str">
        <f>_xlfn.CONCAT(SalesData[[#This Row],[Clean_Customer_Name]],"-",SalesData[[#This Row],[Region]])</f>
        <v>Karan Mehta-East</v>
      </c>
      <c r="AF612" s="19" t="str">
        <f>MID(SalesData[[#This Row],[Order_ID]],4,4)</f>
        <v>0872</v>
      </c>
      <c r="AG612" s="19" t="e">
        <f ca="1">_xlfn.SINGLE(_xlfn.XLOOKUP(SalesData[[#This Row],[Product]],Product_Master!A:A,Product_Master!B:B,"Not Found"))</f>
        <v>#NAME?</v>
      </c>
      <c r="AH612" s="19" t="str">
        <f>VLOOKUP(SalesData[[#This Row],[Product]],Product_Master!$A$1:$B$21,2,FALSE)</f>
        <v>Rahul</v>
      </c>
      <c r="AI612" s="16"/>
    </row>
    <row r="613" spans="1:35" ht="13.8">
      <c r="A613" s="16" t="s">
        <v>1031</v>
      </c>
      <c r="B613" s="17">
        <v>45351</v>
      </c>
      <c r="C613" s="16" t="s">
        <v>200</v>
      </c>
      <c r="D613" s="16" t="s">
        <v>201</v>
      </c>
      <c r="E613" s="16" t="s">
        <v>30</v>
      </c>
      <c r="F613" s="16" t="s">
        <v>31</v>
      </c>
      <c r="G613" s="16" t="s">
        <v>21</v>
      </c>
      <c r="H613" s="16" t="s">
        <v>32</v>
      </c>
      <c r="I613" s="16" t="s">
        <v>42</v>
      </c>
      <c r="J613" s="16" t="s">
        <v>162</v>
      </c>
      <c r="K613" s="18">
        <v>146261.04</v>
      </c>
      <c r="L613" s="18">
        <v>140830.26</v>
      </c>
      <c r="M613" s="19">
        <v>3</v>
      </c>
      <c r="N613" s="20">
        <v>0.15</v>
      </c>
      <c r="O613" s="19" t="s">
        <v>44</v>
      </c>
      <c r="P613" s="19" t="s">
        <v>45</v>
      </c>
      <c r="Q613" s="19" t="str">
        <f>TRIM(SalesData[[#This Row],[Customer_Name]])</f>
        <v>Karan Mehta</v>
      </c>
      <c r="R613" s="21">
        <f>SalesData[[#This Row],[Sales]]-SalesData[[#This Row],[Cost]]</f>
        <v>5430.7799999999988</v>
      </c>
      <c r="S613" s="22">
        <f>IFERROR(SalesData[[#This Row],[Profit]]/SalesData[[#This Row],[Sales]],0)</f>
        <v>3.7130735567038213E-2</v>
      </c>
      <c r="T613" s="19">
        <f>YEAR(SalesData[[#This Row],[Order_Date]])</f>
        <v>2024</v>
      </c>
      <c r="U613" s="19" t="str">
        <f>TEXT(SalesData[[#This Row],[Order_Date]],"mmm")</f>
        <v>Feb</v>
      </c>
      <c r="V613" s="19" t="str">
        <f>"Q"&amp;ROUNDUP(MONTH(SalesData[[#This Row],[Order_Date]])/3,0)</f>
        <v>Q1</v>
      </c>
      <c r="W613" s="19" t="str">
        <f>IF(SalesData[[#This Row],[Sales]]&gt;=50000,"High",IF(AND(SalesData[[#This Row],[Sales]]&gt;= 20000, SalesData[[#This Row],[Sales]]&lt; 50000),"Medium","Low"))</f>
        <v>High</v>
      </c>
      <c r="X613" s="19" t="str">
        <f>IF(SalesData[[#This Row],[Profit]]&gt;0,"Profit","Loss")</f>
        <v>Profit</v>
      </c>
      <c r="Y613" s="19" t="str">
        <f>IF(AND(SalesData[[#This Row],[Sales]]&gt;= 50000, SalesData[[#This Row],[Quantity]]&gt;=2),"Yes","No")</f>
        <v>Yes</v>
      </c>
      <c r="Z613" s="19" t="str">
        <f>UPPER(SalesData[[#This Row],[Customer_Name]])</f>
        <v>KARAN MEHTA</v>
      </c>
      <c r="AA613" s="19" t="str">
        <f>LOWER(SalesData[[#This Row],[Customer_Name]])</f>
        <v>karan mehta</v>
      </c>
      <c r="AB613" s="19">
        <f>LEN(SalesData[[#This Row],[Customer_Name]])</f>
        <v>11</v>
      </c>
      <c r="AC613" s="19" t="str">
        <f>LEFT(SalesData[[#This Row],[Order_ID]],3)</f>
        <v>ORD</v>
      </c>
      <c r="AD613" s="19" t="str">
        <f>RIGHT(SalesData[[#This Row],[Order_ID]],4)</f>
        <v>0878</v>
      </c>
      <c r="AE613" s="19" t="str">
        <f>_xlfn.CONCAT(SalesData[[#This Row],[Clean_Customer_Name]],"-",SalesData[[#This Row],[Region]])</f>
        <v>Karan Mehta-East</v>
      </c>
      <c r="AF613" s="19" t="str">
        <f>MID(SalesData[[#This Row],[Order_ID]],4,4)</f>
        <v>0878</v>
      </c>
      <c r="AG613" s="19" t="e">
        <f ca="1">_xlfn.SINGLE(_xlfn.XLOOKUP(SalesData[[#This Row],[Product]],Product_Master!A:A,Product_Master!B:B,"Not Found"))</f>
        <v>#NAME?</v>
      </c>
      <c r="AH613" s="19" t="str">
        <f>VLOOKUP(SalesData[[#This Row],[Product]],Product_Master!$A$1:$B$21,2,FALSE)</f>
        <v>Rahul</v>
      </c>
      <c r="AI613" s="16"/>
    </row>
    <row r="614" spans="1:35" ht="13.8">
      <c r="A614" s="16" t="s">
        <v>378</v>
      </c>
      <c r="B614" s="17">
        <v>45698</v>
      </c>
      <c r="C614" s="16" t="s">
        <v>200</v>
      </c>
      <c r="D614" s="16" t="s">
        <v>201</v>
      </c>
      <c r="E614" s="16" t="s">
        <v>81</v>
      </c>
      <c r="F614" s="16" t="s">
        <v>82</v>
      </c>
      <c r="G614" s="16" t="s">
        <v>21</v>
      </c>
      <c r="H614" s="16" t="s">
        <v>83</v>
      </c>
      <c r="I614" s="16" t="s">
        <v>53</v>
      </c>
      <c r="J614" s="16" t="s">
        <v>102</v>
      </c>
      <c r="K614" s="18">
        <v>112590.76</v>
      </c>
      <c r="L614" s="18">
        <v>67482.880000000005</v>
      </c>
      <c r="M614" s="19">
        <v>4</v>
      </c>
      <c r="N614" s="20">
        <v>0.1</v>
      </c>
      <c r="O614" s="19" t="s">
        <v>25</v>
      </c>
      <c r="P614" s="19" t="s">
        <v>58</v>
      </c>
      <c r="Q614" s="19" t="str">
        <f>TRIM(SalesData[[#This Row],[Customer_Name]])</f>
        <v>Karan Mehta</v>
      </c>
      <c r="R614" s="21">
        <f>SalesData[[#This Row],[Sales]]-SalesData[[#This Row],[Cost]]</f>
        <v>45107.87999999999</v>
      </c>
      <c r="S614" s="22">
        <f>IFERROR(SalesData[[#This Row],[Profit]]/SalesData[[#This Row],[Sales]],0)</f>
        <v>0.40063571824188765</v>
      </c>
      <c r="T614" s="19">
        <f>YEAR(SalesData[[#This Row],[Order_Date]])</f>
        <v>2025</v>
      </c>
      <c r="U614" s="19" t="str">
        <f>TEXT(SalesData[[#This Row],[Order_Date]],"mmm")</f>
        <v>Feb</v>
      </c>
      <c r="V614" s="19" t="str">
        <f>"Q"&amp;ROUNDUP(MONTH(SalesData[[#This Row],[Order_Date]])/3,0)</f>
        <v>Q1</v>
      </c>
      <c r="W614" s="19" t="str">
        <f>IF(SalesData[[#This Row],[Sales]]&gt;=50000,"High",IF(AND(SalesData[[#This Row],[Sales]]&gt;= 20000, SalesData[[#This Row],[Sales]]&lt; 50000),"Medium","Low"))</f>
        <v>High</v>
      </c>
      <c r="X614" s="19" t="str">
        <f>IF(SalesData[[#This Row],[Profit]]&gt;0,"Profit","Loss")</f>
        <v>Profit</v>
      </c>
      <c r="Y614" s="19" t="str">
        <f>IF(AND(SalesData[[#This Row],[Sales]]&gt;= 50000, SalesData[[#This Row],[Quantity]]&gt;=2),"Yes","No")</f>
        <v>Yes</v>
      </c>
      <c r="Z614" s="19" t="str">
        <f>UPPER(SalesData[[#This Row],[Customer_Name]])</f>
        <v>KARAN MEHTA</v>
      </c>
      <c r="AA614" s="19" t="str">
        <f>LOWER(SalesData[[#This Row],[Customer_Name]])</f>
        <v>karan mehta</v>
      </c>
      <c r="AB614" s="19">
        <f>LEN(SalesData[[#This Row],[Customer_Name]])</f>
        <v>11</v>
      </c>
      <c r="AC614" s="19" t="str">
        <f>LEFT(SalesData[[#This Row],[Order_ID]],3)</f>
        <v>ORD</v>
      </c>
      <c r="AD614" s="19" t="str">
        <f>RIGHT(SalesData[[#This Row],[Order_ID]],4)</f>
        <v>0225</v>
      </c>
      <c r="AE614" s="19" t="str">
        <f>_xlfn.CONCAT(SalesData[[#This Row],[Clean_Customer_Name]],"-",SalesData[[#This Row],[Region]])</f>
        <v>Karan Mehta-Central</v>
      </c>
      <c r="AF614" s="19" t="str">
        <f>MID(SalesData[[#This Row],[Order_ID]],4,4)</f>
        <v>0225</v>
      </c>
      <c r="AG614" s="19" t="e">
        <f ca="1">_xlfn.SINGLE(_xlfn.XLOOKUP(SalesData[[#This Row],[Product]],Product_Master!A:A,Product_Master!B:B,"Not Found"))</f>
        <v>#NAME?</v>
      </c>
      <c r="AH614" s="19" t="str">
        <f>VLOOKUP(SalesData[[#This Row],[Product]],Product_Master!$A$1:$B$21,2,FALSE)</f>
        <v>Priya</v>
      </c>
      <c r="AI614" s="16"/>
    </row>
    <row r="615" spans="1:35" ht="13.8">
      <c r="A615" s="16" t="s">
        <v>759</v>
      </c>
      <c r="B615" s="17">
        <v>45607</v>
      </c>
      <c r="C615" s="16" t="s">
        <v>200</v>
      </c>
      <c r="D615" s="16" t="s">
        <v>201</v>
      </c>
      <c r="E615" s="16" t="s">
        <v>81</v>
      </c>
      <c r="F615" s="16" t="s">
        <v>82</v>
      </c>
      <c r="G615" s="16" t="s">
        <v>21</v>
      </c>
      <c r="H615" s="16" t="s">
        <v>83</v>
      </c>
      <c r="I615" s="16" t="s">
        <v>56</v>
      </c>
      <c r="J615" s="16" t="s">
        <v>91</v>
      </c>
      <c r="K615" s="18">
        <v>92936</v>
      </c>
      <c r="L615" s="18">
        <v>56485.74</v>
      </c>
      <c r="M615" s="19">
        <v>3</v>
      </c>
      <c r="N615" s="20">
        <v>0.1</v>
      </c>
      <c r="O615" s="19" t="s">
        <v>76</v>
      </c>
      <c r="P615" s="19" t="s">
        <v>58</v>
      </c>
      <c r="Q615" s="19" t="str">
        <f>TRIM(SalesData[[#This Row],[Customer_Name]])</f>
        <v>Karan Mehta</v>
      </c>
      <c r="R615" s="21">
        <f>SalesData[[#This Row],[Sales]]-SalesData[[#This Row],[Cost]]</f>
        <v>36450.26</v>
      </c>
      <c r="S615" s="22">
        <f>IFERROR(SalesData[[#This Row],[Profit]]/SalesData[[#This Row],[Sales]],0)</f>
        <v>0.39220818627872944</v>
      </c>
      <c r="T615" s="19">
        <f>YEAR(SalesData[[#This Row],[Order_Date]])</f>
        <v>2024</v>
      </c>
      <c r="U615" s="19" t="str">
        <f>TEXT(SalesData[[#This Row],[Order_Date]],"mmm")</f>
        <v>Nov</v>
      </c>
      <c r="V615" s="19" t="str">
        <f>"Q"&amp;ROUNDUP(MONTH(SalesData[[#This Row],[Order_Date]])/3,0)</f>
        <v>Q4</v>
      </c>
      <c r="W615" s="19" t="str">
        <f>IF(SalesData[[#This Row],[Sales]]&gt;=50000,"High",IF(AND(SalesData[[#This Row],[Sales]]&gt;= 20000, SalesData[[#This Row],[Sales]]&lt; 50000),"Medium","Low"))</f>
        <v>High</v>
      </c>
      <c r="X615" s="19" t="str">
        <f>IF(SalesData[[#This Row],[Profit]]&gt;0,"Profit","Loss")</f>
        <v>Profit</v>
      </c>
      <c r="Y615" s="19" t="str">
        <f>IF(AND(SalesData[[#This Row],[Sales]]&gt;= 50000, SalesData[[#This Row],[Quantity]]&gt;=2),"Yes","No")</f>
        <v>Yes</v>
      </c>
      <c r="Z615" s="19" t="str">
        <f>UPPER(SalesData[[#This Row],[Customer_Name]])</f>
        <v>KARAN MEHTA</v>
      </c>
      <c r="AA615" s="19" t="str">
        <f>LOWER(SalesData[[#This Row],[Customer_Name]])</f>
        <v>karan mehta</v>
      </c>
      <c r="AB615" s="19">
        <f>LEN(SalesData[[#This Row],[Customer_Name]])</f>
        <v>11</v>
      </c>
      <c r="AC615" s="19" t="str">
        <f>LEFT(SalesData[[#This Row],[Order_ID]],3)</f>
        <v>ORD</v>
      </c>
      <c r="AD615" s="19" t="str">
        <f>RIGHT(SalesData[[#This Row],[Order_ID]],4)</f>
        <v>0606</v>
      </c>
      <c r="AE615" s="19" t="str">
        <f>_xlfn.CONCAT(SalesData[[#This Row],[Clean_Customer_Name]],"-",SalesData[[#This Row],[Region]])</f>
        <v>Karan Mehta-West</v>
      </c>
      <c r="AF615" s="19" t="str">
        <f>MID(SalesData[[#This Row],[Order_ID]],4,4)</f>
        <v>0606</v>
      </c>
      <c r="AG615" s="19" t="e">
        <f ca="1">_xlfn.SINGLE(_xlfn.XLOOKUP(SalesData[[#This Row],[Product]],Product_Master!A:A,Product_Master!B:B,"Not Found"))</f>
        <v>#NAME?</v>
      </c>
      <c r="AH615" s="19" t="str">
        <f>VLOOKUP(SalesData[[#This Row],[Product]],Product_Master!$A$1:$B$21,2,FALSE)</f>
        <v>Priya</v>
      </c>
      <c r="AI615" s="16"/>
    </row>
    <row r="616" spans="1:35" ht="13.8">
      <c r="A616" s="16" t="s">
        <v>259</v>
      </c>
      <c r="B616" s="17">
        <v>45683</v>
      </c>
      <c r="C616" s="16" t="s">
        <v>200</v>
      </c>
      <c r="D616" s="16" t="s">
        <v>201</v>
      </c>
      <c r="E616" s="16" t="s">
        <v>62</v>
      </c>
      <c r="F616" s="16" t="s">
        <v>63</v>
      </c>
      <c r="G616" s="16" t="s">
        <v>21</v>
      </c>
      <c r="H616" s="16" t="s">
        <v>64</v>
      </c>
      <c r="I616" s="16" t="s">
        <v>42</v>
      </c>
      <c r="J616" s="16" t="s">
        <v>43</v>
      </c>
      <c r="K616" s="18">
        <v>16990.16</v>
      </c>
      <c r="L616" s="18">
        <v>9329.65</v>
      </c>
      <c r="M616" s="19">
        <v>5</v>
      </c>
      <c r="N616" s="20">
        <v>0.2</v>
      </c>
      <c r="O616" s="19" t="s">
        <v>76</v>
      </c>
      <c r="P616" s="19" t="s">
        <v>58</v>
      </c>
      <c r="Q616" s="19" t="str">
        <f>TRIM(SalesData[[#This Row],[Customer_Name]])</f>
        <v>Karan Mehta</v>
      </c>
      <c r="R616" s="21">
        <f>SalesData[[#This Row],[Sales]]-SalesData[[#This Row],[Cost]]</f>
        <v>7660.51</v>
      </c>
      <c r="S616" s="22">
        <f>IFERROR(SalesData[[#This Row],[Profit]]/SalesData[[#This Row],[Sales]],0)</f>
        <v>0.45087921479256232</v>
      </c>
      <c r="T616" s="19">
        <f>YEAR(SalesData[[#This Row],[Order_Date]])</f>
        <v>2025</v>
      </c>
      <c r="U616" s="19" t="str">
        <f>TEXT(SalesData[[#This Row],[Order_Date]],"mmm")</f>
        <v>Jan</v>
      </c>
      <c r="V616" s="19" t="str">
        <f>"Q"&amp;ROUNDUP(MONTH(SalesData[[#This Row],[Order_Date]])/3,0)</f>
        <v>Q1</v>
      </c>
      <c r="W616" s="19" t="str">
        <f>IF(SalesData[[#This Row],[Sales]]&gt;=50000,"High",IF(AND(SalesData[[#This Row],[Sales]]&gt;= 20000, SalesData[[#This Row],[Sales]]&lt; 50000),"Medium","Low"))</f>
        <v>Low</v>
      </c>
      <c r="X616" s="19" t="str">
        <f>IF(SalesData[[#This Row],[Profit]]&gt;0,"Profit","Loss")</f>
        <v>Profit</v>
      </c>
      <c r="Y616" s="19" t="str">
        <f>IF(AND(SalesData[[#This Row],[Sales]]&gt;= 50000, SalesData[[#This Row],[Quantity]]&gt;=2),"Yes","No")</f>
        <v>No</v>
      </c>
      <c r="Z616" s="19" t="str">
        <f>UPPER(SalesData[[#This Row],[Customer_Name]])</f>
        <v>KARAN MEHTA</v>
      </c>
      <c r="AA616" s="19" t="str">
        <f>LOWER(SalesData[[#This Row],[Customer_Name]])</f>
        <v>karan mehta</v>
      </c>
      <c r="AB616" s="19">
        <f>LEN(SalesData[[#This Row],[Customer_Name]])</f>
        <v>11</v>
      </c>
      <c r="AC616" s="19" t="str">
        <f>LEFT(SalesData[[#This Row],[Order_ID]],3)</f>
        <v>ORD</v>
      </c>
      <c r="AD616" s="19" t="str">
        <f>RIGHT(SalesData[[#This Row],[Order_ID]],4)</f>
        <v>0108</v>
      </c>
      <c r="AE616" s="19" t="str">
        <f>_xlfn.CONCAT(SalesData[[#This Row],[Clean_Customer_Name]],"-",SalesData[[#This Row],[Region]])</f>
        <v>Karan Mehta-East</v>
      </c>
      <c r="AF616" s="19" t="str">
        <f>MID(SalesData[[#This Row],[Order_ID]],4,4)</f>
        <v>0108</v>
      </c>
      <c r="AG616" s="19" t="e">
        <f ca="1">_xlfn.SINGLE(_xlfn.XLOOKUP(SalesData[[#This Row],[Product]],Product_Master!A:A,Product_Master!B:B,"Not Found"))</f>
        <v>#NAME?</v>
      </c>
      <c r="AH616" s="19" t="str">
        <f>VLOOKUP(SalesData[[#This Row],[Product]],Product_Master!$A$1:$B$21,2,FALSE)</f>
        <v>Amit</v>
      </c>
      <c r="AI616" s="16"/>
    </row>
    <row r="617" spans="1:35" ht="13.8">
      <c r="A617" s="16" t="s">
        <v>656</v>
      </c>
      <c r="B617" s="17">
        <v>45701</v>
      </c>
      <c r="C617" s="16" t="s">
        <v>200</v>
      </c>
      <c r="D617" s="16" t="s">
        <v>201</v>
      </c>
      <c r="E617" s="16" t="s">
        <v>62</v>
      </c>
      <c r="F617" s="16" t="s">
        <v>63</v>
      </c>
      <c r="G617" s="16" t="s">
        <v>21</v>
      </c>
      <c r="H617" s="16" t="s">
        <v>64</v>
      </c>
      <c r="I617" s="16" t="s">
        <v>84</v>
      </c>
      <c r="J617" s="16" t="s">
        <v>142</v>
      </c>
      <c r="K617" s="18">
        <v>10927.01</v>
      </c>
      <c r="L617" s="18">
        <v>5583.24</v>
      </c>
      <c r="M617" s="19">
        <v>3</v>
      </c>
      <c r="N617" s="20">
        <v>0.05</v>
      </c>
      <c r="O617" s="19" t="s">
        <v>34</v>
      </c>
      <c r="P617" s="19" t="s">
        <v>58</v>
      </c>
      <c r="Q617" s="19" t="str">
        <f>TRIM(SalesData[[#This Row],[Customer_Name]])</f>
        <v>Karan Mehta</v>
      </c>
      <c r="R617" s="21">
        <f>SalesData[[#This Row],[Sales]]-SalesData[[#This Row],[Cost]]</f>
        <v>5343.77</v>
      </c>
      <c r="S617" s="22">
        <f>IFERROR(SalesData[[#This Row],[Profit]]/SalesData[[#This Row],[Sales]],0)</f>
        <v>0.48904229061746995</v>
      </c>
      <c r="T617" s="19">
        <f>YEAR(SalesData[[#This Row],[Order_Date]])</f>
        <v>2025</v>
      </c>
      <c r="U617" s="19" t="str">
        <f>TEXT(SalesData[[#This Row],[Order_Date]],"mmm")</f>
        <v>Feb</v>
      </c>
      <c r="V617" s="19" t="str">
        <f>"Q"&amp;ROUNDUP(MONTH(SalesData[[#This Row],[Order_Date]])/3,0)</f>
        <v>Q1</v>
      </c>
      <c r="W617" s="19" t="str">
        <f>IF(SalesData[[#This Row],[Sales]]&gt;=50000,"High",IF(AND(SalesData[[#This Row],[Sales]]&gt;= 20000, SalesData[[#This Row],[Sales]]&lt; 50000),"Medium","Low"))</f>
        <v>Low</v>
      </c>
      <c r="X617" s="19" t="str">
        <f>IF(SalesData[[#This Row],[Profit]]&gt;0,"Profit","Loss")</f>
        <v>Profit</v>
      </c>
      <c r="Y617" s="19" t="str">
        <f>IF(AND(SalesData[[#This Row],[Sales]]&gt;= 50000, SalesData[[#This Row],[Quantity]]&gt;=2),"Yes","No")</f>
        <v>No</v>
      </c>
      <c r="Z617" s="19" t="str">
        <f>UPPER(SalesData[[#This Row],[Customer_Name]])</f>
        <v>KARAN MEHTA</v>
      </c>
      <c r="AA617" s="19" t="str">
        <f>LOWER(SalesData[[#This Row],[Customer_Name]])</f>
        <v>karan mehta</v>
      </c>
      <c r="AB617" s="19">
        <f>LEN(SalesData[[#This Row],[Customer_Name]])</f>
        <v>11</v>
      </c>
      <c r="AC617" s="19" t="str">
        <f>LEFT(SalesData[[#This Row],[Order_ID]],3)</f>
        <v>ORD</v>
      </c>
      <c r="AD617" s="19" t="str">
        <f>RIGHT(SalesData[[#This Row],[Order_ID]],4)</f>
        <v>0503</v>
      </c>
      <c r="AE617" s="19" t="str">
        <f>_xlfn.CONCAT(SalesData[[#This Row],[Clean_Customer_Name]],"-",SalesData[[#This Row],[Region]])</f>
        <v>Karan Mehta-South</v>
      </c>
      <c r="AF617" s="19" t="str">
        <f>MID(SalesData[[#This Row],[Order_ID]],4,4)</f>
        <v>0503</v>
      </c>
      <c r="AG617" s="19" t="e">
        <f ca="1">_xlfn.SINGLE(_xlfn.XLOOKUP(SalesData[[#This Row],[Product]],Product_Master!A:A,Product_Master!B:B,"Not Found"))</f>
        <v>#NAME?</v>
      </c>
      <c r="AH617" s="19" t="str">
        <f>VLOOKUP(SalesData[[#This Row],[Product]],Product_Master!$A$1:$B$21,2,FALSE)</f>
        <v>Amit</v>
      </c>
      <c r="AI617" s="16"/>
    </row>
    <row r="618" spans="1:35" ht="13.8">
      <c r="A618" s="16" t="s">
        <v>786</v>
      </c>
      <c r="B618" s="17">
        <v>45919</v>
      </c>
      <c r="C618" s="16" t="s">
        <v>200</v>
      </c>
      <c r="D618" s="16" t="s">
        <v>201</v>
      </c>
      <c r="E618" s="16" t="s">
        <v>62</v>
      </c>
      <c r="F618" s="16" t="s">
        <v>63</v>
      </c>
      <c r="G618" s="16" t="s">
        <v>21</v>
      </c>
      <c r="H618" s="16" t="s">
        <v>64</v>
      </c>
      <c r="I618" s="16" t="s">
        <v>84</v>
      </c>
      <c r="J618" s="16" t="s">
        <v>142</v>
      </c>
      <c r="K618" s="18">
        <v>6730.38</v>
      </c>
      <c r="L618" s="18">
        <v>5443.83</v>
      </c>
      <c r="M618" s="19">
        <v>3</v>
      </c>
      <c r="N618" s="20">
        <v>0</v>
      </c>
      <c r="O618" s="19" t="s">
        <v>136</v>
      </c>
      <c r="P618" s="19" t="s">
        <v>58</v>
      </c>
      <c r="Q618" s="19" t="str">
        <f>TRIM(SalesData[[#This Row],[Customer_Name]])</f>
        <v>Karan Mehta</v>
      </c>
      <c r="R618" s="21">
        <f>SalesData[[#This Row],[Sales]]-SalesData[[#This Row],[Cost]]</f>
        <v>1286.5500000000002</v>
      </c>
      <c r="S618" s="22">
        <f>IFERROR(SalesData[[#This Row],[Profit]]/SalesData[[#This Row],[Sales]],0)</f>
        <v>0.19115562568532538</v>
      </c>
      <c r="T618" s="19">
        <f>YEAR(SalesData[[#This Row],[Order_Date]])</f>
        <v>2025</v>
      </c>
      <c r="U618" s="19" t="str">
        <f>TEXT(SalesData[[#This Row],[Order_Date]],"mmm")</f>
        <v>Sept</v>
      </c>
      <c r="V618" s="19" t="str">
        <f>"Q"&amp;ROUNDUP(MONTH(SalesData[[#This Row],[Order_Date]])/3,0)</f>
        <v>Q3</v>
      </c>
      <c r="W618" s="19" t="str">
        <f>IF(SalesData[[#This Row],[Sales]]&gt;=50000,"High",IF(AND(SalesData[[#This Row],[Sales]]&gt;= 20000, SalesData[[#This Row],[Sales]]&lt; 50000),"Medium","Low"))</f>
        <v>Low</v>
      </c>
      <c r="X618" s="19" t="str">
        <f>IF(SalesData[[#This Row],[Profit]]&gt;0,"Profit","Loss")</f>
        <v>Profit</v>
      </c>
      <c r="Y618" s="19" t="str">
        <f>IF(AND(SalesData[[#This Row],[Sales]]&gt;= 50000, SalesData[[#This Row],[Quantity]]&gt;=2),"Yes","No")</f>
        <v>No</v>
      </c>
      <c r="Z618" s="19" t="str">
        <f>UPPER(SalesData[[#This Row],[Customer_Name]])</f>
        <v>KARAN MEHTA</v>
      </c>
      <c r="AA618" s="19" t="str">
        <f>LOWER(SalesData[[#This Row],[Customer_Name]])</f>
        <v>karan mehta</v>
      </c>
      <c r="AB618" s="19">
        <f>LEN(SalesData[[#This Row],[Customer_Name]])</f>
        <v>11</v>
      </c>
      <c r="AC618" s="19" t="str">
        <f>LEFT(SalesData[[#This Row],[Order_ID]],3)</f>
        <v>ORD</v>
      </c>
      <c r="AD618" s="19" t="str">
        <f>RIGHT(SalesData[[#This Row],[Order_ID]],4)</f>
        <v>0633</v>
      </c>
      <c r="AE618" s="19" t="str">
        <f>_xlfn.CONCAT(SalesData[[#This Row],[Clean_Customer_Name]],"-",SalesData[[#This Row],[Region]])</f>
        <v>Karan Mehta-South</v>
      </c>
      <c r="AF618" s="19" t="str">
        <f>MID(SalesData[[#This Row],[Order_ID]],4,4)</f>
        <v>0633</v>
      </c>
      <c r="AG618" s="19" t="e">
        <f ca="1">_xlfn.SINGLE(_xlfn.XLOOKUP(SalesData[[#This Row],[Product]],Product_Master!A:A,Product_Master!B:B,"Not Found"))</f>
        <v>#NAME?</v>
      </c>
      <c r="AH618" s="19" t="str">
        <f>VLOOKUP(SalesData[[#This Row],[Product]],Product_Master!$A$1:$B$21,2,FALSE)</f>
        <v>Amit</v>
      </c>
      <c r="AI618" s="16"/>
    </row>
    <row r="619" spans="1:35" ht="13.8">
      <c r="A619" s="16" t="s">
        <v>795</v>
      </c>
      <c r="B619" s="17">
        <v>46020</v>
      </c>
      <c r="C619" s="16" t="s">
        <v>200</v>
      </c>
      <c r="D619" s="16" t="s">
        <v>201</v>
      </c>
      <c r="E619" s="16" t="s">
        <v>62</v>
      </c>
      <c r="F619" s="16" t="s">
        <v>63</v>
      </c>
      <c r="G619" s="16" t="s">
        <v>21</v>
      </c>
      <c r="H619" s="16" t="s">
        <v>64</v>
      </c>
      <c r="I619" s="16" t="s">
        <v>42</v>
      </c>
      <c r="J619" s="16" t="s">
        <v>162</v>
      </c>
      <c r="K619" s="18">
        <v>10114.48</v>
      </c>
      <c r="L619" s="18">
        <v>9606.15</v>
      </c>
      <c r="M619" s="19">
        <v>5</v>
      </c>
      <c r="N619" s="20">
        <v>0.2</v>
      </c>
      <c r="O619" s="19" t="s">
        <v>136</v>
      </c>
      <c r="P619" s="19" t="s">
        <v>77</v>
      </c>
      <c r="Q619" s="19" t="str">
        <f>TRIM(SalesData[[#This Row],[Customer_Name]])</f>
        <v>Karan Mehta</v>
      </c>
      <c r="R619" s="21">
        <f>SalesData[[#This Row],[Sales]]-SalesData[[#This Row],[Cost]]</f>
        <v>508.32999999999993</v>
      </c>
      <c r="S619" s="22">
        <f>IFERROR(SalesData[[#This Row],[Profit]]/SalesData[[#This Row],[Sales]],0)</f>
        <v>5.0257650418014561E-2</v>
      </c>
      <c r="T619" s="19">
        <f>YEAR(SalesData[[#This Row],[Order_Date]])</f>
        <v>2025</v>
      </c>
      <c r="U619" s="19" t="str">
        <f>TEXT(SalesData[[#This Row],[Order_Date]],"mmm")</f>
        <v>Dec</v>
      </c>
      <c r="V619" s="19" t="str">
        <f>"Q"&amp;ROUNDUP(MONTH(SalesData[[#This Row],[Order_Date]])/3,0)</f>
        <v>Q4</v>
      </c>
      <c r="W619" s="19" t="str">
        <f>IF(SalesData[[#This Row],[Sales]]&gt;=50000,"High",IF(AND(SalesData[[#This Row],[Sales]]&gt;= 20000, SalesData[[#This Row],[Sales]]&lt; 50000),"Medium","Low"))</f>
        <v>Low</v>
      </c>
      <c r="X619" s="19" t="str">
        <f>IF(SalesData[[#This Row],[Profit]]&gt;0,"Profit","Loss")</f>
        <v>Profit</v>
      </c>
      <c r="Y619" s="19" t="str">
        <f>IF(AND(SalesData[[#This Row],[Sales]]&gt;= 50000, SalesData[[#This Row],[Quantity]]&gt;=2),"Yes","No")</f>
        <v>No</v>
      </c>
      <c r="Z619" s="19" t="str">
        <f>UPPER(SalesData[[#This Row],[Customer_Name]])</f>
        <v>KARAN MEHTA</v>
      </c>
      <c r="AA619" s="19" t="str">
        <f>LOWER(SalesData[[#This Row],[Customer_Name]])</f>
        <v>karan mehta</v>
      </c>
      <c r="AB619" s="19">
        <f>LEN(SalesData[[#This Row],[Customer_Name]])</f>
        <v>11</v>
      </c>
      <c r="AC619" s="19" t="str">
        <f>LEFT(SalesData[[#This Row],[Order_ID]],3)</f>
        <v>ORD</v>
      </c>
      <c r="AD619" s="19" t="str">
        <f>RIGHT(SalesData[[#This Row],[Order_ID]],4)</f>
        <v>0642</v>
      </c>
      <c r="AE619" s="19" t="str">
        <f>_xlfn.CONCAT(SalesData[[#This Row],[Clean_Customer_Name]],"-",SalesData[[#This Row],[Region]])</f>
        <v>Karan Mehta-East</v>
      </c>
      <c r="AF619" s="19" t="str">
        <f>MID(SalesData[[#This Row],[Order_ID]],4,4)</f>
        <v>0642</v>
      </c>
      <c r="AG619" s="19" t="e">
        <f ca="1">_xlfn.SINGLE(_xlfn.XLOOKUP(SalesData[[#This Row],[Product]],Product_Master!A:A,Product_Master!B:B,"Not Found"))</f>
        <v>#NAME?</v>
      </c>
      <c r="AH619" s="19" t="str">
        <f>VLOOKUP(SalesData[[#This Row],[Product]],Product_Master!$A$1:$B$21,2,FALSE)</f>
        <v>Amit</v>
      </c>
      <c r="AI619" s="16"/>
    </row>
    <row r="620" spans="1:35" ht="13.8">
      <c r="A620" s="16" t="s">
        <v>826</v>
      </c>
      <c r="B620" s="17">
        <v>45355</v>
      </c>
      <c r="C620" s="16" t="s">
        <v>200</v>
      </c>
      <c r="D620" s="16" t="s">
        <v>201</v>
      </c>
      <c r="E620" s="16" t="s">
        <v>62</v>
      </c>
      <c r="F620" s="16" t="s">
        <v>63</v>
      </c>
      <c r="G620" s="16" t="s">
        <v>21</v>
      </c>
      <c r="H620" s="16" t="s">
        <v>64</v>
      </c>
      <c r="I620" s="16" t="s">
        <v>84</v>
      </c>
      <c r="J620" s="16" t="s">
        <v>142</v>
      </c>
      <c r="K620" s="18">
        <v>23334.77</v>
      </c>
      <c r="L620" s="18">
        <v>7039.56</v>
      </c>
      <c r="M620" s="19">
        <v>4</v>
      </c>
      <c r="N620" s="20">
        <v>0.1</v>
      </c>
      <c r="O620" s="19" t="s">
        <v>44</v>
      </c>
      <c r="P620" s="19" t="s">
        <v>58</v>
      </c>
      <c r="Q620" s="19" t="str">
        <f>TRIM(SalesData[[#This Row],[Customer_Name]])</f>
        <v>Karan Mehta</v>
      </c>
      <c r="R620" s="21">
        <f>SalesData[[#This Row],[Sales]]-SalesData[[#This Row],[Cost]]</f>
        <v>16295.21</v>
      </c>
      <c r="S620" s="22">
        <f>IFERROR(SalesData[[#This Row],[Profit]]/SalesData[[#This Row],[Sales]],0)</f>
        <v>0.69832314610343271</v>
      </c>
      <c r="T620" s="19">
        <f>YEAR(SalesData[[#This Row],[Order_Date]])</f>
        <v>2024</v>
      </c>
      <c r="U620" s="19" t="str">
        <f>TEXT(SalesData[[#This Row],[Order_Date]],"mmm")</f>
        <v>Mar</v>
      </c>
      <c r="V620" s="19" t="str">
        <f>"Q"&amp;ROUNDUP(MONTH(SalesData[[#This Row],[Order_Date]])/3,0)</f>
        <v>Q1</v>
      </c>
      <c r="W620" s="19" t="str">
        <f>IF(SalesData[[#This Row],[Sales]]&gt;=50000,"High",IF(AND(SalesData[[#This Row],[Sales]]&gt;= 20000, SalesData[[#This Row],[Sales]]&lt; 50000),"Medium","Low"))</f>
        <v>Medium</v>
      </c>
      <c r="X620" s="19" t="str">
        <f>IF(SalesData[[#This Row],[Profit]]&gt;0,"Profit","Loss")</f>
        <v>Profit</v>
      </c>
      <c r="Y620" s="19" t="str">
        <f>IF(AND(SalesData[[#This Row],[Sales]]&gt;= 50000, SalesData[[#This Row],[Quantity]]&gt;=2),"Yes","No")</f>
        <v>No</v>
      </c>
      <c r="Z620" s="19" t="str">
        <f>UPPER(SalesData[[#This Row],[Customer_Name]])</f>
        <v>KARAN MEHTA</v>
      </c>
      <c r="AA620" s="19" t="str">
        <f>LOWER(SalesData[[#This Row],[Customer_Name]])</f>
        <v>karan mehta</v>
      </c>
      <c r="AB620" s="19">
        <f>LEN(SalesData[[#This Row],[Customer_Name]])</f>
        <v>11</v>
      </c>
      <c r="AC620" s="19" t="str">
        <f>LEFT(SalesData[[#This Row],[Order_ID]],3)</f>
        <v>ORD</v>
      </c>
      <c r="AD620" s="19" t="str">
        <f>RIGHT(SalesData[[#This Row],[Order_ID]],4)</f>
        <v>0673</v>
      </c>
      <c r="AE620" s="19" t="str">
        <f>_xlfn.CONCAT(SalesData[[#This Row],[Clean_Customer_Name]],"-",SalesData[[#This Row],[Region]])</f>
        <v>Karan Mehta-South</v>
      </c>
      <c r="AF620" s="19" t="str">
        <f>MID(SalesData[[#This Row],[Order_ID]],4,4)</f>
        <v>0673</v>
      </c>
      <c r="AG620" s="19" t="e">
        <f ca="1">_xlfn.SINGLE(_xlfn.XLOOKUP(SalesData[[#This Row],[Product]],Product_Master!A:A,Product_Master!B:B,"Not Found"))</f>
        <v>#NAME?</v>
      </c>
      <c r="AH620" s="19" t="str">
        <f>VLOOKUP(SalesData[[#This Row],[Product]],Product_Master!$A$1:$B$21,2,FALSE)</f>
        <v>Amit</v>
      </c>
      <c r="AI620" s="16"/>
    </row>
    <row r="621" spans="1:35" ht="13.8">
      <c r="A621" s="16" t="s">
        <v>279</v>
      </c>
      <c r="B621" s="17">
        <v>45318</v>
      </c>
      <c r="C621" s="16" t="s">
        <v>200</v>
      </c>
      <c r="D621" s="16" t="s">
        <v>201</v>
      </c>
      <c r="E621" s="16" t="s">
        <v>19</v>
      </c>
      <c r="F621" s="16" t="s">
        <v>20</v>
      </c>
      <c r="G621" s="16" t="s">
        <v>21</v>
      </c>
      <c r="H621" s="16" t="s">
        <v>22</v>
      </c>
      <c r="I621" s="16" t="s">
        <v>42</v>
      </c>
      <c r="J621" s="16" t="s">
        <v>68</v>
      </c>
      <c r="K621" s="18">
        <v>14849.47</v>
      </c>
      <c r="L621" s="18">
        <v>5417.84</v>
      </c>
      <c r="M621" s="19">
        <v>2</v>
      </c>
      <c r="N621" s="20">
        <v>0.05</v>
      </c>
      <c r="O621" s="19" t="s">
        <v>34</v>
      </c>
      <c r="P621" s="19" t="s">
        <v>77</v>
      </c>
      <c r="Q621" s="19" t="str">
        <f>TRIM(SalesData[[#This Row],[Customer_Name]])</f>
        <v>Karan Mehta</v>
      </c>
      <c r="R621" s="21">
        <f>SalesData[[#This Row],[Sales]]-SalesData[[#This Row],[Cost]]</f>
        <v>9431.6299999999992</v>
      </c>
      <c r="S621" s="22">
        <f>IFERROR(SalesData[[#This Row],[Profit]]/SalesData[[#This Row],[Sales]],0)</f>
        <v>0.63514926795367099</v>
      </c>
      <c r="T621" s="19">
        <f>YEAR(SalesData[[#This Row],[Order_Date]])</f>
        <v>2024</v>
      </c>
      <c r="U621" s="19" t="str">
        <f>TEXT(SalesData[[#This Row],[Order_Date]],"mmm")</f>
        <v>Jan</v>
      </c>
      <c r="V621" s="19" t="str">
        <f>"Q"&amp;ROUNDUP(MONTH(SalesData[[#This Row],[Order_Date]])/3,0)</f>
        <v>Q1</v>
      </c>
      <c r="W621" s="19" t="str">
        <f>IF(SalesData[[#This Row],[Sales]]&gt;=50000,"High",IF(AND(SalesData[[#This Row],[Sales]]&gt;= 20000, SalesData[[#This Row],[Sales]]&lt; 50000),"Medium","Low"))</f>
        <v>Low</v>
      </c>
      <c r="X621" s="19" t="str">
        <f>IF(SalesData[[#This Row],[Profit]]&gt;0,"Profit","Loss")</f>
        <v>Profit</v>
      </c>
      <c r="Y621" s="19" t="str">
        <f>IF(AND(SalesData[[#This Row],[Sales]]&gt;= 50000, SalesData[[#This Row],[Quantity]]&gt;=2),"Yes","No")</f>
        <v>No</v>
      </c>
      <c r="Z621" s="19" t="str">
        <f>UPPER(SalesData[[#This Row],[Customer_Name]])</f>
        <v>KARAN MEHTA</v>
      </c>
      <c r="AA621" s="19" t="str">
        <f>LOWER(SalesData[[#This Row],[Customer_Name]])</f>
        <v>karan mehta</v>
      </c>
      <c r="AB621" s="19">
        <f>LEN(SalesData[[#This Row],[Customer_Name]])</f>
        <v>11</v>
      </c>
      <c r="AC621" s="19" t="str">
        <f>LEFT(SalesData[[#This Row],[Order_ID]],3)</f>
        <v>ORD</v>
      </c>
      <c r="AD621" s="19" t="str">
        <f>RIGHT(SalesData[[#This Row],[Order_ID]],4)</f>
        <v>0126</v>
      </c>
      <c r="AE621" s="19" t="str">
        <f>_xlfn.CONCAT(SalesData[[#This Row],[Clean_Customer_Name]],"-",SalesData[[#This Row],[Region]])</f>
        <v>Karan Mehta-East</v>
      </c>
      <c r="AF621" s="19" t="str">
        <f>MID(SalesData[[#This Row],[Order_ID]],4,4)</f>
        <v>0126</v>
      </c>
      <c r="AG621" s="19" t="e">
        <f ca="1">_xlfn.SINGLE(_xlfn.XLOOKUP(SalesData[[#This Row],[Product]],Product_Master!A:A,Product_Master!B:B,"Not Found"))</f>
        <v>#NAME?</v>
      </c>
      <c r="AH621" s="19" t="str">
        <f>VLOOKUP(SalesData[[#This Row],[Product]],Product_Master!$A$1:$B$21,2,FALSE)</f>
        <v>Neha</v>
      </c>
      <c r="AI621" s="16"/>
    </row>
    <row r="622" spans="1:35" ht="13.8">
      <c r="A622" s="16" t="s">
        <v>292</v>
      </c>
      <c r="B622" s="17">
        <v>45965</v>
      </c>
      <c r="C622" s="16" t="s">
        <v>200</v>
      </c>
      <c r="D622" s="16" t="s">
        <v>201</v>
      </c>
      <c r="E622" s="16" t="s">
        <v>152</v>
      </c>
      <c r="F622" s="16" t="s">
        <v>153</v>
      </c>
      <c r="G622" s="16" t="s">
        <v>21</v>
      </c>
      <c r="H622" s="16" t="s">
        <v>32</v>
      </c>
      <c r="I622" s="16" t="s">
        <v>42</v>
      </c>
      <c r="J622" s="16" t="s">
        <v>43</v>
      </c>
      <c r="K622" s="18">
        <v>56705.68</v>
      </c>
      <c r="L622" s="18">
        <v>29245.360000000001</v>
      </c>
      <c r="M622" s="19">
        <v>4</v>
      </c>
      <c r="N622" s="20">
        <v>0</v>
      </c>
      <c r="O622" s="19" t="s">
        <v>25</v>
      </c>
      <c r="P622" s="19" t="s">
        <v>58</v>
      </c>
      <c r="Q622" s="19" t="str">
        <f>TRIM(SalesData[[#This Row],[Customer_Name]])</f>
        <v>Karan Mehta</v>
      </c>
      <c r="R622" s="21">
        <f>SalesData[[#This Row],[Sales]]-SalesData[[#This Row],[Cost]]</f>
        <v>27460.32</v>
      </c>
      <c r="S622" s="22">
        <f>IFERROR(SalesData[[#This Row],[Profit]]/SalesData[[#This Row],[Sales]],0)</f>
        <v>0.48426048325317672</v>
      </c>
      <c r="T622" s="19">
        <f>YEAR(SalesData[[#This Row],[Order_Date]])</f>
        <v>2025</v>
      </c>
      <c r="U622" s="19" t="str">
        <f>TEXT(SalesData[[#This Row],[Order_Date]],"mmm")</f>
        <v>Nov</v>
      </c>
      <c r="V622" s="19" t="str">
        <f>"Q"&amp;ROUNDUP(MONTH(SalesData[[#This Row],[Order_Date]])/3,0)</f>
        <v>Q4</v>
      </c>
      <c r="W622" s="19" t="str">
        <f>IF(SalesData[[#This Row],[Sales]]&gt;=50000,"High",IF(AND(SalesData[[#This Row],[Sales]]&gt;= 20000, SalesData[[#This Row],[Sales]]&lt; 50000),"Medium","Low"))</f>
        <v>High</v>
      </c>
      <c r="X622" s="19" t="str">
        <f>IF(SalesData[[#This Row],[Profit]]&gt;0,"Profit","Loss")</f>
        <v>Profit</v>
      </c>
      <c r="Y622" s="19" t="str">
        <f>IF(AND(SalesData[[#This Row],[Sales]]&gt;= 50000, SalesData[[#This Row],[Quantity]]&gt;=2),"Yes","No")</f>
        <v>Yes</v>
      </c>
      <c r="Z622" s="19" t="str">
        <f>UPPER(SalesData[[#This Row],[Customer_Name]])</f>
        <v>KARAN MEHTA</v>
      </c>
      <c r="AA622" s="19" t="str">
        <f>LOWER(SalesData[[#This Row],[Customer_Name]])</f>
        <v>karan mehta</v>
      </c>
      <c r="AB622" s="19">
        <f>LEN(SalesData[[#This Row],[Customer_Name]])</f>
        <v>11</v>
      </c>
      <c r="AC622" s="19" t="str">
        <f>LEFT(SalesData[[#This Row],[Order_ID]],3)</f>
        <v>ORD</v>
      </c>
      <c r="AD622" s="19" t="str">
        <f>RIGHT(SalesData[[#This Row],[Order_ID]],4)</f>
        <v>0139</v>
      </c>
      <c r="AE622" s="19" t="str">
        <f>_xlfn.CONCAT(SalesData[[#This Row],[Clean_Customer_Name]],"-",SalesData[[#This Row],[Region]])</f>
        <v>Karan Mehta-East</v>
      </c>
      <c r="AF622" s="19" t="str">
        <f>MID(SalesData[[#This Row],[Order_ID]],4,4)</f>
        <v>0139</v>
      </c>
      <c r="AG622" s="19" t="e">
        <f ca="1">_xlfn.SINGLE(_xlfn.XLOOKUP(SalesData[[#This Row],[Product]],Product_Master!A:A,Product_Master!B:B,"Not Found"))</f>
        <v>#NAME?</v>
      </c>
      <c r="AH622" s="19" t="str">
        <f>VLOOKUP(SalesData[[#This Row],[Product]],Product_Master!$A$1:$B$21,2,FALSE)</f>
        <v>Simran</v>
      </c>
      <c r="AI622" s="16"/>
    </row>
    <row r="623" spans="1:35" ht="13.8">
      <c r="A623" s="16" t="s">
        <v>511</v>
      </c>
      <c r="B623" s="17">
        <v>45898</v>
      </c>
      <c r="C623" s="16" t="s">
        <v>200</v>
      </c>
      <c r="D623" s="16" t="s">
        <v>201</v>
      </c>
      <c r="E623" s="16" t="s">
        <v>117</v>
      </c>
      <c r="F623" s="16" t="s">
        <v>118</v>
      </c>
      <c r="G623" s="16" t="s">
        <v>51</v>
      </c>
      <c r="H623" s="16" t="s">
        <v>119</v>
      </c>
      <c r="I623" s="16" t="s">
        <v>84</v>
      </c>
      <c r="J623" s="16" t="s">
        <v>85</v>
      </c>
      <c r="K623" s="18">
        <v>22074.84</v>
      </c>
      <c r="L623" s="18">
        <v>14326.77</v>
      </c>
      <c r="M623" s="19">
        <v>3</v>
      </c>
      <c r="N623" s="20">
        <v>0.2</v>
      </c>
      <c r="O623" s="19" t="s">
        <v>25</v>
      </c>
      <c r="P623" s="19" t="s">
        <v>77</v>
      </c>
      <c r="Q623" s="19" t="str">
        <f>TRIM(SalesData[[#This Row],[Customer_Name]])</f>
        <v>Karan Mehta</v>
      </c>
      <c r="R623" s="21">
        <f>SalesData[[#This Row],[Sales]]-SalesData[[#This Row],[Cost]]</f>
        <v>7748.07</v>
      </c>
      <c r="S623" s="22">
        <f>IFERROR(SalesData[[#This Row],[Profit]]/SalesData[[#This Row],[Sales]],0)</f>
        <v>0.3509909924601945</v>
      </c>
      <c r="T623" s="19">
        <f>YEAR(SalesData[[#This Row],[Order_Date]])</f>
        <v>2025</v>
      </c>
      <c r="U623" s="19" t="str">
        <f>TEXT(SalesData[[#This Row],[Order_Date]],"mmm")</f>
        <v>Aug</v>
      </c>
      <c r="V623" s="19" t="str">
        <f>"Q"&amp;ROUNDUP(MONTH(SalesData[[#This Row],[Order_Date]])/3,0)</f>
        <v>Q3</v>
      </c>
      <c r="W623" s="19" t="str">
        <f>IF(SalesData[[#This Row],[Sales]]&gt;=50000,"High",IF(AND(SalesData[[#This Row],[Sales]]&gt;= 20000, SalesData[[#This Row],[Sales]]&lt; 50000),"Medium","Low"))</f>
        <v>Medium</v>
      </c>
      <c r="X623" s="19" t="str">
        <f>IF(SalesData[[#This Row],[Profit]]&gt;0,"Profit","Loss")</f>
        <v>Profit</v>
      </c>
      <c r="Y623" s="19" t="str">
        <f>IF(AND(SalesData[[#This Row],[Sales]]&gt;= 50000, SalesData[[#This Row],[Quantity]]&gt;=2),"Yes","No")</f>
        <v>No</v>
      </c>
      <c r="Z623" s="19" t="str">
        <f>UPPER(SalesData[[#This Row],[Customer_Name]])</f>
        <v>KARAN MEHTA</v>
      </c>
      <c r="AA623" s="19" t="str">
        <f>LOWER(SalesData[[#This Row],[Customer_Name]])</f>
        <v>karan mehta</v>
      </c>
      <c r="AB623" s="19">
        <f>LEN(SalesData[[#This Row],[Customer_Name]])</f>
        <v>11</v>
      </c>
      <c r="AC623" s="19" t="str">
        <f>LEFT(SalesData[[#This Row],[Order_ID]],3)</f>
        <v>ORD</v>
      </c>
      <c r="AD623" s="19" t="str">
        <f>RIGHT(SalesData[[#This Row],[Order_ID]],4)</f>
        <v>0358</v>
      </c>
      <c r="AE623" s="19" t="str">
        <f>_xlfn.CONCAT(SalesData[[#This Row],[Clean_Customer_Name]],"-",SalesData[[#This Row],[Region]])</f>
        <v>Karan Mehta-South</v>
      </c>
      <c r="AF623" s="19" t="str">
        <f>MID(SalesData[[#This Row],[Order_ID]],4,4)</f>
        <v>0358</v>
      </c>
      <c r="AG623" s="19" t="e">
        <f ca="1">_xlfn.SINGLE(_xlfn.XLOOKUP(SalesData[[#This Row],[Product]],Product_Master!A:A,Product_Master!B:B,"Not Found"))</f>
        <v>#NAME?</v>
      </c>
      <c r="AH623" s="19" t="str">
        <f>VLOOKUP(SalesData[[#This Row],[Product]],Product_Master!$A$1:$B$21,2,FALSE)</f>
        <v>Karan</v>
      </c>
      <c r="AI623" s="16"/>
    </row>
    <row r="624" spans="1:35" ht="13.8">
      <c r="A624" s="16" t="s">
        <v>268</v>
      </c>
      <c r="B624" s="17">
        <v>45844</v>
      </c>
      <c r="C624" s="16" t="s">
        <v>200</v>
      </c>
      <c r="D624" s="16" t="s">
        <v>201</v>
      </c>
      <c r="E624" s="16" t="s">
        <v>49</v>
      </c>
      <c r="F624" s="16" t="s">
        <v>50</v>
      </c>
      <c r="G624" s="16" t="s">
        <v>51</v>
      </c>
      <c r="H624" s="16" t="s">
        <v>52</v>
      </c>
      <c r="I624" s="16" t="s">
        <v>23</v>
      </c>
      <c r="J624" s="16" t="s">
        <v>75</v>
      </c>
      <c r="K624" s="18">
        <v>48794.94</v>
      </c>
      <c r="L624" s="18">
        <v>21129.57</v>
      </c>
      <c r="M624" s="19">
        <v>3</v>
      </c>
      <c r="N624" s="20">
        <v>0.05</v>
      </c>
      <c r="O624" s="19" t="s">
        <v>44</v>
      </c>
      <c r="P624" s="19" t="s">
        <v>98</v>
      </c>
      <c r="Q624" s="19" t="str">
        <f>TRIM(SalesData[[#This Row],[Customer_Name]])</f>
        <v>Karan Mehta</v>
      </c>
      <c r="R624" s="21">
        <f>SalesData[[#This Row],[Sales]]-SalesData[[#This Row],[Cost]]</f>
        <v>27665.370000000003</v>
      </c>
      <c r="S624" s="22">
        <f>IFERROR(SalesData[[#This Row],[Profit]]/SalesData[[#This Row],[Sales]],0)</f>
        <v>0.56697210817351151</v>
      </c>
      <c r="T624" s="19">
        <f>YEAR(SalesData[[#This Row],[Order_Date]])</f>
        <v>2025</v>
      </c>
      <c r="U624" s="19" t="str">
        <f>TEXT(SalesData[[#This Row],[Order_Date]],"mmm")</f>
        <v>Jul</v>
      </c>
      <c r="V624" s="19" t="str">
        <f>"Q"&amp;ROUNDUP(MONTH(SalesData[[#This Row],[Order_Date]])/3,0)</f>
        <v>Q3</v>
      </c>
      <c r="W624" s="19" t="str">
        <f>IF(SalesData[[#This Row],[Sales]]&gt;=50000,"High",IF(AND(SalesData[[#This Row],[Sales]]&gt;= 20000, SalesData[[#This Row],[Sales]]&lt; 50000),"Medium","Low"))</f>
        <v>Medium</v>
      </c>
      <c r="X624" s="19" t="str">
        <f>IF(SalesData[[#This Row],[Profit]]&gt;0,"Profit","Loss")</f>
        <v>Profit</v>
      </c>
      <c r="Y624" s="19" t="str">
        <f>IF(AND(SalesData[[#This Row],[Sales]]&gt;= 50000, SalesData[[#This Row],[Quantity]]&gt;=2),"Yes","No")</f>
        <v>No</v>
      </c>
      <c r="Z624" s="19" t="str">
        <f>UPPER(SalesData[[#This Row],[Customer_Name]])</f>
        <v>KARAN MEHTA</v>
      </c>
      <c r="AA624" s="19" t="str">
        <f>LOWER(SalesData[[#This Row],[Customer_Name]])</f>
        <v>karan mehta</v>
      </c>
      <c r="AB624" s="19">
        <f>LEN(SalesData[[#This Row],[Customer_Name]])</f>
        <v>11</v>
      </c>
      <c r="AC624" s="19" t="str">
        <f>LEFT(SalesData[[#This Row],[Order_ID]],3)</f>
        <v>ORD</v>
      </c>
      <c r="AD624" s="19" t="str">
        <f>RIGHT(SalesData[[#This Row],[Order_ID]],4)</f>
        <v>0115</v>
      </c>
      <c r="AE624" s="19" t="str">
        <f>_xlfn.CONCAT(SalesData[[#This Row],[Clean_Customer_Name]],"-",SalesData[[#This Row],[Region]])</f>
        <v>Karan Mehta-North</v>
      </c>
      <c r="AF624" s="19" t="str">
        <f>MID(SalesData[[#This Row],[Order_ID]],4,4)</f>
        <v>0115</v>
      </c>
      <c r="AG624" s="19" t="e">
        <f ca="1">_xlfn.SINGLE(_xlfn.XLOOKUP(SalesData[[#This Row],[Product]],Product_Master!A:A,Product_Master!B:B,"Not Found"))</f>
        <v>#NAME?</v>
      </c>
      <c r="AH624" s="19" t="str">
        <f>VLOOKUP(SalesData[[#This Row],[Product]],Product_Master!$A$1:$B$21,2,FALSE)</f>
        <v>Rohan</v>
      </c>
      <c r="AI624" s="16"/>
    </row>
    <row r="625" spans="1:35" ht="13.8">
      <c r="A625" s="16" t="s">
        <v>544</v>
      </c>
      <c r="B625" s="17">
        <v>45497</v>
      </c>
      <c r="C625" s="16" t="s">
        <v>200</v>
      </c>
      <c r="D625" s="16" t="s">
        <v>201</v>
      </c>
      <c r="E625" s="16" t="s">
        <v>49</v>
      </c>
      <c r="F625" s="16" t="s">
        <v>50</v>
      </c>
      <c r="G625" s="16" t="s">
        <v>51</v>
      </c>
      <c r="H625" s="16" t="s">
        <v>52</v>
      </c>
      <c r="I625" s="16" t="s">
        <v>53</v>
      </c>
      <c r="J625" s="16" t="s">
        <v>102</v>
      </c>
      <c r="K625" s="18">
        <v>11229.77</v>
      </c>
      <c r="L625" s="18">
        <v>6649.29</v>
      </c>
      <c r="M625" s="19">
        <v>1</v>
      </c>
      <c r="N625" s="20">
        <v>0.1</v>
      </c>
      <c r="O625" s="19" t="s">
        <v>76</v>
      </c>
      <c r="P625" s="19" t="s">
        <v>45</v>
      </c>
      <c r="Q625" s="19" t="str">
        <f>TRIM(SalesData[[#This Row],[Customer_Name]])</f>
        <v>Karan Mehta</v>
      </c>
      <c r="R625" s="21">
        <f>SalesData[[#This Row],[Sales]]-SalesData[[#This Row],[Cost]]</f>
        <v>4580.4800000000005</v>
      </c>
      <c r="S625" s="22">
        <f>IFERROR(SalesData[[#This Row],[Profit]]/SalesData[[#This Row],[Sales]],0)</f>
        <v>0.40788724969433926</v>
      </c>
      <c r="T625" s="19">
        <f>YEAR(SalesData[[#This Row],[Order_Date]])</f>
        <v>2024</v>
      </c>
      <c r="U625" s="19" t="str">
        <f>TEXT(SalesData[[#This Row],[Order_Date]],"mmm")</f>
        <v>Jul</v>
      </c>
      <c r="V625" s="19" t="str">
        <f>"Q"&amp;ROUNDUP(MONTH(SalesData[[#This Row],[Order_Date]])/3,0)</f>
        <v>Q3</v>
      </c>
      <c r="W625" s="19" t="str">
        <f>IF(SalesData[[#This Row],[Sales]]&gt;=50000,"High",IF(AND(SalesData[[#This Row],[Sales]]&gt;= 20000, SalesData[[#This Row],[Sales]]&lt; 50000),"Medium","Low"))</f>
        <v>Low</v>
      </c>
      <c r="X625" s="19" t="str">
        <f>IF(SalesData[[#This Row],[Profit]]&gt;0,"Profit","Loss")</f>
        <v>Profit</v>
      </c>
      <c r="Y625" s="19" t="str">
        <f>IF(AND(SalesData[[#This Row],[Sales]]&gt;= 50000, SalesData[[#This Row],[Quantity]]&gt;=2),"Yes","No")</f>
        <v>No</v>
      </c>
      <c r="Z625" s="19" t="str">
        <f>UPPER(SalesData[[#This Row],[Customer_Name]])</f>
        <v>KARAN MEHTA</v>
      </c>
      <c r="AA625" s="19" t="str">
        <f>LOWER(SalesData[[#This Row],[Customer_Name]])</f>
        <v>karan mehta</v>
      </c>
      <c r="AB625" s="19">
        <f>LEN(SalesData[[#This Row],[Customer_Name]])</f>
        <v>11</v>
      </c>
      <c r="AC625" s="19" t="str">
        <f>LEFT(SalesData[[#This Row],[Order_ID]],3)</f>
        <v>ORD</v>
      </c>
      <c r="AD625" s="19" t="str">
        <f>RIGHT(SalesData[[#This Row],[Order_ID]],4)</f>
        <v>0391</v>
      </c>
      <c r="AE625" s="19" t="str">
        <f>_xlfn.CONCAT(SalesData[[#This Row],[Clean_Customer_Name]],"-",SalesData[[#This Row],[Region]])</f>
        <v>Karan Mehta-Central</v>
      </c>
      <c r="AF625" s="19" t="str">
        <f>MID(SalesData[[#This Row],[Order_ID]],4,4)</f>
        <v>0391</v>
      </c>
      <c r="AG625" s="19" t="e">
        <f ca="1">_xlfn.SINGLE(_xlfn.XLOOKUP(SalesData[[#This Row],[Product]],Product_Master!A:A,Product_Master!B:B,"Not Found"))</f>
        <v>#NAME?</v>
      </c>
      <c r="AH625" s="19" t="str">
        <f>VLOOKUP(SalesData[[#This Row],[Product]],Product_Master!$A$1:$B$21,2,FALSE)</f>
        <v>Rohan</v>
      </c>
      <c r="AI625" s="16"/>
    </row>
    <row r="626" spans="1:35" ht="13.8">
      <c r="A626" s="16" t="s">
        <v>738</v>
      </c>
      <c r="B626" s="17">
        <v>45760</v>
      </c>
      <c r="C626" s="16" t="s">
        <v>200</v>
      </c>
      <c r="D626" s="16" t="s">
        <v>201</v>
      </c>
      <c r="E626" s="16" t="s">
        <v>49</v>
      </c>
      <c r="F626" s="16" t="s">
        <v>50</v>
      </c>
      <c r="G626" s="16" t="s">
        <v>51</v>
      </c>
      <c r="H626" s="16" t="s">
        <v>52</v>
      </c>
      <c r="I626" s="16" t="s">
        <v>56</v>
      </c>
      <c r="J626" s="16" t="s">
        <v>57</v>
      </c>
      <c r="K626" s="18">
        <v>38277.019999999997</v>
      </c>
      <c r="L626" s="18">
        <v>37984.449999999997</v>
      </c>
      <c r="M626" s="19">
        <v>5</v>
      </c>
      <c r="N626" s="20">
        <v>0.05</v>
      </c>
      <c r="O626" s="19" t="s">
        <v>34</v>
      </c>
      <c r="P626" s="19" t="s">
        <v>45</v>
      </c>
      <c r="Q626" s="19" t="str">
        <f>TRIM(SalesData[[#This Row],[Customer_Name]])</f>
        <v>Karan Mehta</v>
      </c>
      <c r="R626" s="21">
        <f>SalesData[[#This Row],[Sales]]-SalesData[[#This Row],[Cost]]</f>
        <v>292.56999999999971</v>
      </c>
      <c r="S626" s="22">
        <f>IFERROR(SalesData[[#This Row],[Profit]]/SalesData[[#This Row],[Sales]],0)</f>
        <v>7.6434894879486371E-3</v>
      </c>
      <c r="T626" s="19">
        <f>YEAR(SalesData[[#This Row],[Order_Date]])</f>
        <v>2025</v>
      </c>
      <c r="U626" s="19" t="str">
        <f>TEXT(SalesData[[#This Row],[Order_Date]],"mmm")</f>
        <v>Apr</v>
      </c>
      <c r="V626" s="19" t="str">
        <f>"Q"&amp;ROUNDUP(MONTH(SalesData[[#This Row],[Order_Date]])/3,0)</f>
        <v>Q2</v>
      </c>
      <c r="W626" s="19" t="str">
        <f>IF(SalesData[[#This Row],[Sales]]&gt;=50000,"High",IF(AND(SalesData[[#This Row],[Sales]]&gt;= 20000, SalesData[[#This Row],[Sales]]&lt; 50000),"Medium","Low"))</f>
        <v>Medium</v>
      </c>
      <c r="X626" s="19" t="str">
        <f>IF(SalesData[[#This Row],[Profit]]&gt;0,"Profit","Loss")</f>
        <v>Profit</v>
      </c>
      <c r="Y626" s="19" t="str">
        <f>IF(AND(SalesData[[#This Row],[Sales]]&gt;= 50000, SalesData[[#This Row],[Quantity]]&gt;=2),"Yes","No")</f>
        <v>No</v>
      </c>
      <c r="Z626" s="19" t="str">
        <f>UPPER(SalesData[[#This Row],[Customer_Name]])</f>
        <v>KARAN MEHTA</v>
      </c>
      <c r="AA626" s="19" t="str">
        <f>LOWER(SalesData[[#This Row],[Customer_Name]])</f>
        <v>karan mehta</v>
      </c>
      <c r="AB626" s="19">
        <f>LEN(SalesData[[#This Row],[Customer_Name]])</f>
        <v>11</v>
      </c>
      <c r="AC626" s="19" t="str">
        <f>LEFT(SalesData[[#This Row],[Order_ID]],3)</f>
        <v>ORD</v>
      </c>
      <c r="AD626" s="19" t="str">
        <f>RIGHT(SalesData[[#This Row],[Order_ID]],4)</f>
        <v>0585</v>
      </c>
      <c r="AE626" s="19" t="str">
        <f>_xlfn.CONCAT(SalesData[[#This Row],[Clean_Customer_Name]],"-",SalesData[[#This Row],[Region]])</f>
        <v>Karan Mehta-West</v>
      </c>
      <c r="AF626" s="19" t="str">
        <f>MID(SalesData[[#This Row],[Order_ID]],4,4)</f>
        <v>0585</v>
      </c>
      <c r="AG626" s="19" t="e">
        <f ca="1">_xlfn.SINGLE(_xlfn.XLOOKUP(SalesData[[#This Row],[Product]],Product_Master!A:A,Product_Master!B:B,"Not Found"))</f>
        <v>#NAME?</v>
      </c>
      <c r="AH626" s="19" t="str">
        <f>VLOOKUP(SalesData[[#This Row],[Product]],Product_Master!$A$1:$B$21,2,FALSE)</f>
        <v>Rohan</v>
      </c>
      <c r="AI626" s="16"/>
    </row>
    <row r="627" spans="1:35" ht="13.8">
      <c r="A627" s="16" t="s">
        <v>1092</v>
      </c>
      <c r="B627" s="17">
        <v>45687</v>
      </c>
      <c r="C627" s="16" t="s">
        <v>200</v>
      </c>
      <c r="D627" s="16" t="s">
        <v>201</v>
      </c>
      <c r="E627" s="16" t="s">
        <v>49</v>
      </c>
      <c r="F627" s="16" t="s">
        <v>50</v>
      </c>
      <c r="G627" s="16" t="s">
        <v>51</v>
      </c>
      <c r="H627" s="16" t="s">
        <v>52</v>
      </c>
      <c r="I627" s="16" t="s">
        <v>23</v>
      </c>
      <c r="J627" s="16" t="s">
        <v>33</v>
      </c>
      <c r="K627" s="18">
        <v>25914.31</v>
      </c>
      <c r="L627" s="18">
        <v>19764.75</v>
      </c>
      <c r="M627" s="19">
        <v>3</v>
      </c>
      <c r="N627" s="20">
        <v>0.2</v>
      </c>
      <c r="O627" s="19" t="s">
        <v>25</v>
      </c>
      <c r="P627" s="19" t="s">
        <v>98</v>
      </c>
      <c r="Q627" s="19" t="str">
        <f>TRIM(SalesData[[#This Row],[Customer_Name]])</f>
        <v>Karan Mehta</v>
      </c>
      <c r="R627" s="21">
        <f>SalesData[[#This Row],[Sales]]-SalesData[[#This Row],[Cost]]</f>
        <v>6149.5600000000013</v>
      </c>
      <c r="S627" s="22">
        <f>IFERROR(SalesData[[#This Row],[Profit]]/SalesData[[#This Row],[Sales]],0)</f>
        <v>0.23730363648501546</v>
      </c>
      <c r="T627" s="19">
        <f>YEAR(SalesData[[#This Row],[Order_Date]])</f>
        <v>2025</v>
      </c>
      <c r="U627" s="19" t="str">
        <f>TEXT(SalesData[[#This Row],[Order_Date]],"mmm")</f>
        <v>Jan</v>
      </c>
      <c r="V627" s="19" t="str">
        <f>"Q"&amp;ROUNDUP(MONTH(SalesData[[#This Row],[Order_Date]])/3,0)</f>
        <v>Q1</v>
      </c>
      <c r="W627" s="19" t="str">
        <f>IF(SalesData[[#This Row],[Sales]]&gt;=50000,"High",IF(AND(SalesData[[#This Row],[Sales]]&gt;= 20000, SalesData[[#This Row],[Sales]]&lt; 50000),"Medium","Low"))</f>
        <v>Medium</v>
      </c>
      <c r="X627" s="19" t="str">
        <f>IF(SalesData[[#This Row],[Profit]]&gt;0,"Profit","Loss")</f>
        <v>Profit</v>
      </c>
      <c r="Y627" s="19" t="str">
        <f>IF(AND(SalesData[[#This Row],[Sales]]&gt;= 50000, SalesData[[#This Row],[Quantity]]&gt;=2),"Yes","No")</f>
        <v>No</v>
      </c>
      <c r="Z627" s="19" t="str">
        <f>UPPER(SalesData[[#This Row],[Customer_Name]])</f>
        <v>KARAN MEHTA</v>
      </c>
      <c r="AA627" s="19" t="str">
        <f>LOWER(SalesData[[#This Row],[Customer_Name]])</f>
        <v>karan mehta</v>
      </c>
      <c r="AB627" s="19">
        <f>LEN(SalesData[[#This Row],[Customer_Name]])</f>
        <v>11</v>
      </c>
      <c r="AC627" s="19" t="str">
        <f>LEFT(SalesData[[#This Row],[Order_ID]],3)</f>
        <v>ORD</v>
      </c>
      <c r="AD627" s="19" t="str">
        <f>RIGHT(SalesData[[#This Row],[Order_ID]],4)</f>
        <v>0939</v>
      </c>
      <c r="AE627" s="19" t="str">
        <f>_xlfn.CONCAT(SalesData[[#This Row],[Clean_Customer_Name]],"-",SalesData[[#This Row],[Region]])</f>
        <v>Karan Mehta-North</v>
      </c>
      <c r="AF627" s="19" t="str">
        <f>MID(SalesData[[#This Row],[Order_ID]],4,4)</f>
        <v>0939</v>
      </c>
      <c r="AG627" s="19" t="e">
        <f ca="1">_xlfn.SINGLE(_xlfn.XLOOKUP(SalesData[[#This Row],[Product]],Product_Master!A:A,Product_Master!B:B,"Not Found"))</f>
        <v>#NAME?</v>
      </c>
      <c r="AH627" s="19" t="str">
        <f>VLOOKUP(SalesData[[#This Row],[Product]],Product_Master!$A$1:$B$21,2,FALSE)</f>
        <v>Rohan</v>
      </c>
      <c r="AI627" s="16"/>
    </row>
    <row r="628" spans="1:35" ht="13.8">
      <c r="A628" s="16" t="s">
        <v>489</v>
      </c>
      <c r="B628" s="17">
        <v>45820</v>
      </c>
      <c r="C628" s="16" t="s">
        <v>200</v>
      </c>
      <c r="D628" s="16" t="s">
        <v>201</v>
      </c>
      <c r="E628" s="16" t="s">
        <v>72</v>
      </c>
      <c r="F628" s="16" t="s">
        <v>73</v>
      </c>
      <c r="G628" s="16" t="s">
        <v>51</v>
      </c>
      <c r="H628" s="16" t="s">
        <v>74</v>
      </c>
      <c r="I628" s="16" t="s">
        <v>53</v>
      </c>
      <c r="J628" s="16" t="s">
        <v>54</v>
      </c>
      <c r="K628" s="18">
        <v>4131.3999999999996</v>
      </c>
      <c r="L628" s="18">
        <v>4363.26</v>
      </c>
      <c r="M628" s="19">
        <v>1</v>
      </c>
      <c r="N628" s="20">
        <v>0.15</v>
      </c>
      <c r="O628" s="19" t="s">
        <v>44</v>
      </c>
      <c r="P628" s="19" t="s">
        <v>45</v>
      </c>
      <c r="Q628" s="19" t="str">
        <f>TRIM(SalesData[[#This Row],[Customer_Name]])</f>
        <v>Karan Mehta</v>
      </c>
      <c r="R628" s="21">
        <f>SalesData[[#This Row],[Sales]]-SalesData[[#This Row],[Cost]]</f>
        <v>-231.86000000000058</v>
      </c>
      <c r="S628" s="22">
        <f>IFERROR(SalesData[[#This Row],[Profit]]/SalesData[[#This Row],[Sales]],0)</f>
        <v>-5.6121411628019702E-2</v>
      </c>
      <c r="T628" s="19">
        <f>YEAR(SalesData[[#This Row],[Order_Date]])</f>
        <v>2025</v>
      </c>
      <c r="U628" s="19" t="str">
        <f>TEXT(SalesData[[#This Row],[Order_Date]],"mmm")</f>
        <v>Jun</v>
      </c>
      <c r="V628" s="19" t="str">
        <f>"Q"&amp;ROUNDUP(MONTH(SalesData[[#This Row],[Order_Date]])/3,0)</f>
        <v>Q2</v>
      </c>
      <c r="W628" s="19" t="str">
        <f>IF(SalesData[[#This Row],[Sales]]&gt;=50000,"High",IF(AND(SalesData[[#This Row],[Sales]]&gt;= 20000, SalesData[[#This Row],[Sales]]&lt; 50000),"Medium","Low"))</f>
        <v>Low</v>
      </c>
      <c r="X628" s="19" t="str">
        <f>IF(SalesData[[#This Row],[Profit]]&gt;0,"Profit","Loss")</f>
        <v>Loss</v>
      </c>
      <c r="Y628" s="19" t="str">
        <f>IF(AND(SalesData[[#This Row],[Sales]]&gt;= 50000, SalesData[[#This Row],[Quantity]]&gt;=2),"Yes","No")</f>
        <v>No</v>
      </c>
      <c r="Z628" s="19" t="str">
        <f>UPPER(SalesData[[#This Row],[Customer_Name]])</f>
        <v>KARAN MEHTA</v>
      </c>
      <c r="AA628" s="19" t="str">
        <f>LOWER(SalesData[[#This Row],[Customer_Name]])</f>
        <v>karan mehta</v>
      </c>
      <c r="AB628" s="19">
        <f>LEN(SalesData[[#This Row],[Customer_Name]])</f>
        <v>11</v>
      </c>
      <c r="AC628" s="19" t="str">
        <f>LEFT(SalesData[[#This Row],[Order_ID]],3)</f>
        <v>ORD</v>
      </c>
      <c r="AD628" s="19" t="str">
        <f>RIGHT(SalesData[[#This Row],[Order_ID]],4)</f>
        <v>0336</v>
      </c>
      <c r="AE628" s="19" t="str">
        <f>_xlfn.CONCAT(SalesData[[#This Row],[Clean_Customer_Name]],"-",SalesData[[#This Row],[Region]])</f>
        <v>Karan Mehta-Central</v>
      </c>
      <c r="AF628" s="19" t="str">
        <f>MID(SalesData[[#This Row],[Order_ID]],4,4)</f>
        <v>0336</v>
      </c>
      <c r="AG628" s="19" t="e">
        <f ca="1">_xlfn.SINGLE(_xlfn.XLOOKUP(SalesData[[#This Row],[Product]],Product_Master!A:A,Product_Master!B:B,"Not Found"))</f>
        <v>#NAME?</v>
      </c>
      <c r="AH628" s="19" t="str">
        <f>VLOOKUP(SalesData[[#This Row],[Product]],Product_Master!$A$1:$B$21,2,FALSE)</f>
        <v>Anjali</v>
      </c>
      <c r="AI628" s="16"/>
    </row>
    <row r="629" spans="1:35" ht="13.8">
      <c r="A629" s="16" t="s">
        <v>640</v>
      </c>
      <c r="B629" s="17">
        <v>45712</v>
      </c>
      <c r="C629" s="16" t="s">
        <v>200</v>
      </c>
      <c r="D629" s="16" t="s">
        <v>201</v>
      </c>
      <c r="E629" s="16" t="s">
        <v>72</v>
      </c>
      <c r="F629" s="16" t="s">
        <v>73</v>
      </c>
      <c r="G629" s="16" t="s">
        <v>51</v>
      </c>
      <c r="H629" s="16" t="s">
        <v>74</v>
      </c>
      <c r="I629" s="16" t="s">
        <v>53</v>
      </c>
      <c r="J629" s="16" t="s">
        <v>102</v>
      </c>
      <c r="K629" s="18">
        <v>36557</v>
      </c>
      <c r="L629" s="18">
        <v>18570.849999999999</v>
      </c>
      <c r="M629" s="19">
        <v>5</v>
      </c>
      <c r="N629" s="20">
        <v>0.05</v>
      </c>
      <c r="O629" s="19" t="s">
        <v>34</v>
      </c>
      <c r="P629" s="19" t="s">
        <v>45</v>
      </c>
      <c r="Q629" s="19" t="str">
        <f>TRIM(SalesData[[#This Row],[Customer_Name]])</f>
        <v>Karan Mehta</v>
      </c>
      <c r="R629" s="21">
        <f>SalesData[[#This Row],[Sales]]-SalesData[[#This Row],[Cost]]</f>
        <v>17986.150000000001</v>
      </c>
      <c r="S629" s="22">
        <f>IFERROR(SalesData[[#This Row],[Profit]]/SalesData[[#This Row],[Sales]],0)</f>
        <v>0.49200289958147553</v>
      </c>
      <c r="T629" s="19">
        <f>YEAR(SalesData[[#This Row],[Order_Date]])</f>
        <v>2025</v>
      </c>
      <c r="U629" s="19" t="str">
        <f>TEXT(SalesData[[#This Row],[Order_Date]],"mmm")</f>
        <v>Feb</v>
      </c>
      <c r="V629" s="19" t="str">
        <f>"Q"&amp;ROUNDUP(MONTH(SalesData[[#This Row],[Order_Date]])/3,0)</f>
        <v>Q1</v>
      </c>
      <c r="W629" s="19" t="str">
        <f>IF(SalesData[[#This Row],[Sales]]&gt;=50000,"High",IF(AND(SalesData[[#This Row],[Sales]]&gt;= 20000, SalesData[[#This Row],[Sales]]&lt; 50000),"Medium","Low"))</f>
        <v>Medium</v>
      </c>
      <c r="X629" s="19" t="str">
        <f>IF(SalesData[[#This Row],[Profit]]&gt;0,"Profit","Loss")</f>
        <v>Profit</v>
      </c>
      <c r="Y629" s="19" t="str">
        <f>IF(AND(SalesData[[#This Row],[Sales]]&gt;= 50000, SalesData[[#This Row],[Quantity]]&gt;=2),"Yes","No")</f>
        <v>No</v>
      </c>
      <c r="Z629" s="19" t="str">
        <f>UPPER(SalesData[[#This Row],[Customer_Name]])</f>
        <v>KARAN MEHTA</v>
      </c>
      <c r="AA629" s="19" t="str">
        <f>LOWER(SalesData[[#This Row],[Customer_Name]])</f>
        <v>karan mehta</v>
      </c>
      <c r="AB629" s="19">
        <f>LEN(SalesData[[#This Row],[Customer_Name]])</f>
        <v>11</v>
      </c>
      <c r="AC629" s="19" t="str">
        <f>LEFT(SalesData[[#This Row],[Order_ID]],3)</f>
        <v>ORD</v>
      </c>
      <c r="AD629" s="19" t="str">
        <f>RIGHT(SalesData[[#This Row],[Order_ID]],4)</f>
        <v>0487</v>
      </c>
      <c r="AE629" s="19" t="str">
        <f>_xlfn.CONCAT(SalesData[[#This Row],[Clean_Customer_Name]],"-",SalesData[[#This Row],[Region]])</f>
        <v>Karan Mehta-Central</v>
      </c>
      <c r="AF629" s="19" t="str">
        <f>MID(SalesData[[#This Row],[Order_ID]],4,4)</f>
        <v>0487</v>
      </c>
      <c r="AG629" s="19" t="e">
        <f ca="1">_xlfn.SINGLE(_xlfn.XLOOKUP(SalesData[[#This Row],[Product]],Product_Master!A:A,Product_Master!B:B,"Not Found"))</f>
        <v>#NAME?</v>
      </c>
      <c r="AH629" s="19" t="str">
        <f>VLOOKUP(SalesData[[#This Row],[Product]],Product_Master!$A$1:$B$21,2,FALSE)</f>
        <v>Anjali</v>
      </c>
      <c r="AI629" s="16"/>
    </row>
    <row r="630" spans="1:35" ht="13.8">
      <c r="A630" s="16" t="s">
        <v>972</v>
      </c>
      <c r="B630" s="17">
        <v>45700</v>
      </c>
      <c r="C630" s="16" t="s">
        <v>200</v>
      </c>
      <c r="D630" s="16" t="s">
        <v>201</v>
      </c>
      <c r="E630" s="16" t="s">
        <v>72</v>
      </c>
      <c r="F630" s="16" t="s">
        <v>73</v>
      </c>
      <c r="G630" s="16" t="s">
        <v>51</v>
      </c>
      <c r="H630" s="16" t="s">
        <v>74</v>
      </c>
      <c r="I630" s="16" t="s">
        <v>53</v>
      </c>
      <c r="J630" s="16" t="s">
        <v>54</v>
      </c>
      <c r="K630" s="18">
        <v>4784.9799999999996</v>
      </c>
      <c r="L630" s="18">
        <v>3616.41</v>
      </c>
      <c r="M630" s="19">
        <v>1</v>
      </c>
      <c r="N630" s="20">
        <v>0.15</v>
      </c>
      <c r="O630" s="19" t="s">
        <v>136</v>
      </c>
      <c r="P630" s="19" t="s">
        <v>45</v>
      </c>
      <c r="Q630" s="19" t="str">
        <f>TRIM(SalesData[[#This Row],[Customer_Name]])</f>
        <v>Karan Mehta</v>
      </c>
      <c r="R630" s="21">
        <f>SalesData[[#This Row],[Sales]]-SalesData[[#This Row],[Cost]]</f>
        <v>1168.5699999999997</v>
      </c>
      <c r="S630" s="22">
        <f>IFERROR(SalesData[[#This Row],[Profit]]/SalesData[[#This Row],[Sales]],0)</f>
        <v>0.24421627676604704</v>
      </c>
      <c r="T630" s="19">
        <f>YEAR(SalesData[[#This Row],[Order_Date]])</f>
        <v>2025</v>
      </c>
      <c r="U630" s="19" t="str">
        <f>TEXT(SalesData[[#This Row],[Order_Date]],"mmm")</f>
        <v>Feb</v>
      </c>
      <c r="V630" s="19" t="str">
        <f>"Q"&amp;ROUNDUP(MONTH(SalesData[[#This Row],[Order_Date]])/3,0)</f>
        <v>Q1</v>
      </c>
      <c r="W630" s="19" t="str">
        <f>IF(SalesData[[#This Row],[Sales]]&gt;=50000,"High",IF(AND(SalesData[[#This Row],[Sales]]&gt;= 20000, SalesData[[#This Row],[Sales]]&lt; 50000),"Medium","Low"))</f>
        <v>Low</v>
      </c>
      <c r="X630" s="19" t="str">
        <f>IF(SalesData[[#This Row],[Profit]]&gt;0,"Profit","Loss")</f>
        <v>Profit</v>
      </c>
      <c r="Y630" s="19" t="str">
        <f>IF(AND(SalesData[[#This Row],[Sales]]&gt;= 50000, SalesData[[#This Row],[Quantity]]&gt;=2),"Yes","No")</f>
        <v>No</v>
      </c>
      <c r="Z630" s="19" t="str">
        <f>UPPER(SalesData[[#This Row],[Customer_Name]])</f>
        <v>KARAN MEHTA</v>
      </c>
      <c r="AA630" s="19" t="str">
        <f>LOWER(SalesData[[#This Row],[Customer_Name]])</f>
        <v>karan mehta</v>
      </c>
      <c r="AB630" s="19">
        <f>LEN(SalesData[[#This Row],[Customer_Name]])</f>
        <v>11</v>
      </c>
      <c r="AC630" s="19" t="str">
        <f>LEFT(SalesData[[#This Row],[Order_ID]],3)</f>
        <v>ORD</v>
      </c>
      <c r="AD630" s="19" t="str">
        <f>RIGHT(SalesData[[#This Row],[Order_ID]],4)</f>
        <v>0819</v>
      </c>
      <c r="AE630" s="19" t="str">
        <f>_xlfn.CONCAT(SalesData[[#This Row],[Clean_Customer_Name]],"-",SalesData[[#This Row],[Region]])</f>
        <v>Karan Mehta-Central</v>
      </c>
      <c r="AF630" s="19" t="str">
        <f>MID(SalesData[[#This Row],[Order_ID]],4,4)</f>
        <v>0819</v>
      </c>
      <c r="AG630" s="19" t="e">
        <f ca="1">_xlfn.SINGLE(_xlfn.XLOOKUP(SalesData[[#This Row],[Product]],Product_Master!A:A,Product_Master!B:B,"Not Found"))</f>
        <v>#NAME?</v>
      </c>
      <c r="AH630" s="19" t="str">
        <f>VLOOKUP(SalesData[[#This Row],[Product]],Product_Master!$A$1:$B$21,2,FALSE)</f>
        <v>Anjali</v>
      </c>
      <c r="AI630" s="16"/>
    </row>
    <row r="631" spans="1:35" ht="13.8">
      <c r="A631" s="16" t="s">
        <v>539</v>
      </c>
      <c r="B631" s="17">
        <v>45439</v>
      </c>
      <c r="C631" s="16" t="s">
        <v>200</v>
      </c>
      <c r="D631" s="16" t="s">
        <v>201</v>
      </c>
      <c r="E631" s="16" t="s">
        <v>175</v>
      </c>
      <c r="F631" s="16" t="s">
        <v>176</v>
      </c>
      <c r="G631" s="16" t="s">
        <v>51</v>
      </c>
      <c r="H631" s="16" t="s">
        <v>177</v>
      </c>
      <c r="I631" s="16" t="s">
        <v>56</v>
      </c>
      <c r="J631" s="16" t="s">
        <v>91</v>
      </c>
      <c r="K631" s="18">
        <v>138433.75</v>
      </c>
      <c r="L631" s="18">
        <v>81738.5</v>
      </c>
      <c r="M631" s="19">
        <v>5</v>
      </c>
      <c r="N631" s="20">
        <v>0</v>
      </c>
      <c r="O631" s="19" t="s">
        <v>136</v>
      </c>
      <c r="P631" s="19" t="s">
        <v>77</v>
      </c>
      <c r="Q631" s="19" t="str">
        <f>TRIM(SalesData[[#This Row],[Customer_Name]])</f>
        <v>Karan Mehta</v>
      </c>
      <c r="R631" s="21">
        <f>SalesData[[#This Row],[Sales]]-SalesData[[#This Row],[Cost]]</f>
        <v>56695.25</v>
      </c>
      <c r="S631" s="22">
        <f>IFERROR(SalesData[[#This Row],[Profit]]/SalesData[[#This Row],[Sales]],0)</f>
        <v>0.40954788843038636</v>
      </c>
      <c r="T631" s="19">
        <f>YEAR(SalesData[[#This Row],[Order_Date]])</f>
        <v>2024</v>
      </c>
      <c r="U631" s="19" t="str">
        <f>TEXT(SalesData[[#This Row],[Order_Date]],"mmm")</f>
        <v>May</v>
      </c>
      <c r="V631" s="19" t="str">
        <f>"Q"&amp;ROUNDUP(MONTH(SalesData[[#This Row],[Order_Date]])/3,0)</f>
        <v>Q2</v>
      </c>
      <c r="W631" s="19" t="str">
        <f>IF(SalesData[[#This Row],[Sales]]&gt;=50000,"High",IF(AND(SalesData[[#This Row],[Sales]]&gt;= 20000, SalesData[[#This Row],[Sales]]&lt; 50000),"Medium","Low"))</f>
        <v>High</v>
      </c>
      <c r="X631" s="19" t="str">
        <f>IF(SalesData[[#This Row],[Profit]]&gt;0,"Profit","Loss")</f>
        <v>Profit</v>
      </c>
      <c r="Y631" s="19" t="str">
        <f>IF(AND(SalesData[[#This Row],[Sales]]&gt;= 50000, SalesData[[#This Row],[Quantity]]&gt;=2),"Yes","No")</f>
        <v>Yes</v>
      </c>
      <c r="Z631" s="19" t="str">
        <f>UPPER(SalesData[[#This Row],[Customer_Name]])</f>
        <v>KARAN MEHTA</v>
      </c>
      <c r="AA631" s="19" t="str">
        <f>LOWER(SalesData[[#This Row],[Customer_Name]])</f>
        <v>karan mehta</v>
      </c>
      <c r="AB631" s="19">
        <f>LEN(SalesData[[#This Row],[Customer_Name]])</f>
        <v>11</v>
      </c>
      <c r="AC631" s="19" t="str">
        <f>LEFT(SalesData[[#This Row],[Order_ID]],3)</f>
        <v>ORD</v>
      </c>
      <c r="AD631" s="19" t="str">
        <f>RIGHT(SalesData[[#This Row],[Order_ID]],4)</f>
        <v>0386</v>
      </c>
      <c r="AE631" s="19" t="str">
        <f>_xlfn.CONCAT(SalesData[[#This Row],[Clean_Customer_Name]],"-",SalesData[[#This Row],[Region]])</f>
        <v>Karan Mehta-West</v>
      </c>
      <c r="AF631" s="19" t="str">
        <f>MID(SalesData[[#This Row],[Order_ID]],4,4)</f>
        <v>0386</v>
      </c>
      <c r="AG631" s="19" t="e">
        <f ca="1">_xlfn.SINGLE(_xlfn.XLOOKUP(SalesData[[#This Row],[Product]],Product_Master!A:A,Product_Master!B:B,"Not Found"))</f>
        <v>#NAME?</v>
      </c>
      <c r="AH631" s="19" t="str">
        <f>VLOOKUP(SalesData[[#This Row],[Product]],Product_Master!$A$1:$B$21,2,FALSE)</f>
        <v>Arjun</v>
      </c>
      <c r="AI631" s="16"/>
    </row>
    <row r="632" spans="1:35" ht="13.8">
      <c r="A632" s="16" t="s">
        <v>1070</v>
      </c>
      <c r="B632" s="17">
        <v>45313</v>
      </c>
      <c r="C632" s="16" t="s">
        <v>200</v>
      </c>
      <c r="D632" s="16" t="s">
        <v>201</v>
      </c>
      <c r="E632" s="16" t="s">
        <v>175</v>
      </c>
      <c r="F632" s="16" t="s">
        <v>176</v>
      </c>
      <c r="G632" s="16" t="s">
        <v>51</v>
      </c>
      <c r="H632" s="16" t="s">
        <v>177</v>
      </c>
      <c r="I632" s="16" t="s">
        <v>23</v>
      </c>
      <c r="J632" s="16" t="s">
        <v>33</v>
      </c>
      <c r="K632" s="18">
        <v>58013.58</v>
      </c>
      <c r="L632" s="18">
        <v>31225.1</v>
      </c>
      <c r="M632" s="19">
        <v>2</v>
      </c>
      <c r="N632" s="20">
        <v>0</v>
      </c>
      <c r="O632" s="19" t="s">
        <v>44</v>
      </c>
      <c r="P632" s="19" t="s">
        <v>58</v>
      </c>
      <c r="Q632" s="19" t="str">
        <f>TRIM(SalesData[[#This Row],[Customer_Name]])</f>
        <v>Karan Mehta</v>
      </c>
      <c r="R632" s="21">
        <f>SalesData[[#This Row],[Sales]]-SalesData[[#This Row],[Cost]]</f>
        <v>26788.480000000003</v>
      </c>
      <c r="S632" s="22">
        <f>IFERROR(SalesData[[#This Row],[Profit]]/SalesData[[#This Row],[Sales]],0)</f>
        <v>0.46176222877471107</v>
      </c>
      <c r="T632" s="19">
        <f>YEAR(SalesData[[#This Row],[Order_Date]])</f>
        <v>2024</v>
      </c>
      <c r="U632" s="19" t="str">
        <f>TEXT(SalesData[[#This Row],[Order_Date]],"mmm")</f>
        <v>Jan</v>
      </c>
      <c r="V632" s="19" t="str">
        <f>"Q"&amp;ROUNDUP(MONTH(SalesData[[#This Row],[Order_Date]])/3,0)</f>
        <v>Q1</v>
      </c>
      <c r="W632" s="19" t="str">
        <f>IF(SalesData[[#This Row],[Sales]]&gt;=50000,"High",IF(AND(SalesData[[#This Row],[Sales]]&gt;= 20000, SalesData[[#This Row],[Sales]]&lt; 50000),"Medium","Low"))</f>
        <v>High</v>
      </c>
      <c r="X632" s="19" t="str">
        <f>IF(SalesData[[#This Row],[Profit]]&gt;0,"Profit","Loss")</f>
        <v>Profit</v>
      </c>
      <c r="Y632" s="19" t="str">
        <f>IF(AND(SalesData[[#This Row],[Sales]]&gt;= 50000, SalesData[[#This Row],[Quantity]]&gt;=2),"Yes","No")</f>
        <v>Yes</v>
      </c>
      <c r="Z632" s="19" t="str">
        <f>UPPER(SalesData[[#This Row],[Customer_Name]])</f>
        <v>KARAN MEHTA</v>
      </c>
      <c r="AA632" s="19" t="str">
        <f>LOWER(SalesData[[#This Row],[Customer_Name]])</f>
        <v>karan mehta</v>
      </c>
      <c r="AB632" s="19">
        <f>LEN(SalesData[[#This Row],[Customer_Name]])</f>
        <v>11</v>
      </c>
      <c r="AC632" s="19" t="str">
        <f>LEFT(SalesData[[#This Row],[Order_ID]],3)</f>
        <v>ORD</v>
      </c>
      <c r="AD632" s="19" t="str">
        <f>RIGHT(SalesData[[#This Row],[Order_ID]],4)</f>
        <v>0917</v>
      </c>
      <c r="AE632" s="19" t="str">
        <f>_xlfn.CONCAT(SalesData[[#This Row],[Clean_Customer_Name]],"-",SalesData[[#This Row],[Region]])</f>
        <v>Karan Mehta-North</v>
      </c>
      <c r="AF632" s="19" t="str">
        <f>MID(SalesData[[#This Row],[Order_ID]],4,4)</f>
        <v>0917</v>
      </c>
      <c r="AG632" s="19" t="e">
        <f ca="1">_xlfn.SINGLE(_xlfn.XLOOKUP(SalesData[[#This Row],[Product]],Product_Master!A:A,Product_Master!B:B,"Not Found"))</f>
        <v>#NAME?</v>
      </c>
      <c r="AH632" s="19" t="str">
        <f>VLOOKUP(SalesData[[#This Row],[Product]],Product_Master!$A$1:$B$21,2,FALSE)</f>
        <v>Arjun</v>
      </c>
      <c r="AI632" s="16"/>
    </row>
    <row r="633" spans="1:35" ht="13.8">
      <c r="A633" s="16" t="s">
        <v>1102</v>
      </c>
      <c r="B633" s="17">
        <v>45810</v>
      </c>
      <c r="C633" s="16" t="s">
        <v>200</v>
      </c>
      <c r="D633" s="16" t="s">
        <v>201</v>
      </c>
      <c r="E633" s="16" t="s">
        <v>175</v>
      </c>
      <c r="F633" s="16" t="s">
        <v>176</v>
      </c>
      <c r="G633" s="16" t="s">
        <v>51</v>
      </c>
      <c r="H633" s="16" t="s">
        <v>177</v>
      </c>
      <c r="I633" s="16" t="s">
        <v>84</v>
      </c>
      <c r="J633" s="16" t="s">
        <v>85</v>
      </c>
      <c r="K633" s="18">
        <v>16108</v>
      </c>
      <c r="L633" s="18">
        <v>15878.94</v>
      </c>
      <c r="M633" s="19">
        <v>1</v>
      </c>
      <c r="N633" s="20">
        <v>0.15</v>
      </c>
      <c r="O633" s="19" t="s">
        <v>136</v>
      </c>
      <c r="P633" s="19" t="s">
        <v>77</v>
      </c>
      <c r="Q633" s="19" t="str">
        <f>TRIM(SalesData[[#This Row],[Customer_Name]])</f>
        <v>Karan Mehta</v>
      </c>
      <c r="R633" s="21">
        <f>SalesData[[#This Row],[Sales]]-SalesData[[#This Row],[Cost]]</f>
        <v>229.05999999999949</v>
      </c>
      <c r="S633" s="22">
        <f>IFERROR(SalesData[[#This Row],[Profit]]/SalesData[[#This Row],[Sales]],0)</f>
        <v>1.4220263223243077E-2</v>
      </c>
      <c r="T633" s="19">
        <f>YEAR(SalesData[[#This Row],[Order_Date]])</f>
        <v>2025</v>
      </c>
      <c r="U633" s="19" t="str">
        <f>TEXT(SalesData[[#This Row],[Order_Date]],"mmm")</f>
        <v>Jun</v>
      </c>
      <c r="V633" s="19" t="str">
        <f>"Q"&amp;ROUNDUP(MONTH(SalesData[[#This Row],[Order_Date]])/3,0)</f>
        <v>Q2</v>
      </c>
      <c r="W633" s="19" t="str">
        <f>IF(SalesData[[#This Row],[Sales]]&gt;=50000,"High",IF(AND(SalesData[[#This Row],[Sales]]&gt;= 20000, SalesData[[#This Row],[Sales]]&lt; 50000),"Medium","Low"))</f>
        <v>Low</v>
      </c>
      <c r="X633" s="19" t="str">
        <f>IF(SalesData[[#This Row],[Profit]]&gt;0,"Profit","Loss")</f>
        <v>Profit</v>
      </c>
      <c r="Y633" s="19" t="str">
        <f>IF(AND(SalesData[[#This Row],[Sales]]&gt;= 50000, SalesData[[#This Row],[Quantity]]&gt;=2),"Yes","No")</f>
        <v>No</v>
      </c>
      <c r="Z633" s="19" t="str">
        <f>UPPER(SalesData[[#This Row],[Customer_Name]])</f>
        <v>KARAN MEHTA</v>
      </c>
      <c r="AA633" s="19" t="str">
        <f>LOWER(SalesData[[#This Row],[Customer_Name]])</f>
        <v>karan mehta</v>
      </c>
      <c r="AB633" s="19">
        <f>LEN(SalesData[[#This Row],[Customer_Name]])</f>
        <v>11</v>
      </c>
      <c r="AC633" s="19" t="str">
        <f>LEFT(SalesData[[#This Row],[Order_ID]],3)</f>
        <v>ORD</v>
      </c>
      <c r="AD633" s="19" t="str">
        <f>RIGHT(SalesData[[#This Row],[Order_ID]],4)</f>
        <v>0949</v>
      </c>
      <c r="AE633" s="19" t="str">
        <f>_xlfn.CONCAT(SalesData[[#This Row],[Clean_Customer_Name]],"-",SalesData[[#This Row],[Region]])</f>
        <v>Karan Mehta-South</v>
      </c>
      <c r="AF633" s="19" t="str">
        <f>MID(SalesData[[#This Row],[Order_ID]],4,4)</f>
        <v>0949</v>
      </c>
      <c r="AG633" s="19" t="e">
        <f ca="1">_xlfn.SINGLE(_xlfn.XLOOKUP(SalesData[[#This Row],[Product]],Product_Master!A:A,Product_Master!B:B,"Not Found"))</f>
        <v>#NAME?</v>
      </c>
      <c r="AH633" s="19" t="str">
        <f>VLOOKUP(SalesData[[#This Row],[Product]],Product_Master!$A$1:$B$21,2,FALSE)</f>
        <v>Arjun</v>
      </c>
      <c r="AI633" s="16"/>
    </row>
    <row r="634" spans="1:35" ht="13.8">
      <c r="A634" s="16" t="s">
        <v>870</v>
      </c>
      <c r="B634" s="17">
        <v>45403</v>
      </c>
      <c r="C634" s="16" t="s">
        <v>200</v>
      </c>
      <c r="D634" s="16" t="s">
        <v>201</v>
      </c>
      <c r="E634" s="16" t="s">
        <v>123</v>
      </c>
      <c r="F634" s="16" t="s">
        <v>124</v>
      </c>
      <c r="G634" s="16" t="s">
        <v>51</v>
      </c>
      <c r="H634" s="16" t="s">
        <v>125</v>
      </c>
      <c r="I634" s="16" t="s">
        <v>23</v>
      </c>
      <c r="J634" s="16" t="s">
        <v>33</v>
      </c>
      <c r="K634" s="18">
        <v>55413.1</v>
      </c>
      <c r="L634" s="18">
        <v>34386.78</v>
      </c>
      <c r="M634" s="19">
        <v>2</v>
      </c>
      <c r="N634" s="20">
        <v>0.15</v>
      </c>
      <c r="O634" s="19" t="s">
        <v>76</v>
      </c>
      <c r="P634" s="19" t="s">
        <v>58</v>
      </c>
      <c r="Q634" s="19" t="str">
        <f>TRIM(SalesData[[#This Row],[Customer_Name]])</f>
        <v>Karan Mehta</v>
      </c>
      <c r="R634" s="21">
        <f>SalesData[[#This Row],[Sales]]-SalesData[[#This Row],[Cost]]</f>
        <v>21026.32</v>
      </c>
      <c r="S634" s="22">
        <f>IFERROR(SalesData[[#This Row],[Profit]]/SalesData[[#This Row],[Sales]],0)</f>
        <v>0.37944673732384582</v>
      </c>
      <c r="T634" s="19">
        <f>YEAR(SalesData[[#This Row],[Order_Date]])</f>
        <v>2024</v>
      </c>
      <c r="U634" s="19" t="str">
        <f>TEXT(SalesData[[#This Row],[Order_Date]],"mmm")</f>
        <v>Apr</v>
      </c>
      <c r="V634" s="19" t="str">
        <f>"Q"&amp;ROUNDUP(MONTH(SalesData[[#This Row],[Order_Date]])/3,0)</f>
        <v>Q2</v>
      </c>
      <c r="W634" s="19" t="str">
        <f>IF(SalesData[[#This Row],[Sales]]&gt;=50000,"High",IF(AND(SalesData[[#This Row],[Sales]]&gt;= 20000, SalesData[[#This Row],[Sales]]&lt; 50000),"Medium","Low"))</f>
        <v>High</v>
      </c>
      <c r="X634" s="19" t="str">
        <f>IF(SalesData[[#This Row],[Profit]]&gt;0,"Profit","Loss")</f>
        <v>Profit</v>
      </c>
      <c r="Y634" s="19" t="str">
        <f>IF(AND(SalesData[[#This Row],[Sales]]&gt;= 50000, SalesData[[#This Row],[Quantity]]&gt;=2),"Yes","No")</f>
        <v>Yes</v>
      </c>
      <c r="Z634" s="19" t="str">
        <f>UPPER(SalesData[[#This Row],[Customer_Name]])</f>
        <v>KARAN MEHTA</v>
      </c>
      <c r="AA634" s="19" t="str">
        <f>LOWER(SalesData[[#This Row],[Customer_Name]])</f>
        <v>karan mehta</v>
      </c>
      <c r="AB634" s="19">
        <f>LEN(SalesData[[#This Row],[Customer_Name]])</f>
        <v>11</v>
      </c>
      <c r="AC634" s="19" t="str">
        <f>LEFT(SalesData[[#This Row],[Order_ID]],3)</f>
        <v>ORD</v>
      </c>
      <c r="AD634" s="19" t="str">
        <f>RIGHT(SalesData[[#This Row],[Order_ID]],4)</f>
        <v>0717</v>
      </c>
      <c r="AE634" s="19" t="str">
        <f>_xlfn.CONCAT(SalesData[[#This Row],[Clean_Customer_Name]],"-",SalesData[[#This Row],[Region]])</f>
        <v>Karan Mehta-North</v>
      </c>
      <c r="AF634" s="19" t="str">
        <f>MID(SalesData[[#This Row],[Order_ID]],4,4)</f>
        <v>0717</v>
      </c>
      <c r="AG634" s="19" t="e">
        <f ca="1">_xlfn.SINGLE(_xlfn.XLOOKUP(SalesData[[#This Row],[Product]],Product_Master!A:A,Product_Master!B:B,"Not Found"))</f>
        <v>#NAME?</v>
      </c>
      <c r="AH634" s="19" t="str">
        <f>VLOOKUP(SalesData[[#This Row],[Product]],Product_Master!$A$1:$B$21,2,FALSE)</f>
        <v>Sneha</v>
      </c>
      <c r="AI634" s="16"/>
    </row>
    <row r="635" spans="1:35" ht="13.8">
      <c r="A635" s="16" t="s">
        <v>641</v>
      </c>
      <c r="B635" s="17">
        <v>45902</v>
      </c>
      <c r="C635" s="16" t="s">
        <v>200</v>
      </c>
      <c r="D635" s="16" t="s">
        <v>201</v>
      </c>
      <c r="E635" s="16" t="s">
        <v>110</v>
      </c>
      <c r="F635" s="16" t="s">
        <v>111</v>
      </c>
      <c r="G635" s="16" t="s">
        <v>40</v>
      </c>
      <c r="H635" s="16" t="s">
        <v>112</v>
      </c>
      <c r="I635" s="16" t="s">
        <v>56</v>
      </c>
      <c r="J635" s="16" t="s">
        <v>191</v>
      </c>
      <c r="K635" s="18">
        <v>12952.01</v>
      </c>
      <c r="L635" s="18">
        <v>5482.6</v>
      </c>
      <c r="M635" s="19">
        <v>5</v>
      </c>
      <c r="N635" s="20">
        <v>0.05</v>
      </c>
      <c r="O635" s="19" t="s">
        <v>25</v>
      </c>
      <c r="P635" s="19" t="s">
        <v>58</v>
      </c>
      <c r="Q635" s="19" t="str">
        <f>TRIM(SalesData[[#This Row],[Customer_Name]])</f>
        <v>Karan Mehta</v>
      </c>
      <c r="R635" s="21">
        <f>SalesData[[#This Row],[Sales]]-SalesData[[#This Row],[Cost]]</f>
        <v>7469.41</v>
      </c>
      <c r="S635" s="22">
        <f>IFERROR(SalesData[[#This Row],[Profit]]/SalesData[[#This Row],[Sales]],0)</f>
        <v>0.5766989061929384</v>
      </c>
      <c r="T635" s="19">
        <f>YEAR(SalesData[[#This Row],[Order_Date]])</f>
        <v>2025</v>
      </c>
      <c r="U635" s="19" t="str">
        <f>TEXT(SalesData[[#This Row],[Order_Date]],"mmm")</f>
        <v>Sept</v>
      </c>
      <c r="V635" s="19" t="str">
        <f>"Q"&amp;ROUNDUP(MONTH(SalesData[[#This Row],[Order_Date]])/3,0)</f>
        <v>Q3</v>
      </c>
      <c r="W635" s="19" t="str">
        <f>IF(SalesData[[#This Row],[Sales]]&gt;=50000,"High",IF(AND(SalesData[[#This Row],[Sales]]&gt;= 20000, SalesData[[#This Row],[Sales]]&lt; 50000),"Medium","Low"))</f>
        <v>Low</v>
      </c>
      <c r="X635" s="19" t="str">
        <f>IF(SalesData[[#This Row],[Profit]]&gt;0,"Profit","Loss")</f>
        <v>Profit</v>
      </c>
      <c r="Y635" s="19" t="str">
        <f>IF(AND(SalesData[[#This Row],[Sales]]&gt;= 50000, SalesData[[#This Row],[Quantity]]&gt;=2),"Yes","No")</f>
        <v>No</v>
      </c>
      <c r="Z635" s="19" t="str">
        <f>UPPER(SalesData[[#This Row],[Customer_Name]])</f>
        <v>KARAN MEHTA</v>
      </c>
      <c r="AA635" s="19" t="str">
        <f>LOWER(SalesData[[#This Row],[Customer_Name]])</f>
        <v>karan mehta</v>
      </c>
      <c r="AB635" s="19">
        <f>LEN(SalesData[[#This Row],[Customer_Name]])</f>
        <v>11</v>
      </c>
      <c r="AC635" s="19" t="str">
        <f>LEFT(SalesData[[#This Row],[Order_ID]],3)</f>
        <v>ORD</v>
      </c>
      <c r="AD635" s="19" t="str">
        <f>RIGHT(SalesData[[#This Row],[Order_ID]],4)</f>
        <v>0488</v>
      </c>
      <c r="AE635" s="19" t="str">
        <f>_xlfn.CONCAT(SalesData[[#This Row],[Clean_Customer_Name]],"-",SalesData[[#This Row],[Region]])</f>
        <v>Karan Mehta-West</v>
      </c>
      <c r="AF635" s="19" t="str">
        <f>MID(SalesData[[#This Row],[Order_ID]],4,4)</f>
        <v>0488</v>
      </c>
      <c r="AG635" s="19" t="e">
        <f ca="1">_xlfn.SINGLE(_xlfn.XLOOKUP(SalesData[[#This Row],[Product]],Product_Master!A:A,Product_Master!B:B,"Not Found"))</f>
        <v>#NAME?</v>
      </c>
      <c r="AH635" s="19" t="str">
        <f>VLOOKUP(SalesData[[#This Row],[Product]],Product_Master!$A$1:$B$21,2,FALSE)</f>
        <v>Vikas</v>
      </c>
      <c r="AI635" s="16"/>
    </row>
    <row r="636" spans="1:35" ht="13.8">
      <c r="A636" s="16" t="s">
        <v>679</v>
      </c>
      <c r="B636" s="17">
        <v>45613</v>
      </c>
      <c r="C636" s="16" t="s">
        <v>200</v>
      </c>
      <c r="D636" s="16" t="s">
        <v>201</v>
      </c>
      <c r="E636" s="16" t="s">
        <v>110</v>
      </c>
      <c r="F636" s="16" t="s">
        <v>111</v>
      </c>
      <c r="G636" s="16" t="s">
        <v>40</v>
      </c>
      <c r="H636" s="16" t="s">
        <v>112</v>
      </c>
      <c r="I636" s="16" t="s">
        <v>84</v>
      </c>
      <c r="J636" s="16" t="s">
        <v>85</v>
      </c>
      <c r="K636" s="18">
        <v>9459.2199999999993</v>
      </c>
      <c r="L636" s="18">
        <v>3710.16</v>
      </c>
      <c r="M636" s="19">
        <v>3</v>
      </c>
      <c r="N636" s="20">
        <v>0.2</v>
      </c>
      <c r="O636" s="19" t="s">
        <v>136</v>
      </c>
      <c r="P636" s="19" t="s">
        <v>45</v>
      </c>
      <c r="Q636" s="19" t="str">
        <f>TRIM(SalesData[[#This Row],[Customer_Name]])</f>
        <v>Karan Mehta</v>
      </c>
      <c r="R636" s="21">
        <f>SalesData[[#This Row],[Sales]]-SalesData[[#This Row],[Cost]]</f>
        <v>5749.0599999999995</v>
      </c>
      <c r="S636" s="22">
        <f>IFERROR(SalesData[[#This Row],[Profit]]/SalesData[[#This Row],[Sales]],0)</f>
        <v>0.60777315677191146</v>
      </c>
      <c r="T636" s="19">
        <f>YEAR(SalesData[[#This Row],[Order_Date]])</f>
        <v>2024</v>
      </c>
      <c r="U636" s="19" t="str">
        <f>TEXT(SalesData[[#This Row],[Order_Date]],"mmm")</f>
        <v>Nov</v>
      </c>
      <c r="V636" s="19" t="str">
        <f>"Q"&amp;ROUNDUP(MONTH(SalesData[[#This Row],[Order_Date]])/3,0)</f>
        <v>Q4</v>
      </c>
      <c r="W636" s="19" t="str">
        <f>IF(SalesData[[#This Row],[Sales]]&gt;=50000,"High",IF(AND(SalesData[[#This Row],[Sales]]&gt;= 20000, SalesData[[#This Row],[Sales]]&lt; 50000),"Medium","Low"))</f>
        <v>Low</v>
      </c>
      <c r="X636" s="19" t="str">
        <f>IF(SalesData[[#This Row],[Profit]]&gt;0,"Profit","Loss")</f>
        <v>Profit</v>
      </c>
      <c r="Y636" s="19" t="str">
        <f>IF(AND(SalesData[[#This Row],[Sales]]&gt;= 50000, SalesData[[#This Row],[Quantity]]&gt;=2),"Yes","No")</f>
        <v>No</v>
      </c>
      <c r="Z636" s="19" t="str">
        <f>UPPER(SalesData[[#This Row],[Customer_Name]])</f>
        <v>KARAN MEHTA</v>
      </c>
      <c r="AA636" s="19" t="str">
        <f>LOWER(SalesData[[#This Row],[Customer_Name]])</f>
        <v>karan mehta</v>
      </c>
      <c r="AB636" s="19">
        <f>LEN(SalesData[[#This Row],[Customer_Name]])</f>
        <v>11</v>
      </c>
      <c r="AC636" s="19" t="str">
        <f>LEFT(SalesData[[#This Row],[Order_ID]],3)</f>
        <v>ORD</v>
      </c>
      <c r="AD636" s="19" t="str">
        <f>RIGHT(SalesData[[#This Row],[Order_ID]],4)</f>
        <v>0526</v>
      </c>
      <c r="AE636" s="19" t="str">
        <f>_xlfn.CONCAT(SalesData[[#This Row],[Clean_Customer_Name]],"-",SalesData[[#This Row],[Region]])</f>
        <v>Karan Mehta-South</v>
      </c>
      <c r="AF636" s="19" t="str">
        <f>MID(SalesData[[#This Row],[Order_ID]],4,4)</f>
        <v>0526</v>
      </c>
      <c r="AG636" s="19" t="e">
        <f ca="1">_xlfn.SINGLE(_xlfn.XLOOKUP(SalesData[[#This Row],[Product]],Product_Master!A:A,Product_Master!B:B,"Not Found"))</f>
        <v>#NAME?</v>
      </c>
      <c r="AH636" s="19" t="str">
        <f>VLOOKUP(SalesData[[#This Row],[Product]],Product_Master!$A$1:$B$21,2,FALSE)</f>
        <v>Vikas</v>
      </c>
      <c r="AI636" s="16"/>
    </row>
    <row r="637" spans="1:35" ht="13.8">
      <c r="A637" s="16" t="s">
        <v>450</v>
      </c>
      <c r="B637" s="17">
        <v>45436</v>
      </c>
      <c r="C637" s="16" t="s">
        <v>200</v>
      </c>
      <c r="D637" s="16" t="s">
        <v>201</v>
      </c>
      <c r="E637" s="16" t="s">
        <v>172</v>
      </c>
      <c r="F637" s="16" t="s">
        <v>173</v>
      </c>
      <c r="G637" s="16" t="s">
        <v>40</v>
      </c>
      <c r="H637" s="16" t="s">
        <v>41</v>
      </c>
      <c r="I637" s="16" t="s">
        <v>42</v>
      </c>
      <c r="J637" s="16" t="s">
        <v>162</v>
      </c>
      <c r="K637" s="18">
        <v>11170.04</v>
      </c>
      <c r="L637" s="18">
        <v>4399.6000000000004</v>
      </c>
      <c r="M637" s="19">
        <v>5</v>
      </c>
      <c r="N637" s="20">
        <v>0.2</v>
      </c>
      <c r="O637" s="19" t="s">
        <v>136</v>
      </c>
      <c r="P637" s="19" t="s">
        <v>26</v>
      </c>
      <c r="Q637" s="19" t="str">
        <f>TRIM(SalesData[[#This Row],[Customer_Name]])</f>
        <v>Karan Mehta</v>
      </c>
      <c r="R637" s="21">
        <f>SalesData[[#This Row],[Sales]]-SalesData[[#This Row],[Cost]]</f>
        <v>6770.4400000000005</v>
      </c>
      <c r="S637" s="22">
        <f>IFERROR(SalesData[[#This Row],[Profit]]/SalesData[[#This Row],[Sales]],0)</f>
        <v>0.60612495568502889</v>
      </c>
      <c r="T637" s="19">
        <f>YEAR(SalesData[[#This Row],[Order_Date]])</f>
        <v>2024</v>
      </c>
      <c r="U637" s="19" t="str">
        <f>TEXT(SalesData[[#This Row],[Order_Date]],"mmm")</f>
        <v>May</v>
      </c>
      <c r="V637" s="19" t="str">
        <f>"Q"&amp;ROUNDUP(MONTH(SalesData[[#This Row],[Order_Date]])/3,0)</f>
        <v>Q2</v>
      </c>
      <c r="W637" s="19" t="str">
        <f>IF(SalesData[[#This Row],[Sales]]&gt;=50000,"High",IF(AND(SalesData[[#This Row],[Sales]]&gt;= 20000, SalesData[[#This Row],[Sales]]&lt; 50000),"Medium","Low"))</f>
        <v>Low</v>
      </c>
      <c r="X637" s="19" t="str">
        <f>IF(SalesData[[#This Row],[Profit]]&gt;0,"Profit","Loss")</f>
        <v>Profit</v>
      </c>
      <c r="Y637" s="19" t="str">
        <f>IF(AND(SalesData[[#This Row],[Sales]]&gt;= 50000, SalesData[[#This Row],[Quantity]]&gt;=2),"Yes","No")</f>
        <v>No</v>
      </c>
      <c r="Z637" s="19" t="str">
        <f>UPPER(SalesData[[#This Row],[Customer_Name]])</f>
        <v>KARAN MEHTA</v>
      </c>
      <c r="AA637" s="19" t="str">
        <f>LOWER(SalesData[[#This Row],[Customer_Name]])</f>
        <v>karan mehta</v>
      </c>
      <c r="AB637" s="19">
        <f>LEN(SalesData[[#This Row],[Customer_Name]])</f>
        <v>11</v>
      </c>
      <c r="AC637" s="19" t="str">
        <f>LEFT(SalesData[[#This Row],[Order_ID]],3)</f>
        <v>ORD</v>
      </c>
      <c r="AD637" s="19" t="str">
        <f>RIGHT(SalesData[[#This Row],[Order_ID]],4)</f>
        <v>0297</v>
      </c>
      <c r="AE637" s="19" t="str">
        <f>_xlfn.CONCAT(SalesData[[#This Row],[Clean_Customer_Name]],"-",SalesData[[#This Row],[Region]])</f>
        <v>Karan Mehta-East</v>
      </c>
      <c r="AF637" s="19" t="str">
        <f>MID(SalesData[[#This Row],[Order_ID]],4,4)</f>
        <v>0297</v>
      </c>
      <c r="AG637" s="19" t="e">
        <f ca="1">_xlfn.SINGLE(_xlfn.XLOOKUP(SalesData[[#This Row],[Product]],Product_Master!A:A,Product_Master!B:B,"Not Found"))</f>
        <v>#NAME?</v>
      </c>
      <c r="AH637" s="19" t="str">
        <f>VLOOKUP(SalesData[[#This Row],[Product]],Product_Master!$A$1:$B$21,2,FALSE)</f>
        <v>Pooja</v>
      </c>
      <c r="AI637" s="16"/>
    </row>
    <row r="638" spans="1:35" ht="13.8">
      <c r="A638" s="16" t="s">
        <v>505</v>
      </c>
      <c r="B638" s="17">
        <v>45483</v>
      </c>
      <c r="C638" s="16" t="s">
        <v>200</v>
      </c>
      <c r="D638" s="16" t="s">
        <v>201</v>
      </c>
      <c r="E638" s="16" t="s">
        <v>172</v>
      </c>
      <c r="F638" s="16" t="s">
        <v>173</v>
      </c>
      <c r="G638" s="16" t="s">
        <v>40</v>
      </c>
      <c r="H638" s="16" t="s">
        <v>41</v>
      </c>
      <c r="I638" s="16" t="s">
        <v>84</v>
      </c>
      <c r="J638" s="16" t="s">
        <v>85</v>
      </c>
      <c r="K638" s="18">
        <v>10953.6</v>
      </c>
      <c r="L638" s="18">
        <v>2581.11</v>
      </c>
      <c r="M638" s="19">
        <v>3</v>
      </c>
      <c r="N638" s="20">
        <v>0</v>
      </c>
      <c r="O638" s="19" t="s">
        <v>34</v>
      </c>
      <c r="P638" s="19" t="s">
        <v>58</v>
      </c>
      <c r="Q638" s="19" t="str">
        <f>TRIM(SalesData[[#This Row],[Customer_Name]])</f>
        <v>Karan Mehta</v>
      </c>
      <c r="R638" s="21">
        <f>SalesData[[#This Row],[Sales]]-SalesData[[#This Row],[Cost]]</f>
        <v>8372.49</v>
      </c>
      <c r="S638" s="22">
        <f>IFERROR(SalesData[[#This Row],[Profit]]/SalesData[[#This Row],[Sales]],0)</f>
        <v>0.76435966257668708</v>
      </c>
      <c r="T638" s="19">
        <f>YEAR(SalesData[[#This Row],[Order_Date]])</f>
        <v>2024</v>
      </c>
      <c r="U638" s="19" t="str">
        <f>TEXT(SalesData[[#This Row],[Order_Date]],"mmm")</f>
        <v>Jul</v>
      </c>
      <c r="V638" s="19" t="str">
        <f>"Q"&amp;ROUNDUP(MONTH(SalesData[[#This Row],[Order_Date]])/3,0)</f>
        <v>Q3</v>
      </c>
      <c r="W638" s="19" t="str">
        <f>IF(SalesData[[#This Row],[Sales]]&gt;=50000,"High",IF(AND(SalesData[[#This Row],[Sales]]&gt;= 20000, SalesData[[#This Row],[Sales]]&lt; 50000),"Medium","Low"))</f>
        <v>Low</v>
      </c>
      <c r="X638" s="19" t="str">
        <f>IF(SalesData[[#This Row],[Profit]]&gt;0,"Profit","Loss")</f>
        <v>Profit</v>
      </c>
      <c r="Y638" s="19" t="str">
        <f>IF(AND(SalesData[[#This Row],[Sales]]&gt;= 50000, SalesData[[#This Row],[Quantity]]&gt;=2),"Yes","No")</f>
        <v>No</v>
      </c>
      <c r="Z638" s="19" t="str">
        <f>UPPER(SalesData[[#This Row],[Customer_Name]])</f>
        <v>KARAN MEHTA</v>
      </c>
      <c r="AA638" s="19" t="str">
        <f>LOWER(SalesData[[#This Row],[Customer_Name]])</f>
        <v>karan mehta</v>
      </c>
      <c r="AB638" s="19">
        <f>LEN(SalesData[[#This Row],[Customer_Name]])</f>
        <v>11</v>
      </c>
      <c r="AC638" s="19" t="str">
        <f>LEFT(SalesData[[#This Row],[Order_ID]],3)</f>
        <v>ORD</v>
      </c>
      <c r="AD638" s="19" t="str">
        <f>RIGHT(SalesData[[#This Row],[Order_ID]],4)</f>
        <v>0352</v>
      </c>
      <c r="AE638" s="19" t="str">
        <f>_xlfn.CONCAT(SalesData[[#This Row],[Clean_Customer_Name]],"-",SalesData[[#This Row],[Region]])</f>
        <v>Karan Mehta-South</v>
      </c>
      <c r="AF638" s="19" t="str">
        <f>MID(SalesData[[#This Row],[Order_ID]],4,4)</f>
        <v>0352</v>
      </c>
      <c r="AG638" s="19" t="e">
        <f ca="1">_xlfn.SINGLE(_xlfn.XLOOKUP(SalesData[[#This Row],[Product]],Product_Master!A:A,Product_Master!B:B,"Not Found"))</f>
        <v>#NAME?</v>
      </c>
      <c r="AH638" s="19" t="str">
        <f>VLOOKUP(SalesData[[#This Row],[Product]],Product_Master!$A$1:$B$21,2,FALSE)</f>
        <v>Pooja</v>
      </c>
      <c r="AI638" s="16"/>
    </row>
    <row r="639" spans="1:35" ht="13.8">
      <c r="A639" s="16" t="s">
        <v>530</v>
      </c>
      <c r="B639" s="17">
        <v>45670</v>
      </c>
      <c r="C639" s="16" t="s">
        <v>200</v>
      </c>
      <c r="D639" s="16" t="s">
        <v>201</v>
      </c>
      <c r="E639" s="16" t="s">
        <v>172</v>
      </c>
      <c r="F639" s="16" t="s">
        <v>173</v>
      </c>
      <c r="G639" s="16" t="s">
        <v>40</v>
      </c>
      <c r="H639" s="16" t="s">
        <v>41</v>
      </c>
      <c r="I639" s="16" t="s">
        <v>56</v>
      </c>
      <c r="J639" s="16" t="s">
        <v>91</v>
      </c>
      <c r="K639" s="18">
        <v>3052.83</v>
      </c>
      <c r="L639" s="18">
        <v>1780.48</v>
      </c>
      <c r="M639" s="19">
        <v>2</v>
      </c>
      <c r="N639" s="20">
        <v>0.15</v>
      </c>
      <c r="O639" s="19" t="s">
        <v>44</v>
      </c>
      <c r="P639" s="19" t="s">
        <v>58</v>
      </c>
      <c r="Q639" s="19" t="str">
        <f>TRIM(SalesData[[#This Row],[Customer_Name]])</f>
        <v>Karan Mehta</v>
      </c>
      <c r="R639" s="21">
        <f>SalesData[[#This Row],[Sales]]-SalesData[[#This Row],[Cost]]</f>
        <v>1272.3499999999999</v>
      </c>
      <c r="S639" s="22">
        <f>IFERROR(SalesData[[#This Row],[Profit]]/SalesData[[#This Row],[Sales]],0)</f>
        <v>0.41677721982553889</v>
      </c>
      <c r="T639" s="19">
        <f>YEAR(SalesData[[#This Row],[Order_Date]])</f>
        <v>2025</v>
      </c>
      <c r="U639" s="19" t="str">
        <f>TEXT(SalesData[[#This Row],[Order_Date]],"mmm")</f>
        <v>Jan</v>
      </c>
      <c r="V639" s="19" t="str">
        <f>"Q"&amp;ROUNDUP(MONTH(SalesData[[#This Row],[Order_Date]])/3,0)</f>
        <v>Q1</v>
      </c>
      <c r="W639" s="19" t="str">
        <f>IF(SalesData[[#This Row],[Sales]]&gt;=50000,"High",IF(AND(SalesData[[#This Row],[Sales]]&gt;= 20000, SalesData[[#This Row],[Sales]]&lt; 50000),"Medium","Low"))</f>
        <v>Low</v>
      </c>
      <c r="X639" s="19" t="str">
        <f>IF(SalesData[[#This Row],[Profit]]&gt;0,"Profit","Loss")</f>
        <v>Profit</v>
      </c>
      <c r="Y639" s="19" t="str">
        <f>IF(AND(SalesData[[#This Row],[Sales]]&gt;= 50000, SalesData[[#This Row],[Quantity]]&gt;=2),"Yes","No")</f>
        <v>No</v>
      </c>
      <c r="Z639" s="19" t="str">
        <f>UPPER(SalesData[[#This Row],[Customer_Name]])</f>
        <v>KARAN MEHTA</v>
      </c>
      <c r="AA639" s="19" t="str">
        <f>LOWER(SalesData[[#This Row],[Customer_Name]])</f>
        <v>karan mehta</v>
      </c>
      <c r="AB639" s="19">
        <f>LEN(SalesData[[#This Row],[Customer_Name]])</f>
        <v>11</v>
      </c>
      <c r="AC639" s="19" t="str">
        <f>LEFT(SalesData[[#This Row],[Order_ID]],3)</f>
        <v>ORD</v>
      </c>
      <c r="AD639" s="19" t="str">
        <f>RIGHT(SalesData[[#This Row],[Order_ID]],4)</f>
        <v>0377</v>
      </c>
      <c r="AE639" s="19" t="str">
        <f>_xlfn.CONCAT(SalesData[[#This Row],[Clean_Customer_Name]],"-",SalesData[[#This Row],[Region]])</f>
        <v>Karan Mehta-West</v>
      </c>
      <c r="AF639" s="19" t="str">
        <f>MID(SalesData[[#This Row],[Order_ID]],4,4)</f>
        <v>0377</v>
      </c>
      <c r="AG639" s="19" t="e">
        <f ca="1">_xlfn.SINGLE(_xlfn.XLOOKUP(SalesData[[#This Row],[Product]],Product_Master!A:A,Product_Master!B:B,"Not Found"))</f>
        <v>#NAME?</v>
      </c>
      <c r="AH639" s="19" t="str">
        <f>VLOOKUP(SalesData[[#This Row],[Product]],Product_Master!$A$1:$B$21,2,FALSE)</f>
        <v>Pooja</v>
      </c>
      <c r="AI639" s="16"/>
    </row>
    <row r="640" spans="1:35" ht="13.8">
      <c r="A640" s="16" t="s">
        <v>636</v>
      </c>
      <c r="B640" s="17">
        <v>45413</v>
      </c>
      <c r="C640" s="16" t="s">
        <v>200</v>
      </c>
      <c r="D640" s="16" t="s">
        <v>201</v>
      </c>
      <c r="E640" s="16" t="s">
        <v>172</v>
      </c>
      <c r="F640" s="16" t="s">
        <v>173</v>
      </c>
      <c r="G640" s="16" t="s">
        <v>40</v>
      </c>
      <c r="H640" s="16" t="s">
        <v>41</v>
      </c>
      <c r="I640" s="16" t="s">
        <v>42</v>
      </c>
      <c r="J640" s="16" t="s">
        <v>43</v>
      </c>
      <c r="K640" s="18">
        <v>3992.06</v>
      </c>
      <c r="L640" s="18">
        <v>1769.26</v>
      </c>
      <c r="M640" s="19">
        <v>2</v>
      </c>
      <c r="N640" s="20">
        <v>0</v>
      </c>
      <c r="O640" s="19" t="s">
        <v>136</v>
      </c>
      <c r="P640" s="19" t="s">
        <v>98</v>
      </c>
      <c r="Q640" s="19" t="str">
        <f>TRIM(SalesData[[#This Row],[Customer_Name]])</f>
        <v>Karan Mehta</v>
      </c>
      <c r="R640" s="21">
        <f>SalesData[[#This Row],[Sales]]-SalesData[[#This Row],[Cost]]</f>
        <v>2222.8000000000002</v>
      </c>
      <c r="S640" s="22">
        <f>IFERROR(SalesData[[#This Row],[Profit]]/SalesData[[#This Row],[Sales]],0)</f>
        <v>0.55680525843799944</v>
      </c>
      <c r="T640" s="19">
        <f>YEAR(SalesData[[#This Row],[Order_Date]])</f>
        <v>2024</v>
      </c>
      <c r="U640" s="19" t="str">
        <f>TEXT(SalesData[[#This Row],[Order_Date]],"mmm")</f>
        <v>May</v>
      </c>
      <c r="V640" s="19" t="str">
        <f>"Q"&amp;ROUNDUP(MONTH(SalesData[[#This Row],[Order_Date]])/3,0)</f>
        <v>Q2</v>
      </c>
      <c r="W640" s="19" t="str">
        <f>IF(SalesData[[#This Row],[Sales]]&gt;=50000,"High",IF(AND(SalesData[[#This Row],[Sales]]&gt;= 20000, SalesData[[#This Row],[Sales]]&lt; 50000),"Medium","Low"))</f>
        <v>Low</v>
      </c>
      <c r="X640" s="19" t="str">
        <f>IF(SalesData[[#This Row],[Profit]]&gt;0,"Profit","Loss")</f>
        <v>Profit</v>
      </c>
      <c r="Y640" s="19" t="str">
        <f>IF(AND(SalesData[[#This Row],[Sales]]&gt;= 50000, SalesData[[#This Row],[Quantity]]&gt;=2),"Yes","No")</f>
        <v>No</v>
      </c>
      <c r="Z640" s="19" t="str">
        <f>UPPER(SalesData[[#This Row],[Customer_Name]])</f>
        <v>KARAN MEHTA</v>
      </c>
      <c r="AA640" s="19" t="str">
        <f>LOWER(SalesData[[#This Row],[Customer_Name]])</f>
        <v>karan mehta</v>
      </c>
      <c r="AB640" s="19">
        <f>LEN(SalesData[[#This Row],[Customer_Name]])</f>
        <v>11</v>
      </c>
      <c r="AC640" s="19" t="str">
        <f>LEFT(SalesData[[#This Row],[Order_ID]],3)</f>
        <v>ORD</v>
      </c>
      <c r="AD640" s="19" t="str">
        <f>RIGHT(SalesData[[#This Row],[Order_ID]],4)</f>
        <v>0483</v>
      </c>
      <c r="AE640" s="19" t="str">
        <f>_xlfn.CONCAT(SalesData[[#This Row],[Clean_Customer_Name]],"-",SalesData[[#This Row],[Region]])</f>
        <v>Karan Mehta-East</v>
      </c>
      <c r="AF640" s="19" t="str">
        <f>MID(SalesData[[#This Row],[Order_ID]],4,4)</f>
        <v>0483</v>
      </c>
      <c r="AG640" s="19" t="e">
        <f ca="1">_xlfn.SINGLE(_xlfn.XLOOKUP(SalesData[[#This Row],[Product]],Product_Master!A:A,Product_Master!B:B,"Not Found"))</f>
        <v>#NAME?</v>
      </c>
      <c r="AH640" s="19" t="str">
        <f>VLOOKUP(SalesData[[#This Row],[Product]],Product_Master!$A$1:$B$21,2,FALSE)</f>
        <v>Pooja</v>
      </c>
      <c r="AI640" s="16"/>
    </row>
    <row r="641" spans="1:35" ht="13.8">
      <c r="A641" s="16" t="s">
        <v>842</v>
      </c>
      <c r="B641" s="17">
        <v>45460</v>
      </c>
      <c r="C641" s="16" t="s">
        <v>200</v>
      </c>
      <c r="D641" s="16" t="s">
        <v>201</v>
      </c>
      <c r="E641" s="16" t="s">
        <v>172</v>
      </c>
      <c r="F641" s="16" t="s">
        <v>173</v>
      </c>
      <c r="G641" s="16" t="s">
        <v>40</v>
      </c>
      <c r="H641" s="16" t="s">
        <v>41</v>
      </c>
      <c r="I641" s="16" t="s">
        <v>56</v>
      </c>
      <c r="J641" s="16" t="s">
        <v>57</v>
      </c>
      <c r="K641" s="18">
        <v>10447.34</v>
      </c>
      <c r="L641" s="18">
        <v>3415.44</v>
      </c>
      <c r="M641" s="19">
        <v>4</v>
      </c>
      <c r="N641" s="20">
        <v>0.05</v>
      </c>
      <c r="O641" s="19" t="s">
        <v>25</v>
      </c>
      <c r="P641" s="19" t="s">
        <v>26</v>
      </c>
      <c r="Q641" s="19" t="str">
        <f>TRIM(SalesData[[#This Row],[Customer_Name]])</f>
        <v>Karan Mehta</v>
      </c>
      <c r="R641" s="21">
        <f>SalesData[[#This Row],[Sales]]-SalesData[[#This Row],[Cost]]</f>
        <v>7031.9</v>
      </c>
      <c r="S641" s="22">
        <f>IFERROR(SalesData[[#This Row],[Profit]]/SalesData[[#This Row],[Sales]],0)</f>
        <v>0.67308042047066519</v>
      </c>
      <c r="T641" s="19">
        <f>YEAR(SalesData[[#This Row],[Order_Date]])</f>
        <v>2024</v>
      </c>
      <c r="U641" s="19" t="str">
        <f>TEXT(SalesData[[#This Row],[Order_Date]],"mmm")</f>
        <v>Jun</v>
      </c>
      <c r="V641" s="19" t="str">
        <f>"Q"&amp;ROUNDUP(MONTH(SalesData[[#This Row],[Order_Date]])/3,0)</f>
        <v>Q2</v>
      </c>
      <c r="W641" s="19" t="str">
        <f>IF(SalesData[[#This Row],[Sales]]&gt;=50000,"High",IF(AND(SalesData[[#This Row],[Sales]]&gt;= 20000, SalesData[[#This Row],[Sales]]&lt; 50000),"Medium","Low"))</f>
        <v>Low</v>
      </c>
      <c r="X641" s="19" t="str">
        <f>IF(SalesData[[#This Row],[Profit]]&gt;0,"Profit","Loss")</f>
        <v>Profit</v>
      </c>
      <c r="Y641" s="19" t="str">
        <f>IF(AND(SalesData[[#This Row],[Sales]]&gt;= 50000, SalesData[[#This Row],[Quantity]]&gt;=2),"Yes","No")</f>
        <v>No</v>
      </c>
      <c r="Z641" s="19" t="str">
        <f>UPPER(SalesData[[#This Row],[Customer_Name]])</f>
        <v>KARAN MEHTA</v>
      </c>
      <c r="AA641" s="19" t="str">
        <f>LOWER(SalesData[[#This Row],[Customer_Name]])</f>
        <v>karan mehta</v>
      </c>
      <c r="AB641" s="19">
        <f>LEN(SalesData[[#This Row],[Customer_Name]])</f>
        <v>11</v>
      </c>
      <c r="AC641" s="19" t="str">
        <f>LEFT(SalesData[[#This Row],[Order_ID]],3)</f>
        <v>ORD</v>
      </c>
      <c r="AD641" s="19" t="str">
        <f>RIGHT(SalesData[[#This Row],[Order_ID]],4)</f>
        <v>0689</v>
      </c>
      <c r="AE641" s="19" t="str">
        <f>_xlfn.CONCAT(SalesData[[#This Row],[Clean_Customer_Name]],"-",SalesData[[#This Row],[Region]])</f>
        <v>Karan Mehta-West</v>
      </c>
      <c r="AF641" s="19" t="str">
        <f>MID(SalesData[[#This Row],[Order_ID]],4,4)</f>
        <v>0689</v>
      </c>
      <c r="AG641" s="19" t="e">
        <f ca="1">_xlfn.SINGLE(_xlfn.XLOOKUP(SalesData[[#This Row],[Product]],Product_Master!A:A,Product_Master!B:B,"Not Found"))</f>
        <v>#NAME?</v>
      </c>
      <c r="AH641" s="19" t="str">
        <f>VLOOKUP(SalesData[[#This Row],[Product]],Product_Master!$A$1:$B$21,2,FALSE)</f>
        <v>Pooja</v>
      </c>
      <c r="AI641" s="16"/>
    </row>
    <row r="642" spans="1:35" ht="13.8">
      <c r="A642" s="16" t="s">
        <v>434</v>
      </c>
      <c r="B642" s="17">
        <v>45590</v>
      </c>
      <c r="C642" s="16" t="s">
        <v>200</v>
      </c>
      <c r="D642" s="16" t="s">
        <v>201</v>
      </c>
      <c r="E642" s="16" t="s">
        <v>106</v>
      </c>
      <c r="F642" s="16" t="s">
        <v>107</v>
      </c>
      <c r="G642" s="16" t="s">
        <v>40</v>
      </c>
      <c r="H642" s="16" t="s">
        <v>108</v>
      </c>
      <c r="I642" s="16" t="s">
        <v>84</v>
      </c>
      <c r="J642" s="16" t="s">
        <v>134</v>
      </c>
      <c r="K642" s="18">
        <v>9073.2199999999993</v>
      </c>
      <c r="L642" s="18">
        <v>3061.96</v>
      </c>
      <c r="M642" s="19">
        <v>4</v>
      </c>
      <c r="N642" s="20">
        <v>0.1</v>
      </c>
      <c r="O642" s="19" t="s">
        <v>136</v>
      </c>
      <c r="P642" s="19" t="s">
        <v>45</v>
      </c>
      <c r="Q642" s="19" t="str">
        <f>TRIM(SalesData[[#This Row],[Customer_Name]])</f>
        <v>Karan Mehta</v>
      </c>
      <c r="R642" s="21">
        <f>SalesData[[#This Row],[Sales]]-SalesData[[#This Row],[Cost]]</f>
        <v>6011.2599999999993</v>
      </c>
      <c r="S642" s="22">
        <f>IFERROR(SalesData[[#This Row],[Profit]]/SalesData[[#This Row],[Sales]],0)</f>
        <v>0.6625277464891185</v>
      </c>
      <c r="T642" s="19">
        <f>YEAR(SalesData[[#This Row],[Order_Date]])</f>
        <v>2024</v>
      </c>
      <c r="U642" s="19" t="str">
        <f>TEXT(SalesData[[#This Row],[Order_Date]],"mmm")</f>
        <v>Oct</v>
      </c>
      <c r="V642" s="19" t="str">
        <f>"Q"&amp;ROUNDUP(MONTH(SalesData[[#This Row],[Order_Date]])/3,0)</f>
        <v>Q4</v>
      </c>
      <c r="W642" s="19" t="str">
        <f>IF(SalesData[[#This Row],[Sales]]&gt;=50000,"High",IF(AND(SalesData[[#This Row],[Sales]]&gt;= 20000, SalesData[[#This Row],[Sales]]&lt; 50000),"Medium","Low"))</f>
        <v>Low</v>
      </c>
      <c r="X642" s="19" t="str">
        <f>IF(SalesData[[#This Row],[Profit]]&gt;0,"Profit","Loss")</f>
        <v>Profit</v>
      </c>
      <c r="Y642" s="19" t="str">
        <f>IF(AND(SalesData[[#This Row],[Sales]]&gt;= 50000, SalesData[[#This Row],[Quantity]]&gt;=2),"Yes","No")</f>
        <v>No</v>
      </c>
      <c r="Z642" s="19" t="str">
        <f>UPPER(SalesData[[#This Row],[Customer_Name]])</f>
        <v>KARAN MEHTA</v>
      </c>
      <c r="AA642" s="19" t="str">
        <f>LOWER(SalesData[[#This Row],[Customer_Name]])</f>
        <v>karan mehta</v>
      </c>
      <c r="AB642" s="19">
        <f>LEN(SalesData[[#This Row],[Customer_Name]])</f>
        <v>11</v>
      </c>
      <c r="AC642" s="19" t="str">
        <f>LEFT(SalesData[[#This Row],[Order_ID]],3)</f>
        <v>ORD</v>
      </c>
      <c r="AD642" s="19" t="str">
        <f>RIGHT(SalesData[[#This Row],[Order_ID]],4)</f>
        <v>0281</v>
      </c>
      <c r="AE642" s="19" t="str">
        <f>_xlfn.CONCAT(SalesData[[#This Row],[Clean_Customer_Name]],"-",SalesData[[#This Row],[Region]])</f>
        <v>Karan Mehta-South</v>
      </c>
      <c r="AF642" s="19" t="str">
        <f>MID(SalesData[[#This Row],[Order_ID]],4,4)</f>
        <v>0281</v>
      </c>
      <c r="AG642" s="19" t="e">
        <f ca="1">_xlfn.SINGLE(_xlfn.XLOOKUP(SalesData[[#This Row],[Product]],Product_Master!A:A,Product_Master!B:B,"Not Found"))</f>
        <v>#NAME?</v>
      </c>
      <c r="AH642" s="19" t="str">
        <f>VLOOKUP(SalesData[[#This Row],[Product]],Product_Master!$A$1:$B$21,2,FALSE)</f>
        <v>Aditya</v>
      </c>
      <c r="AI642" s="16"/>
    </row>
    <row r="643" spans="1:35" ht="13.8">
      <c r="A643" s="16" t="s">
        <v>652</v>
      </c>
      <c r="B643" s="17">
        <v>45297</v>
      </c>
      <c r="C643" s="16" t="s">
        <v>200</v>
      </c>
      <c r="D643" s="16" t="s">
        <v>201</v>
      </c>
      <c r="E643" s="16" t="s">
        <v>106</v>
      </c>
      <c r="F643" s="16" t="s">
        <v>107</v>
      </c>
      <c r="G643" s="16" t="s">
        <v>40</v>
      </c>
      <c r="H643" s="16" t="s">
        <v>108</v>
      </c>
      <c r="I643" s="16" t="s">
        <v>42</v>
      </c>
      <c r="J643" s="16" t="s">
        <v>68</v>
      </c>
      <c r="K643" s="18">
        <v>1470.14</v>
      </c>
      <c r="L643" s="18">
        <v>745.26</v>
      </c>
      <c r="M643" s="19">
        <v>1</v>
      </c>
      <c r="N643" s="20">
        <v>0.2</v>
      </c>
      <c r="O643" s="19" t="s">
        <v>136</v>
      </c>
      <c r="P643" s="19" t="s">
        <v>58</v>
      </c>
      <c r="Q643" s="19" t="str">
        <f>TRIM(SalesData[[#This Row],[Customer_Name]])</f>
        <v>Karan Mehta</v>
      </c>
      <c r="R643" s="21">
        <f>SalesData[[#This Row],[Sales]]-SalesData[[#This Row],[Cost]]</f>
        <v>724.88000000000011</v>
      </c>
      <c r="S643" s="22">
        <f>IFERROR(SalesData[[#This Row],[Profit]]/SalesData[[#This Row],[Sales]],0)</f>
        <v>0.49306868733590004</v>
      </c>
      <c r="T643" s="19">
        <f>YEAR(SalesData[[#This Row],[Order_Date]])</f>
        <v>2024</v>
      </c>
      <c r="U643" s="19" t="str">
        <f>TEXT(SalesData[[#This Row],[Order_Date]],"mmm")</f>
        <v>Jan</v>
      </c>
      <c r="V643" s="19" t="str">
        <f>"Q"&amp;ROUNDUP(MONTH(SalesData[[#This Row],[Order_Date]])/3,0)</f>
        <v>Q1</v>
      </c>
      <c r="W643" s="19" t="str">
        <f>IF(SalesData[[#This Row],[Sales]]&gt;=50000,"High",IF(AND(SalesData[[#This Row],[Sales]]&gt;= 20000, SalesData[[#This Row],[Sales]]&lt; 50000),"Medium","Low"))</f>
        <v>Low</v>
      </c>
      <c r="X643" s="19" t="str">
        <f>IF(SalesData[[#This Row],[Profit]]&gt;0,"Profit","Loss")</f>
        <v>Profit</v>
      </c>
      <c r="Y643" s="19" t="str">
        <f>IF(AND(SalesData[[#This Row],[Sales]]&gt;= 50000, SalesData[[#This Row],[Quantity]]&gt;=2),"Yes","No")</f>
        <v>No</v>
      </c>
      <c r="Z643" s="19" t="str">
        <f>UPPER(SalesData[[#This Row],[Customer_Name]])</f>
        <v>KARAN MEHTA</v>
      </c>
      <c r="AA643" s="19" t="str">
        <f>LOWER(SalesData[[#This Row],[Customer_Name]])</f>
        <v>karan mehta</v>
      </c>
      <c r="AB643" s="19">
        <f>LEN(SalesData[[#This Row],[Customer_Name]])</f>
        <v>11</v>
      </c>
      <c r="AC643" s="19" t="str">
        <f>LEFT(SalesData[[#This Row],[Order_ID]],3)</f>
        <v>ORD</v>
      </c>
      <c r="AD643" s="19" t="str">
        <f>RIGHT(SalesData[[#This Row],[Order_ID]],4)</f>
        <v>0499</v>
      </c>
      <c r="AE643" s="19" t="str">
        <f>_xlfn.CONCAT(SalesData[[#This Row],[Clean_Customer_Name]],"-",SalesData[[#This Row],[Region]])</f>
        <v>Karan Mehta-East</v>
      </c>
      <c r="AF643" s="19" t="str">
        <f>MID(SalesData[[#This Row],[Order_ID]],4,4)</f>
        <v>0499</v>
      </c>
      <c r="AG643" s="19" t="e">
        <f ca="1">_xlfn.SINGLE(_xlfn.XLOOKUP(SalesData[[#This Row],[Product]],Product_Master!A:A,Product_Master!B:B,"Not Found"))</f>
        <v>#NAME?</v>
      </c>
      <c r="AH643" s="19" t="str">
        <f>VLOOKUP(SalesData[[#This Row],[Product]],Product_Master!$A$1:$B$21,2,FALSE)</f>
        <v>Aditya</v>
      </c>
      <c r="AI643" s="16"/>
    </row>
    <row r="644" spans="1:35" ht="13.8">
      <c r="A644" s="16" t="s">
        <v>915</v>
      </c>
      <c r="B644" s="17">
        <v>45987</v>
      </c>
      <c r="C644" s="16" t="s">
        <v>200</v>
      </c>
      <c r="D644" s="16" t="s">
        <v>201</v>
      </c>
      <c r="E644" s="16" t="s">
        <v>106</v>
      </c>
      <c r="F644" s="16" t="s">
        <v>107</v>
      </c>
      <c r="G644" s="16" t="s">
        <v>40</v>
      </c>
      <c r="H644" s="16" t="s">
        <v>108</v>
      </c>
      <c r="I644" s="16" t="s">
        <v>42</v>
      </c>
      <c r="J644" s="16" t="s">
        <v>43</v>
      </c>
      <c r="K644" s="18">
        <v>6504.99</v>
      </c>
      <c r="L644" s="18">
        <v>1954.14</v>
      </c>
      <c r="M644" s="19">
        <v>3</v>
      </c>
      <c r="N644" s="20">
        <v>0</v>
      </c>
      <c r="O644" s="19" t="s">
        <v>25</v>
      </c>
      <c r="P644" s="19" t="s">
        <v>98</v>
      </c>
      <c r="Q644" s="19" t="str">
        <f>TRIM(SalesData[[#This Row],[Customer_Name]])</f>
        <v>Karan Mehta</v>
      </c>
      <c r="R644" s="21">
        <f>SalesData[[#This Row],[Sales]]-SalesData[[#This Row],[Cost]]</f>
        <v>4550.8499999999995</v>
      </c>
      <c r="S644" s="22">
        <f>IFERROR(SalesData[[#This Row],[Profit]]/SalesData[[#This Row],[Sales]],0)</f>
        <v>0.699593696531432</v>
      </c>
      <c r="T644" s="19">
        <f>YEAR(SalesData[[#This Row],[Order_Date]])</f>
        <v>2025</v>
      </c>
      <c r="U644" s="19" t="str">
        <f>TEXT(SalesData[[#This Row],[Order_Date]],"mmm")</f>
        <v>Nov</v>
      </c>
      <c r="V644" s="19" t="str">
        <f>"Q"&amp;ROUNDUP(MONTH(SalesData[[#This Row],[Order_Date]])/3,0)</f>
        <v>Q4</v>
      </c>
      <c r="W644" s="19" t="str">
        <f>IF(SalesData[[#This Row],[Sales]]&gt;=50000,"High",IF(AND(SalesData[[#This Row],[Sales]]&gt;= 20000, SalesData[[#This Row],[Sales]]&lt; 50000),"Medium","Low"))</f>
        <v>Low</v>
      </c>
      <c r="X644" s="19" t="str">
        <f>IF(SalesData[[#This Row],[Profit]]&gt;0,"Profit","Loss")</f>
        <v>Profit</v>
      </c>
      <c r="Y644" s="19" t="str">
        <f>IF(AND(SalesData[[#This Row],[Sales]]&gt;= 50000, SalesData[[#This Row],[Quantity]]&gt;=2),"Yes","No")</f>
        <v>No</v>
      </c>
      <c r="Z644" s="19" t="str">
        <f>UPPER(SalesData[[#This Row],[Customer_Name]])</f>
        <v>KARAN MEHTA</v>
      </c>
      <c r="AA644" s="19" t="str">
        <f>LOWER(SalesData[[#This Row],[Customer_Name]])</f>
        <v>karan mehta</v>
      </c>
      <c r="AB644" s="19">
        <f>LEN(SalesData[[#This Row],[Customer_Name]])</f>
        <v>11</v>
      </c>
      <c r="AC644" s="19" t="str">
        <f>LEFT(SalesData[[#This Row],[Order_ID]],3)</f>
        <v>ORD</v>
      </c>
      <c r="AD644" s="19" t="str">
        <f>RIGHT(SalesData[[#This Row],[Order_ID]],4)</f>
        <v>0762</v>
      </c>
      <c r="AE644" s="19" t="str">
        <f>_xlfn.CONCAT(SalesData[[#This Row],[Clean_Customer_Name]],"-",SalesData[[#This Row],[Region]])</f>
        <v>Karan Mehta-East</v>
      </c>
      <c r="AF644" s="19" t="str">
        <f>MID(SalesData[[#This Row],[Order_ID]],4,4)</f>
        <v>0762</v>
      </c>
      <c r="AG644" s="19" t="e">
        <f ca="1">_xlfn.SINGLE(_xlfn.XLOOKUP(SalesData[[#This Row],[Product]],Product_Master!A:A,Product_Master!B:B,"Not Found"))</f>
        <v>#NAME?</v>
      </c>
      <c r="AH644" s="19" t="str">
        <f>VLOOKUP(SalesData[[#This Row],[Product]],Product_Master!$A$1:$B$21,2,FALSE)</f>
        <v>Aditya</v>
      </c>
      <c r="AI644" s="16"/>
    </row>
    <row r="645" spans="1:35" ht="13.8">
      <c r="A645" s="16" t="s">
        <v>673</v>
      </c>
      <c r="B645" s="17">
        <v>45429</v>
      </c>
      <c r="C645" s="16" t="s">
        <v>200</v>
      </c>
      <c r="D645" s="16" t="s">
        <v>201</v>
      </c>
      <c r="E645" s="16" t="s">
        <v>132</v>
      </c>
      <c r="F645" s="16" t="s">
        <v>133</v>
      </c>
      <c r="G645" s="16" t="s">
        <v>40</v>
      </c>
      <c r="H645" s="16" t="s">
        <v>41</v>
      </c>
      <c r="I645" s="16" t="s">
        <v>56</v>
      </c>
      <c r="J645" s="16" t="s">
        <v>191</v>
      </c>
      <c r="K645" s="18">
        <v>2628.07</v>
      </c>
      <c r="L645" s="18">
        <v>1258.5</v>
      </c>
      <c r="M645" s="19">
        <v>5</v>
      </c>
      <c r="N645" s="20">
        <v>0.15</v>
      </c>
      <c r="O645" s="19" t="s">
        <v>44</v>
      </c>
      <c r="P645" s="19" t="s">
        <v>45</v>
      </c>
      <c r="Q645" s="19" t="str">
        <f>TRIM(SalesData[[#This Row],[Customer_Name]])</f>
        <v>Karan Mehta</v>
      </c>
      <c r="R645" s="21">
        <f>SalesData[[#This Row],[Sales]]-SalesData[[#This Row],[Cost]]</f>
        <v>1369.5700000000002</v>
      </c>
      <c r="S645" s="22">
        <f>IFERROR(SalesData[[#This Row],[Profit]]/SalesData[[#This Row],[Sales]],0)</f>
        <v>0.52113147671104654</v>
      </c>
      <c r="T645" s="19">
        <f>YEAR(SalesData[[#This Row],[Order_Date]])</f>
        <v>2024</v>
      </c>
      <c r="U645" s="19" t="str">
        <f>TEXT(SalesData[[#This Row],[Order_Date]],"mmm")</f>
        <v>May</v>
      </c>
      <c r="V645" s="19" t="str">
        <f>"Q"&amp;ROUNDUP(MONTH(SalesData[[#This Row],[Order_Date]])/3,0)</f>
        <v>Q2</v>
      </c>
      <c r="W645" s="19" t="str">
        <f>IF(SalesData[[#This Row],[Sales]]&gt;=50000,"High",IF(AND(SalesData[[#This Row],[Sales]]&gt;= 20000, SalesData[[#This Row],[Sales]]&lt; 50000),"Medium","Low"))</f>
        <v>Low</v>
      </c>
      <c r="X645" s="19" t="str">
        <f>IF(SalesData[[#This Row],[Profit]]&gt;0,"Profit","Loss")</f>
        <v>Profit</v>
      </c>
      <c r="Y645" s="19" t="str">
        <f>IF(AND(SalesData[[#This Row],[Sales]]&gt;= 50000, SalesData[[#This Row],[Quantity]]&gt;=2),"Yes","No")</f>
        <v>No</v>
      </c>
      <c r="Z645" s="19" t="str">
        <f>UPPER(SalesData[[#This Row],[Customer_Name]])</f>
        <v>KARAN MEHTA</v>
      </c>
      <c r="AA645" s="19" t="str">
        <f>LOWER(SalesData[[#This Row],[Customer_Name]])</f>
        <v>karan mehta</v>
      </c>
      <c r="AB645" s="19">
        <f>LEN(SalesData[[#This Row],[Customer_Name]])</f>
        <v>11</v>
      </c>
      <c r="AC645" s="19" t="str">
        <f>LEFT(SalesData[[#This Row],[Order_ID]],3)</f>
        <v>ORD</v>
      </c>
      <c r="AD645" s="19" t="str">
        <f>RIGHT(SalesData[[#This Row],[Order_ID]],4)</f>
        <v>0520</v>
      </c>
      <c r="AE645" s="19" t="str">
        <f>_xlfn.CONCAT(SalesData[[#This Row],[Clean_Customer_Name]],"-",SalesData[[#This Row],[Region]])</f>
        <v>Karan Mehta-West</v>
      </c>
      <c r="AF645" s="19" t="str">
        <f>MID(SalesData[[#This Row],[Order_ID]],4,4)</f>
        <v>0520</v>
      </c>
      <c r="AG645" s="19" t="e">
        <f ca="1">_xlfn.SINGLE(_xlfn.XLOOKUP(SalesData[[#This Row],[Product]],Product_Master!A:A,Product_Master!B:B,"Not Found"))</f>
        <v>#NAME?</v>
      </c>
      <c r="AH645" s="19" t="str">
        <f>VLOOKUP(SalesData[[#This Row],[Product]],Product_Master!$A$1:$B$21,2,FALSE)</f>
        <v>Kavya</v>
      </c>
      <c r="AI645" s="16"/>
    </row>
    <row r="646" spans="1:35" ht="13.8">
      <c r="A646" s="16" t="s">
        <v>885</v>
      </c>
      <c r="B646" s="17">
        <v>45716</v>
      </c>
      <c r="C646" s="16" t="s">
        <v>200</v>
      </c>
      <c r="D646" s="16" t="s">
        <v>201</v>
      </c>
      <c r="E646" s="16" t="s">
        <v>132</v>
      </c>
      <c r="F646" s="16" t="s">
        <v>133</v>
      </c>
      <c r="G646" s="16" t="s">
        <v>40</v>
      </c>
      <c r="H646" s="16" t="s">
        <v>41</v>
      </c>
      <c r="I646" s="16" t="s">
        <v>42</v>
      </c>
      <c r="J646" s="16" t="s">
        <v>162</v>
      </c>
      <c r="K646" s="18">
        <v>1630.67</v>
      </c>
      <c r="L646" s="18">
        <v>533.55999999999995</v>
      </c>
      <c r="M646" s="19">
        <v>2</v>
      </c>
      <c r="N646" s="20">
        <v>0.05</v>
      </c>
      <c r="O646" s="19" t="s">
        <v>76</v>
      </c>
      <c r="P646" s="19" t="s">
        <v>45</v>
      </c>
      <c r="Q646" s="19" t="str">
        <f>TRIM(SalesData[[#This Row],[Customer_Name]])</f>
        <v>Karan Mehta</v>
      </c>
      <c r="R646" s="21">
        <f>SalesData[[#This Row],[Sales]]-SalesData[[#This Row],[Cost]]</f>
        <v>1097.1100000000001</v>
      </c>
      <c r="S646" s="22">
        <f>IFERROR(SalesData[[#This Row],[Profit]]/SalesData[[#This Row],[Sales]],0)</f>
        <v>0.67279707114253651</v>
      </c>
      <c r="T646" s="19">
        <f>YEAR(SalesData[[#This Row],[Order_Date]])</f>
        <v>2025</v>
      </c>
      <c r="U646" s="19" t="str">
        <f>TEXT(SalesData[[#This Row],[Order_Date]],"mmm")</f>
        <v>Feb</v>
      </c>
      <c r="V646" s="19" t="str">
        <f>"Q"&amp;ROUNDUP(MONTH(SalesData[[#This Row],[Order_Date]])/3,0)</f>
        <v>Q1</v>
      </c>
      <c r="W646" s="19" t="str">
        <f>IF(SalesData[[#This Row],[Sales]]&gt;=50000,"High",IF(AND(SalesData[[#This Row],[Sales]]&gt;= 20000, SalesData[[#This Row],[Sales]]&lt; 50000),"Medium","Low"))</f>
        <v>Low</v>
      </c>
      <c r="X646" s="19" t="str">
        <f>IF(SalesData[[#This Row],[Profit]]&gt;0,"Profit","Loss")</f>
        <v>Profit</v>
      </c>
      <c r="Y646" s="19" t="str">
        <f>IF(AND(SalesData[[#This Row],[Sales]]&gt;= 50000, SalesData[[#This Row],[Quantity]]&gt;=2),"Yes","No")</f>
        <v>No</v>
      </c>
      <c r="Z646" s="19" t="str">
        <f>UPPER(SalesData[[#This Row],[Customer_Name]])</f>
        <v>KARAN MEHTA</v>
      </c>
      <c r="AA646" s="19" t="str">
        <f>LOWER(SalesData[[#This Row],[Customer_Name]])</f>
        <v>karan mehta</v>
      </c>
      <c r="AB646" s="19">
        <f>LEN(SalesData[[#This Row],[Customer_Name]])</f>
        <v>11</v>
      </c>
      <c r="AC646" s="19" t="str">
        <f>LEFT(SalesData[[#This Row],[Order_ID]],3)</f>
        <v>ORD</v>
      </c>
      <c r="AD646" s="19" t="str">
        <f>RIGHT(SalesData[[#This Row],[Order_ID]],4)</f>
        <v>0732</v>
      </c>
      <c r="AE646" s="19" t="str">
        <f>_xlfn.CONCAT(SalesData[[#This Row],[Clean_Customer_Name]],"-",SalesData[[#This Row],[Region]])</f>
        <v>Karan Mehta-East</v>
      </c>
      <c r="AF646" s="19" t="str">
        <f>MID(SalesData[[#This Row],[Order_ID]],4,4)</f>
        <v>0732</v>
      </c>
      <c r="AG646" s="19" t="e">
        <f ca="1">_xlfn.SINGLE(_xlfn.XLOOKUP(SalesData[[#This Row],[Product]],Product_Master!A:A,Product_Master!B:B,"Not Found"))</f>
        <v>#NAME?</v>
      </c>
      <c r="AH646" s="19" t="str">
        <f>VLOOKUP(SalesData[[#This Row],[Product]],Product_Master!$A$1:$B$21,2,FALSE)</f>
        <v>Kavya</v>
      </c>
      <c r="AI646" s="16"/>
    </row>
    <row r="647" spans="1:35" ht="13.8">
      <c r="A647" s="16" t="s">
        <v>1029</v>
      </c>
      <c r="B647" s="17">
        <v>45832</v>
      </c>
      <c r="C647" s="16" t="s">
        <v>200</v>
      </c>
      <c r="D647" s="16" t="s">
        <v>201</v>
      </c>
      <c r="E647" s="16" t="s">
        <v>132</v>
      </c>
      <c r="F647" s="16" t="s">
        <v>133</v>
      </c>
      <c r="G647" s="16" t="s">
        <v>40</v>
      </c>
      <c r="H647" s="16" t="s">
        <v>41</v>
      </c>
      <c r="I647" s="16" t="s">
        <v>23</v>
      </c>
      <c r="J647" s="16" t="s">
        <v>24</v>
      </c>
      <c r="K647" s="18">
        <v>1282.1099999999999</v>
      </c>
      <c r="L647" s="18">
        <v>732.3</v>
      </c>
      <c r="M647" s="19">
        <v>3</v>
      </c>
      <c r="N647" s="20">
        <v>0</v>
      </c>
      <c r="O647" s="19" t="s">
        <v>34</v>
      </c>
      <c r="P647" s="19" t="s">
        <v>58</v>
      </c>
      <c r="Q647" s="19" t="str">
        <f>TRIM(SalesData[[#This Row],[Customer_Name]])</f>
        <v>Karan Mehta</v>
      </c>
      <c r="R647" s="21">
        <f>SalesData[[#This Row],[Sales]]-SalesData[[#This Row],[Cost]]</f>
        <v>549.80999999999995</v>
      </c>
      <c r="S647" s="22">
        <f>IFERROR(SalesData[[#This Row],[Profit]]/SalesData[[#This Row],[Sales]],0)</f>
        <v>0.42883215948709547</v>
      </c>
      <c r="T647" s="19">
        <f>YEAR(SalesData[[#This Row],[Order_Date]])</f>
        <v>2025</v>
      </c>
      <c r="U647" s="19" t="str">
        <f>TEXT(SalesData[[#This Row],[Order_Date]],"mmm")</f>
        <v>Jun</v>
      </c>
      <c r="V647" s="19" t="str">
        <f>"Q"&amp;ROUNDUP(MONTH(SalesData[[#This Row],[Order_Date]])/3,0)</f>
        <v>Q2</v>
      </c>
      <c r="W647" s="19" t="str">
        <f>IF(SalesData[[#This Row],[Sales]]&gt;=50000,"High",IF(AND(SalesData[[#This Row],[Sales]]&gt;= 20000, SalesData[[#This Row],[Sales]]&lt; 50000),"Medium","Low"))</f>
        <v>Low</v>
      </c>
      <c r="X647" s="19" t="str">
        <f>IF(SalesData[[#This Row],[Profit]]&gt;0,"Profit","Loss")</f>
        <v>Profit</v>
      </c>
      <c r="Y647" s="19" t="str">
        <f>IF(AND(SalesData[[#This Row],[Sales]]&gt;= 50000, SalesData[[#This Row],[Quantity]]&gt;=2),"Yes","No")</f>
        <v>No</v>
      </c>
      <c r="Z647" s="19" t="str">
        <f>UPPER(SalesData[[#This Row],[Customer_Name]])</f>
        <v>KARAN MEHTA</v>
      </c>
      <c r="AA647" s="19" t="str">
        <f>LOWER(SalesData[[#This Row],[Customer_Name]])</f>
        <v>karan mehta</v>
      </c>
      <c r="AB647" s="19">
        <f>LEN(SalesData[[#This Row],[Customer_Name]])</f>
        <v>11</v>
      </c>
      <c r="AC647" s="19" t="str">
        <f>LEFT(SalesData[[#This Row],[Order_ID]],3)</f>
        <v>ORD</v>
      </c>
      <c r="AD647" s="19" t="str">
        <f>RIGHT(SalesData[[#This Row],[Order_ID]],4)</f>
        <v>0876</v>
      </c>
      <c r="AE647" s="19" t="str">
        <f>_xlfn.CONCAT(SalesData[[#This Row],[Clean_Customer_Name]],"-",SalesData[[#This Row],[Region]])</f>
        <v>Karan Mehta-North</v>
      </c>
      <c r="AF647" s="19" t="str">
        <f>MID(SalesData[[#This Row],[Order_ID]],4,4)</f>
        <v>0876</v>
      </c>
      <c r="AG647" s="19" t="e">
        <f ca="1">_xlfn.SINGLE(_xlfn.XLOOKUP(SalesData[[#This Row],[Product]],Product_Master!A:A,Product_Master!B:B,"Not Found"))</f>
        <v>#NAME?</v>
      </c>
      <c r="AH647" s="19" t="str">
        <f>VLOOKUP(SalesData[[#This Row],[Product]],Product_Master!$A$1:$B$21,2,FALSE)</f>
        <v>Kavya</v>
      </c>
      <c r="AI647" s="16"/>
    </row>
    <row r="648" spans="1:35" ht="13.8">
      <c r="A648" s="16" t="s">
        <v>466</v>
      </c>
      <c r="B648" s="17">
        <v>45292</v>
      </c>
      <c r="C648" s="16" t="s">
        <v>200</v>
      </c>
      <c r="D648" s="16" t="s">
        <v>201</v>
      </c>
      <c r="E648" s="16" t="s">
        <v>38</v>
      </c>
      <c r="F648" s="16" t="s">
        <v>39</v>
      </c>
      <c r="G648" s="16" t="s">
        <v>40</v>
      </c>
      <c r="H648" s="16" t="s">
        <v>41</v>
      </c>
      <c r="I648" s="16" t="s">
        <v>56</v>
      </c>
      <c r="J648" s="16" t="s">
        <v>191</v>
      </c>
      <c r="K648" s="18">
        <v>6466.65</v>
      </c>
      <c r="L648" s="18">
        <v>1880.92</v>
      </c>
      <c r="M648" s="19">
        <v>4</v>
      </c>
      <c r="N648" s="20">
        <v>0.05</v>
      </c>
      <c r="O648" s="19" t="s">
        <v>44</v>
      </c>
      <c r="P648" s="19" t="s">
        <v>58</v>
      </c>
      <c r="Q648" s="19" t="str">
        <f>TRIM(SalesData[[#This Row],[Customer_Name]])</f>
        <v>Karan Mehta</v>
      </c>
      <c r="R648" s="21">
        <f>SalesData[[#This Row],[Sales]]-SalesData[[#This Row],[Cost]]</f>
        <v>4585.7299999999996</v>
      </c>
      <c r="S648" s="22">
        <f>IFERROR(SalesData[[#This Row],[Profit]]/SalesData[[#This Row],[Sales]],0)</f>
        <v>0.70913533282302266</v>
      </c>
      <c r="T648" s="19">
        <f>YEAR(SalesData[[#This Row],[Order_Date]])</f>
        <v>2024</v>
      </c>
      <c r="U648" s="19" t="str">
        <f>TEXT(SalesData[[#This Row],[Order_Date]],"mmm")</f>
        <v>Jan</v>
      </c>
      <c r="V648" s="19" t="str">
        <f>"Q"&amp;ROUNDUP(MONTH(SalesData[[#This Row],[Order_Date]])/3,0)</f>
        <v>Q1</v>
      </c>
      <c r="W648" s="19" t="str">
        <f>IF(SalesData[[#This Row],[Sales]]&gt;=50000,"High",IF(AND(SalesData[[#This Row],[Sales]]&gt;= 20000, SalesData[[#This Row],[Sales]]&lt; 50000),"Medium","Low"))</f>
        <v>Low</v>
      </c>
      <c r="X648" s="19" t="str">
        <f>IF(SalesData[[#This Row],[Profit]]&gt;0,"Profit","Loss")</f>
        <v>Profit</v>
      </c>
      <c r="Y648" s="19" t="str">
        <f>IF(AND(SalesData[[#This Row],[Sales]]&gt;= 50000, SalesData[[#This Row],[Quantity]]&gt;=2),"Yes","No")</f>
        <v>No</v>
      </c>
      <c r="Z648" s="19" t="str">
        <f>UPPER(SalesData[[#This Row],[Customer_Name]])</f>
        <v>KARAN MEHTA</v>
      </c>
      <c r="AA648" s="19" t="str">
        <f>LOWER(SalesData[[#This Row],[Customer_Name]])</f>
        <v>karan mehta</v>
      </c>
      <c r="AB648" s="19">
        <f>LEN(SalesData[[#This Row],[Customer_Name]])</f>
        <v>11</v>
      </c>
      <c r="AC648" s="19" t="str">
        <f>LEFT(SalesData[[#This Row],[Order_ID]],3)</f>
        <v>ORD</v>
      </c>
      <c r="AD648" s="19" t="str">
        <f>RIGHT(SalesData[[#This Row],[Order_ID]],4)</f>
        <v>0313</v>
      </c>
      <c r="AE648" s="19" t="str">
        <f>_xlfn.CONCAT(SalesData[[#This Row],[Clean_Customer_Name]],"-",SalesData[[#This Row],[Region]])</f>
        <v>Karan Mehta-West</v>
      </c>
      <c r="AF648" s="19" t="str">
        <f>MID(SalesData[[#This Row],[Order_ID]],4,4)</f>
        <v>0313</v>
      </c>
      <c r="AG648" s="19" t="e">
        <f ca="1">_xlfn.SINGLE(_xlfn.XLOOKUP(SalesData[[#This Row],[Product]],Product_Master!A:A,Product_Master!B:B,"Not Found"))</f>
        <v>#NAME?</v>
      </c>
      <c r="AH648" s="19" t="str">
        <f>VLOOKUP(SalesData[[#This Row],[Product]],Product_Master!$A$1:$B$21,2,FALSE)</f>
        <v>Manish</v>
      </c>
      <c r="AI648" s="16"/>
    </row>
    <row r="649" spans="1:35" ht="13.8">
      <c r="A649" s="16" t="s">
        <v>946</v>
      </c>
      <c r="B649" s="17">
        <v>45616</v>
      </c>
      <c r="C649" s="16" t="s">
        <v>200</v>
      </c>
      <c r="D649" s="16" t="s">
        <v>201</v>
      </c>
      <c r="E649" s="16" t="s">
        <v>38</v>
      </c>
      <c r="F649" s="16" t="s">
        <v>39</v>
      </c>
      <c r="G649" s="16" t="s">
        <v>40</v>
      </c>
      <c r="H649" s="16" t="s">
        <v>41</v>
      </c>
      <c r="I649" s="16" t="s">
        <v>42</v>
      </c>
      <c r="J649" s="16" t="s">
        <v>68</v>
      </c>
      <c r="K649" s="18">
        <v>4153.84</v>
      </c>
      <c r="L649" s="18">
        <v>2115.7199999999998</v>
      </c>
      <c r="M649" s="19">
        <v>4</v>
      </c>
      <c r="N649" s="20">
        <v>0</v>
      </c>
      <c r="O649" s="19" t="s">
        <v>136</v>
      </c>
      <c r="P649" s="19" t="s">
        <v>98</v>
      </c>
      <c r="Q649" s="19" t="str">
        <f>TRIM(SalesData[[#This Row],[Customer_Name]])</f>
        <v>Karan Mehta</v>
      </c>
      <c r="R649" s="21">
        <f>SalesData[[#This Row],[Sales]]-SalesData[[#This Row],[Cost]]</f>
        <v>2038.1200000000003</v>
      </c>
      <c r="S649" s="22">
        <f>IFERROR(SalesData[[#This Row],[Profit]]/SalesData[[#This Row],[Sales]],0)</f>
        <v>0.4906592454211044</v>
      </c>
      <c r="T649" s="19">
        <f>YEAR(SalesData[[#This Row],[Order_Date]])</f>
        <v>2024</v>
      </c>
      <c r="U649" s="19" t="str">
        <f>TEXT(SalesData[[#This Row],[Order_Date]],"mmm")</f>
        <v>Nov</v>
      </c>
      <c r="V649" s="19" t="str">
        <f>"Q"&amp;ROUNDUP(MONTH(SalesData[[#This Row],[Order_Date]])/3,0)</f>
        <v>Q4</v>
      </c>
      <c r="W649" s="19" t="str">
        <f>IF(SalesData[[#This Row],[Sales]]&gt;=50000,"High",IF(AND(SalesData[[#This Row],[Sales]]&gt;= 20000, SalesData[[#This Row],[Sales]]&lt; 50000),"Medium","Low"))</f>
        <v>Low</v>
      </c>
      <c r="X649" s="19" t="str">
        <f>IF(SalesData[[#This Row],[Profit]]&gt;0,"Profit","Loss")</f>
        <v>Profit</v>
      </c>
      <c r="Y649" s="19" t="str">
        <f>IF(AND(SalesData[[#This Row],[Sales]]&gt;= 50000, SalesData[[#This Row],[Quantity]]&gt;=2),"Yes","No")</f>
        <v>No</v>
      </c>
      <c r="Z649" s="19" t="str">
        <f>UPPER(SalesData[[#This Row],[Customer_Name]])</f>
        <v>KARAN MEHTA</v>
      </c>
      <c r="AA649" s="19" t="str">
        <f>LOWER(SalesData[[#This Row],[Customer_Name]])</f>
        <v>karan mehta</v>
      </c>
      <c r="AB649" s="19">
        <f>LEN(SalesData[[#This Row],[Customer_Name]])</f>
        <v>11</v>
      </c>
      <c r="AC649" s="19" t="str">
        <f>LEFT(SalesData[[#This Row],[Order_ID]],3)</f>
        <v>ORD</v>
      </c>
      <c r="AD649" s="19" t="str">
        <f>RIGHT(SalesData[[#This Row],[Order_ID]],4)</f>
        <v>0793</v>
      </c>
      <c r="AE649" s="19" t="str">
        <f>_xlfn.CONCAT(SalesData[[#This Row],[Clean_Customer_Name]],"-",SalesData[[#This Row],[Region]])</f>
        <v>Karan Mehta-East</v>
      </c>
      <c r="AF649" s="19" t="str">
        <f>MID(SalesData[[#This Row],[Order_ID]],4,4)</f>
        <v>0793</v>
      </c>
      <c r="AG649" s="19" t="e">
        <f ca="1">_xlfn.SINGLE(_xlfn.XLOOKUP(SalesData[[#This Row],[Product]],Product_Master!A:A,Product_Master!B:B,"Not Found"))</f>
        <v>#NAME?</v>
      </c>
      <c r="AH649" s="19" t="str">
        <f>VLOOKUP(SalesData[[#This Row],[Product]],Product_Master!$A$1:$B$21,2,FALSE)</f>
        <v>Manish</v>
      </c>
      <c r="AI649" s="16"/>
    </row>
    <row r="650" spans="1:35" ht="13.8">
      <c r="A650" s="16" t="s">
        <v>1081</v>
      </c>
      <c r="B650" s="17">
        <v>45563</v>
      </c>
      <c r="C650" s="16" t="s">
        <v>200</v>
      </c>
      <c r="D650" s="16" t="s">
        <v>201</v>
      </c>
      <c r="E650" s="16" t="s">
        <v>38</v>
      </c>
      <c r="F650" s="16" t="s">
        <v>39</v>
      </c>
      <c r="G650" s="16" t="s">
        <v>40</v>
      </c>
      <c r="H650" s="16" t="s">
        <v>41</v>
      </c>
      <c r="I650" s="16" t="s">
        <v>84</v>
      </c>
      <c r="J650" s="16" t="s">
        <v>85</v>
      </c>
      <c r="K650" s="18">
        <v>585.5</v>
      </c>
      <c r="L650" s="18">
        <v>485.91</v>
      </c>
      <c r="M650" s="19">
        <v>1</v>
      </c>
      <c r="N650" s="20">
        <v>0.2</v>
      </c>
      <c r="O650" s="19" t="s">
        <v>34</v>
      </c>
      <c r="P650" s="19" t="s">
        <v>58</v>
      </c>
      <c r="Q650" s="19" t="str">
        <f>TRIM(SalesData[[#This Row],[Customer_Name]])</f>
        <v>Karan Mehta</v>
      </c>
      <c r="R650" s="21">
        <f>SalesData[[#This Row],[Sales]]-SalesData[[#This Row],[Cost]]</f>
        <v>99.589999999999975</v>
      </c>
      <c r="S650" s="22">
        <f>IFERROR(SalesData[[#This Row],[Profit]]/SalesData[[#This Row],[Sales]],0)</f>
        <v>0.17009393680614854</v>
      </c>
      <c r="T650" s="19">
        <f>YEAR(SalesData[[#This Row],[Order_Date]])</f>
        <v>2024</v>
      </c>
      <c r="U650" s="19" t="str">
        <f>TEXT(SalesData[[#This Row],[Order_Date]],"mmm")</f>
        <v>Sept</v>
      </c>
      <c r="V650" s="19" t="str">
        <f>"Q"&amp;ROUNDUP(MONTH(SalesData[[#This Row],[Order_Date]])/3,0)</f>
        <v>Q3</v>
      </c>
      <c r="W650" s="19" t="str">
        <f>IF(SalesData[[#This Row],[Sales]]&gt;=50000,"High",IF(AND(SalesData[[#This Row],[Sales]]&gt;= 20000, SalesData[[#This Row],[Sales]]&lt; 50000),"Medium","Low"))</f>
        <v>Low</v>
      </c>
      <c r="X650" s="19" t="str">
        <f>IF(SalesData[[#This Row],[Profit]]&gt;0,"Profit","Loss")</f>
        <v>Profit</v>
      </c>
      <c r="Y650" s="19" t="str">
        <f>IF(AND(SalesData[[#This Row],[Sales]]&gt;= 50000, SalesData[[#This Row],[Quantity]]&gt;=2),"Yes","No")</f>
        <v>No</v>
      </c>
      <c r="Z650" s="19" t="str">
        <f>UPPER(SalesData[[#This Row],[Customer_Name]])</f>
        <v>KARAN MEHTA</v>
      </c>
      <c r="AA650" s="19" t="str">
        <f>LOWER(SalesData[[#This Row],[Customer_Name]])</f>
        <v>karan mehta</v>
      </c>
      <c r="AB650" s="19">
        <f>LEN(SalesData[[#This Row],[Customer_Name]])</f>
        <v>11</v>
      </c>
      <c r="AC650" s="19" t="str">
        <f>LEFT(SalesData[[#This Row],[Order_ID]],3)</f>
        <v>ORD</v>
      </c>
      <c r="AD650" s="19" t="str">
        <f>RIGHT(SalesData[[#This Row],[Order_ID]],4)</f>
        <v>0928</v>
      </c>
      <c r="AE650" s="19" t="str">
        <f>_xlfn.CONCAT(SalesData[[#This Row],[Clean_Customer_Name]],"-",SalesData[[#This Row],[Region]])</f>
        <v>Karan Mehta-South</v>
      </c>
      <c r="AF650" s="19" t="str">
        <f>MID(SalesData[[#This Row],[Order_ID]],4,4)</f>
        <v>0928</v>
      </c>
      <c r="AG650" s="19" t="e">
        <f ca="1">_xlfn.SINGLE(_xlfn.XLOOKUP(SalesData[[#This Row],[Product]],Product_Master!A:A,Product_Master!B:B,"Not Found"))</f>
        <v>#NAME?</v>
      </c>
      <c r="AH650" s="19" t="str">
        <f>VLOOKUP(SalesData[[#This Row],[Product]],Product_Master!$A$1:$B$21,2,FALSE)</f>
        <v>Manish</v>
      </c>
      <c r="AI650" s="16"/>
    </row>
    <row r="651" spans="1:35" ht="13.8">
      <c r="A651" s="16" t="s">
        <v>451</v>
      </c>
      <c r="B651" s="17">
        <v>45842</v>
      </c>
      <c r="C651" s="16" t="s">
        <v>200</v>
      </c>
      <c r="D651" s="16" t="s">
        <v>201</v>
      </c>
      <c r="E651" s="16" t="s">
        <v>87</v>
      </c>
      <c r="F651" s="16" t="s">
        <v>88</v>
      </c>
      <c r="G651" s="16" t="s">
        <v>89</v>
      </c>
      <c r="H651" s="16" t="s">
        <v>90</v>
      </c>
      <c r="I651" s="16" t="s">
        <v>42</v>
      </c>
      <c r="J651" s="16" t="s">
        <v>68</v>
      </c>
      <c r="K651" s="18">
        <v>7071.63</v>
      </c>
      <c r="L651" s="18">
        <v>3639.54</v>
      </c>
      <c r="M651" s="19">
        <v>2</v>
      </c>
      <c r="N651" s="20">
        <v>0.05</v>
      </c>
      <c r="O651" s="19" t="s">
        <v>76</v>
      </c>
      <c r="P651" s="19" t="s">
        <v>77</v>
      </c>
      <c r="Q651" s="19" t="str">
        <f>TRIM(SalesData[[#This Row],[Customer_Name]])</f>
        <v>Karan Mehta</v>
      </c>
      <c r="R651" s="21">
        <f>SalesData[[#This Row],[Sales]]-SalesData[[#This Row],[Cost]]</f>
        <v>3432.09</v>
      </c>
      <c r="S651" s="22">
        <f>IFERROR(SalesData[[#This Row],[Profit]]/SalesData[[#This Row],[Sales]],0)</f>
        <v>0.48533223599085362</v>
      </c>
      <c r="T651" s="19">
        <f>YEAR(SalesData[[#This Row],[Order_Date]])</f>
        <v>2025</v>
      </c>
      <c r="U651" s="19" t="str">
        <f>TEXT(SalesData[[#This Row],[Order_Date]],"mmm")</f>
        <v>Jul</v>
      </c>
      <c r="V651" s="19" t="str">
        <f>"Q"&amp;ROUNDUP(MONTH(SalesData[[#This Row],[Order_Date]])/3,0)</f>
        <v>Q3</v>
      </c>
      <c r="W651" s="19" t="str">
        <f>IF(SalesData[[#This Row],[Sales]]&gt;=50000,"High",IF(AND(SalesData[[#This Row],[Sales]]&gt;= 20000, SalesData[[#This Row],[Sales]]&lt; 50000),"Medium","Low"))</f>
        <v>Low</v>
      </c>
      <c r="X651" s="19" t="str">
        <f>IF(SalesData[[#This Row],[Profit]]&gt;0,"Profit","Loss")</f>
        <v>Profit</v>
      </c>
      <c r="Y651" s="19" t="str">
        <f>IF(AND(SalesData[[#This Row],[Sales]]&gt;= 50000, SalesData[[#This Row],[Quantity]]&gt;=2),"Yes","No")</f>
        <v>No</v>
      </c>
      <c r="Z651" s="19" t="str">
        <f>UPPER(SalesData[[#This Row],[Customer_Name]])</f>
        <v>KARAN MEHTA</v>
      </c>
      <c r="AA651" s="19" t="str">
        <f>LOWER(SalesData[[#This Row],[Customer_Name]])</f>
        <v>karan mehta</v>
      </c>
      <c r="AB651" s="19">
        <f>LEN(SalesData[[#This Row],[Customer_Name]])</f>
        <v>11</v>
      </c>
      <c r="AC651" s="19" t="str">
        <f>LEFT(SalesData[[#This Row],[Order_ID]],3)</f>
        <v>ORD</v>
      </c>
      <c r="AD651" s="19" t="str">
        <f>RIGHT(SalesData[[#This Row],[Order_ID]],4)</f>
        <v>0298</v>
      </c>
      <c r="AE651" s="19" t="str">
        <f>_xlfn.CONCAT(SalesData[[#This Row],[Clean_Customer_Name]],"-",SalesData[[#This Row],[Region]])</f>
        <v>Karan Mehta-East</v>
      </c>
      <c r="AF651" s="19" t="str">
        <f>MID(SalesData[[#This Row],[Order_ID]],4,4)</f>
        <v>0298</v>
      </c>
      <c r="AG651" s="19" t="e">
        <f ca="1">_xlfn.SINGLE(_xlfn.XLOOKUP(SalesData[[#This Row],[Product]],Product_Master!A:A,Product_Master!B:B,"Not Found"))</f>
        <v>#NAME?</v>
      </c>
      <c r="AH651" s="19" t="str">
        <f>VLOOKUP(SalesData[[#This Row],[Product]],Product_Master!$A$1:$B$21,2,FALSE)</f>
        <v>Rahul</v>
      </c>
      <c r="AI651" s="16"/>
    </row>
    <row r="652" spans="1:35" ht="13.8">
      <c r="A652" s="16" t="s">
        <v>513</v>
      </c>
      <c r="B652" s="17">
        <v>45384</v>
      </c>
      <c r="C652" s="16" t="s">
        <v>200</v>
      </c>
      <c r="D652" s="16" t="s">
        <v>201</v>
      </c>
      <c r="E652" s="16" t="s">
        <v>87</v>
      </c>
      <c r="F652" s="16" t="s">
        <v>88</v>
      </c>
      <c r="G652" s="16" t="s">
        <v>89</v>
      </c>
      <c r="H652" s="16" t="s">
        <v>90</v>
      </c>
      <c r="I652" s="16" t="s">
        <v>23</v>
      </c>
      <c r="J652" s="16" t="s">
        <v>24</v>
      </c>
      <c r="K652" s="18">
        <v>2222.66</v>
      </c>
      <c r="L652" s="18">
        <v>1703.74</v>
      </c>
      <c r="M652" s="19">
        <v>1</v>
      </c>
      <c r="N652" s="20">
        <v>0.2</v>
      </c>
      <c r="O652" s="19" t="s">
        <v>136</v>
      </c>
      <c r="P652" s="19" t="s">
        <v>58</v>
      </c>
      <c r="Q652" s="19" t="str">
        <f>TRIM(SalesData[[#This Row],[Customer_Name]])</f>
        <v>Karan Mehta</v>
      </c>
      <c r="R652" s="21">
        <f>SalesData[[#This Row],[Sales]]-SalesData[[#This Row],[Cost]]</f>
        <v>518.91999999999985</v>
      </c>
      <c r="S652" s="22">
        <f>IFERROR(SalesData[[#This Row],[Profit]]/SalesData[[#This Row],[Sales]],0)</f>
        <v>0.23346800680265983</v>
      </c>
      <c r="T652" s="19">
        <f>YEAR(SalesData[[#This Row],[Order_Date]])</f>
        <v>2024</v>
      </c>
      <c r="U652" s="19" t="str">
        <f>TEXT(SalesData[[#This Row],[Order_Date]],"mmm")</f>
        <v>Apr</v>
      </c>
      <c r="V652" s="19" t="str">
        <f>"Q"&amp;ROUNDUP(MONTH(SalesData[[#This Row],[Order_Date]])/3,0)</f>
        <v>Q2</v>
      </c>
      <c r="W652" s="19" t="str">
        <f>IF(SalesData[[#This Row],[Sales]]&gt;=50000,"High",IF(AND(SalesData[[#This Row],[Sales]]&gt;= 20000, SalesData[[#This Row],[Sales]]&lt; 50000),"Medium","Low"))</f>
        <v>Low</v>
      </c>
      <c r="X652" s="19" t="str">
        <f>IF(SalesData[[#This Row],[Profit]]&gt;0,"Profit","Loss")</f>
        <v>Profit</v>
      </c>
      <c r="Y652" s="19" t="str">
        <f>IF(AND(SalesData[[#This Row],[Sales]]&gt;= 50000, SalesData[[#This Row],[Quantity]]&gt;=2),"Yes","No")</f>
        <v>No</v>
      </c>
      <c r="Z652" s="19" t="str">
        <f>UPPER(SalesData[[#This Row],[Customer_Name]])</f>
        <v>KARAN MEHTA</v>
      </c>
      <c r="AA652" s="19" t="str">
        <f>LOWER(SalesData[[#This Row],[Customer_Name]])</f>
        <v>karan mehta</v>
      </c>
      <c r="AB652" s="19">
        <f>LEN(SalesData[[#This Row],[Customer_Name]])</f>
        <v>11</v>
      </c>
      <c r="AC652" s="19" t="str">
        <f>LEFT(SalesData[[#This Row],[Order_ID]],3)</f>
        <v>ORD</v>
      </c>
      <c r="AD652" s="19" t="str">
        <f>RIGHT(SalesData[[#This Row],[Order_ID]],4)</f>
        <v>0360</v>
      </c>
      <c r="AE652" s="19" t="str">
        <f>_xlfn.CONCAT(SalesData[[#This Row],[Clean_Customer_Name]],"-",SalesData[[#This Row],[Region]])</f>
        <v>Karan Mehta-North</v>
      </c>
      <c r="AF652" s="19" t="str">
        <f>MID(SalesData[[#This Row],[Order_ID]],4,4)</f>
        <v>0360</v>
      </c>
      <c r="AG652" s="19" t="e">
        <f ca="1">_xlfn.SINGLE(_xlfn.XLOOKUP(SalesData[[#This Row],[Product]],Product_Master!A:A,Product_Master!B:B,"Not Found"))</f>
        <v>#NAME?</v>
      </c>
      <c r="AH652" s="19" t="str">
        <f>VLOOKUP(SalesData[[#This Row],[Product]],Product_Master!$A$1:$B$21,2,FALSE)</f>
        <v>Rahul</v>
      </c>
      <c r="AI652" s="16"/>
    </row>
    <row r="653" spans="1:35" ht="13.8">
      <c r="A653" s="16" t="s">
        <v>546</v>
      </c>
      <c r="B653" s="17">
        <v>45856</v>
      </c>
      <c r="C653" s="16" t="s">
        <v>200</v>
      </c>
      <c r="D653" s="16" t="s">
        <v>201</v>
      </c>
      <c r="E653" s="16" t="s">
        <v>87</v>
      </c>
      <c r="F653" s="16" t="s">
        <v>88</v>
      </c>
      <c r="G653" s="16" t="s">
        <v>89</v>
      </c>
      <c r="H653" s="16" t="s">
        <v>90</v>
      </c>
      <c r="I653" s="16" t="s">
        <v>42</v>
      </c>
      <c r="J653" s="16" t="s">
        <v>43</v>
      </c>
      <c r="K653" s="18">
        <v>13322.85</v>
      </c>
      <c r="L653" s="18">
        <v>5231.79</v>
      </c>
      <c r="M653" s="19">
        <v>3</v>
      </c>
      <c r="N653" s="20">
        <v>0.1</v>
      </c>
      <c r="O653" s="19" t="s">
        <v>25</v>
      </c>
      <c r="P653" s="19" t="s">
        <v>45</v>
      </c>
      <c r="Q653" s="19" t="str">
        <f>TRIM(SalesData[[#This Row],[Customer_Name]])</f>
        <v>Karan Mehta</v>
      </c>
      <c r="R653" s="21">
        <f>SalesData[[#This Row],[Sales]]-SalesData[[#This Row],[Cost]]</f>
        <v>8091.06</v>
      </c>
      <c r="S653" s="22">
        <f>IFERROR(SalesData[[#This Row],[Profit]]/SalesData[[#This Row],[Sales]],0)</f>
        <v>0.60730699512491693</v>
      </c>
      <c r="T653" s="19">
        <f>YEAR(SalesData[[#This Row],[Order_Date]])</f>
        <v>2025</v>
      </c>
      <c r="U653" s="19" t="str">
        <f>TEXT(SalesData[[#This Row],[Order_Date]],"mmm")</f>
        <v>Jul</v>
      </c>
      <c r="V653" s="19" t="str">
        <f>"Q"&amp;ROUNDUP(MONTH(SalesData[[#This Row],[Order_Date]])/3,0)</f>
        <v>Q3</v>
      </c>
      <c r="W653" s="19" t="str">
        <f>IF(SalesData[[#This Row],[Sales]]&gt;=50000,"High",IF(AND(SalesData[[#This Row],[Sales]]&gt;= 20000, SalesData[[#This Row],[Sales]]&lt; 50000),"Medium","Low"))</f>
        <v>Low</v>
      </c>
      <c r="X653" s="19" t="str">
        <f>IF(SalesData[[#This Row],[Profit]]&gt;0,"Profit","Loss")</f>
        <v>Profit</v>
      </c>
      <c r="Y653" s="19" t="str">
        <f>IF(AND(SalesData[[#This Row],[Sales]]&gt;= 50000, SalesData[[#This Row],[Quantity]]&gt;=2),"Yes","No")</f>
        <v>No</v>
      </c>
      <c r="Z653" s="19" t="str">
        <f>UPPER(SalesData[[#This Row],[Customer_Name]])</f>
        <v>KARAN MEHTA</v>
      </c>
      <c r="AA653" s="19" t="str">
        <f>LOWER(SalesData[[#This Row],[Customer_Name]])</f>
        <v>karan mehta</v>
      </c>
      <c r="AB653" s="19">
        <f>LEN(SalesData[[#This Row],[Customer_Name]])</f>
        <v>11</v>
      </c>
      <c r="AC653" s="19" t="str">
        <f>LEFT(SalesData[[#This Row],[Order_ID]],3)</f>
        <v>ORD</v>
      </c>
      <c r="AD653" s="19" t="str">
        <f>RIGHT(SalesData[[#This Row],[Order_ID]],4)</f>
        <v>0393</v>
      </c>
      <c r="AE653" s="19" t="str">
        <f>_xlfn.CONCAT(SalesData[[#This Row],[Clean_Customer_Name]],"-",SalesData[[#This Row],[Region]])</f>
        <v>Karan Mehta-East</v>
      </c>
      <c r="AF653" s="19" t="str">
        <f>MID(SalesData[[#This Row],[Order_ID]],4,4)</f>
        <v>0393</v>
      </c>
      <c r="AG653" s="19" t="e">
        <f ca="1">_xlfn.SINGLE(_xlfn.XLOOKUP(SalesData[[#This Row],[Product]],Product_Master!A:A,Product_Master!B:B,"Not Found"))</f>
        <v>#NAME?</v>
      </c>
      <c r="AH653" s="19" t="str">
        <f>VLOOKUP(SalesData[[#This Row],[Product]],Product_Master!$A$1:$B$21,2,FALSE)</f>
        <v>Rahul</v>
      </c>
      <c r="AI653" s="16"/>
    </row>
    <row r="654" spans="1:35" ht="13.8">
      <c r="A654" s="16" t="s">
        <v>722</v>
      </c>
      <c r="B654" s="17">
        <v>45998</v>
      </c>
      <c r="C654" s="16" t="s">
        <v>200</v>
      </c>
      <c r="D654" s="16" t="s">
        <v>201</v>
      </c>
      <c r="E654" s="16" t="s">
        <v>87</v>
      </c>
      <c r="F654" s="16" t="s">
        <v>88</v>
      </c>
      <c r="G654" s="16" t="s">
        <v>89</v>
      </c>
      <c r="H654" s="16" t="s">
        <v>90</v>
      </c>
      <c r="I654" s="16" t="s">
        <v>53</v>
      </c>
      <c r="J654" s="16" t="s">
        <v>102</v>
      </c>
      <c r="K654" s="18">
        <v>10567.12</v>
      </c>
      <c r="L654" s="18">
        <v>9575.15</v>
      </c>
      <c r="M654" s="19">
        <v>5</v>
      </c>
      <c r="N654" s="20">
        <v>0.1</v>
      </c>
      <c r="O654" s="19" t="s">
        <v>25</v>
      </c>
      <c r="P654" s="19" t="s">
        <v>26</v>
      </c>
      <c r="Q654" s="19" t="str">
        <f>TRIM(SalesData[[#This Row],[Customer_Name]])</f>
        <v>Karan Mehta</v>
      </c>
      <c r="R654" s="21">
        <f>SalesData[[#This Row],[Sales]]-SalesData[[#This Row],[Cost]]</f>
        <v>991.97000000000116</v>
      </c>
      <c r="S654" s="22">
        <f>IFERROR(SalesData[[#This Row],[Profit]]/SalesData[[#This Row],[Sales]],0)</f>
        <v>9.3873259696114084E-2</v>
      </c>
      <c r="T654" s="19">
        <f>YEAR(SalesData[[#This Row],[Order_Date]])</f>
        <v>2025</v>
      </c>
      <c r="U654" s="19" t="str">
        <f>TEXT(SalesData[[#This Row],[Order_Date]],"mmm")</f>
        <v>Dec</v>
      </c>
      <c r="V654" s="19" t="str">
        <f>"Q"&amp;ROUNDUP(MONTH(SalesData[[#This Row],[Order_Date]])/3,0)</f>
        <v>Q4</v>
      </c>
      <c r="W654" s="19" t="str">
        <f>IF(SalesData[[#This Row],[Sales]]&gt;=50000,"High",IF(AND(SalesData[[#This Row],[Sales]]&gt;= 20000, SalesData[[#This Row],[Sales]]&lt; 50000),"Medium","Low"))</f>
        <v>Low</v>
      </c>
      <c r="X654" s="19" t="str">
        <f>IF(SalesData[[#This Row],[Profit]]&gt;0,"Profit","Loss")</f>
        <v>Profit</v>
      </c>
      <c r="Y654" s="19" t="str">
        <f>IF(AND(SalesData[[#This Row],[Sales]]&gt;= 50000, SalesData[[#This Row],[Quantity]]&gt;=2),"Yes","No")</f>
        <v>No</v>
      </c>
      <c r="Z654" s="19" t="str">
        <f>UPPER(SalesData[[#This Row],[Customer_Name]])</f>
        <v>KARAN MEHTA</v>
      </c>
      <c r="AA654" s="19" t="str">
        <f>LOWER(SalesData[[#This Row],[Customer_Name]])</f>
        <v>karan mehta</v>
      </c>
      <c r="AB654" s="19">
        <f>LEN(SalesData[[#This Row],[Customer_Name]])</f>
        <v>11</v>
      </c>
      <c r="AC654" s="19" t="str">
        <f>LEFT(SalesData[[#This Row],[Order_ID]],3)</f>
        <v>ORD</v>
      </c>
      <c r="AD654" s="19" t="str">
        <f>RIGHT(SalesData[[#This Row],[Order_ID]],4)</f>
        <v>0569</v>
      </c>
      <c r="AE654" s="19" t="str">
        <f>_xlfn.CONCAT(SalesData[[#This Row],[Clean_Customer_Name]],"-",SalesData[[#This Row],[Region]])</f>
        <v>Karan Mehta-Central</v>
      </c>
      <c r="AF654" s="19" t="str">
        <f>MID(SalesData[[#This Row],[Order_ID]],4,4)</f>
        <v>0569</v>
      </c>
      <c r="AG654" s="19" t="e">
        <f ca="1">_xlfn.SINGLE(_xlfn.XLOOKUP(SalesData[[#This Row],[Product]],Product_Master!A:A,Product_Master!B:B,"Not Found"))</f>
        <v>#NAME?</v>
      </c>
      <c r="AH654" s="19" t="str">
        <f>VLOOKUP(SalesData[[#This Row],[Product]],Product_Master!$A$1:$B$21,2,FALSE)</f>
        <v>Rahul</v>
      </c>
      <c r="AI654" s="16"/>
    </row>
    <row r="655" spans="1:35" ht="13.8">
      <c r="A655" s="16" t="s">
        <v>983</v>
      </c>
      <c r="B655" s="17">
        <v>46000</v>
      </c>
      <c r="C655" s="16" t="s">
        <v>200</v>
      </c>
      <c r="D655" s="16" t="s">
        <v>201</v>
      </c>
      <c r="E655" s="16" t="s">
        <v>87</v>
      </c>
      <c r="F655" s="16" t="s">
        <v>88</v>
      </c>
      <c r="G655" s="16" t="s">
        <v>89</v>
      </c>
      <c r="H655" s="16" t="s">
        <v>90</v>
      </c>
      <c r="I655" s="16" t="s">
        <v>56</v>
      </c>
      <c r="J655" s="16" t="s">
        <v>191</v>
      </c>
      <c r="K655" s="18">
        <v>17218.75</v>
      </c>
      <c r="L655" s="18">
        <v>7731.04</v>
      </c>
      <c r="M655" s="19">
        <v>4</v>
      </c>
      <c r="N655" s="20">
        <v>0.2</v>
      </c>
      <c r="O655" s="19" t="s">
        <v>136</v>
      </c>
      <c r="P655" s="19" t="s">
        <v>45</v>
      </c>
      <c r="Q655" s="19" t="str">
        <f>TRIM(SalesData[[#This Row],[Customer_Name]])</f>
        <v>Karan Mehta</v>
      </c>
      <c r="R655" s="21">
        <f>SalesData[[#This Row],[Sales]]-SalesData[[#This Row],[Cost]]</f>
        <v>9487.7099999999991</v>
      </c>
      <c r="S655" s="22">
        <f>IFERROR(SalesData[[#This Row],[Profit]]/SalesData[[#This Row],[Sales]],0)</f>
        <v>0.55101038112522682</v>
      </c>
      <c r="T655" s="19">
        <f>YEAR(SalesData[[#This Row],[Order_Date]])</f>
        <v>2025</v>
      </c>
      <c r="U655" s="19" t="str">
        <f>TEXT(SalesData[[#This Row],[Order_Date]],"mmm")</f>
        <v>Dec</v>
      </c>
      <c r="V655" s="19" t="str">
        <f>"Q"&amp;ROUNDUP(MONTH(SalesData[[#This Row],[Order_Date]])/3,0)</f>
        <v>Q4</v>
      </c>
      <c r="W655" s="19" t="str">
        <f>IF(SalesData[[#This Row],[Sales]]&gt;=50000,"High",IF(AND(SalesData[[#This Row],[Sales]]&gt;= 20000, SalesData[[#This Row],[Sales]]&lt; 50000),"Medium","Low"))</f>
        <v>Low</v>
      </c>
      <c r="X655" s="19" t="str">
        <f>IF(SalesData[[#This Row],[Profit]]&gt;0,"Profit","Loss")</f>
        <v>Profit</v>
      </c>
      <c r="Y655" s="19" t="str">
        <f>IF(AND(SalesData[[#This Row],[Sales]]&gt;= 50000, SalesData[[#This Row],[Quantity]]&gt;=2),"Yes","No")</f>
        <v>No</v>
      </c>
      <c r="Z655" s="19" t="str">
        <f>UPPER(SalesData[[#This Row],[Customer_Name]])</f>
        <v>KARAN MEHTA</v>
      </c>
      <c r="AA655" s="19" t="str">
        <f>LOWER(SalesData[[#This Row],[Customer_Name]])</f>
        <v>karan mehta</v>
      </c>
      <c r="AB655" s="19">
        <f>LEN(SalesData[[#This Row],[Customer_Name]])</f>
        <v>11</v>
      </c>
      <c r="AC655" s="19" t="str">
        <f>LEFT(SalesData[[#This Row],[Order_ID]],3)</f>
        <v>ORD</v>
      </c>
      <c r="AD655" s="19" t="str">
        <f>RIGHT(SalesData[[#This Row],[Order_ID]],4)</f>
        <v>0830</v>
      </c>
      <c r="AE655" s="19" t="str">
        <f>_xlfn.CONCAT(SalesData[[#This Row],[Clean_Customer_Name]],"-",SalesData[[#This Row],[Region]])</f>
        <v>Karan Mehta-West</v>
      </c>
      <c r="AF655" s="19" t="str">
        <f>MID(SalesData[[#This Row],[Order_ID]],4,4)</f>
        <v>0830</v>
      </c>
      <c r="AG655" s="19" t="e">
        <f ca="1">_xlfn.SINGLE(_xlfn.XLOOKUP(SalesData[[#This Row],[Product]],Product_Master!A:A,Product_Master!B:B,"Not Found"))</f>
        <v>#NAME?</v>
      </c>
      <c r="AH655" s="19" t="str">
        <f>VLOOKUP(SalesData[[#This Row],[Product]],Product_Master!$A$1:$B$21,2,FALSE)</f>
        <v>Rahul</v>
      </c>
      <c r="AI655" s="16"/>
    </row>
    <row r="656" spans="1:35" ht="13.8">
      <c r="A656" s="16" t="s">
        <v>1021</v>
      </c>
      <c r="B656" s="17">
        <v>45417</v>
      </c>
      <c r="C656" s="16" t="s">
        <v>200</v>
      </c>
      <c r="D656" s="16" t="s">
        <v>201</v>
      </c>
      <c r="E656" s="16" t="s">
        <v>87</v>
      </c>
      <c r="F656" s="16" t="s">
        <v>88</v>
      </c>
      <c r="G656" s="16" t="s">
        <v>89</v>
      </c>
      <c r="H656" s="16" t="s">
        <v>90</v>
      </c>
      <c r="I656" s="16" t="s">
        <v>23</v>
      </c>
      <c r="J656" s="16" t="s">
        <v>24</v>
      </c>
      <c r="K656" s="18">
        <v>21456.42</v>
      </c>
      <c r="L656" s="18">
        <v>8727.5499999999993</v>
      </c>
      <c r="M656" s="19">
        <v>5</v>
      </c>
      <c r="N656" s="20">
        <v>0.15</v>
      </c>
      <c r="O656" s="19" t="s">
        <v>136</v>
      </c>
      <c r="P656" s="19" t="s">
        <v>45</v>
      </c>
      <c r="Q656" s="19" t="str">
        <f>TRIM(SalesData[[#This Row],[Customer_Name]])</f>
        <v>Karan Mehta</v>
      </c>
      <c r="R656" s="21">
        <f>SalesData[[#This Row],[Sales]]-SalesData[[#This Row],[Cost]]</f>
        <v>12728.869999999999</v>
      </c>
      <c r="S656" s="22">
        <f>IFERROR(SalesData[[#This Row],[Profit]]/SalesData[[#This Row],[Sales]],0)</f>
        <v>0.59324295478928912</v>
      </c>
      <c r="T656" s="19">
        <f>YEAR(SalesData[[#This Row],[Order_Date]])</f>
        <v>2024</v>
      </c>
      <c r="U656" s="19" t="str">
        <f>TEXT(SalesData[[#This Row],[Order_Date]],"mmm")</f>
        <v>May</v>
      </c>
      <c r="V656" s="19" t="str">
        <f>"Q"&amp;ROUNDUP(MONTH(SalesData[[#This Row],[Order_Date]])/3,0)</f>
        <v>Q2</v>
      </c>
      <c r="W656" s="19" t="str">
        <f>IF(SalesData[[#This Row],[Sales]]&gt;=50000,"High",IF(AND(SalesData[[#This Row],[Sales]]&gt;= 20000, SalesData[[#This Row],[Sales]]&lt; 50000),"Medium","Low"))</f>
        <v>Medium</v>
      </c>
      <c r="X656" s="19" t="str">
        <f>IF(SalesData[[#This Row],[Profit]]&gt;0,"Profit","Loss")</f>
        <v>Profit</v>
      </c>
      <c r="Y656" s="19" t="str">
        <f>IF(AND(SalesData[[#This Row],[Sales]]&gt;= 50000, SalesData[[#This Row],[Quantity]]&gt;=2),"Yes","No")</f>
        <v>No</v>
      </c>
      <c r="Z656" s="19" t="str">
        <f>UPPER(SalesData[[#This Row],[Customer_Name]])</f>
        <v>KARAN MEHTA</v>
      </c>
      <c r="AA656" s="19" t="str">
        <f>LOWER(SalesData[[#This Row],[Customer_Name]])</f>
        <v>karan mehta</v>
      </c>
      <c r="AB656" s="19">
        <f>LEN(SalesData[[#This Row],[Customer_Name]])</f>
        <v>11</v>
      </c>
      <c r="AC656" s="19" t="str">
        <f>LEFT(SalesData[[#This Row],[Order_ID]],3)</f>
        <v>ORD</v>
      </c>
      <c r="AD656" s="19" t="str">
        <f>RIGHT(SalesData[[#This Row],[Order_ID]],4)</f>
        <v>0868</v>
      </c>
      <c r="AE656" s="19" t="str">
        <f>_xlfn.CONCAT(SalesData[[#This Row],[Clean_Customer_Name]],"-",SalesData[[#This Row],[Region]])</f>
        <v>Karan Mehta-North</v>
      </c>
      <c r="AF656" s="19" t="str">
        <f>MID(SalesData[[#This Row],[Order_ID]],4,4)</f>
        <v>0868</v>
      </c>
      <c r="AG656" s="19" t="e">
        <f ca="1">_xlfn.SINGLE(_xlfn.XLOOKUP(SalesData[[#This Row],[Product]],Product_Master!A:A,Product_Master!B:B,"Not Found"))</f>
        <v>#NAME?</v>
      </c>
      <c r="AH656" s="19" t="str">
        <f>VLOOKUP(SalesData[[#This Row],[Product]],Product_Master!$A$1:$B$21,2,FALSE)</f>
        <v>Rahul</v>
      </c>
      <c r="AI656" s="16"/>
    </row>
    <row r="657" spans="1:35" ht="13.8">
      <c r="A657" s="16" t="s">
        <v>1125</v>
      </c>
      <c r="B657" s="17">
        <v>45724</v>
      </c>
      <c r="C657" s="16" t="s">
        <v>200</v>
      </c>
      <c r="D657" s="16" t="s">
        <v>201</v>
      </c>
      <c r="E657" s="16" t="s">
        <v>87</v>
      </c>
      <c r="F657" s="16" t="s">
        <v>88</v>
      </c>
      <c r="G657" s="16" t="s">
        <v>89</v>
      </c>
      <c r="H657" s="16" t="s">
        <v>90</v>
      </c>
      <c r="I657" s="16" t="s">
        <v>56</v>
      </c>
      <c r="J657" s="16" t="s">
        <v>191</v>
      </c>
      <c r="K657" s="18">
        <v>16748.830000000002</v>
      </c>
      <c r="L657" s="18">
        <v>9196.9</v>
      </c>
      <c r="M657" s="19">
        <v>5</v>
      </c>
      <c r="N657" s="20">
        <v>0.05</v>
      </c>
      <c r="O657" s="19" t="s">
        <v>136</v>
      </c>
      <c r="P657" s="19" t="s">
        <v>58</v>
      </c>
      <c r="Q657" s="19" t="str">
        <f>TRIM(SalesData[[#This Row],[Customer_Name]])</f>
        <v>Karan Mehta</v>
      </c>
      <c r="R657" s="21">
        <f>SalesData[[#This Row],[Sales]]-SalesData[[#This Row],[Cost]]</f>
        <v>7551.9300000000021</v>
      </c>
      <c r="S657" s="22">
        <f>IFERROR(SalesData[[#This Row],[Profit]]/SalesData[[#This Row],[Sales]],0)</f>
        <v>0.45089298774899511</v>
      </c>
      <c r="T657" s="19">
        <f>YEAR(SalesData[[#This Row],[Order_Date]])</f>
        <v>2025</v>
      </c>
      <c r="U657" s="19" t="str">
        <f>TEXT(SalesData[[#This Row],[Order_Date]],"mmm")</f>
        <v>Mar</v>
      </c>
      <c r="V657" s="19" t="str">
        <f>"Q"&amp;ROUNDUP(MONTH(SalesData[[#This Row],[Order_Date]])/3,0)</f>
        <v>Q1</v>
      </c>
      <c r="W657" s="19" t="str">
        <f>IF(SalesData[[#This Row],[Sales]]&gt;=50000,"High",IF(AND(SalesData[[#This Row],[Sales]]&gt;= 20000, SalesData[[#This Row],[Sales]]&lt; 50000),"Medium","Low"))</f>
        <v>Low</v>
      </c>
      <c r="X657" s="19" t="str">
        <f>IF(SalesData[[#This Row],[Profit]]&gt;0,"Profit","Loss")</f>
        <v>Profit</v>
      </c>
      <c r="Y657" s="19" t="str">
        <f>IF(AND(SalesData[[#This Row],[Sales]]&gt;= 50000, SalesData[[#This Row],[Quantity]]&gt;=2),"Yes","No")</f>
        <v>No</v>
      </c>
      <c r="Z657" s="19" t="str">
        <f>UPPER(SalesData[[#This Row],[Customer_Name]])</f>
        <v>KARAN MEHTA</v>
      </c>
      <c r="AA657" s="19" t="str">
        <f>LOWER(SalesData[[#This Row],[Customer_Name]])</f>
        <v>karan mehta</v>
      </c>
      <c r="AB657" s="19">
        <f>LEN(SalesData[[#This Row],[Customer_Name]])</f>
        <v>11</v>
      </c>
      <c r="AC657" s="19" t="str">
        <f>LEFT(SalesData[[#This Row],[Order_ID]],3)</f>
        <v>ORD</v>
      </c>
      <c r="AD657" s="19" t="str">
        <f>RIGHT(SalesData[[#This Row],[Order_ID]],4)</f>
        <v>0972</v>
      </c>
      <c r="AE657" s="19" t="str">
        <f>_xlfn.CONCAT(SalesData[[#This Row],[Clean_Customer_Name]],"-",SalesData[[#This Row],[Region]])</f>
        <v>Karan Mehta-West</v>
      </c>
      <c r="AF657" s="19" t="str">
        <f>MID(SalesData[[#This Row],[Order_ID]],4,4)</f>
        <v>0972</v>
      </c>
      <c r="AG657" s="19" t="e">
        <f ca="1">_xlfn.SINGLE(_xlfn.XLOOKUP(SalesData[[#This Row],[Product]],Product_Master!A:A,Product_Master!B:B,"Not Found"))</f>
        <v>#NAME?</v>
      </c>
      <c r="AH657" s="19" t="str">
        <f>VLOOKUP(SalesData[[#This Row],[Product]],Product_Master!$A$1:$B$21,2,FALSE)</f>
        <v>Rahul</v>
      </c>
      <c r="AI657" s="16"/>
    </row>
    <row r="658" spans="1:35" ht="13.8">
      <c r="A658" s="16" t="s">
        <v>199</v>
      </c>
      <c r="B658" s="17">
        <v>45343</v>
      </c>
      <c r="C658" s="16" t="s">
        <v>200</v>
      </c>
      <c r="D658" s="16" t="s">
        <v>201</v>
      </c>
      <c r="E658" s="16" t="s">
        <v>182</v>
      </c>
      <c r="F658" s="16" t="s">
        <v>183</v>
      </c>
      <c r="G658" s="16" t="s">
        <v>89</v>
      </c>
      <c r="H658" s="16" t="s">
        <v>90</v>
      </c>
      <c r="I658" s="16" t="s">
        <v>56</v>
      </c>
      <c r="J658" s="16" t="s">
        <v>191</v>
      </c>
      <c r="K658" s="18">
        <v>54807.53</v>
      </c>
      <c r="L658" s="18">
        <v>28495.200000000001</v>
      </c>
      <c r="M658" s="19">
        <v>5</v>
      </c>
      <c r="N658" s="20">
        <v>0.15</v>
      </c>
      <c r="O658" s="19" t="s">
        <v>76</v>
      </c>
      <c r="P658" s="19" t="s">
        <v>98</v>
      </c>
      <c r="Q658" s="19" t="str">
        <f>TRIM(SalesData[[#This Row],[Customer_Name]])</f>
        <v>Karan Mehta</v>
      </c>
      <c r="R658" s="21">
        <f>SalesData[[#This Row],[Sales]]-SalesData[[#This Row],[Cost]]</f>
        <v>26312.329999999998</v>
      </c>
      <c r="S658" s="22">
        <f>IFERROR(SalesData[[#This Row],[Profit]]/SalesData[[#This Row],[Sales]],0)</f>
        <v>0.48008603927234084</v>
      </c>
      <c r="T658" s="19">
        <f>YEAR(SalesData[[#This Row],[Order_Date]])</f>
        <v>2024</v>
      </c>
      <c r="U658" s="19" t="str">
        <f>TEXT(SalesData[[#This Row],[Order_Date]],"mmm")</f>
        <v>Feb</v>
      </c>
      <c r="V658" s="19" t="str">
        <f>"Q"&amp;ROUNDUP(MONTH(SalesData[[#This Row],[Order_Date]])/3,0)</f>
        <v>Q1</v>
      </c>
      <c r="W658" s="19" t="str">
        <f>IF(SalesData[[#This Row],[Sales]]&gt;=50000,"High",IF(AND(SalesData[[#This Row],[Sales]]&gt;= 20000, SalesData[[#This Row],[Sales]]&lt; 50000),"Medium","Low"))</f>
        <v>High</v>
      </c>
      <c r="X658" s="19" t="str">
        <f>IF(SalesData[[#This Row],[Profit]]&gt;0,"Profit","Loss")</f>
        <v>Profit</v>
      </c>
      <c r="Y658" s="19" t="str">
        <f>IF(AND(SalesData[[#This Row],[Sales]]&gt;= 50000, SalesData[[#This Row],[Quantity]]&gt;=2),"Yes","No")</f>
        <v>Yes</v>
      </c>
      <c r="Z658" s="19" t="str">
        <f>UPPER(SalesData[[#This Row],[Customer_Name]])</f>
        <v>KARAN MEHTA</v>
      </c>
      <c r="AA658" s="19" t="str">
        <f>LOWER(SalesData[[#This Row],[Customer_Name]])</f>
        <v>karan mehta</v>
      </c>
      <c r="AB658" s="19">
        <f>LEN(SalesData[[#This Row],[Customer_Name]])</f>
        <v>11</v>
      </c>
      <c r="AC658" s="19" t="str">
        <f>LEFT(SalesData[[#This Row],[Order_ID]],3)</f>
        <v>ORD</v>
      </c>
      <c r="AD658" s="19" t="str">
        <f>RIGHT(SalesData[[#This Row],[Order_ID]],4)</f>
        <v>0054</v>
      </c>
      <c r="AE658" s="19" t="str">
        <f>_xlfn.CONCAT(SalesData[[#This Row],[Clean_Customer_Name]],"-",SalesData[[#This Row],[Region]])</f>
        <v>Karan Mehta-West</v>
      </c>
      <c r="AF658" s="19" t="str">
        <f>MID(SalesData[[#This Row],[Order_ID]],4,4)</f>
        <v>0054</v>
      </c>
      <c r="AG658" s="19" t="e">
        <f ca="1">_xlfn.SINGLE(_xlfn.XLOOKUP(SalesData[[#This Row],[Product]],Product_Master!A:A,Product_Master!B:B,"Not Found"))</f>
        <v>#NAME?</v>
      </c>
      <c r="AH658" s="19" t="str">
        <f>VLOOKUP(SalesData[[#This Row],[Product]],Product_Master!$A$1:$B$21,2,FALSE)</f>
        <v>Priya</v>
      </c>
      <c r="AI658" s="16"/>
    </row>
    <row r="659" spans="1:35" ht="13.8">
      <c r="A659" s="16" t="s">
        <v>961</v>
      </c>
      <c r="B659" s="17">
        <v>45639</v>
      </c>
      <c r="C659" s="16" t="s">
        <v>200</v>
      </c>
      <c r="D659" s="16" t="s">
        <v>201</v>
      </c>
      <c r="E659" s="16" t="s">
        <v>182</v>
      </c>
      <c r="F659" s="16" t="s">
        <v>183</v>
      </c>
      <c r="G659" s="16" t="s">
        <v>89</v>
      </c>
      <c r="H659" s="16" t="s">
        <v>90</v>
      </c>
      <c r="I659" s="16" t="s">
        <v>56</v>
      </c>
      <c r="J659" s="16" t="s">
        <v>191</v>
      </c>
      <c r="K659" s="18">
        <v>28896.22</v>
      </c>
      <c r="L659" s="18">
        <v>22233.200000000001</v>
      </c>
      <c r="M659" s="19">
        <v>4</v>
      </c>
      <c r="N659" s="20">
        <v>0.2</v>
      </c>
      <c r="O659" s="19" t="s">
        <v>136</v>
      </c>
      <c r="P659" s="19" t="s">
        <v>58</v>
      </c>
      <c r="Q659" s="19" t="str">
        <f>TRIM(SalesData[[#This Row],[Customer_Name]])</f>
        <v>Karan Mehta</v>
      </c>
      <c r="R659" s="21">
        <f>SalesData[[#This Row],[Sales]]-SalesData[[#This Row],[Cost]]</f>
        <v>6663.02</v>
      </c>
      <c r="S659" s="22">
        <f>IFERROR(SalesData[[#This Row],[Profit]]/SalesData[[#This Row],[Sales]],0)</f>
        <v>0.23058448475267701</v>
      </c>
      <c r="T659" s="19">
        <f>YEAR(SalesData[[#This Row],[Order_Date]])</f>
        <v>2024</v>
      </c>
      <c r="U659" s="19" t="str">
        <f>TEXT(SalesData[[#This Row],[Order_Date]],"mmm")</f>
        <v>Dec</v>
      </c>
      <c r="V659" s="19" t="str">
        <f>"Q"&amp;ROUNDUP(MONTH(SalesData[[#This Row],[Order_Date]])/3,0)</f>
        <v>Q4</v>
      </c>
      <c r="W659" s="19" t="str">
        <f>IF(SalesData[[#This Row],[Sales]]&gt;=50000,"High",IF(AND(SalesData[[#This Row],[Sales]]&gt;= 20000, SalesData[[#This Row],[Sales]]&lt; 50000),"Medium","Low"))</f>
        <v>Medium</v>
      </c>
      <c r="X659" s="19" t="str">
        <f>IF(SalesData[[#This Row],[Profit]]&gt;0,"Profit","Loss")</f>
        <v>Profit</v>
      </c>
      <c r="Y659" s="19" t="str">
        <f>IF(AND(SalesData[[#This Row],[Sales]]&gt;= 50000, SalesData[[#This Row],[Quantity]]&gt;=2),"Yes","No")</f>
        <v>No</v>
      </c>
      <c r="Z659" s="19" t="str">
        <f>UPPER(SalesData[[#This Row],[Customer_Name]])</f>
        <v>KARAN MEHTA</v>
      </c>
      <c r="AA659" s="19" t="str">
        <f>LOWER(SalesData[[#This Row],[Customer_Name]])</f>
        <v>karan mehta</v>
      </c>
      <c r="AB659" s="19">
        <f>LEN(SalesData[[#This Row],[Customer_Name]])</f>
        <v>11</v>
      </c>
      <c r="AC659" s="19" t="str">
        <f>LEFT(SalesData[[#This Row],[Order_ID]],3)</f>
        <v>ORD</v>
      </c>
      <c r="AD659" s="19" t="str">
        <f>RIGHT(SalesData[[#This Row],[Order_ID]],4)</f>
        <v>0808</v>
      </c>
      <c r="AE659" s="19" t="str">
        <f>_xlfn.CONCAT(SalesData[[#This Row],[Clean_Customer_Name]],"-",SalesData[[#This Row],[Region]])</f>
        <v>Karan Mehta-West</v>
      </c>
      <c r="AF659" s="19" t="str">
        <f>MID(SalesData[[#This Row],[Order_ID]],4,4)</f>
        <v>0808</v>
      </c>
      <c r="AG659" s="19" t="e">
        <f ca="1">_xlfn.SINGLE(_xlfn.XLOOKUP(SalesData[[#This Row],[Product]],Product_Master!A:A,Product_Master!B:B,"Not Found"))</f>
        <v>#NAME?</v>
      </c>
      <c r="AH659" s="19" t="str">
        <f>VLOOKUP(SalesData[[#This Row],[Product]],Product_Master!$A$1:$B$21,2,FALSE)</f>
        <v>Priya</v>
      </c>
      <c r="AI659" s="16"/>
    </row>
    <row r="660" spans="1:35" ht="13.8">
      <c r="A660" s="16" t="s">
        <v>996</v>
      </c>
      <c r="B660" s="17">
        <v>45357</v>
      </c>
      <c r="C660" s="16" t="s">
        <v>200</v>
      </c>
      <c r="D660" s="16" t="s">
        <v>201</v>
      </c>
      <c r="E660" s="16" t="s">
        <v>182</v>
      </c>
      <c r="F660" s="16" t="s">
        <v>183</v>
      </c>
      <c r="G660" s="16" t="s">
        <v>89</v>
      </c>
      <c r="H660" s="16" t="s">
        <v>90</v>
      </c>
      <c r="I660" s="16" t="s">
        <v>23</v>
      </c>
      <c r="J660" s="16" t="s">
        <v>24</v>
      </c>
      <c r="K660" s="18">
        <v>33647.58</v>
      </c>
      <c r="L660" s="18">
        <v>17750.22</v>
      </c>
      <c r="M660" s="19">
        <v>3</v>
      </c>
      <c r="N660" s="20">
        <v>0</v>
      </c>
      <c r="O660" s="19" t="s">
        <v>34</v>
      </c>
      <c r="P660" s="19" t="s">
        <v>58</v>
      </c>
      <c r="Q660" s="19" t="str">
        <f>TRIM(SalesData[[#This Row],[Customer_Name]])</f>
        <v>Karan Mehta</v>
      </c>
      <c r="R660" s="21">
        <f>SalesData[[#This Row],[Sales]]-SalesData[[#This Row],[Cost]]</f>
        <v>15897.36</v>
      </c>
      <c r="S660" s="22">
        <f>IFERROR(SalesData[[#This Row],[Profit]]/SalesData[[#This Row],[Sales]],0)</f>
        <v>0.47246666773658014</v>
      </c>
      <c r="T660" s="19">
        <f>YEAR(SalesData[[#This Row],[Order_Date]])</f>
        <v>2024</v>
      </c>
      <c r="U660" s="19" t="str">
        <f>TEXT(SalesData[[#This Row],[Order_Date]],"mmm")</f>
        <v>Mar</v>
      </c>
      <c r="V660" s="19" t="str">
        <f>"Q"&amp;ROUNDUP(MONTH(SalesData[[#This Row],[Order_Date]])/3,0)</f>
        <v>Q1</v>
      </c>
      <c r="W660" s="19" t="str">
        <f>IF(SalesData[[#This Row],[Sales]]&gt;=50000,"High",IF(AND(SalesData[[#This Row],[Sales]]&gt;= 20000, SalesData[[#This Row],[Sales]]&lt; 50000),"Medium","Low"))</f>
        <v>Medium</v>
      </c>
      <c r="X660" s="19" t="str">
        <f>IF(SalesData[[#This Row],[Profit]]&gt;0,"Profit","Loss")</f>
        <v>Profit</v>
      </c>
      <c r="Y660" s="19" t="str">
        <f>IF(AND(SalesData[[#This Row],[Sales]]&gt;= 50000, SalesData[[#This Row],[Quantity]]&gt;=2),"Yes","No")</f>
        <v>No</v>
      </c>
      <c r="Z660" s="19" t="str">
        <f>UPPER(SalesData[[#This Row],[Customer_Name]])</f>
        <v>KARAN MEHTA</v>
      </c>
      <c r="AA660" s="19" t="str">
        <f>LOWER(SalesData[[#This Row],[Customer_Name]])</f>
        <v>karan mehta</v>
      </c>
      <c r="AB660" s="19">
        <f>LEN(SalesData[[#This Row],[Customer_Name]])</f>
        <v>11</v>
      </c>
      <c r="AC660" s="19" t="str">
        <f>LEFT(SalesData[[#This Row],[Order_ID]],3)</f>
        <v>ORD</v>
      </c>
      <c r="AD660" s="19" t="str">
        <f>RIGHT(SalesData[[#This Row],[Order_ID]],4)</f>
        <v>0843</v>
      </c>
      <c r="AE660" s="19" t="str">
        <f>_xlfn.CONCAT(SalesData[[#This Row],[Clean_Customer_Name]],"-",SalesData[[#This Row],[Region]])</f>
        <v>Karan Mehta-North</v>
      </c>
      <c r="AF660" s="19" t="str">
        <f>MID(SalesData[[#This Row],[Order_ID]],4,4)</f>
        <v>0843</v>
      </c>
      <c r="AG660" s="19" t="e">
        <f ca="1">_xlfn.SINGLE(_xlfn.XLOOKUP(SalesData[[#This Row],[Product]],Product_Master!A:A,Product_Master!B:B,"Not Found"))</f>
        <v>#NAME?</v>
      </c>
      <c r="AH660" s="19" t="str">
        <f>VLOOKUP(SalesData[[#This Row],[Product]],Product_Master!$A$1:$B$21,2,FALSE)</f>
        <v>Priya</v>
      </c>
      <c r="AI660" s="16"/>
    </row>
    <row r="661" spans="1:35" ht="13.8">
      <c r="A661" s="16" t="s">
        <v>517</v>
      </c>
      <c r="B661" s="17">
        <v>45920</v>
      </c>
      <c r="C661" s="16" t="s">
        <v>200</v>
      </c>
      <c r="D661" s="16" t="s">
        <v>201</v>
      </c>
      <c r="E661" s="16" t="s">
        <v>187</v>
      </c>
      <c r="F661" s="16" t="s">
        <v>188</v>
      </c>
      <c r="G661" s="16" t="s">
        <v>89</v>
      </c>
      <c r="H661" s="16" t="s">
        <v>189</v>
      </c>
      <c r="I661" s="16" t="s">
        <v>42</v>
      </c>
      <c r="J661" s="16" t="s">
        <v>162</v>
      </c>
      <c r="K661" s="18">
        <v>29037</v>
      </c>
      <c r="L661" s="18">
        <v>15586.68</v>
      </c>
      <c r="M661" s="19">
        <v>3</v>
      </c>
      <c r="N661" s="20">
        <v>0.05</v>
      </c>
      <c r="O661" s="19" t="s">
        <v>136</v>
      </c>
      <c r="P661" s="19" t="s">
        <v>45</v>
      </c>
      <c r="Q661" s="19" t="str">
        <f>TRIM(SalesData[[#This Row],[Customer_Name]])</f>
        <v>Karan Mehta</v>
      </c>
      <c r="R661" s="21">
        <f>SalesData[[#This Row],[Sales]]-SalesData[[#This Row],[Cost]]</f>
        <v>13450.32</v>
      </c>
      <c r="S661" s="22">
        <f>IFERROR(SalesData[[#This Row],[Profit]]/SalesData[[#This Row],[Sales]],0)</f>
        <v>0.46321314185349727</v>
      </c>
      <c r="T661" s="19">
        <f>YEAR(SalesData[[#This Row],[Order_Date]])</f>
        <v>2025</v>
      </c>
      <c r="U661" s="19" t="str">
        <f>TEXT(SalesData[[#This Row],[Order_Date]],"mmm")</f>
        <v>Sept</v>
      </c>
      <c r="V661" s="19" t="str">
        <f>"Q"&amp;ROUNDUP(MONTH(SalesData[[#This Row],[Order_Date]])/3,0)</f>
        <v>Q3</v>
      </c>
      <c r="W661" s="19" t="str">
        <f>IF(SalesData[[#This Row],[Sales]]&gt;=50000,"High",IF(AND(SalesData[[#This Row],[Sales]]&gt;= 20000, SalesData[[#This Row],[Sales]]&lt; 50000),"Medium","Low"))</f>
        <v>Medium</v>
      </c>
      <c r="X661" s="19" t="str">
        <f>IF(SalesData[[#This Row],[Profit]]&gt;0,"Profit","Loss")</f>
        <v>Profit</v>
      </c>
      <c r="Y661" s="19" t="str">
        <f>IF(AND(SalesData[[#This Row],[Sales]]&gt;= 50000, SalesData[[#This Row],[Quantity]]&gt;=2),"Yes","No")</f>
        <v>No</v>
      </c>
      <c r="Z661" s="19" t="str">
        <f>UPPER(SalesData[[#This Row],[Customer_Name]])</f>
        <v>KARAN MEHTA</v>
      </c>
      <c r="AA661" s="19" t="str">
        <f>LOWER(SalesData[[#This Row],[Customer_Name]])</f>
        <v>karan mehta</v>
      </c>
      <c r="AB661" s="19">
        <f>LEN(SalesData[[#This Row],[Customer_Name]])</f>
        <v>11</v>
      </c>
      <c r="AC661" s="19" t="str">
        <f>LEFT(SalesData[[#This Row],[Order_ID]],3)</f>
        <v>ORD</v>
      </c>
      <c r="AD661" s="19" t="str">
        <f>RIGHT(SalesData[[#This Row],[Order_ID]],4)</f>
        <v>0364</v>
      </c>
      <c r="AE661" s="19" t="str">
        <f>_xlfn.CONCAT(SalesData[[#This Row],[Clean_Customer_Name]],"-",SalesData[[#This Row],[Region]])</f>
        <v>Karan Mehta-East</v>
      </c>
      <c r="AF661" s="19" t="str">
        <f>MID(SalesData[[#This Row],[Order_ID]],4,4)</f>
        <v>0364</v>
      </c>
      <c r="AG661" s="19" t="e">
        <f ca="1">_xlfn.SINGLE(_xlfn.XLOOKUP(SalesData[[#This Row],[Product]],Product_Master!A:A,Product_Master!B:B,"Not Found"))</f>
        <v>#NAME?</v>
      </c>
      <c r="AH661" s="19" t="str">
        <f>VLOOKUP(SalesData[[#This Row],[Product]],Product_Master!$A$1:$B$21,2,FALSE)</f>
        <v>Amit</v>
      </c>
      <c r="AI661" s="16"/>
    </row>
    <row r="662" spans="1:35" ht="13.8">
      <c r="A662" s="16" t="s">
        <v>715</v>
      </c>
      <c r="B662" s="17">
        <v>45808</v>
      </c>
      <c r="C662" s="16" t="s">
        <v>200</v>
      </c>
      <c r="D662" s="16" t="s">
        <v>201</v>
      </c>
      <c r="E662" s="16" t="s">
        <v>187</v>
      </c>
      <c r="F662" s="16" t="s">
        <v>188</v>
      </c>
      <c r="G662" s="16" t="s">
        <v>89</v>
      </c>
      <c r="H662" s="16" t="s">
        <v>189</v>
      </c>
      <c r="I662" s="16" t="s">
        <v>56</v>
      </c>
      <c r="J662" s="16" t="s">
        <v>91</v>
      </c>
      <c r="K662" s="18">
        <v>23548.51</v>
      </c>
      <c r="L662" s="18">
        <v>17019.87</v>
      </c>
      <c r="M662" s="19">
        <v>3</v>
      </c>
      <c r="N662" s="20">
        <v>0.2</v>
      </c>
      <c r="O662" s="19" t="s">
        <v>136</v>
      </c>
      <c r="P662" s="19" t="s">
        <v>77</v>
      </c>
      <c r="Q662" s="19" t="str">
        <f>TRIM(SalesData[[#This Row],[Customer_Name]])</f>
        <v>Karan Mehta</v>
      </c>
      <c r="R662" s="21">
        <f>SalesData[[#This Row],[Sales]]-SalesData[[#This Row],[Cost]]</f>
        <v>6528.6399999999994</v>
      </c>
      <c r="S662" s="22">
        <f>IFERROR(SalesData[[#This Row],[Profit]]/SalesData[[#This Row],[Sales]],0)</f>
        <v>0.27724216946210184</v>
      </c>
      <c r="T662" s="19">
        <f>YEAR(SalesData[[#This Row],[Order_Date]])</f>
        <v>2025</v>
      </c>
      <c r="U662" s="19" t="str">
        <f>TEXT(SalesData[[#This Row],[Order_Date]],"mmm")</f>
        <v>May</v>
      </c>
      <c r="V662" s="19" t="str">
        <f>"Q"&amp;ROUNDUP(MONTH(SalesData[[#This Row],[Order_Date]])/3,0)</f>
        <v>Q2</v>
      </c>
      <c r="W662" s="19" t="str">
        <f>IF(SalesData[[#This Row],[Sales]]&gt;=50000,"High",IF(AND(SalesData[[#This Row],[Sales]]&gt;= 20000, SalesData[[#This Row],[Sales]]&lt; 50000),"Medium","Low"))</f>
        <v>Medium</v>
      </c>
      <c r="X662" s="19" t="str">
        <f>IF(SalesData[[#This Row],[Profit]]&gt;0,"Profit","Loss")</f>
        <v>Profit</v>
      </c>
      <c r="Y662" s="19" t="str">
        <f>IF(AND(SalesData[[#This Row],[Sales]]&gt;= 50000, SalesData[[#This Row],[Quantity]]&gt;=2),"Yes","No")</f>
        <v>No</v>
      </c>
      <c r="Z662" s="19" t="str">
        <f>UPPER(SalesData[[#This Row],[Customer_Name]])</f>
        <v>KARAN MEHTA</v>
      </c>
      <c r="AA662" s="19" t="str">
        <f>LOWER(SalesData[[#This Row],[Customer_Name]])</f>
        <v>karan mehta</v>
      </c>
      <c r="AB662" s="19">
        <f>LEN(SalesData[[#This Row],[Customer_Name]])</f>
        <v>11</v>
      </c>
      <c r="AC662" s="19" t="str">
        <f>LEFT(SalesData[[#This Row],[Order_ID]],3)</f>
        <v>ORD</v>
      </c>
      <c r="AD662" s="19" t="str">
        <f>RIGHT(SalesData[[#This Row],[Order_ID]],4)</f>
        <v>0562</v>
      </c>
      <c r="AE662" s="19" t="str">
        <f>_xlfn.CONCAT(SalesData[[#This Row],[Clean_Customer_Name]],"-",SalesData[[#This Row],[Region]])</f>
        <v>Karan Mehta-West</v>
      </c>
      <c r="AF662" s="19" t="str">
        <f>MID(SalesData[[#This Row],[Order_ID]],4,4)</f>
        <v>0562</v>
      </c>
      <c r="AG662" s="19" t="e">
        <f ca="1">_xlfn.SINGLE(_xlfn.XLOOKUP(SalesData[[#This Row],[Product]],Product_Master!A:A,Product_Master!B:B,"Not Found"))</f>
        <v>#NAME?</v>
      </c>
      <c r="AH662" s="19" t="str">
        <f>VLOOKUP(SalesData[[#This Row],[Product]],Product_Master!$A$1:$B$21,2,FALSE)</f>
        <v>Amit</v>
      </c>
      <c r="AI662" s="16"/>
    </row>
    <row r="663" spans="1:35" ht="13.8">
      <c r="A663" s="16" t="s">
        <v>887</v>
      </c>
      <c r="B663" s="17">
        <v>46019</v>
      </c>
      <c r="C663" s="16" t="s">
        <v>200</v>
      </c>
      <c r="D663" s="16" t="s">
        <v>201</v>
      </c>
      <c r="E663" s="16" t="s">
        <v>187</v>
      </c>
      <c r="F663" s="16" t="s">
        <v>188</v>
      </c>
      <c r="G663" s="16" t="s">
        <v>89</v>
      </c>
      <c r="H663" s="16" t="s">
        <v>189</v>
      </c>
      <c r="I663" s="16" t="s">
        <v>56</v>
      </c>
      <c r="J663" s="16" t="s">
        <v>191</v>
      </c>
      <c r="K663" s="18">
        <v>33708.75</v>
      </c>
      <c r="L663" s="18">
        <v>28903.85</v>
      </c>
      <c r="M663" s="19">
        <v>5</v>
      </c>
      <c r="N663" s="20">
        <v>0.05</v>
      </c>
      <c r="O663" s="19" t="s">
        <v>136</v>
      </c>
      <c r="P663" s="19" t="s">
        <v>45</v>
      </c>
      <c r="Q663" s="19" t="str">
        <f>TRIM(SalesData[[#This Row],[Customer_Name]])</f>
        <v>Karan Mehta</v>
      </c>
      <c r="R663" s="21">
        <f>SalesData[[#This Row],[Sales]]-SalesData[[#This Row],[Cost]]</f>
        <v>4804.9000000000015</v>
      </c>
      <c r="S663" s="22">
        <f>IFERROR(SalesData[[#This Row],[Profit]]/SalesData[[#This Row],[Sales]],0)</f>
        <v>0.14254162494901179</v>
      </c>
      <c r="T663" s="19">
        <f>YEAR(SalesData[[#This Row],[Order_Date]])</f>
        <v>2025</v>
      </c>
      <c r="U663" s="19" t="str">
        <f>TEXT(SalesData[[#This Row],[Order_Date]],"mmm")</f>
        <v>Dec</v>
      </c>
      <c r="V663" s="19" t="str">
        <f>"Q"&amp;ROUNDUP(MONTH(SalesData[[#This Row],[Order_Date]])/3,0)</f>
        <v>Q4</v>
      </c>
      <c r="W663" s="19" t="str">
        <f>IF(SalesData[[#This Row],[Sales]]&gt;=50000,"High",IF(AND(SalesData[[#This Row],[Sales]]&gt;= 20000, SalesData[[#This Row],[Sales]]&lt; 50000),"Medium","Low"))</f>
        <v>Medium</v>
      </c>
      <c r="X663" s="19" t="str">
        <f>IF(SalesData[[#This Row],[Profit]]&gt;0,"Profit","Loss")</f>
        <v>Profit</v>
      </c>
      <c r="Y663" s="19" t="str">
        <f>IF(AND(SalesData[[#This Row],[Sales]]&gt;= 50000, SalesData[[#This Row],[Quantity]]&gt;=2),"Yes","No")</f>
        <v>No</v>
      </c>
      <c r="Z663" s="19" t="str">
        <f>UPPER(SalesData[[#This Row],[Customer_Name]])</f>
        <v>KARAN MEHTA</v>
      </c>
      <c r="AA663" s="19" t="str">
        <f>LOWER(SalesData[[#This Row],[Customer_Name]])</f>
        <v>karan mehta</v>
      </c>
      <c r="AB663" s="19">
        <f>LEN(SalesData[[#This Row],[Customer_Name]])</f>
        <v>11</v>
      </c>
      <c r="AC663" s="19" t="str">
        <f>LEFT(SalesData[[#This Row],[Order_ID]],3)</f>
        <v>ORD</v>
      </c>
      <c r="AD663" s="19" t="str">
        <f>RIGHT(SalesData[[#This Row],[Order_ID]],4)</f>
        <v>0734</v>
      </c>
      <c r="AE663" s="19" t="str">
        <f>_xlfn.CONCAT(SalesData[[#This Row],[Clean_Customer_Name]],"-",SalesData[[#This Row],[Region]])</f>
        <v>Karan Mehta-West</v>
      </c>
      <c r="AF663" s="19" t="str">
        <f>MID(SalesData[[#This Row],[Order_ID]],4,4)</f>
        <v>0734</v>
      </c>
      <c r="AG663" s="19" t="e">
        <f ca="1">_xlfn.SINGLE(_xlfn.XLOOKUP(SalesData[[#This Row],[Product]],Product_Master!A:A,Product_Master!B:B,"Not Found"))</f>
        <v>#NAME?</v>
      </c>
      <c r="AH663" s="19" t="str">
        <f>VLOOKUP(SalesData[[#This Row],[Product]],Product_Master!$A$1:$B$21,2,FALSE)</f>
        <v>Amit</v>
      </c>
      <c r="AI663" s="16"/>
    </row>
    <row r="664" spans="1:35" ht="13.8">
      <c r="A664" s="16" t="s">
        <v>621</v>
      </c>
      <c r="B664" s="17">
        <v>45347</v>
      </c>
      <c r="C664" s="16" t="s">
        <v>200</v>
      </c>
      <c r="D664" s="16" t="s">
        <v>201</v>
      </c>
      <c r="E664" s="16" t="s">
        <v>95</v>
      </c>
      <c r="F664" s="16" t="s">
        <v>96</v>
      </c>
      <c r="G664" s="16" t="s">
        <v>89</v>
      </c>
      <c r="H664" s="16" t="s">
        <v>97</v>
      </c>
      <c r="I664" s="16" t="s">
        <v>53</v>
      </c>
      <c r="J664" s="16" t="s">
        <v>102</v>
      </c>
      <c r="K664" s="18">
        <v>30205.35</v>
      </c>
      <c r="L664" s="18">
        <v>17364.45</v>
      </c>
      <c r="M664" s="19">
        <v>5</v>
      </c>
      <c r="N664" s="20">
        <v>0.1</v>
      </c>
      <c r="O664" s="19" t="s">
        <v>25</v>
      </c>
      <c r="P664" s="19" t="s">
        <v>45</v>
      </c>
      <c r="Q664" s="19" t="str">
        <f>TRIM(SalesData[[#This Row],[Customer_Name]])</f>
        <v>Karan Mehta</v>
      </c>
      <c r="R664" s="21">
        <f>SalesData[[#This Row],[Sales]]-SalesData[[#This Row],[Cost]]</f>
        <v>12840.899999999998</v>
      </c>
      <c r="S664" s="22">
        <f>IFERROR(SalesData[[#This Row],[Profit]]/SalesData[[#This Row],[Sales]],0)</f>
        <v>0.42512005323560226</v>
      </c>
      <c r="T664" s="19">
        <f>YEAR(SalesData[[#This Row],[Order_Date]])</f>
        <v>2024</v>
      </c>
      <c r="U664" s="19" t="str">
        <f>TEXT(SalesData[[#This Row],[Order_Date]],"mmm")</f>
        <v>Feb</v>
      </c>
      <c r="V664" s="19" t="str">
        <f>"Q"&amp;ROUNDUP(MONTH(SalesData[[#This Row],[Order_Date]])/3,0)</f>
        <v>Q1</v>
      </c>
      <c r="W664" s="19" t="str">
        <f>IF(SalesData[[#This Row],[Sales]]&gt;=50000,"High",IF(AND(SalesData[[#This Row],[Sales]]&gt;= 20000, SalesData[[#This Row],[Sales]]&lt; 50000),"Medium","Low"))</f>
        <v>Medium</v>
      </c>
      <c r="X664" s="19" t="str">
        <f>IF(SalesData[[#This Row],[Profit]]&gt;0,"Profit","Loss")</f>
        <v>Profit</v>
      </c>
      <c r="Y664" s="19" t="str">
        <f>IF(AND(SalesData[[#This Row],[Sales]]&gt;= 50000, SalesData[[#This Row],[Quantity]]&gt;=2),"Yes","No")</f>
        <v>No</v>
      </c>
      <c r="Z664" s="19" t="str">
        <f>UPPER(SalesData[[#This Row],[Customer_Name]])</f>
        <v>KARAN MEHTA</v>
      </c>
      <c r="AA664" s="19" t="str">
        <f>LOWER(SalesData[[#This Row],[Customer_Name]])</f>
        <v>karan mehta</v>
      </c>
      <c r="AB664" s="19">
        <f>LEN(SalesData[[#This Row],[Customer_Name]])</f>
        <v>11</v>
      </c>
      <c r="AC664" s="19" t="str">
        <f>LEFT(SalesData[[#This Row],[Order_ID]],3)</f>
        <v>ORD</v>
      </c>
      <c r="AD664" s="19" t="str">
        <f>RIGHT(SalesData[[#This Row],[Order_ID]],4)</f>
        <v>0468</v>
      </c>
      <c r="AE664" s="19" t="str">
        <f>_xlfn.CONCAT(SalesData[[#This Row],[Clean_Customer_Name]],"-",SalesData[[#This Row],[Region]])</f>
        <v>Karan Mehta-Central</v>
      </c>
      <c r="AF664" s="19" t="str">
        <f>MID(SalesData[[#This Row],[Order_ID]],4,4)</f>
        <v>0468</v>
      </c>
      <c r="AG664" s="19" t="e">
        <f ca="1">_xlfn.SINGLE(_xlfn.XLOOKUP(SalesData[[#This Row],[Product]],Product_Master!A:A,Product_Master!B:B,"Not Found"))</f>
        <v>#NAME?</v>
      </c>
      <c r="AH664" s="19" t="str">
        <f>VLOOKUP(SalesData[[#This Row],[Product]],Product_Master!$A$1:$B$21,2,FALSE)</f>
        <v>Neha</v>
      </c>
      <c r="AI664" s="16"/>
    </row>
    <row r="665" spans="1:35" ht="13.8">
      <c r="A665" s="16" t="s">
        <v>755</v>
      </c>
      <c r="B665" s="17">
        <v>45851</v>
      </c>
      <c r="C665" s="16" t="s">
        <v>200</v>
      </c>
      <c r="D665" s="16" t="s">
        <v>201</v>
      </c>
      <c r="E665" s="16" t="s">
        <v>95</v>
      </c>
      <c r="F665" s="16" t="s">
        <v>96</v>
      </c>
      <c r="G665" s="16" t="s">
        <v>89</v>
      </c>
      <c r="H665" s="16" t="s">
        <v>97</v>
      </c>
      <c r="I665" s="16" t="s">
        <v>42</v>
      </c>
      <c r="J665" s="16" t="s">
        <v>162</v>
      </c>
      <c r="K665" s="18">
        <v>11126.36</v>
      </c>
      <c r="L665" s="18">
        <v>6850.3</v>
      </c>
      <c r="M665" s="19">
        <v>2</v>
      </c>
      <c r="N665" s="20">
        <v>0</v>
      </c>
      <c r="O665" s="19" t="s">
        <v>76</v>
      </c>
      <c r="P665" s="19" t="s">
        <v>98</v>
      </c>
      <c r="Q665" s="19" t="str">
        <f>TRIM(SalesData[[#This Row],[Customer_Name]])</f>
        <v>Karan Mehta</v>
      </c>
      <c r="R665" s="21">
        <f>SalesData[[#This Row],[Sales]]-SalesData[[#This Row],[Cost]]</f>
        <v>4276.0600000000004</v>
      </c>
      <c r="S665" s="22">
        <f>IFERROR(SalesData[[#This Row],[Profit]]/SalesData[[#This Row],[Sales]],0)</f>
        <v>0.38431796202891155</v>
      </c>
      <c r="T665" s="19">
        <f>YEAR(SalesData[[#This Row],[Order_Date]])</f>
        <v>2025</v>
      </c>
      <c r="U665" s="19" t="str">
        <f>TEXT(SalesData[[#This Row],[Order_Date]],"mmm")</f>
        <v>Jul</v>
      </c>
      <c r="V665" s="19" t="str">
        <f>"Q"&amp;ROUNDUP(MONTH(SalesData[[#This Row],[Order_Date]])/3,0)</f>
        <v>Q3</v>
      </c>
      <c r="W665" s="19" t="str">
        <f>IF(SalesData[[#This Row],[Sales]]&gt;=50000,"High",IF(AND(SalesData[[#This Row],[Sales]]&gt;= 20000, SalesData[[#This Row],[Sales]]&lt; 50000),"Medium","Low"))</f>
        <v>Low</v>
      </c>
      <c r="X665" s="19" t="str">
        <f>IF(SalesData[[#This Row],[Profit]]&gt;0,"Profit","Loss")</f>
        <v>Profit</v>
      </c>
      <c r="Y665" s="19" t="str">
        <f>IF(AND(SalesData[[#This Row],[Sales]]&gt;= 50000, SalesData[[#This Row],[Quantity]]&gt;=2),"Yes","No")</f>
        <v>No</v>
      </c>
      <c r="Z665" s="19" t="str">
        <f>UPPER(SalesData[[#This Row],[Customer_Name]])</f>
        <v>KARAN MEHTA</v>
      </c>
      <c r="AA665" s="19" t="str">
        <f>LOWER(SalesData[[#This Row],[Customer_Name]])</f>
        <v>karan mehta</v>
      </c>
      <c r="AB665" s="19">
        <f>LEN(SalesData[[#This Row],[Customer_Name]])</f>
        <v>11</v>
      </c>
      <c r="AC665" s="19" t="str">
        <f>LEFT(SalesData[[#This Row],[Order_ID]],3)</f>
        <v>ORD</v>
      </c>
      <c r="AD665" s="19" t="str">
        <f>RIGHT(SalesData[[#This Row],[Order_ID]],4)</f>
        <v>0602</v>
      </c>
      <c r="AE665" s="19" t="str">
        <f>_xlfn.CONCAT(SalesData[[#This Row],[Clean_Customer_Name]],"-",SalesData[[#This Row],[Region]])</f>
        <v>Karan Mehta-East</v>
      </c>
      <c r="AF665" s="19" t="str">
        <f>MID(SalesData[[#This Row],[Order_ID]],4,4)</f>
        <v>0602</v>
      </c>
      <c r="AG665" s="19" t="e">
        <f ca="1">_xlfn.SINGLE(_xlfn.XLOOKUP(SalesData[[#This Row],[Product]],Product_Master!A:A,Product_Master!B:B,"Not Found"))</f>
        <v>#NAME?</v>
      </c>
      <c r="AH665" s="19" t="str">
        <f>VLOOKUP(SalesData[[#This Row],[Product]],Product_Master!$A$1:$B$21,2,FALSE)</f>
        <v>Neha</v>
      </c>
      <c r="AI665" s="16"/>
    </row>
    <row r="666" spans="1:35" ht="13.8">
      <c r="A666" s="16" t="s">
        <v>458</v>
      </c>
      <c r="B666" s="17">
        <v>45503</v>
      </c>
      <c r="C666" s="16" t="s">
        <v>200</v>
      </c>
      <c r="D666" s="16" t="s">
        <v>201</v>
      </c>
      <c r="E666" s="16" t="s">
        <v>193</v>
      </c>
      <c r="F666" s="16" t="s">
        <v>194</v>
      </c>
      <c r="G666" s="16" t="s">
        <v>89</v>
      </c>
      <c r="H666" s="16" t="s">
        <v>90</v>
      </c>
      <c r="I666" s="16" t="s">
        <v>23</v>
      </c>
      <c r="J666" s="16" t="s">
        <v>75</v>
      </c>
      <c r="K666" s="18">
        <v>2054.54</v>
      </c>
      <c r="L666" s="18">
        <v>1061.08</v>
      </c>
      <c r="M666" s="19">
        <v>2</v>
      </c>
      <c r="N666" s="20">
        <v>0.2</v>
      </c>
      <c r="O666" s="19" t="s">
        <v>44</v>
      </c>
      <c r="P666" s="19" t="s">
        <v>58</v>
      </c>
      <c r="Q666" s="19" t="str">
        <f>TRIM(SalesData[[#This Row],[Customer_Name]])</f>
        <v>Karan Mehta</v>
      </c>
      <c r="R666" s="21">
        <f>SalesData[[#This Row],[Sales]]-SalesData[[#This Row],[Cost]]</f>
        <v>993.46</v>
      </c>
      <c r="S666" s="22">
        <f>IFERROR(SalesData[[#This Row],[Profit]]/SalesData[[#This Row],[Sales]],0)</f>
        <v>0.48354376162060608</v>
      </c>
      <c r="T666" s="19">
        <f>YEAR(SalesData[[#This Row],[Order_Date]])</f>
        <v>2024</v>
      </c>
      <c r="U666" s="19" t="str">
        <f>TEXT(SalesData[[#This Row],[Order_Date]],"mmm")</f>
        <v>Jul</v>
      </c>
      <c r="V666" s="19" t="str">
        <f>"Q"&amp;ROUNDUP(MONTH(SalesData[[#This Row],[Order_Date]])/3,0)</f>
        <v>Q3</v>
      </c>
      <c r="W666" s="19" t="str">
        <f>IF(SalesData[[#This Row],[Sales]]&gt;=50000,"High",IF(AND(SalesData[[#This Row],[Sales]]&gt;= 20000, SalesData[[#This Row],[Sales]]&lt; 50000),"Medium","Low"))</f>
        <v>Low</v>
      </c>
      <c r="X666" s="19" t="str">
        <f>IF(SalesData[[#This Row],[Profit]]&gt;0,"Profit","Loss")</f>
        <v>Profit</v>
      </c>
      <c r="Y666" s="19" t="str">
        <f>IF(AND(SalesData[[#This Row],[Sales]]&gt;= 50000, SalesData[[#This Row],[Quantity]]&gt;=2),"Yes","No")</f>
        <v>No</v>
      </c>
      <c r="Z666" s="19" t="str">
        <f>UPPER(SalesData[[#This Row],[Customer_Name]])</f>
        <v>KARAN MEHTA</v>
      </c>
      <c r="AA666" s="19" t="str">
        <f>LOWER(SalesData[[#This Row],[Customer_Name]])</f>
        <v>karan mehta</v>
      </c>
      <c r="AB666" s="19">
        <f>LEN(SalesData[[#This Row],[Customer_Name]])</f>
        <v>11</v>
      </c>
      <c r="AC666" s="19" t="str">
        <f>LEFT(SalesData[[#This Row],[Order_ID]],3)</f>
        <v>ORD</v>
      </c>
      <c r="AD666" s="19" t="str">
        <f>RIGHT(SalesData[[#This Row],[Order_ID]],4)</f>
        <v>0305</v>
      </c>
      <c r="AE666" s="19" t="str">
        <f>_xlfn.CONCAT(SalesData[[#This Row],[Clean_Customer_Name]],"-",SalesData[[#This Row],[Region]])</f>
        <v>Karan Mehta-North</v>
      </c>
      <c r="AF666" s="19" t="str">
        <f>MID(SalesData[[#This Row],[Order_ID]],4,4)</f>
        <v>0305</v>
      </c>
      <c r="AG666" s="19" t="e">
        <f ca="1">_xlfn.SINGLE(_xlfn.XLOOKUP(SalesData[[#This Row],[Product]],Product_Master!A:A,Product_Master!B:B,"Not Found"))</f>
        <v>#NAME?</v>
      </c>
      <c r="AH666" s="19" t="str">
        <f>VLOOKUP(SalesData[[#This Row],[Product]],Product_Master!$A$1:$B$21,2,FALSE)</f>
        <v>Simran</v>
      </c>
      <c r="AI666" s="16"/>
    </row>
    <row r="667" spans="1:35" ht="13.8">
      <c r="A667" s="16" t="s">
        <v>519</v>
      </c>
      <c r="B667" s="17">
        <v>45918</v>
      </c>
      <c r="C667" s="16" t="s">
        <v>200</v>
      </c>
      <c r="D667" s="16" t="s">
        <v>201</v>
      </c>
      <c r="E667" s="16" t="s">
        <v>193</v>
      </c>
      <c r="F667" s="16" t="s">
        <v>194</v>
      </c>
      <c r="G667" s="16" t="s">
        <v>89</v>
      </c>
      <c r="H667" s="16" t="s">
        <v>90</v>
      </c>
      <c r="I667" s="16" t="s">
        <v>84</v>
      </c>
      <c r="J667" s="16" t="s">
        <v>134</v>
      </c>
      <c r="K667" s="18">
        <v>1232.3800000000001</v>
      </c>
      <c r="L667" s="18">
        <v>1027.92</v>
      </c>
      <c r="M667" s="19">
        <v>2</v>
      </c>
      <c r="N667" s="20">
        <v>0.15</v>
      </c>
      <c r="O667" s="19" t="s">
        <v>76</v>
      </c>
      <c r="P667" s="19" t="s">
        <v>77</v>
      </c>
      <c r="Q667" s="19" t="str">
        <f>TRIM(SalesData[[#This Row],[Customer_Name]])</f>
        <v>Karan Mehta</v>
      </c>
      <c r="R667" s="21">
        <f>SalesData[[#This Row],[Sales]]-SalesData[[#This Row],[Cost]]</f>
        <v>204.46000000000004</v>
      </c>
      <c r="S667" s="22">
        <f>IFERROR(SalesData[[#This Row],[Profit]]/SalesData[[#This Row],[Sales]],0)</f>
        <v>0.16590661971145265</v>
      </c>
      <c r="T667" s="19">
        <f>YEAR(SalesData[[#This Row],[Order_Date]])</f>
        <v>2025</v>
      </c>
      <c r="U667" s="19" t="str">
        <f>TEXT(SalesData[[#This Row],[Order_Date]],"mmm")</f>
        <v>Sept</v>
      </c>
      <c r="V667" s="19" t="str">
        <f>"Q"&amp;ROUNDUP(MONTH(SalesData[[#This Row],[Order_Date]])/3,0)</f>
        <v>Q3</v>
      </c>
      <c r="W667" s="19" t="str">
        <f>IF(SalesData[[#This Row],[Sales]]&gt;=50000,"High",IF(AND(SalesData[[#This Row],[Sales]]&gt;= 20000, SalesData[[#This Row],[Sales]]&lt; 50000),"Medium","Low"))</f>
        <v>Low</v>
      </c>
      <c r="X667" s="19" t="str">
        <f>IF(SalesData[[#This Row],[Profit]]&gt;0,"Profit","Loss")</f>
        <v>Profit</v>
      </c>
      <c r="Y667" s="19" t="str">
        <f>IF(AND(SalesData[[#This Row],[Sales]]&gt;= 50000, SalesData[[#This Row],[Quantity]]&gt;=2),"Yes","No")</f>
        <v>No</v>
      </c>
      <c r="Z667" s="19" t="str">
        <f>UPPER(SalesData[[#This Row],[Customer_Name]])</f>
        <v>KARAN MEHTA</v>
      </c>
      <c r="AA667" s="19" t="str">
        <f>LOWER(SalesData[[#This Row],[Customer_Name]])</f>
        <v>karan mehta</v>
      </c>
      <c r="AB667" s="19">
        <f>LEN(SalesData[[#This Row],[Customer_Name]])</f>
        <v>11</v>
      </c>
      <c r="AC667" s="19" t="str">
        <f>LEFT(SalesData[[#This Row],[Order_ID]],3)</f>
        <v>ORD</v>
      </c>
      <c r="AD667" s="19" t="str">
        <f>RIGHT(SalesData[[#This Row],[Order_ID]],4)</f>
        <v>0366</v>
      </c>
      <c r="AE667" s="19" t="str">
        <f>_xlfn.CONCAT(SalesData[[#This Row],[Clean_Customer_Name]],"-",SalesData[[#This Row],[Region]])</f>
        <v>Karan Mehta-South</v>
      </c>
      <c r="AF667" s="19" t="str">
        <f>MID(SalesData[[#This Row],[Order_ID]],4,4)</f>
        <v>0366</v>
      </c>
      <c r="AG667" s="19" t="e">
        <f ca="1">_xlfn.SINGLE(_xlfn.XLOOKUP(SalesData[[#This Row],[Product]],Product_Master!A:A,Product_Master!B:B,"Not Found"))</f>
        <v>#NAME?</v>
      </c>
      <c r="AH667" s="19" t="str">
        <f>VLOOKUP(SalesData[[#This Row],[Product]],Product_Master!$A$1:$B$21,2,FALSE)</f>
        <v>Simran</v>
      </c>
      <c r="AI667" s="16"/>
    </row>
    <row r="668" spans="1:35" ht="13.8">
      <c r="A668" s="16" t="s">
        <v>626</v>
      </c>
      <c r="B668" s="17">
        <v>45579</v>
      </c>
      <c r="C668" s="16" t="s">
        <v>200</v>
      </c>
      <c r="D668" s="16" t="s">
        <v>201</v>
      </c>
      <c r="E668" s="16" t="s">
        <v>193</v>
      </c>
      <c r="F668" s="16" t="s">
        <v>194</v>
      </c>
      <c r="G668" s="16" t="s">
        <v>89</v>
      </c>
      <c r="H668" s="16" t="s">
        <v>90</v>
      </c>
      <c r="I668" s="16" t="s">
        <v>23</v>
      </c>
      <c r="J668" s="16" t="s">
        <v>33</v>
      </c>
      <c r="K668" s="18">
        <v>1671.44</v>
      </c>
      <c r="L668" s="18">
        <v>1078.26</v>
      </c>
      <c r="M668" s="19">
        <v>2</v>
      </c>
      <c r="N668" s="20">
        <v>0</v>
      </c>
      <c r="O668" s="19" t="s">
        <v>25</v>
      </c>
      <c r="P668" s="19" t="s">
        <v>58</v>
      </c>
      <c r="Q668" s="19" t="str">
        <f>TRIM(SalesData[[#This Row],[Customer_Name]])</f>
        <v>Karan Mehta</v>
      </c>
      <c r="R668" s="21">
        <f>SalesData[[#This Row],[Sales]]-SalesData[[#This Row],[Cost]]</f>
        <v>593.18000000000006</v>
      </c>
      <c r="S668" s="22">
        <f>IFERROR(SalesData[[#This Row],[Profit]]/SalesData[[#This Row],[Sales]],0)</f>
        <v>0.35489159048485142</v>
      </c>
      <c r="T668" s="19">
        <f>YEAR(SalesData[[#This Row],[Order_Date]])</f>
        <v>2024</v>
      </c>
      <c r="U668" s="19" t="str">
        <f>TEXT(SalesData[[#This Row],[Order_Date]],"mmm")</f>
        <v>Oct</v>
      </c>
      <c r="V668" s="19" t="str">
        <f>"Q"&amp;ROUNDUP(MONTH(SalesData[[#This Row],[Order_Date]])/3,0)</f>
        <v>Q4</v>
      </c>
      <c r="W668" s="19" t="str">
        <f>IF(SalesData[[#This Row],[Sales]]&gt;=50000,"High",IF(AND(SalesData[[#This Row],[Sales]]&gt;= 20000, SalesData[[#This Row],[Sales]]&lt; 50000),"Medium","Low"))</f>
        <v>Low</v>
      </c>
      <c r="X668" s="19" t="str">
        <f>IF(SalesData[[#This Row],[Profit]]&gt;0,"Profit","Loss")</f>
        <v>Profit</v>
      </c>
      <c r="Y668" s="19" t="str">
        <f>IF(AND(SalesData[[#This Row],[Sales]]&gt;= 50000, SalesData[[#This Row],[Quantity]]&gt;=2),"Yes","No")</f>
        <v>No</v>
      </c>
      <c r="Z668" s="19" t="str">
        <f>UPPER(SalesData[[#This Row],[Customer_Name]])</f>
        <v>KARAN MEHTA</v>
      </c>
      <c r="AA668" s="19" t="str">
        <f>LOWER(SalesData[[#This Row],[Customer_Name]])</f>
        <v>karan mehta</v>
      </c>
      <c r="AB668" s="19">
        <f>LEN(SalesData[[#This Row],[Customer_Name]])</f>
        <v>11</v>
      </c>
      <c r="AC668" s="19" t="str">
        <f>LEFT(SalesData[[#This Row],[Order_ID]],3)</f>
        <v>ORD</v>
      </c>
      <c r="AD668" s="19" t="str">
        <f>RIGHT(SalesData[[#This Row],[Order_ID]],4)</f>
        <v>0473</v>
      </c>
      <c r="AE668" s="19" t="str">
        <f>_xlfn.CONCAT(SalesData[[#This Row],[Clean_Customer_Name]],"-",SalesData[[#This Row],[Region]])</f>
        <v>Karan Mehta-North</v>
      </c>
      <c r="AF668" s="19" t="str">
        <f>MID(SalesData[[#This Row],[Order_ID]],4,4)</f>
        <v>0473</v>
      </c>
      <c r="AG668" s="19" t="e">
        <f ca="1">_xlfn.SINGLE(_xlfn.XLOOKUP(SalesData[[#This Row],[Product]],Product_Master!A:A,Product_Master!B:B,"Not Found"))</f>
        <v>#NAME?</v>
      </c>
      <c r="AH668" s="19" t="str">
        <f>VLOOKUP(SalesData[[#This Row],[Product]],Product_Master!$A$1:$B$21,2,FALSE)</f>
        <v>Simran</v>
      </c>
      <c r="AI668" s="16"/>
    </row>
    <row r="669" spans="1:35" ht="13.8">
      <c r="A669" s="16" t="s">
        <v>845</v>
      </c>
      <c r="B669" s="17">
        <v>45330</v>
      </c>
      <c r="C669" s="16" t="s">
        <v>200</v>
      </c>
      <c r="D669" s="16" t="s">
        <v>201</v>
      </c>
      <c r="E669" s="16" t="s">
        <v>193</v>
      </c>
      <c r="F669" s="16" t="s">
        <v>194</v>
      </c>
      <c r="G669" s="16" t="s">
        <v>89</v>
      </c>
      <c r="H669" s="16" t="s">
        <v>90</v>
      </c>
      <c r="I669" s="16" t="s">
        <v>42</v>
      </c>
      <c r="J669" s="16" t="s">
        <v>162</v>
      </c>
      <c r="K669" s="18">
        <v>5999.35</v>
      </c>
      <c r="L669" s="18">
        <v>2340</v>
      </c>
      <c r="M669" s="19">
        <v>5</v>
      </c>
      <c r="N669" s="20">
        <v>0</v>
      </c>
      <c r="O669" s="19" t="s">
        <v>44</v>
      </c>
      <c r="P669" s="19" t="s">
        <v>77</v>
      </c>
      <c r="Q669" s="19" t="str">
        <f>TRIM(SalesData[[#This Row],[Customer_Name]])</f>
        <v>Karan Mehta</v>
      </c>
      <c r="R669" s="21">
        <f>SalesData[[#This Row],[Sales]]-SalesData[[#This Row],[Cost]]</f>
        <v>3659.3500000000004</v>
      </c>
      <c r="S669" s="22">
        <f>IFERROR(SalesData[[#This Row],[Profit]]/SalesData[[#This Row],[Sales]],0)</f>
        <v>0.60995774542242076</v>
      </c>
      <c r="T669" s="19">
        <f>YEAR(SalesData[[#This Row],[Order_Date]])</f>
        <v>2024</v>
      </c>
      <c r="U669" s="19" t="str">
        <f>TEXT(SalesData[[#This Row],[Order_Date]],"mmm")</f>
        <v>Feb</v>
      </c>
      <c r="V669" s="19" t="str">
        <f>"Q"&amp;ROUNDUP(MONTH(SalesData[[#This Row],[Order_Date]])/3,0)</f>
        <v>Q1</v>
      </c>
      <c r="W669" s="19" t="str">
        <f>IF(SalesData[[#This Row],[Sales]]&gt;=50000,"High",IF(AND(SalesData[[#This Row],[Sales]]&gt;= 20000, SalesData[[#This Row],[Sales]]&lt; 50000),"Medium","Low"))</f>
        <v>Low</v>
      </c>
      <c r="X669" s="19" t="str">
        <f>IF(SalesData[[#This Row],[Profit]]&gt;0,"Profit","Loss")</f>
        <v>Profit</v>
      </c>
      <c r="Y669" s="19" t="str">
        <f>IF(AND(SalesData[[#This Row],[Sales]]&gt;= 50000, SalesData[[#This Row],[Quantity]]&gt;=2),"Yes","No")</f>
        <v>No</v>
      </c>
      <c r="Z669" s="19" t="str">
        <f>UPPER(SalesData[[#This Row],[Customer_Name]])</f>
        <v>KARAN MEHTA</v>
      </c>
      <c r="AA669" s="19" t="str">
        <f>LOWER(SalesData[[#This Row],[Customer_Name]])</f>
        <v>karan mehta</v>
      </c>
      <c r="AB669" s="19">
        <f>LEN(SalesData[[#This Row],[Customer_Name]])</f>
        <v>11</v>
      </c>
      <c r="AC669" s="19" t="str">
        <f>LEFT(SalesData[[#This Row],[Order_ID]],3)</f>
        <v>ORD</v>
      </c>
      <c r="AD669" s="19" t="str">
        <f>RIGHT(SalesData[[#This Row],[Order_ID]],4)</f>
        <v>0692</v>
      </c>
      <c r="AE669" s="19" t="str">
        <f>_xlfn.CONCAT(SalesData[[#This Row],[Clean_Customer_Name]],"-",SalesData[[#This Row],[Region]])</f>
        <v>Karan Mehta-East</v>
      </c>
      <c r="AF669" s="19" t="str">
        <f>MID(SalesData[[#This Row],[Order_ID]],4,4)</f>
        <v>0692</v>
      </c>
      <c r="AG669" s="19" t="e">
        <f ca="1">_xlfn.SINGLE(_xlfn.XLOOKUP(SalesData[[#This Row],[Product]],Product_Master!A:A,Product_Master!B:B,"Not Found"))</f>
        <v>#NAME?</v>
      </c>
      <c r="AH669" s="19" t="str">
        <f>VLOOKUP(SalesData[[#This Row],[Product]],Product_Master!$A$1:$B$21,2,FALSE)</f>
        <v>Simran</v>
      </c>
      <c r="AI669" s="16"/>
    </row>
    <row r="670" spans="1:35" ht="13.8">
      <c r="A670" s="16" t="s">
        <v>927</v>
      </c>
      <c r="B670" s="17">
        <v>45664</v>
      </c>
      <c r="C670" s="16" t="s">
        <v>200</v>
      </c>
      <c r="D670" s="16" t="s">
        <v>201</v>
      </c>
      <c r="E670" s="16" t="s">
        <v>193</v>
      </c>
      <c r="F670" s="16" t="s">
        <v>194</v>
      </c>
      <c r="G670" s="16" t="s">
        <v>89</v>
      </c>
      <c r="H670" s="16" t="s">
        <v>90</v>
      </c>
      <c r="I670" s="16" t="s">
        <v>84</v>
      </c>
      <c r="J670" s="16" t="s">
        <v>142</v>
      </c>
      <c r="K670" s="18">
        <v>5450.12</v>
      </c>
      <c r="L670" s="18">
        <v>1880.72</v>
      </c>
      <c r="M670" s="19">
        <v>4</v>
      </c>
      <c r="N670" s="20">
        <v>0</v>
      </c>
      <c r="O670" s="19" t="s">
        <v>34</v>
      </c>
      <c r="P670" s="19" t="s">
        <v>58</v>
      </c>
      <c r="Q670" s="19" t="str">
        <f>TRIM(SalesData[[#This Row],[Customer_Name]])</f>
        <v>Karan Mehta</v>
      </c>
      <c r="R670" s="21">
        <f>SalesData[[#This Row],[Sales]]-SalesData[[#This Row],[Cost]]</f>
        <v>3569.3999999999996</v>
      </c>
      <c r="S670" s="22">
        <f>IFERROR(SalesData[[#This Row],[Profit]]/SalesData[[#This Row],[Sales]],0)</f>
        <v>0.65492135952969832</v>
      </c>
      <c r="T670" s="19">
        <f>YEAR(SalesData[[#This Row],[Order_Date]])</f>
        <v>2025</v>
      </c>
      <c r="U670" s="19" t="str">
        <f>TEXT(SalesData[[#This Row],[Order_Date]],"mmm")</f>
        <v>Jan</v>
      </c>
      <c r="V670" s="19" t="str">
        <f>"Q"&amp;ROUNDUP(MONTH(SalesData[[#This Row],[Order_Date]])/3,0)</f>
        <v>Q1</v>
      </c>
      <c r="W670" s="19" t="str">
        <f>IF(SalesData[[#This Row],[Sales]]&gt;=50000,"High",IF(AND(SalesData[[#This Row],[Sales]]&gt;= 20000, SalesData[[#This Row],[Sales]]&lt; 50000),"Medium","Low"))</f>
        <v>Low</v>
      </c>
      <c r="X670" s="19" t="str">
        <f>IF(SalesData[[#This Row],[Profit]]&gt;0,"Profit","Loss")</f>
        <v>Profit</v>
      </c>
      <c r="Y670" s="19" t="str">
        <f>IF(AND(SalesData[[#This Row],[Sales]]&gt;= 50000, SalesData[[#This Row],[Quantity]]&gt;=2),"Yes","No")</f>
        <v>No</v>
      </c>
      <c r="Z670" s="19" t="str">
        <f>UPPER(SalesData[[#This Row],[Customer_Name]])</f>
        <v>KARAN MEHTA</v>
      </c>
      <c r="AA670" s="19" t="str">
        <f>LOWER(SalesData[[#This Row],[Customer_Name]])</f>
        <v>karan mehta</v>
      </c>
      <c r="AB670" s="19">
        <f>LEN(SalesData[[#This Row],[Customer_Name]])</f>
        <v>11</v>
      </c>
      <c r="AC670" s="19" t="str">
        <f>LEFT(SalesData[[#This Row],[Order_ID]],3)</f>
        <v>ORD</v>
      </c>
      <c r="AD670" s="19" t="str">
        <f>RIGHT(SalesData[[#This Row],[Order_ID]],4)</f>
        <v>0774</v>
      </c>
      <c r="AE670" s="19" t="str">
        <f>_xlfn.CONCAT(SalesData[[#This Row],[Clean_Customer_Name]],"-",SalesData[[#This Row],[Region]])</f>
        <v>Karan Mehta-South</v>
      </c>
      <c r="AF670" s="19" t="str">
        <f>MID(SalesData[[#This Row],[Order_ID]],4,4)</f>
        <v>0774</v>
      </c>
      <c r="AG670" s="19" t="e">
        <f ca="1">_xlfn.SINGLE(_xlfn.XLOOKUP(SalesData[[#This Row],[Product]],Product_Master!A:A,Product_Master!B:B,"Not Found"))</f>
        <v>#NAME?</v>
      </c>
      <c r="AH670" s="19" t="str">
        <f>VLOOKUP(SalesData[[#This Row],[Product]],Product_Master!$A$1:$B$21,2,FALSE)</f>
        <v>Simran</v>
      </c>
      <c r="AI670" s="16"/>
    </row>
    <row r="671" spans="1:35" ht="13.8">
      <c r="A671" s="16" t="s">
        <v>564</v>
      </c>
      <c r="B671" s="17">
        <v>45546</v>
      </c>
      <c r="C671" s="16" t="s">
        <v>130</v>
      </c>
      <c r="D671" s="16" t="s">
        <v>131</v>
      </c>
      <c r="E671" s="16" t="s">
        <v>30</v>
      </c>
      <c r="F671" s="16" t="s">
        <v>31</v>
      </c>
      <c r="G671" s="16" t="s">
        <v>21</v>
      </c>
      <c r="H671" s="16" t="s">
        <v>32</v>
      </c>
      <c r="I671" s="16" t="s">
        <v>42</v>
      </c>
      <c r="J671" s="16" t="s">
        <v>68</v>
      </c>
      <c r="K671" s="18">
        <v>109497.93</v>
      </c>
      <c r="L671" s="18">
        <v>99715.68</v>
      </c>
      <c r="M671" s="19">
        <v>2</v>
      </c>
      <c r="N671" s="20">
        <v>0.05</v>
      </c>
      <c r="O671" s="19" t="s">
        <v>25</v>
      </c>
      <c r="P671" s="19" t="s">
        <v>26</v>
      </c>
      <c r="Q671" s="19" t="str">
        <f>TRIM(SalesData[[#This Row],[Customer_Name]])</f>
        <v>Ishita Bose</v>
      </c>
      <c r="R671" s="21">
        <f>SalesData[[#This Row],[Sales]]-SalesData[[#This Row],[Cost]]</f>
        <v>9782.25</v>
      </c>
      <c r="S671" s="22">
        <f>IFERROR(SalesData[[#This Row],[Profit]]/SalesData[[#This Row],[Sales]],0)</f>
        <v>8.933730528056559E-2</v>
      </c>
      <c r="T671" s="19">
        <f>YEAR(SalesData[[#This Row],[Order_Date]])</f>
        <v>2024</v>
      </c>
      <c r="U671" s="19" t="str">
        <f>TEXT(SalesData[[#This Row],[Order_Date]],"mmm")</f>
        <v>Sept</v>
      </c>
      <c r="V671" s="19" t="str">
        <f>"Q"&amp;ROUNDUP(MONTH(SalesData[[#This Row],[Order_Date]])/3,0)</f>
        <v>Q3</v>
      </c>
      <c r="W671" s="19" t="str">
        <f>IF(SalesData[[#This Row],[Sales]]&gt;=50000,"High",IF(AND(SalesData[[#This Row],[Sales]]&gt;= 20000, SalesData[[#This Row],[Sales]]&lt; 50000),"Medium","Low"))</f>
        <v>High</v>
      </c>
      <c r="X671" s="19" t="str">
        <f>IF(SalesData[[#This Row],[Profit]]&gt;0,"Profit","Loss")</f>
        <v>Profit</v>
      </c>
      <c r="Y671" s="19" t="str">
        <f>IF(AND(SalesData[[#This Row],[Sales]]&gt;= 50000, SalesData[[#This Row],[Quantity]]&gt;=2),"Yes","No")</f>
        <v>Yes</v>
      </c>
      <c r="Z671" s="19" t="str">
        <f>UPPER(SalesData[[#This Row],[Customer_Name]])</f>
        <v>ISHITA BOSE</v>
      </c>
      <c r="AA671" s="19" t="str">
        <f>LOWER(SalesData[[#This Row],[Customer_Name]])</f>
        <v>ishita bose</v>
      </c>
      <c r="AB671" s="19">
        <f>LEN(SalesData[[#This Row],[Customer_Name]])</f>
        <v>11</v>
      </c>
      <c r="AC671" s="19" t="str">
        <f>LEFT(SalesData[[#This Row],[Order_ID]],3)</f>
        <v>ORD</v>
      </c>
      <c r="AD671" s="19" t="str">
        <f>RIGHT(SalesData[[#This Row],[Order_ID]],4)</f>
        <v>0411</v>
      </c>
      <c r="AE671" s="19" t="str">
        <f>_xlfn.CONCAT(SalesData[[#This Row],[Clean_Customer_Name]],"-",SalesData[[#This Row],[Region]])</f>
        <v>Ishita Bose-East</v>
      </c>
      <c r="AF671" s="19" t="str">
        <f>MID(SalesData[[#This Row],[Order_ID]],4,4)</f>
        <v>0411</v>
      </c>
      <c r="AG671" s="19" t="e">
        <f ca="1">_xlfn.SINGLE(_xlfn.XLOOKUP(SalesData[[#This Row],[Product]],Product_Master!A:A,Product_Master!B:B,"Not Found"))</f>
        <v>#NAME?</v>
      </c>
      <c r="AH671" s="19" t="str">
        <f>VLOOKUP(SalesData[[#This Row],[Product]],Product_Master!$A$1:$B$21,2,FALSE)</f>
        <v>Rahul</v>
      </c>
      <c r="AI671" s="16"/>
    </row>
    <row r="672" spans="1:35" ht="13.8">
      <c r="A672" s="16" t="s">
        <v>412</v>
      </c>
      <c r="B672" s="17">
        <v>45298</v>
      </c>
      <c r="C672" s="16" t="s">
        <v>130</v>
      </c>
      <c r="D672" s="16" t="s">
        <v>131</v>
      </c>
      <c r="E672" s="16" t="s">
        <v>81</v>
      </c>
      <c r="F672" s="16" t="s">
        <v>82</v>
      </c>
      <c r="G672" s="16" t="s">
        <v>21</v>
      </c>
      <c r="H672" s="16" t="s">
        <v>83</v>
      </c>
      <c r="I672" s="16" t="s">
        <v>53</v>
      </c>
      <c r="J672" s="16" t="s">
        <v>54</v>
      </c>
      <c r="K672" s="18">
        <v>118078.44</v>
      </c>
      <c r="L672" s="18">
        <v>66779.88</v>
      </c>
      <c r="M672" s="19">
        <v>4</v>
      </c>
      <c r="N672" s="20">
        <v>0</v>
      </c>
      <c r="O672" s="19" t="s">
        <v>76</v>
      </c>
      <c r="P672" s="19" t="s">
        <v>58</v>
      </c>
      <c r="Q672" s="19" t="str">
        <f>TRIM(SalesData[[#This Row],[Customer_Name]])</f>
        <v>Ishita Bose</v>
      </c>
      <c r="R672" s="21">
        <f>SalesData[[#This Row],[Sales]]-SalesData[[#This Row],[Cost]]</f>
        <v>51298.559999999998</v>
      </c>
      <c r="S672" s="22">
        <f>IFERROR(SalesData[[#This Row],[Profit]]/SalesData[[#This Row],[Sales]],0)</f>
        <v>0.43444476400602849</v>
      </c>
      <c r="T672" s="19">
        <f>YEAR(SalesData[[#This Row],[Order_Date]])</f>
        <v>2024</v>
      </c>
      <c r="U672" s="19" t="str">
        <f>TEXT(SalesData[[#This Row],[Order_Date]],"mmm")</f>
        <v>Jan</v>
      </c>
      <c r="V672" s="19" t="str">
        <f>"Q"&amp;ROUNDUP(MONTH(SalesData[[#This Row],[Order_Date]])/3,0)</f>
        <v>Q1</v>
      </c>
      <c r="W672" s="19" t="str">
        <f>IF(SalesData[[#This Row],[Sales]]&gt;=50000,"High",IF(AND(SalesData[[#This Row],[Sales]]&gt;= 20000, SalesData[[#This Row],[Sales]]&lt; 50000),"Medium","Low"))</f>
        <v>High</v>
      </c>
      <c r="X672" s="19" t="str">
        <f>IF(SalesData[[#This Row],[Profit]]&gt;0,"Profit","Loss")</f>
        <v>Profit</v>
      </c>
      <c r="Y672" s="19" t="str">
        <f>IF(AND(SalesData[[#This Row],[Sales]]&gt;= 50000, SalesData[[#This Row],[Quantity]]&gt;=2),"Yes","No")</f>
        <v>Yes</v>
      </c>
      <c r="Z672" s="19" t="str">
        <f>UPPER(SalesData[[#This Row],[Customer_Name]])</f>
        <v>ISHITA BOSE</v>
      </c>
      <c r="AA672" s="19" t="str">
        <f>LOWER(SalesData[[#This Row],[Customer_Name]])</f>
        <v>ishita bose</v>
      </c>
      <c r="AB672" s="19">
        <f>LEN(SalesData[[#This Row],[Customer_Name]])</f>
        <v>11</v>
      </c>
      <c r="AC672" s="19" t="str">
        <f>LEFT(SalesData[[#This Row],[Order_ID]],3)</f>
        <v>ORD</v>
      </c>
      <c r="AD672" s="19" t="str">
        <f>RIGHT(SalesData[[#This Row],[Order_ID]],4)</f>
        <v>0259</v>
      </c>
      <c r="AE672" s="19" t="str">
        <f>_xlfn.CONCAT(SalesData[[#This Row],[Clean_Customer_Name]],"-",SalesData[[#This Row],[Region]])</f>
        <v>Ishita Bose-Central</v>
      </c>
      <c r="AF672" s="19" t="str">
        <f>MID(SalesData[[#This Row],[Order_ID]],4,4)</f>
        <v>0259</v>
      </c>
      <c r="AG672" s="19" t="e">
        <f ca="1">_xlfn.SINGLE(_xlfn.XLOOKUP(SalesData[[#This Row],[Product]],Product_Master!A:A,Product_Master!B:B,"Not Found"))</f>
        <v>#NAME?</v>
      </c>
      <c r="AH672" s="19" t="str">
        <f>VLOOKUP(SalesData[[#This Row],[Product]],Product_Master!$A$1:$B$21,2,FALSE)</f>
        <v>Priya</v>
      </c>
      <c r="AI672" s="16"/>
    </row>
    <row r="673" spans="1:35" ht="13.8">
      <c r="A673" s="16" t="s">
        <v>864</v>
      </c>
      <c r="B673" s="17">
        <v>45635</v>
      </c>
      <c r="C673" s="16" t="s">
        <v>130</v>
      </c>
      <c r="D673" s="16" t="s">
        <v>131</v>
      </c>
      <c r="E673" s="16" t="s">
        <v>62</v>
      </c>
      <c r="F673" s="16" t="s">
        <v>63</v>
      </c>
      <c r="G673" s="16" t="s">
        <v>21</v>
      </c>
      <c r="H673" s="16" t="s">
        <v>64</v>
      </c>
      <c r="I673" s="16" t="s">
        <v>42</v>
      </c>
      <c r="J673" s="16" t="s">
        <v>43</v>
      </c>
      <c r="K673" s="18">
        <v>5486.81</v>
      </c>
      <c r="L673" s="18">
        <v>1805.31</v>
      </c>
      <c r="M673" s="19">
        <v>1</v>
      </c>
      <c r="N673" s="20">
        <v>0.1</v>
      </c>
      <c r="O673" s="19" t="s">
        <v>25</v>
      </c>
      <c r="P673" s="19" t="s">
        <v>58</v>
      </c>
      <c r="Q673" s="19" t="str">
        <f>TRIM(SalesData[[#This Row],[Customer_Name]])</f>
        <v>Ishita Bose</v>
      </c>
      <c r="R673" s="21">
        <f>SalesData[[#This Row],[Sales]]-SalesData[[#This Row],[Cost]]</f>
        <v>3681.5000000000005</v>
      </c>
      <c r="S673" s="22">
        <f>IFERROR(SalesData[[#This Row],[Profit]]/SalesData[[#This Row],[Sales]],0)</f>
        <v>0.67097275101561749</v>
      </c>
      <c r="T673" s="19">
        <f>YEAR(SalesData[[#This Row],[Order_Date]])</f>
        <v>2024</v>
      </c>
      <c r="U673" s="19" t="str">
        <f>TEXT(SalesData[[#This Row],[Order_Date]],"mmm")</f>
        <v>Dec</v>
      </c>
      <c r="V673" s="19" t="str">
        <f>"Q"&amp;ROUNDUP(MONTH(SalesData[[#This Row],[Order_Date]])/3,0)</f>
        <v>Q4</v>
      </c>
      <c r="W673" s="19" t="str">
        <f>IF(SalesData[[#This Row],[Sales]]&gt;=50000,"High",IF(AND(SalesData[[#This Row],[Sales]]&gt;= 20000, SalesData[[#This Row],[Sales]]&lt; 50000),"Medium","Low"))</f>
        <v>Low</v>
      </c>
      <c r="X673" s="19" t="str">
        <f>IF(SalesData[[#This Row],[Profit]]&gt;0,"Profit","Loss")</f>
        <v>Profit</v>
      </c>
      <c r="Y673" s="19" t="str">
        <f>IF(AND(SalesData[[#This Row],[Sales]]&gt;= 50000, SalesData[[#This Row],[Quantity]]&gt;=2),"Yes","No")</f>
        <v>No</v>
      </c>
      <c r="Z673" s="19" t="str">
        <f>UPPER(SalesData[[#This Row],[Customer_Name]])</f>
        <v>ISHITA BOSE</v>
      </c>
      <c r="AA673" s="19" t="str">
        <f>LOWER(SalesData[[#This Row],[Customer_Name]])</f>
        <v>ishita bose</v>
      </c>
      <c r="AB673" s="19">
        <f>LEN(SalesData[[#This Row],[Customer_Name]])</f>
        <v>11</v>
      </c>
      <c r="AC673" s="19" t="str">
        <f>LEFT(SalesData[[#This Row],[Order_ID]],3)</f>
        <v>ORD</v>
      </c>
      <c r="AD673" s="19" t="str">
        <f>RIGHT(SalesData[[#This Row],[Order_ID]],4)</f>
        <v>0711</v>
      </c>
      <c r="AE673" s="19" t="str">
        <f>_xlfn.CONCAT(SalesData[[#This Row],[Clean_Customer_Name]],"-",SalesData[[#This Row],[Region]])</f>
        <v>Ishita Bose-East</v>
      </c>
      <c r="AF673" s="19" t="str">
        <f>MID(SalesData[[#This Row],[Order_ID]],4,4)</f>
        <v>0711</v>
      </c>
      <c r="AG673" s="19" t="e">
        <f ca="1">_xlfn.SINGLE(_xlfn.XLOOKUP(SalesData[[#This Row],[Product]],Product_Master!A:A,Product_Master!B:B,"Not Found"))</f>
        <v>#NAME?</v>
      </c>
      <c r="AH673" s="19" t="str">
        <f>VLOOKUP(SalesData[[#This Row],[Product]],Product_Master!$A$1:$B$21,2,FALSE)</f>
        <v>Amit</v>
      </c>
      <c r="AI673" s="16"/>
    </row>
    <row r="674" spans="1:35" ht="13.8">
      <c r="A674" s="16" t="s">
        <v>160</v>
      </c>
      <c r="B674" s="17">
        <v>45562</v>
      </c>
      <c r="C674" s="16" t="s">
        <v>130</v>
      </c>
      <c r="D674" s="16" t="s">
        <v>131</v>
      </c>
      <c r="E674" s="16" t="s">
        <v>19</v>
      </c>
      <c r="F674" s="16" t="s">
        <v>20</v>
      </c>
      <c r="G674" s="16" t="s">
        <v>21</v>
      </c>
      <c r="H674" s="16" t="s">
        <v>22</v>
      </c>
      <c r="I674" s="16" t="s">
        <v>23</v>
      </c>
      <c r="J674" s="16" t="s">
        <v>75</v>
      </c>
      <c r="K674" s="18">
        <v>7169.87</v>
      </c>
      <c r="L674" s="18">
        <v>3233.83</v>
      </c>
      <c r="M674" s="19">
        <v>1</v>
      </c>
      <c r="N674" s="20">
        <v>0.05</v>
      </c>
      <c r="O674" s="19" t="s">
        <v>44</v>
      </c>
      <c r="P674" s="19" t="s">
        <v>45</v>
      </c>
      <c r="Q674" s="19" t="str">
        <f>TRIM(SalesData[[#This Row],[Customer_Name]])</f>
        <v>Ishita Bose</v>
      </c>
      <c r="R674" s="21">
        <f>SalesData[[#This Row],[Sales]]-SalesData[[#This Row],[Cost]]</f>
        <v>3936.04</v>
      </c>
      <c r="S674" s="22">
        <f>IFERROR(SalesData[[#This Row],[Profit]]/SalesData[[#This Row],[Sales]],0)</f>
        <v>0.5489695071179812</v>
      </c>
      <c r="T674" s="19">
        <f>YEAR(SalesData[[#This Row],[Order_Date]])</f>
        <v>2024</v>
      </c>
      <c r="U674" s="19" t="str">
        <f>TEXT(SalesData[[#This Row],[Order_Date]],"mmm")</f>
        <v>Sept</v>
      </c>
      <c r="V674" s="19" t="str">
        <f>"Q"&amp;ROUNDUP(MONTH(SalesData[[#This Row],[Order_Date]])/3,0)</f>
        <v>Q3</v>
      </c>
      <c r="W674" s="19" t="str">
        <f>IF(SalesData[[#This Row],[Sales]]&gt;=50000,"High",IF(AND(SalesData[[#This Row],[Sales]]&gt;= 20000, SalesData[[#This Row],[Sales]]&lt; 50000),"Medium","Low"))</f>
        <v>Low</v>
      </c>
      <c r="X674" s="19" t="str">
        <f>IF(SalesData[[#This Row],[Profit]]&gt;0,"Profit","Loss")</f>
        <v>Profit</v>
      </c>
      <c r="Y674" s="19" t="str">
        <f>IF(AND(SalesData[[#This Row],[Sales]]&gt;= 50000, SalesData[[#This Row],[Quantity]]&gt;=2),"Yes","No")</f>
        <v>No</v>
      </c>
      <c r="Z674" s="19" t="str">
        <f>UPPER(SalesData[[#This Row],[Customer_Name]])</f>
        <v>ISHITA BOSE</v>
      </c>
      <c r="AA674" s="19" t="str">
        <f>LOWER(SalesData[[#This Row],[Customer_Name]])</f>
        <v>ishita bose</v>
      </c>
      <c r="AB674" s="19">
        <f>LEN(SalesData[[#This Row],[Customer_Name]])</f>
        <v>11</v>
      </c>
      <c r="AC674" s="19" t="str">
        <f>LEFT(SalesData[[#This Row],[Order_ID]],3)</f>
        <v>ORD</v>
      </c>
      <c r="AD674" s="19" t="str">
        <f>RIGHT(SalesData[[#This Row],[Order_ID]],4)</f>
        <v>0035</v>
      </c>
      <c r="AE674" s="19" t="str">
        <f>_xlfn.CONCAT(SalesData[[#This Row],[Clean_Customer_Name]],"-",SalesData[[#This Row],[Region]])</f>
        <v>Ishita Bose-North</v>
      </c>
      <c r="AF674" s="19" t="str">
        <f>MID(SalesData[[#This Row],[Order_ID]],4,4)</f>
        <v>0035</v>
      </c>
      <c r="AG674" s="19" t="e">
        <f ca="1">_xlfn.SINGLE(_xlfn.XLOOKUP(SalesData[[#This Row],[Product]],Product_Master!A:A,Product_Master!B:B,"Not Found"))</f>
        <v>#NAME?</v>
      </c>
      <c r="AH674" s="19" t="str">
        <f>VLOOKUP(SalesData[[#This Row],[Product]],Product_Master!$A$1:$B$21,2,FALSE)</f>
        <v>Neha</v>
      </c>
      <c r="AI674" s="16"/>
    </row>
    <row r="675" spans="1:35" ht="13.8">
      <c r="A675" s="16" t="s">
        <v>243</v>
      </c>
      <c r="B675" s="17">
        <v>45456</v>
      </c>
      <c r="C675" s="16" t="s">
        <v>130</v>
      </c>
      <c r="D675" s="16" t="s">
        <v>131</v>
      </c>
      <c r="E675" s="16" t="s">
        <v>19</v>
      </c>
      <c r="F675" s="16" t="s">
        <v>20</v>
      </c>
      <c r="G675" s="16" t="s">
        <v>21</v>
      </c>
      <c r="H675" s="16" t="s">
        <v>22</v>
      </c>
      <c r="I675" s="16" t="s">
        <v>53</v>
      </c>
      <c r="J675" s="16" t="s">
        <v>102</v>
      </c>
      <c r="K675" s="18">
        <v>15693.85</v>
      </c>
      <c r="L675" s="18">
        <v>8840.9699999999993</v>
      </c>
      <c r="M675" s="19">
        <v>3</v>
      </c>
      <c r="N675" s="20">
        <v>0.15</v>
      </c>
      <c r="O675" s="19" t="s">
        <v>34</v>
      </c>
      <c r="P675" s="19" t="s">
        <v>58</v>
      </c>
      <c r="Q675" s="19" t="str">
        <f>TRIM(SalesData[[#This Row],[Customer_Name]])</f>
        <v>Ishita Bose</v>
      </c>
      <c r="R675" s="21">
        <f>SalesData[[#This Row],[Sales]]-SalesData[[#This Row],[Cost]]</f>
        <v>6852.880000000001</v>
      </c>
      <c r="S675" s="22">
        <f>IFERROR(SalesData[[#This Row],[Profit]]/SalesData[[#This Row],[Sales]],0)</f>
        <v>0.43666022040480829</v>
      </c>
      <c r="T675" s="19">
        <f>YEAR(SalesData[[#This Row],[Order_Date]])</f>
        <v>2024</v>
      </c>
      <c r="U675" s="19" t="str">
        <f>TEXT(SalesData[[#This Row],[Order_Date]],"mmm")</f>
        <v>Jun</v>
      </c>
      <c r="V675" s="19" t="str">
        <f>"Q"&amp;ROUNDUP(MONTH(SalesData[[#This Row],[Order_Date]])/3,0)</f>
        <v>Q2</v>
      </c>
      <c r="W675" s="19" t="str">
        <f>IF(SalesData[[#This Row],[Sales]]&gt;=50000,"High",IF(AND(SalesData[[#This Row],[Sales]]&gt;= 20000, SalesData[[#This Row],[Sales]]&lt; 50000),"Medium","Low"))</f>
        <v>Low</v>
      </c>
      <c r="X675" s="19" t="str">
        <f>IF(SalesData[[#This Row],[Profit]]&gt;0,"Profit","Loss")</f>
        <v>Profit</v>
      </c>
      <c r="Y675" s="19" t="str">
        <f>IF(AND(SalesData[[#This Row],[Sales]]&gt;= 50000, SalesData[[#This Row],[Quantity]]&gt;=2),"Yes","No")</f>
        <v>No</v>
      </c>
      <c r="Z675" s="19" t="str">
        <f>UPPER(SalesData[[#This Row],[Customer_Name]])</f>
        <v>ISHITA BOSE</v>
      </c>
      <c r="AA675" s="19" t="str">
        <f>LOWER(SalesData[[#This Row],[Customer_Name]])</f>
        <v>ishita bose</v>
      </c>
      <c r="AB675" s="19">
        <f>LEN(SalesData[[#This Row],[Customer_Name]])</f>
        <v>11</v>
      </c>
      <c r="AC675" s="19" t="str">
        <f>LEFT(SalesData[[#This Row],[Order_ID]],3)</f>
        <v>ORD</v>
      </c>
      <c r="AD675" s="19" t="str">
        <f>RIGHT(SalesData[[#This Row],[Order_ID]],4)</f>
        <v>0092</v>
      </c>
      <c r="AE675" s="19" t="str">
        <f>_xlfn.CONCAT(SalesData[[#This Row],[Clean_Customer_Name]],"-",SalesData[[#This Row],[Region]])</f>
        <v>Ishita Bose-Central</v>
      </c>
      <c r="AF675" s="19" t="str">
        <f>MID(SalesData[[#This Row],[Order_ID]],4,4)</f>
        <v>0092</v>
      </c>
      <c r="AG675" s="19" t="e">
        <f ca="1">_xlfn.SINGLE(_xlfn.XLOOKUP(SalesData[[#This Row],[Product]],Product_Master!A:A,Product_Master!B:B,"Not Found"))</f>
        <v>#NAME?</v>
      </c>
      <c r="AH675" s="19" t="str">
        <f>VLOOKUP(SalesData[[#This Row],[Product]],Product_Master!$A$1:$B$21,2,FALSE)</f>
        <v>Neha</v>
      </c>
      <c r="AI675" s="16"/>
    </row>
    <row r="676" spans="1:35" ht="13.8">
      <c r="A676" s="16" t="s">
        <v>798</v>
      </c>
      <c r="B676" s="17">
        <v>45836</v>
      </c>
      <c r="C676" s="16" t="s">
        <v>130</v>
      </c>
      <c r="D676" s="16" t="s">
        <v>131</v>
      </c>
      <c r="E676" s="16" t="s">
        <v>152</v>
      </c>
      <c r="F676" s="16" t="s">
        <v>153</v>
      </c>
      <c r="G676" s="16" t="s">
        <v>21</v>
      </c>
      <c r="H676" s="16" t="s">
        <v>32</v>
      </c>
      <c r="I676" s="16" t="s">
        <v>56</v>
      </c>
      <c r="J676" s="16" t="s">
        <v>191</v>
      </c>
      <c r="K676" s="18">
        <v>37131.620000000003</v>
      </c>
      <c r="L676" s="18">
        <v>23471.91</v>
      </c>
      <c r="M676" s="19">
        <v>3</v>
      </c>
      <c r="N676" s="20">
        <v>0.05</v>
      </c>
      <c r="O676" s="19" t="s">
        <v>76</v>
      </c>
      <c r="P676" s="19" t="s">
        <v>77</v>
      </c>
      <c r="Q676" s="19" t="str">
        <f>TRIM(SalesData[[#This Row],[Customer_Name]])</f>
        <v>Ishita Bose</v>
      </c>
      <c r="R676" s="21">
        <f>SalesData[[#This Row],[Sales]]-SalesData[[#This Row],[Cost]]</f>
        <v>13659.710000000003</v>
      </c>
      <c r="S676" s="22">
        <f>IFERROR(SalesData[[#This Row],[Profit]]/SalesData[[#This Row],[Sales]],0)</f>
        <v>0.36787271872328764</v>
      </c>
      <c r="T676" s="19">
        <f>YEAR(SalesData[[#This Row],[Order_Date]])</f>
        <v>2025</v>
      </c>
      <c r="U676" s="19" t="str">
        <f>TEXT(SalesData[[#This Row],[Order_Date]],"mmm")</f>
        <v>Jun</v>
      </c>
      <c r="V676" s="19" t="str">
        <f>"Q"&amp;ROUNDUP(MONTH(SalesData[[#This Row],[Order_Date]])/3,0)</f>
        <v>Q2</v>
      </c>
      <c r="W676" s="19" t="str">
        <f>IF(SalesData[[#This Row],[Sales]]&gt;=50000,"High",IF(AND(SalesData[[#This Row],[Sales]]&gt;= 20000, SalesData[[#This Row],[Sales]]&lt; 50000),"Medium","Low"))</f>
        <v>Medium</v>
      </c>
      <c r="X676" s="19" t="str">
        <f>IF(SalesData[[#This Row],[Profit]]&gt;0,"Profit","Loss")</f>
        <v>Profit</v>
      </c>
      <c r="Y676" s="19" t="str">
        <f>IF(AND(SalesData[[#This Row],[Sales]]&gt;= 50000, SalesData[[#This Row],[Quantity]]&gt;=2),"Yes","No")</f>
        <v>No</v>
      </c>
      <c r="Z676" s="19" t="str">
        <f>UPPER(SalesData[[#This Row],[Customer_Name]])</f>
        <v>ISHITA BOSE</v>
      </c>
      <c r="AA676" s="19" t="str">
        <f>LOWER(SalesData[[#This Row],[Customer_Name]])</f>
        <v>ishita bose</v>
      </c>
      <c r="AB676" s="19">
        <f>LEN(SalesData[[#This Row],[Customer_Name]])</f>
        <v>11</v>
      </c>
      <c r="AC676" s="19" t="str">
        <f>LEFT(SalesData[[#This Row],[Order_ID]],3)</f>
        <v>ORD</v>
      </c>
      <c r="AD676" s="19" t="str">
        <f>RIGHT(SalesData[[#This Row],[Order_ID]],4)</f>
        <v>0645</v>
      </c>
      <c r="AE676" s="19" t="str">
        <f>_xlfn.CONCAT(SalesData[[#This Row],[Clean_Customer_Name]],"-",SalesData[[#This Row],[Region]])</f>
        <v>Ishita Bose-West</v>
      </c>
      <c r="AF676" s="19" t="str">
        <f>MID(SalesData[[#This Row],[Order_ID]],4,4)</f>
        <v>0645</v>
      </c>
      <c r="AG676" s="19" t="e">
        <f ca="1">_xlfn.SINGLE(_xlfn.XLOOKUP(SalesData[[#This Row],[Product]],Product_Master!A:A,Product_Master!B:B,"Not Found"))</f>
        <v>#NAME?</v>
      </c>
      <c r="AH676" s="19" t="str">
        <f>VLOOKUP(SalesData[[#This Row],[Product]],Product_Master!$A$1:$B$21,2,FALSE)</f>
        <v>Simran</v>
      </c>
      <c r="AI676" s="16"/>
    </row>
    <row r="677" spans="1:35" ht="13.8">
      <c r="A677" s="16" t="s">
        <v>1152</v>
      </c>
      <c r="B677" s="17">
        <v>45940</v>
      </c>
      <c r="C677" s="16" t="s">
        <v>130</v>
      </c>
      <c r="D677" s="16" t="s">
        <v>131</v>
      </c>
      <c r="E677" s="16" t="s">
        <v>152</v>
      </c>
      <c r="F677" s="16" t="s">
        <v>153</v>
      </c>
      <c r="G677" s="16" t="s">
        <v>21</v>
      </c>
      <c r="H677" s="16" t="s">
        <v>32</v>
      </c>
      <c r="I677" s="16" t="s">
        <v>56</v>
      </c>
      <c r="J677" s="16" t="s">
        <v>57</v>
      </c>
      <c r="K677" s="18">
        <v>52554.61</v>
      </c>
      <c r="L677" s="18">
        <v>29378.84</v>
      </c>
      <c r="M677" s="19">
        <v>4</v>
      </c>
      <c r="N677" s="20">
        <v>0.05</v>
      </c>
      <c r="O677" s="19" t="s">
        <v>34</v>
      </c>
      <c r="P677" s="19" t="s">
        <v>58</v>
      </c>
      <c r="Q677" s="19" t="str">
        <f>TRIM(SalesData[[#This Row],[Customer_Name]])</f>
        <v>Ishita Bose</v>
      </c>
      <c r="R677" s="21">
        <f>SalesData[[#This Row],[Sales]]-SalesData[[#This Row],[Cost]]</f>
        <v>23175.77</v>
      </c>
      <c r="S677" s="22">
        <f>IFERROR(SalesData[[#This Row],[Profit]]/SalesData[[#This Row],[Sales]],0)</f>
        <v>0.44098453018679046</v>
      </c>
      <c r="T677" s="19">
        <f>YEAR(SalesData[[#This Row],[Order_Date]])</f>
        <v>2025</v>
      </c>
      <c r="U677" s="19" t="str">
        <f>TEXT(SalesData[[#This Row],[Order_Date]],"mmm")</f>
        <v>Oct</v>
      </c>
      <c r="V677" s="19" t="str">
        <f>"Q"&amp;ROUNDUP(MONTH(SalesData[[#This Row],[Order_Date]])/3,0)</f>
        <v>Q4</v>
      </c>
      <c r="W677" s="19" t="str">
        <f>IF(SalesData[[#This Row],[Sales]]&gt;=50000,"High",IF(AND(SalesData[[#This Row],[Sales]]&gt;= 20000, SalesData[[#This Row],[Sales]]&lt; 50000),"Medium","Low"))</f>
        <v>High</v>
      </c>
      <c r="X677" s="19" t="str">
        <f>IF(SalesData[[#This Row],[Profit]]&gt;0,"Profit","Loss")</f>
        <v>Profit</v>
      </c>
      <c r="Y677" s="19" t="str">
        <f>IF(AND(SalesData[[#This Row],[Sales]]&gt;= 50000, SalesData[[#This Row],[Quantity]]&gt;=2),"Yes","No")</f>
        <v>Yes</v>
      </c>
      <c r="Z677" s="19" t="str">
        <f>UPPER(SalesData[[#This Row],[Customer_Name]])</f>
        <v>ISHITA BOSE</v>
      </c>
      <c r="AA677" s="19" t="str">
        <f>LOWER(SalesData[[#This Row],[Customer_Name]])</f>
        <v>ishita bose</v>
      </c>
      <c r="AB677" s="19">
        <f>LEN(SalesData[[#This Row],[Customer_Name]])</f>
        <v>11</v>
      </c>
      <c r="AC677" s="19" t="str">
        <f>LEFT(SalesData[[#This Row],[Order_ID]],3)</f>
        <v>ORD</v>
      </c>
      <c r="AD677" s="19" t="str">
        <f>RIGHT(SalesData[[#This Row],[Order_ID]],4)</f>
        <v>0999</v>
      </c>
      <c r="AE677" s="19" t="str">
        <f>_xlfn.CONCAT(SalesData[[#This Row],[Clean_Customer_Name]],"-",SalesData[[#This Row],[Region]])</f>
        <v>Ishita Bose-West</v>
      </c>
      <c r="AF677" s="19" t="str">
        <f>MID(SalesData[[#This Row],[Order_ID]],4,4)</f>
        <v>0999</v>
      </c>
      <c r="AG677" s="19" t="e">
        <f ca="1">_xlfn.SINGLE(_xlfn.XLOOKUP(SalesData[[#This Row],[Product]],Product_Master!A:A,Product_Master!B:B,"Not Found"))</f>
        <v>#NAME?</v>
      </c>
      <c r="AH677" s="19" t="str">
        <f>VLOOKUP(SalesData[[#This Row],[Product]],Product_Master!$A$1:$B$21,2,FALSE)</f>
        <v>Simran</v>
      </c>
      <c r="AI677" s="16"/>
    </row>
    <row r="678" spans="1:35" ht="13.8">
      <c r="A678" s="16" t="s">
        <v>149</v>
      </c>
      <c r="B678" s="17">
        <v>45414</v>
      </c>
      <c r="C678" s="16" t="s">
        <v>130</v>
      </c>
      <c r="D678" s="16" t="s">
        <v>131</v>
      </c>
      <c r="E678" s="16" t="s">
        <v>72</v>
      </c>
      <c r="F678" s="16" t="s">
        <v>73</v>
      </c>
      <c r="G678" s="16" t="s">
        <v>51</v>
      </c>
      <c r="H678" s="16" t="s">
        <v>74</v>
      </c>
      <c r="I678" s="16" t="s">
        <v>56</v>
      </c>
      <c r="J678" s="16" t="s">
        <v>91</v>
      </c>
      <c r="K678" s="18">
        <v>31047</v>
      </c>
      <c r="L678" s="18">
        <v>18984.849999999999</v>
      </c>
      <c r="M678" s="19">
        <v>5</v>
      </c>
      <c r="N678" s="20">
        <v>0.2</v>
      </c>
      <c r="O678" s="19" t="s">
        <v>25</v>
      </c>
      <c r="P678" s="19" t="s">
        <v>26</v>
      </c>
      <c r="Q678" s="19" t="str">
        <f>TRIM(SalesData[[#This Row],[Customer_Name]])</f>
        <v>Ishita Bose</v>
      </c>
      <c r="R678" s="21">
        <f>SalesData[[#This Row],[Sales]]-SalesData[[#This Row],[Cost]]</f>
        <v>12062.150000000001</v>
      </c>
      <c r="S678" s="22">
        <f>IFERROR(SalesData[[#This Row],[Profit]]/SalesData[[#This Row],[Sales]],0)</f>
        <v>0.38851257770477021</v>
      </c>
      <c r="T678" s="19">
        <f>YEAR(SalesData[[#This Row],[Order_Date]])</f>
        <v>2024</v>
      </c>
      <c r="U678" s="19" t="str">
        <f>TEXT(SalesData[[#This Row],[Order_Date]],"mmm")</f>
        <v>May</v>
      </c>
      <c r="V678" s="19" t="str">
        <f>"Q"&amp;ROUNDUP(MONTH(SalesData[[#This Row],[Order_Date]])/3,0)</f>
        <v>Q2</v>
      </c>
      <c r="W678" s="19" t="str">
        <f>IF(SalesData[[#This Row],[Sales]]&gt;=50000,"High",IF(AND(SalesData[[#This Row],[Sales]]&gt;= 20000, SalesData[[#This Row],[Sales]]&lt; 50000),"Medium","Low"))</f>
        <v>Medium</v>
      </c>
      <c r="X678" s="19" t="str">
        <f>IF(SalesData[[#This Row],[Profit]]&gt;0,"Profit","Loss")</f>
        <v>Profit</v>
      </c>
      <c r="Y678" s="19" t="str">
        <f>IF(AND(SalesData[[#This Row],[Sales]]&gt;= 50000, SalesData[[#This Row],[Quantity]]&gt;=2),"Yes","No")</f>
        <v>No</v>
      </c>
      <c r="Z678" s="19" t="str">
        <f>UPPER(SalesData[[#This Row],[Customer_Name]])</f>
        <v>ISHITA BOSE</v>
      </c>
      <c r="AA678" s="19" t="str">
        <f>LOWER(SalesData[[#This Row],[Customer_Name]])</f>
        <v>ishita bose</v>
      </c>
      <c r="AB678" s="19">
        <f>LEN(SalesData[[#This Row],[Customer_Name]])</f>
        <v>11</v>
      </c>
      <c r="AC678" s="19" t="str">
        <f>LEFT(SalesData[[#This Row],[Order_ID]],3)</f>
        <v>ORD</v>
      </c>
      <c r="AD678" s="19" t="str">
        <f>RIGHT(SalesData[[#This Row],[Order_ID]],4)</f>
        <v>0030</v>
      </c>
      <c r="AE678" s="19" t="str">
        <f>_xlfn.CONCAT(SalesData[[#This Row],[Clean_Customer_Name]],"-",SalesData[[#This Row],[Region]])</f>
        <v>Ishita Bose-West</v>
      </c>
      <c r="AF678" s="19" t="str">
        <f>MID(SalesData[[#This Row],[Order_ID]],4,4)</f>
        <v>0030</v>
      </c>
      <c r="AG678" s="19" t="e">
        <f ca="1">_xlfn.SINGLE(_xlfn.XLOOKUP(SalesData[[#This Row],[Product]],Product_Master!A:A,Product_Master!B:B,"Not Found"))</f>
        <v>#NAME?</v>
      </c>
      <c r="AH678" s="19" t="str">
        <f>VLOOKUP(SalesData[[#This Row],[Product]],Product_Master!$A$1:$B$21,2,FALSE)</f>
        <v>Anjali</v>
      </c>
      <c r="AI678" s="16"/>
    </row>
    <row r="679" spans="1:35" ht="13.8">
      <c r="A679" s="16" t="s">
        <v>166</v>
      </c>
      <c r="B679" s="17">
        <v>45397</v>
      </c>
      <c r="C679" s="16" t="s">
        <v>130</v>
      </c>
      <c r="D679" s="16" t="s">
        <v>131</v>
      </c>
      <c r="E679" s="16" t="s">
        <v>72</v>
      </c>
      <c r="F679" s="16" t="s">
        <v>73</v>
      </c>
      <c r="G679" s="16" t="s">
        <v>51</v>
      </c>
      <c r="H679" s="16" t="s">
        <v>74</v>
      </c>
      <c r="I679" s="16" t="s">
        <v>42</v>
      </c>
      <c r="J679" s="16" t="s">
        <v>68</v>
      </c>
      <c r="K679" s="18">
        <v>23869.07</v>
      </c>
      <c r="L679" s="18">
        <v>12672.27</v>
      </c>
      <c r="M679" s="19">
        <v>3</v>
      </c>
      <c r="N679" s="20">
        <v>0.15</v>
      </c>
      <c r="O679" s="19" t="s">
        <v>34</v>
      </c>
      <c r="P679" s="19" t="s">
        <v>58</v>
      </c>
      <c r="Q679" s="19" t="str">
        <f>TRIM(SalesData[[#This Row],[Customer_Name]])</f>
        <v>Ishita Bose</v>
      </c>
      <c r="R679" s="21">
        <f>SalesData[[#This Row],[Sales]]-SalesData[[#This Row],[Cost]]</f>
        <v>11196.8</v>
      </c>
      <c r="S679" s="22">
        <f>IFERROR(SalesData[[#This Row],[Profit]]/SalesData[[#This Row],[Sales]],0)</f>
        <v>0.46909242798315975</v>
      </c>
      <c r="T679" s="19">
        <f>YEAR(SalesData[[#This Row],[Order_Date]])</f>
        <v>2024</v>
      </c>
      <c r="U679" s="19" t="str">
        <f>TEXT(SalesData[[#This Row],[Order_Date]],"mmm")</f>
        <v>Apr</v>
      </c>
      <c r="V679" s="19" t="str">
        <f>"Q"&amp;ROUNDUP(MONTH(SalesData[[#This Row],[Order_Date]])/3,0)</f>
        <v>Q2</v>
      </c>
      <c r="W679" s="19" t="str">
        <f>IF(SalesData[[#This Row],[Sales]]&gt;=50000,"High",IF(AND(SalesData[[#This Row],[Sales]]&gt;= 20000, SalesData[[#This Row],[Sales]]&lt; 50000),"Medium","Low"))</f>
        <v>Medium</v>
      </c>
      <c r="X679" s="19" t="str">
        <f>IF(SalesData[[#This Row],[Profit]]&gt;0,"Profit","Loss")</f>
        <v>Profit</v>
      </c>
      <c r="Y679" s="19" t="str">
        <f>IF(AND(SalesData[[#This Row],[Sales]]&gt;= 50000, SalesData[[#This Row],[Quantity]]&gt;=2),"Yes","No")</f>
        <v>No</v>
      </c>
      <c r="Z679" s="19" t="str">
        <f>UPPER(SalesData[[#This Row],[Customer_Name]])</f>
        <v>ISHITA BOSE</v>
      </c>
      <c r="AA679" s="19" t="str">
        <f>LOWER(SalesData[[#This Row],[Customer_Name]])</f>
        <v>ishita bose</v>
      </c>
      <c r="AB679" s="19">
        <f>LEN(SalesData[[#This Row],[Customer_Name]])</f>
        <v>11</v>
      </c>
      <c r="AC679" s="19" t="str">
        <f>LEFT(SalesData[[#This Row],[Order_ID]],3)</f>
        <v>ORD</v>
      </c>
      <c r="AD679" s="19" t="str">
        <f>RIGHT(SalesData[[#This Row],[Order_ID]],4)</f>
        <v>0040</v>
      </c>
      <c r="AE679" s="19" t="str">
        <f>_xlfn.CONCAT(SalesData[[#This Row],[Clean_Customer_Name]],"-",SalesData[[#This Row],[Region]])</f>
        <v>Ishita Bose-East</v>
      </c>
      <c r="AF679" s="19" t="str">
        <f>MID(SalesData[[#This Row],[Order_ID]],4,4)</f>
        <v>0040</v>
      </c>
      <c r="AG679" s="19" t="e">
        <f ca="1">_xlfn.SINGLE(_xlfn.XLOOKUP(SalesData[[#This Row],[Product]],Product_Master!A:A,Product_Master!B:B,"Not Found"))</f>
        <v>#NAME?</v>
      </c>
      <c r="AH679" s="19" t="str">
        <f>VLOOKUP(SalesData[[#This Row],[Product]],Product_Master!$A$1:$B$21,2,FALSE)</f>
        <v>Anjali</v>
      </c>
      <c r="AI679" s="16"/>
    </row>
    <row r="680" spans="1:35" ht="13.8">
      <c r="A680" s="16" t="s">
        <v>390</v>
      </c>
      <c r="B680" s="17">
        <v>45314</v>
      </c>
      <c r="C680" s="16" t="s">
        <v>130</v>
      </c>
      <c r="D680" s="16" t="s">
        <v>131</v>
      </c>
      <c r="E680" s="16" t="s">
        <v>123</v>
      </c>
      <c r="F680" s="16" t="s">
        <v>124</v>
      </c>
      <c r="G680" s="16" t="s">
        <v>51</v>
      </c>
      <c r="H680" s="16" t="s">
        <v>125</v>
      </c>
      <c r="I680" s="16" t="s">
        <v>42</v>
      </c>
      <c r="J680" s="16" t="s">
        <v>162</v>
      </c>
      <c r="K680" s="18">
        <v>76812.44</v>
      </c>
      <c r="L680" s="18">
        <v>68464.2</v>
      </c>
      <c r="M680" s="19">
        <v>4</v>
      </c>
      <c r="N680" s="20">
        <v>0.05</v>
      </c>
      <c r="O680" s="19" t="s">
        <v>34</v>
      </c>
      <c r="P680" s="19" t="s">
        <v>58</v>
      </c>
      <c r="Q680" s="19" t="str">
        <f>TRIM(SalesData[[#This Row],[Customer_Name]])</f>
        <v>Ishita Bose</v>
      </c>
      <c r="R680" s="21">
        <f>SalesData[[#This Row],[Sales]]-SalesData[[#This Row],[Cost]]</f>
        <v>8348.2400000000052</v>
      </c>
      <c r="S680" s="22">
        <f>IFERROR(SalesData[[#This Row],[Profit]]/SalesData[[#This Row],[Sales]],0)</f>
        <v>0.10868343721407632</v>
      </c>
      <c r="T680" s="19">
        <f>YEAR(SalesData[[#This Row],[Order_Date]])</f>
        <v>2024</v>
      </c>
      <c r="U680" s="19" t="str">
        <f>TEXT(SalesData[[#This Row],[Order_Date]],"mmm")</f>
        <v>Jan</v>
      </c>
      <c r="V680" s="19" t="str">
        <f>"Q"&amp;ROUNDUP(MONTH(SalesData[[#This Row],[Order_Date]])/3,0)</f>
        <v>Q1</v>
      </c>
      <c r="W680" s="19" t="str">
        <f>IF(SalesData[[#This Row],[Sales]]&gt;=50000,"High",IF(AND(SalesData[[#This Row],[Sales]]&gt;= 20000, SalesData[[#This Row],[Sales]]&lt; 50000),"Medium","Low"))</f>
        <v>High</v>
      </c>
      <c r="X680" s="19" t="str">
        <f>IF(SalesData[[#This Row],[Profit]]&gt;0,"Profit","Loss")</f>
        <v>Profit</v>
      </c>
      <c r="Y680" s="19" t="str">
        <f>IF(AND(SalesData[[#This Row],[Sales]]&gt;= 50000, SalesData[[#This Row],[Quantity]]&gt;=2),"Yes","No")</f>
        <v>Yes</v>
      </c>
      <c r="Z680" s="19" t="str">
        <f>UPPER(SalesData[[#This Row],[Customer_Name]])</f>
        <v>ISHITA BOSE</v>
      </c>
      <c r="AA680" s="19" t="str">
        <f>LOWER(SalesData[[#This Row],[Customer_Name]])</f>
        <v>ishita bose</v>
      </c>
      <c r="AB680" s="19">
        <f>LEN(SalesData[[#This Row],[Customer_Name]])</f>
        <v>11</v>
      </c>
      <c r="AC680" s="19" t="str">
        <f>LEFT(SalesData[[#This Row],[Order_ID]],3)</f>
        <v>ORD</v>
      </c>
      <c r="AD680" s="19" t="str">
        <f>RIGHT(SalesData[[#This Row],[Order_ID]],4)</f>
        <v>0237</v>
      </c>
      <c r="AE680" s="19" t="str">
        <f>_xlfn.CONCAT(SalesData[[#This Row],[Clean_Customer_Name]],"-",SalesData[[#This Row],[Region]])</f>
        <v>Ishita Bose-East</v>
      </c>
      <c r="AF680" s="19" t="str">
        <f>MID(SalesData[[#This Row],[Order_ID]],4,4)</f>
        <v>0237</v>
      </c>
      <c r="AG680" s="19" t="e">
        <f ca="1">_xlfn.SINGLE(_xlfn.XLOOKUP(SalesData[[#This Row],[Product]],Product_Master!A:A,Product_Master!B:B,"Not Found"))</f>
        <v>#NAME?</v>
      </c>
      <c r="AH680" s="19" t="str">
        <f>VLOOKUP(SalesData[[#This Row],[Product]],Product_Master!$A$1:$B$21,2,FALSE)</f>
        <v>Sneha</v>
      </c>
      <c r="AI680" s="16"/>
    </row>
    <row r="681" spans="1:35" ht="13.8">
      <c r="A681" s="16" t="s">
        <v>449</v>
      </c>
      <c r="B681" s="17">
        <v>45896</v>
      </c>
      <c r="C681" s="16" t="s">
        <v>130</v>
      </c>
      <c r="D681" s="16" t="s">
        <v>131</v>
      </c>
      <c r="E681" s="16" t="s">
        <v>123</v>
      </c>
      <c r="F681" s="16" t="s">
        <v>124</v>
      </c>
      <c r="G681" s="16" t="s">
        <v>51</v>
      </c>
      <c r="H681" s="16" t="s">
        <v>125</v>
      </c>
      <c r="I681" s="16" t="s">
        <v>42</v>
      </c>
      <c r="J681" s="16" t="s">
        <v>43</v>
      </c>
      <c r="K681" s="18">
        <v>24459.87</v>
      </c>
      <c r="L681" s="18">
        <v>18619.599999999999</v>
      </c>
      <c r="M681" s="19">
        <v>1</v>
      </c>
      <c r="N681" s="20">
        <v>0.05</v>
      </c>
      <c r="O681" s="19" t="s">
        <v>44</v>
      </c>
      <c r="P681" s="19" t="s">
        <v>58</v>
      </c>
      <c r="Q681" s="19" t="str">
        <f>TRIM(SalesData[[#This Row],[Customer_Name]])</f>
        <v>Ishita Bose</v>
      </c>
      <c r="R681" s="21">
        <f>SalesData[[#This Row],[Sales]]-SalesData[[#This Row],[Cost]]</f>
        <v>5840.27</v>
      </c>
      <c r="S681" s="22">
        <f>IFERROR(SalesData[[#This Row],[Profit]]/SalesData[[#This Row],[Sales]],0)</f>
        <v>0.23876946197996968</v>
      </c>
      <c r="T681" s="19">
        <f>YEAR(SalesData[[#This Row],[Order_Date]])</f>
        <v>2025</v>
      </c>
      <c r="U681" s="19" t="str">
        <f>TEXT(SalesData[[#This Row],[Order_Date]],"mmm")</f>
        <v>Aug</v>
      </c>
      <c r="V681" s="19" t="str">
        <f>"Q"&amp;ROUNDUP(MONTH(SalesData[[#This Row],[Order_Date]])/3,0)</f>
        <v>Q3</v>
      </c>
      <c r="W681" s="19" t="str">
        <f>IF(SalesData[[#This Row],[Sales]]&gt;=50000,"High",IF(AND(SalesData[[#This Row],[Sales]]&gt;= 20000, SalesData[[#This Row],[Sales]]&lt; 50000),"Medium","Low"))</f>
        <v>Medium</v>
      </c>
      <c r="X681" s="19" t="str">
        <f>IF(SalesData[[#This Row],[Profit]]&gt;0,"Profit","Loss")</f>
        <v>Profit</v>
      </c>
      <c r="Y681" s="19" t="str">
        <f>IF(AND(SalesData[[#This Row],[Sales]]&gt;= 50000, SalesData[[#This Row],[Quantity]]&gt;=2),"Yes","No")</f>
        <v>No</v>
      </c>
      <c r="Z681" s="19" t="str">
        <f>UPPER(SalesData[[#This Row],[Customer_Name]])</f>
        <v>ISHITA BOSE</v>
      </c>
      <c r="AA681" s="19" t="str">
        <f>LOWER(SalesData[[#This Row],[Customer_Name]])</f>
        <v>ishita bose</v>
      </c>
      <c r="AB681" s="19">
        <f>LEN(SalesData[[#This Row],[Customer_Name]])</f>
        <v>11</v>
      </c>
      <c r="AC681" s="19" t="str">
        <f>LEFT(SalesData[[#This Row],[Order_ID]],3)</f>
        <v>ORD</v>
      </c>
      <c r="AD681" s="19" t="str">
        <f>RIGHT(SalesData[[#This Row],[Order_ID]],4)</f>
        <v>0296</v>
      </c>
      <c r="AE681" s="19" t="str">
        <f>_xlfn.CONCAT(SalesData[[#This Row],[Clean_Customer_Name]],"-",SalesData[[#This Row],[Region]])</f>
        <v>Ishita Bose-East</v>
      </c>
      <c r="AF681" s="19" t="str">
        <f>MID(SalesData[[#This Row],[Order_ID]],4,4)</f>
        <v>0296</v>
      </c>
      <c r="AG681" s="19" t="e">
        <f ca="1">_xlfn.SINGLE(_xlfn.XLOOKUP(SalesData[[#This Row],[Product]],Product_Master!A:A,Product_Master!B:B,"Not Found"))</f>
        <v>#NAME?</v>
      </c>
      <c r="AH681" s="19" t="str">
        <f>VLOOKUP(SalesData[[#This Row],[Product]],Product_Master!$A$1:$B$21,2,FALSE)</f>
        <v>Sneha</v>
      </c>
      <c r="AI681" s="16"/>
    </row>
    <row r="682" spans="1:35" ht="13.8">
      <c r="A682" s="16" t="s">
        <v>475</v>
      </c>
      <c r="B682" s="17">
        <v>45822</v>
      </c>
      <c r="C682" s="16" t="s">
        <v>130</v>
      </c>
      <c r="D682" s="16" t="s">
        <v>131</v>
      </c>
      <c r="E682" s="16" t="s">
        <v>123</v>
      </c>
      <c r="F682" s="16" t="s">
        <v>124</v>
      </c>
      <c r="G682" s="16" t="s">
        <v>51</v>
      </c>
      <c r="H682" s="16" t="s">
        <v>125</v>
      </c>
      <c r="I682" s="16" t="s">
        <v>84</v>
      </c>
      <c r="J682" s="16" t="s">
        <v>85</v>
      </c>
      <c r="K682" s="18">
        <v>150756.89000000001</v>
      </c>
      <c r="L682" s="18">
        <v>90171.4</v>
      </c>
      <c r="M682" s="19">
        <v>5</v>
      </c>
      <c r="N682" s="20">
        <v>0.1</v>
      </c>
      <c r="O682" s="19" t="s">
        <v>25</v>
      </c>
      <c r="P682" s="19" t="s">
        <v>58</v>
      </c>
      <c r="Q682" s="19" t="str">
        <f>TRIM(SalesData[[#This Row],[Customer_Name]])</f>
        <v>Ishita Bose</v>
      </c>
      <c r="R682" s="21">
        <f>SalesData[[#This Row],[Sales]]-SalesData[[#This Row],[Cost]]</f>
        <v>60585.49000000002</v>
      </c>
      <c r="S682" s="22">
        <f>IFERROR(SalesData[[#This Row],[Profit]]/SalesData[[#This Row],[Sales]],0)</f>
        <v>0.40187543003838838</v>
      </c>
      <c r="T682" s="19">
        <f>YEAR(SalesData[[#This Row],[Order_Date]])</f>
        <v>2025</v>
      </c>
      <c r="U682" s="19" t="str">
        <f>TEXT(SalesData[[#This Row],[Order_Date]],"mmm")</f>
        <v>Jun</v>
      </c>
      <c r="V682" s="19" t="str">
        <f>"Q"&amp;ROUNDUP(MONTH(SalesData[[#This Row],[Order_Date]])/3,0)</f>
        <v>Q2</v>
      </c>
      <c r="W682" s="19" t="str">
        <f>IF(SalesData[[#This Row],[Sales]]&gt;=50000,"High",IF(AND(SalesData[[#This Row],[Sales]]&gt;= 20000, SalesData[[#This Row],[Sales]]&lt; 50000),"Medium","Low"))</f>
        <v>High</v>
      </c>
      <c r="X682" s="19" t="str">
        <f>IF(SalesData[[#This Row],[Profit]]&gt;0,"Profit","Loss")</f>
        <v>Profit</v>
      </c>
      <c r="Y682" s="19" t="str">
        <f>IF(AND(SalesData[[#This Row],[Sales]]&gt;= 50000, SalesData[[#This Row],[Quantity]]&gt;=2),"Yes","No")</f>
        <v>Yes</v>
      </c>
      <c r="Z682" s="19" t="str">
        <f>UPPER(SalesData[[#This Row],[Customer_Name]])</f>
        <v>ISHITA BOSE</v>
      </c>
      <c r="AA682" s="19" t="str">
        <f>LOWER(SalesData[[#This Row],[Customer_Name]])</f>
        <v>ishita bose</v>
      </c>
      <c r="AB682" s="19">
        <f>LEN(SalesData[[#This Row],[Customer_Name]])</f>
        <v>11</v>
      </c>
      <c r="AC682" s="19" t="str">
        <f>LEFT(SalesData[[#This Row],[Order_ID]],3)</f>
        <v>ORD</v>
      </c>
      <c r="AD682" s="19" t="str">
        <f>RIGHT(SalesData[[#This Row],[Order_ID]],4)</f>
        <v>0322</v>
      </c>
      <c r="AE682" s="19" t="str">
        <f>_xlfn.CONCAT(SalesData[[#This Row],[Clean_Customer_Name]],"-",SalesData[[#This Row],[Region]])</f>
        <v>Ishita Bose-South</v>
      </c>
      <c r="AF682" s="19" t="str">
        <f>MID(SalesData[[#This Row],[Order_ID]],4,4)</f>
        <v>0322</v>
      </c>
      <c r="AG682" s="19" t="e">
        <f ca="1">_xlfn.SINGLE(_xlfn.XLOOKUP(SalesData[[#This Row],[Product]],Product_Master!A:A,Product_Master!B:B,"Not Found"))</f>
        <v>#NAME?</v>
      </c>
      <c r="AH682" s="19" t="str">
        <f>VLOOKUP(SalesData[[#This Row],[Product]],Product_Master!$A$1:$B$21,2,FALSE)</f>
        <v>Sneha</v>
      </c>
      <c r="AI682" s="16"/>
    </row>
    <row r="683" spans="1:35" ht="13.8">
      <c r="A683" s="16" t="s">
        <v>499</v>
      </c>
      <c r="B683" s="17">
        <v>46013</v>
      </c>
      <c r="C683" s="16" t="s">
        <v>130</v>
      </c>
      <c r="D683" s="16" t="s">
        <v>131</v>
      </c>
      <c r="E683" s="16" t="s">
        <v>123</v>
      </c>
      <c r="F683" s="16" t="s">
        <v>124</v>
      </c>
      <c r="G683" s="16" t="s">
        <v>51</v>
      </c>
      <c r="H683" s="16" t="s">
        <v>125</v>
      </c>
      <c r="I683" s="16" t="s">
        <v>53</v>
      </c>
      <c r="J683" s="16" t="s">
        <v>102</v>
      </c>
      <c r="K683" s="18">
        <v>157828.04999999999</v>
      </c>
      <c r="L683" s="18">
        <v>81725.95</v>
      </c>
      <c r="M683" s="19">
        <v>5</v>
      </c>
      <c r="N683" s="20">
        <v>0.1</v>
      </c>
      <c r="O683" s="19" t="s">
        <v>76</v>
      </c>
      <c r="P683" s="19" t="s">
        <v>58</v>
      </c>
      <c r="Q683" s="19" t="str">
        <f>TRIM(SalesData[[#This Row],[Customer_Name]])</f>
        <v>Ishita Bose</v>
      </c>
      <c r="R683" s="21">
        <f>SalesData[[#This Row],[Sales]]-SalesData[[#This Row],[Cost]]</f>
        <v>76102.099999999991</v>
      </c>
      <c r="S683" s="22">
        <f>IFERROR(SalesData[[#This Row],[Profit]]/SalesData[[#This Row],[Sales]],0)</f>
        <v>0.48218361691727163</v>
      </c>
      <c r="T683" s="19">
        <f>YEAR(SalesData[[#This Row],[Order_Date]])</f>
        <v>2025</v>
      </c>
      <c r="U683" s="19" t="str">
        <f>TEXT(SalesData[[#This Row],[Order_Date]],"mmm")</f>
        <v>Dec</v>
      </c>
      <c r="V683" s="19" t="str">
        <f>"Q"&amp;ROUNDUP(MONTH(SalesData[[#This Row],[Order_Date]])/3,0)</f>
        <v>Q4</v>
      </c>
      <c r="W683" s="19" t="str">
        <f>IF(SalesData[[#This Row],[Sales]]&gt;=50000,"High",IF(AND(SalesData[[#This Row],[Sales]]&gt;= 20000, SalesData[[#This Row],[Sales]]&lt; 50000),"Medium","Low"))</f>
        <v>High</v>
      </c>
      <c r="X683" s="19" t="str">
        <f>IF(SalesData[[#This Row],[Profit]]&gt;0,"Profit","Loss")</f>
        <v>Profit</v>
      </c>
      <c r="Y683" s="19" t="str">
        <f>IF(AND(SalesData[[#This Row],[Sales]]&gt;= 50000, SalesData[[#This Row],[Quantity]]&gt;=2),"Yes","No")</f>
        <v>Yes</v>
      </c>
      <c r="Z683" s="19" t="str">
        <f>UPPER(SalesData[[#This Row],[Customer_Name]])</f>
        <v>ISHITA BOSE</v>
      </c>
      <c r="AA683" s="19" t="str">
        <f>LOWER(SalesData[[#This Row],[Customer_Name]])</f>
        <v>ishita bose</v>
      </c>
      <c r="AB683" s="19">
        <f>LEN(SalesData[[#This Row],[Customer_Name]])</f>
        <v>11</v>
      </c>
      <c r="AC683" s="19" t="str">
        <f>LEFT(SalesData[[#This Row],[Order_ID]],3)</f>
        <v>ORD</v>
      </c>
      <c r="AD683" s="19" t="str">
        <f>RIGHT(SalesData[[#This Row],[Order_ID]],4)</f>
        <v>0346</v>
      </c>
      <c r="AE683" s="19" t="str">
        <f>_xlfn.CONCAT(SalesData[[#This Row],[Clean_Customer_Name]],"-",SalesData[[#This Row],[Region]])</f>
        <v>Ishita Bose-Central</v>
      </c>
      <c r="AF683" s="19" t="str">
        <f>MID(SalesData[[#This Row],[Order_ID]],4,4)</f>
        <v>0346</v>
      </c>
      <c r="AG683" s="19" t="e">
        <f ca="1">_xlfn.SINGLE(_xlfn.XLOOKUP(SalesData[[#This Row],[Product]],Product_Master!A:A,Product_Master!B:B,"Not Found"))</f>
        <v>#NAME?</v>
      </c>
      <c r="AH683" s="19" t="str">
        <f>VLOOKUP(SalesData[[#This Row],[Product]],Product_Master!$A$1:$B$21,2,FALSE)</f>
        <v>Sneha</v>
      </c>
      <c r="AI683" s="16"/>
    </row>
    <row r="684" spans="1:35" ht="13.8">
      <c r="A684" s="16" t="s">
        <v>812</v>
      </c>
      <c r="B684" s="17">
        <v>45931</v>
      </c>
      <c r="C684" s="16" t="s">
        <v>130</v>
      </c>
      <c r="D684" s="16" t="s">
        <v>131</v>
      </c>
      <c r="E684" s="16" t="s">
        <v>123</v>
      </c>
      <c r="F684" s="16" t="s">
        <v>124</v>
      </c>
      <c r="G684" s="16" t="s">
        <v>51</v>
      </c>
      <c r="H684" s="16" t="s">
        <v>125</v>
      </c>
      <c r="I684" s="16" t="s">
        <v>53</v>
      </c>
      <c r="J684" s="16" t="s">
        <v>54</v>
      </c>
      <c r="K684" s="18">
        <v>17305.580000000002</v>
      </c>
      <c r="L684" s="18">
        <v>17232.54</v>
      </c>
      <c r="M684" s="19">
        <v>1</v>
      </c>
      <c r="N684" s="20">
        <v>0.2</v>
      </c>
      <c r="O684" s="19" t="s">
        <v>25</v>
      </c>
      <c r="P684" s="19" t="s">
        <v>45</v>
      </c>
      <c r="Q684" s="19" t="str">
        <f>TRIM(SalesData[[#This Row],[Customer_Name]])</f>
        <v>Ishita Bose</v>
      </c>
      <c r="R684" s="21">
        <f>SalesData[[#This Row],[Sales]]-SalesData[[#This Row],[Cost]]</f>
        <v>73.040000000000873</v>
      </c>
      <c r="S684" s="22">
        <f>IFERROR(SalesData[[#This Row],[Profit]]/SalesData[[#This Row],[Sales]],0)</f>
        <v>4.2206039901581376E-3</v>
      </c>
      <c r="T684" s="19">
        <f>YEAR(SalesData[[#This Row],[Order_Date]])</f>
        <v>2025</v>
      </c>
      <c r="U684" s="19" t="str">
        <f>TEXT(SalesData[[#This Row],[Order_Date]],"mmm")</f>
        <v>Oct</v>
      </c>
      <c r="V684" s="19" t="str">
        <f>"Q"&amp;ROUNDUP(MONTH(SalesData[[#This Row],[Order_Date]])/3,0)</f>
        <v>Q4</v>
      </c>
      <c r="W684" s="19" t="str">
        <f>IF(SalesData[[#This Row],[Sales]]&gt;=50000,"High",IF(AND(SalesData[[#This Row],[Sales]]&gt;= 20000, SalesData[[#This Row],[Sales]]&lt; 50000),"Medium","Low"))</f>
        <v>Low</v>
      </c>
      <c r="X684" s="19" t="str">
        <f>IF(SalesData[[#This Row],[Profit]]&gt;0,"Profit","Loss")</f>
        <v>Profit</v>
      </c>
      <c r="Y684" s="19" t="str">
        <f>IF(AND(SalesData[[#This Row],[Sales]]&gt;= 50000, SalesData[[#This Row],[Quantity]]&gt;=2),"Yes","No")</f>
        <v>No</v>
      </c>
      <c r="Z684" s="19" t="str">
        <f>UPPER(SalesData[[#This Row],[Customer_Name]])</f>
        <v>ISHITA BOSE</v>
      </c>
      <c r="AA684" s="19" t="str">
        <f>LOWER(SalesData[[#This Row],[Customer_Name]])</f>
        <v>ishita bose</v>
      </c>
      <c r="AB684" s="19">
        <f>LEN(SalesData[[#This Row],[Customer_Name]])</f>
        <v>11</v>
      </c>
      <c r="AC684" s="19" t="str">
        <f>LEFT(SalesData[[#This Row],[Order_ID]],3)</f>
        <v>ORD</v>
      </c>
      <c r="AD684" s="19" t="str">
        <f>RIGHT(SalesData[[#This Row],[Order_ID]],4)</f>
        <v>0659</v>
      </c>
      <c r="AE684" s="19" t="str">
        <f>_xlfn.CONCAT(SalesData[[#This Row],[Clean_Customer_Name]],"-",SalesData[[#This Row],[Region]])</f>
        <v>Ishita Bose-Central</v>
      </c>
      <c r="AF684" s="19" t="str">
        <f>MID(SalesData[[#This Row],[Order_ID]],4,4)</f>
        <v>0659</v>
      </c>
      <c r="AG684" s="19" t="e">
        <f ca="1">_xlfn.SINGLE(_xlfn.XLOOKUP(SalesData[[#This Row],[Product]],Product_Master!A:A,Product_Master!B:B,"Not Found"))</f>
        <v>#NAME?</v>
      </c>
      <c r="AH684" s="19" t="str">
        <f>VLOOKUP(SalesData[[#This Row],[Product]],Product_Master!$A$1:$B$21,2,FALSE)</f>
        <v>Sneha</v>
      </c>
      <c r="AI684" s="16"/>
    </row>
    <row r="685" spans="1:35" ht="13.8">
      <c r="A685" s="16" t="s">
        <v>553</v>
      </c>
      <c r="B685" s="17">
        <v>45435</v>
      </c>
      <c r="C685" s="16" t="s">
        <v>130</v>
      </c>
      <c r="D685" s="16" t="s">
        <v>131</v>
      </c>
      <c r="E685" s="16" t="s">
        <v>110</v>
      </c>
      <c r="F685" s="16" t="s">
        <v>111</v>
      </c>
      <c r="G685" s="16" t="s">
        <v>40</v>
      </c>
      <c r="H685" s="16" t="s">
        <v>112</v>
      </c>
      <c r="I685" s="16" t="s">
        <v>42</v>
      </c>
      <c r="J685" s="16" t="s">
        <v>68</v>
      </c>
      <c r="K685" s="18">
        <v>4491.68</v>
      </c>
      <c r="L685" s="18">
        <v>1237.3</v>
      </c>
      <c r="M685" s="19">
        <v>1</v>
      </c>
      <c r="N685" s="20">
        <v>0.1</v>
      </c>
      <c r="O685" s="19" t="s">
        <v>136</v>
      </c>
      <c r="P685" s="19" t="s">
        <v>26</v>
      </c>
      <c r="Q685" s="19" t="str">
        <f>TRIM(SalesData[[#This Row],[Customer_Name]])</f>
        <v>Ishita Bose</v>
      </c>
      <c r="R685" s="21">
        <f>SalesData[[#This Row],[Sales]]-SalesData[[#This Row],[Cost]]</f>
        <v>3254.38</v>
      </c>
      <c r="S685" s="22">
        <f>IFERROR(SalesData[[#This Row],[Profit]]/SalesData[[#This Row],[Sales]],0)</f>
        <v>0.72453514052648449</v>
      </c>
      <c r="T685" s="19">
        <f>YEAR(SalesData[[#This Row],[Order_Date]])</f>
        <v>2024</v>
      </c>
      <c r="U685" s="19" t="str">
        <f>TEXT(SalesData[[#This Row],[Order_Date]],"mmm")</f>
        <v>May</v>
      </c>
      <c r="V685" s="19" t="str">
        <f>"Q"&amp;ROUNDUP(MONTH(SalesData[[#This Row],[Order_Date]])/3,0)</f>
        <v>Q2</v>
      </c>
      <c r="W685" s="19" t="str">
        <f>IF(SalesData[[#This Row],[Sales]]&gt;=50000,"High",IF(AND(SalesData[[#This Row],[Sales]]&gt;= 20000, SalesData[[#This Row],[Sales]]&lt; 50000),"Medium","Low"))</f>
        <v>Low</v>
      </c>
      <c r="X685" s="19" t="str">
        <f>IF(SalesData[[#This Row],[Profit]]&gt;0,"Profit","Loss")</f>
        <v>Profit</v>
      </c>
      <c r="Y685" s="19" t="str">
        <f>IF(AND(SalesData[[#This Row],[Sales]]&gt;= 50000, SalesData[[#This Row],[Quantity]]&gt;=2),"Yes","No")</f>
        <v>No</v>
      </c>
      <c r="Z685" s="19" t="str">
        <f>UPPER(SalesData[[#This Row],[Customer_Name]])</f>
        <v>ISHITA BOSE</v>
      </c>
      <c r="AA685" s="19" t="str">
        <f>LOWER(SalesData[[#This Row],[Customer_Name]])</f>
        <v>ishita bose</v>
      </c>
      <c r="AB685" s="19">
        <f>LEN(SalesData[[#This Row],[Customer_Name]])</f>
        <v>11</v>
      </c>
      <c r="AC685" s="19" t="str">
        <f>LEFT(SalesData[[#This Row],[Order_ID]],3)</f>
        <v>ORD</v>
      </c>
      <c r="AD685" s="19" t="str">
        <f>RIGHT(SalesData[[#This Row],[Order_ID]],4)</f>
        <v>0400</v>
      </c>
      <c r="AE685" s="19" t="str">
        <f>_xlfn.CONCAT(SalesData[[#This Row],[Clean_Customer_Name]],"-",SalesData[[#This Row],[Region]])</f>
        <v>Ishita Bose-East</v>
      </c>
      <c r="AF685" s="19" t="str">
        <f>MID(SalesData[[#This Row],[Order_ID]],4,4)</f>
        <v>0400</v>
      </c>
      <c r="AG685" s="19" t="e">
        <f ca="1">_xlfn.SINGLE(_xlfn.XLOOKUP(SalesData[[#This Row],[Product]],Product_Master!A:A,Product_Master!B:B,"Not Found"))</f>
        <v>#NAME?</v>
      </c>
      <c r="AH685" s="19" t="str">
        <f>VLOOKUP(SalesData[[#This Row],[Product]],Product_Master!$A$1:$B$21,2,FALSE)</f>
        <v>Vikas</v>
      </c>
      <c r="AI685" s="16"/>
    </row>
    <row r="686" spans="1:35" ht="13.8">
      <c r="A686" s="16" t="s">
        <v>581</v>
      </c>
      <c r="B686" s="17">
        <v>45827</v>
      </c>
      <c r="C686" s="16" t="s">
        <v>130</v>
      </c>
      <c r="D686" s="16" t="s">
        <v>131</v>
      </c>
      <c r="E686" s="16" t="s">
        <v>110</v>
      </c>
      <c r="F686" s="16" t="s">
        <v>111</v>
      </c>
      <c r="G686" s="16" t="s">
        <v>40</v>
      </c>
      <c r="H686" s="16" t="s">
        <v>112</v>
      </c>
      <c r="I686" s="16" t="s">
        <v>56</v>
      </c>
      <c r="J686" s="16" t="s">
        <v>57</v>
      </c>
      <c r="K686" s="18">
        <v>17875.29</v>
      </c>
      <c r="L686" s="18">
        <v>5514.3</v>
      </c>
      <c r="M686" s="19">
        <v>5</v>
      </c>
      <c r="N686" s="20">
        <v>0.05</v>
      </c>
      <c r="O686" s="19" t="s">
        <v>136</v>
      </c>
      <c r="P686" s="19" t="s">
        <v>77</v>
      </c>
      <c r="Q686" s="19" t="str">
        <f>TRIM(SalesData[[#This Row],[Customer_Name]])</f>
        <v>Ishita Bose</v>
      </c>
      <c r="R686" s="21">
        <f>SalesData[[#This Row],[Sales]]-SalesData[[#This Row],[Cost]]</f>
        <v>12360.990000000002</v>
      </c>
      <c r="S686" s="22">
        <f>IFERROR(SalesData[[#This Row],[Profit]]/SalesData[[#This Row],[Sales]],0)</f>
        <v>0.69151269713666186</v>
      </c>
      <c r="T686" s="19">
        <f>YEAR(SalesData[[#This Row],[Order_Date]])</f>
        <v>2025</v>
      </c>
      <c r="U686" s="19" t="str">
        <f>TEXT(SalesData[[#This Row],[Order_Date]],"mmm")</f>
        <v>Jun</v>
      </c>
      <c r="V686" s="19" t="str">
        <f>"Q"&amp;ROUNDUP(MONTH(SalesData[[#This Row],[Order_Date]])/3,0)</f>
        <v>Q2</v>
      </c>
      <c r="W686" s="19" t="str">
        <f>IF(SalesData[[#This Row],[Sales]]&gt;=50000,"High",IF(AND(SalesData[[#This Row],[Sales]]&gt;= 20000, SalesData[[#This Row],[Sales]]&lt; 50000),"Medium","Low"))</f>
        <v>Low</v>
      </c>
      <c r="X686" s="19" t="str">
        <f>IF(SalesData[[#This Row],[Profit]]&gt;0,"Profit","Loss")</f>
        <v>Profit</v>
      </c>
      <c r="Y686" s="19" t="str">
        <f>IF(AND(SalesData[[#This Row],[Sales]]&gt;= 50000, SalesData[[#This Row],[Quantity]]&gt;=2),"Yes","No")</f>
        <v>No</v>
      </c>
      <c r="Z686" s="19" t="str">
        <f>UPPER(SalesData[[#This Row],[Customer_Name]])</f>
        <v>ISHITA BOSE</v>
      </c>
      <c r="AA686" s="19" t="str">
        <f>LOWER(SalesData[[#This Row],[Customer_Name]])</f>
        <v>ishita bose</v>
      </c>
      <c r="AB686" s="19">
        <f>LEN(SalesData[[#This Row],[Customer_Name]])</f>
        <v>11</v>
      </c>
      <c r="AC686" s="19" t="str">
        <f>LEFT(SalesData[[#This Row],[Order_ID]],3)</f>
        <v>ORD</v>
      </c>
      <c r="AD686" s="19" t="str">
        <f>RIGHT(SalesData[[#This Row],[Order_ID]],4)</f>
        <v>0428</v>
      </c>
      <c r="AE686" s="19" t="str">
        <f>_xlfn.CONCAT(SalesData[[#This Row],[Clean_Customer_Name]],"-",SalesData[[#This Row],[Region]])</f>
        <v>Ishita Bose-West</v>
      </c>
      <c r="AF686" s="19" t="str">
        <f>MID(SalesData[[#This Row],[Order_ID]],4,4)</f>
        <v>0428</v>
      </c>
      <c r="AG686" s="19" t="e">
        <f ca="1">_xlfn.SINGLE(_xlfn.XLOOKUP(SalesData[[#This Row],[Product]],Product_Master!A:A,Product_Master!B:B,"Not Found"))</f>
        <v>#NAME?</v>
      </c>
      <c r="AH686" s="19" t="str">
        <f>VLOOKUP(SalesData[[#This Row],[Product]],Product_Master!$A$1:$B$21,2,FALSE)</f>
        <v>Vikas</v>
      </c>
      <c r="AI686" s="16"/>
    </row>
    <row r="687" spans="1:35" ht="13.8">
      <c r="A687" s="16" t="s">
        <v>819</v>
      </c>
      <c r="B687" s="17">
        <v>45991</v>
      </c>
      <c r="C687" s="16" t="s">
        <v>130</v>
      </c>
      <c r="D687" s="16" t="s">
        <v>131</v>
      </c>
      <c r="E687" s="16" t="s">
        <v>110</v>
      </c>
      <c r="F687" s="16" t="s">
        <v>111</v>
      </c>
      <c r="G687" s="16" t="s">
        <v>40</v>
      </c>
      <c r="H687" s="16" t="s">
        <v>112</v>
      </c>
      <c r="I687" s="16" t="s">
        <v>56</v>
      </c>
      <c r="J687" s="16" t="s">
        <v>57</v>
      </c>
      <c r="K687" s="18">
        <v>2957.77</v>
      </c>
      <c r="L687" s="18">
        <v>1103.3699999999999</v>
      </c>
      <c r="M687" s="19">
        <v>1</v>
      </c>
      <c r="N687" s="20">
        <v>0.1</v>
      </c>
      <c r="O687" s="19" t="s">
        <v>136</v>
      </c>
      <c r="P687" s="19" t="s">
        <v>45</v>
      </c>
      <c r="Q687" s="19" t="str">
        <f>TRIM(SalesData[[#This Row],[Customer_Name]])</f>
        <v>Ishita Bose</v>
      </c>
      <c r="R687" s="21">
        <f>SalesData[[#This Row],[Sales]]-SalesData[[#This Row],[Cost]]</f>
        <v>1854.4</v>
      </c>
      <c r="S687" s="22">
        <f>IFERROR(SalesData[[#This Row],[Profit]]/SalesData[[#This Row],[Sales]],0)</f>
        <v>0.62695882370840195</v>
      </c>
      <c r="T687" s="19">
        <f>YEAR(SalesData[[#This Row],[Order_Date]])</f>
        <v>2025</v>
      </c>
      <c r="U687" s="19" t="str">
        <f>TEXT(SalesData[[#This Row],[Order_Date]],"mmm")</f>
        <v>Nov</v>
      </c>
      <c r="V687" s="19" t="str">
        <f>"Q"&amp;ROUNDUP(MONTH(SalesData[[#This Row],[Order_Date]])/3,0)</f>
        <v>Q4</v>
      </c>
      <c r="W687" s="19" t="str">
        <f>IF(SalesData[[#This Row],[Sales]]&gt;=50000,"High",IF(AND(SalesData[[#This Row],[Sales]]&gt;= 20000, SalesData[[#This Row],[Sales]]&lt; 50000),"Medium","Low"))</f>
        <v>Low</v>
      </c>
      <c r="X687" s="19" t="str">
        <f>IF(SalesData[[#This Row],[Profit]]&gt;0,"Profit","Loss")</f>
        <v>Profit</v>
      </c>
      <c r="Y687" s="19" t="str">
        <f>IF(AND(SalesData[[#This Row],[Sales]]&gt;= 50000, SalesData[[#This Row],[Quantity]]&gt;=2),"Yes","No")</f>
        <v>No</v>
      </c>
      <c r="Z687" s="19" t="str">
        <f>UPPER(SalesData[[#This Row],[Customer_Name]])</f>
        <v>ISHITA BOSE</v>
      </c>
      <c r="AA687" s="19" t="str">
        <f>LOWER(SalesData[[#This Row],[Customer_Name]])</f>
        <v>ishita bose</v>
      </c>
      <c r="AB687" s="19">
        <f>LEN(SalesData[[#This Row],[Customer_Name]])</f>
        <v>11</v>
      </c>
      <c r="AC687" s="19" t="str">
        <f>LEFT(SalesData[[#This Row],[Order_ID]],3)</f>
        <v>ORD</v>
      </c>
      <c r="AD687" s="19" t="str">
        <f>RIGHT(SalesData[[#This Row],[Order_ID]],4)</f>
        <v>0666</v>
      </c>
      <c r="AE687" s="19" t="str">
        <f>_xlfn.CONCAT(SalesData[[#This Row],[Clean_Customer_Name]],"-",SalesData[[#This Row],[Region]])</f>
        <v>Ishita Bose-West</v>
      </c>
      <c r="AF687" s="19" t="str">
        <f>MID(SalesData[[#This Row],[Order_ID]],4,4)</f>
        <v>0666</v>
      </c>
      <c r="AG687" s="19" t="e">
        <f ca="1">_xlfn.SINGLE(_xlfn.XLOOKUP(SalesData[[#This Row],[Product]],Product_Master!A:A,Product_Master!B:B,"Not Found"))</f>
        <v>#NAME?</v>
      </c>
      <c r="AH687" s="19" t="str">
        <f>VLOOKUP(SalesData[[#This Row],[Product]],Product_Master!$A$1:$B$21,2,FALSE)</f>
        <v>Vikas</v>
      </c>
      <c r="AI687" s="16"/>
    </row>
    <row r="688" spans="1:35" ht="13.8">
      <c r="A688" s="16" t="s">
        <v>877</v>
      </c>
      <c r="B688" s="17">
        <v>45443</v>
      </c>
      <c r="C688" s="16" t="s">
        <v>130</v>
      </c>
      <c r="D688" s="16" t="s">
        <v>131</v>
      </c>
      <c r="E688" s="16" t="s">
        <v>110</v>
      </c>
      <c r="F688" s="16" t="s">
        <v>111</v>
      </c>
      <c r="G688" s="16" t="s">
        <v>40</v>
      </c>
      <c r="H688" s="16" t="s">
        <v>112</v>
      </c>
      <c r="I688" s="16" t="s">
        <v>84</v>
      </c>
      <c r="J688" s="16" t="s">
        <v>134</v>
      </c>
      <c r="K688" s="18">
        <v>11784.72</v>
      </c>
      <c r="L688" s="18">
        <v>3562.86</v>
      </c>
      <c r="M688" s="19">
        <v>3</v>
      </c>
      <c r="N688" s="20">
        <v>0.2</v>
      </c>
      <c r="O688" s="19" t="s">
        <v>44</v>
      </c>
      <c r="P688" s="19" t="s">
        <v>58</v>
      </c>
      <c r="Q688" s="19" t="str">
        <f>TRIM(SalesData[[#This Row],[Customer_Name]])</f>
        <v>Ishita Bose</v>
      </c>
      <c r="R688" s="21">
        <f>SalesData[[#This Row],[Sales]]-SalesData[[#This Row],[Cost]]</f>
        <v>8221.8599999999988</v>
      </c>
      <c r="S688" s="22">
        <f>IFERROR(SalesData[[#This Row],[Profit]]/SalesData[[#This Row],[Sales]],0)</f>
        <v>0.69767122171761398</v>
      </c>
      <c r="T688" s="19">
        <f>YEAR(SalesData[[#This Row],[Order_Date]])</f>
        <v>2024</v>
      </c>
      <c r="U688" s="19" t="str">
        <f>TEXT(SalesData[[#This Row],[Order_Date]],"mmm")</f>
        <v>May</v>
      </c>
      <c r="V688" s="19" t="str">
        <f>"Q"&amp;ROUNDUP(MONTH(SalesData[[#This Row],[Order_Date]])/3,0)</f>
        <v>Q2</v>
      </c>
      <c r="W688" s="19" t="str">
        <f>IF(SalesData[[#This Row],[Sales]]&gt;=50000,"High",IF(AND(SalesData[[#This Row],[Sales]]&gt;= 20000, SalesData[[#This Row],[Sales]]&lt; 50000),"Medium","Low"))</f>
        <v>Low</v>
      </c>
      <c r="X688" s="19" t="str">
        <f>IF(SalesData[[#This Row],[Profit]]&gt;0,"Profit","Loss")</f>
        <v>Profit</v>
      </c>
      <c r="Y688" s="19" t="str">
        <f>IF(AND(SalesData[[#This Row],[Sales]]&gt;= 50000, SalesData[[#This Row],[Quantity]]&gt;=2),"Yes","No")</f>
        <v>No</v>
      </c>
      <c r="Z688" s="19" t="str">
        <f>UPPER(SalesData[[#This Row],[Customer_Name]])</f>
        <v>ISHITA BOSE</v>
      </c>
      <c r="AA688" s="19" t="str">
        <f>LOWER(SalesData[[#This Row],[Customer_Name]])</f>
        <v>ishita bose</v>
      </c>
      <c r="AB688" s="19">
        <f>LEN(SalesData[[#This Row],[Customer_Name]])</f>
        <v>11</v>
      </c>
      <c r="AC688" s="19" t="str">
        <f>LEFT(SalesData[[#This Row],[Order_ID]],3)</f>
        <v>ORD</v>
      </c>
      <c r="AD688" s="19" t="str">
        <f>RIGHT(SalesData[[#This Row],[Order_ID]],4)</f>
        <v>0724</v>
      </c>
      <c r="AE688" s="19" t="str">
        <f>_xlfn.CONCAT(SalesData[[#This Row],[Clean_Customer_Name]],"-",SalesData[[#This Row],[Region]])</f>
        <v>Ishita Bose-South</v>
      </c>
      <c r="AF688" s="19" t="str">
        <f>MID(SalesData[[#This Row],[Order_ID]],4,4)</f>
        <v>0724</v>
      </c>
      <c r="AG688" s="19" t="e">
        <f ca="1">_xlfn.SINGLE(_xlfn.XLOOKUP(SalesData[[#This Row],[Product]],Product_Master!A:A,Product_Master!B:B,"Not Found"))</f>
        <v>#NAME?</v>
      </c>
      <c r="AH688" s="19" t="str">
        <f>VLOOKUP(SalesData[[#This Row],[Product]],Product_Master!$A$1:$B$21,2,FALSE)</f>
        <v>Vikas</v>
      </c>
      <c r="AI688" s="16"/>
    </row>
    <row r="689" spans="1:35" ht="13.8">
      <c r="A689" s="16" t="s">
        <v>555</v>
      </c>
      <c r="B689" s="17">
        <v>45599</v>
      </c>
      <c r="C689" s="16" t="s">
        <v>130</v>
      </c>
      <c r="D689" s="16" t="s">
        <v>131</v>
      </c>
      <c r="E689" s="16" t="s">
        <v>172</v>
      </c>
      <c r="F689" s="16" t="s">
        <v>173</v>
      </c>
      <c r="G689" s="16" t="s">
        <v>40</v>
      </c>
      <c r="H689" s="16" t="s">
        <v>41</v>
      </c>
      <c r="I689" s="16" t="s">
        <v>56</v>
      </c>
      <c r="J689" s="16" t="s">
        <v>57</v>
      </c>
      <c r="K689" s="18">
        <v>6897.89</v>
      </c>
      <c r="L689" s="18">
        <v>1922.62</v>
      </c>
      <c r="M689" s="19">
        <v>2</v>
      </c>
      <c r="N689" s="20">
        <v>0.05</v>
      </c>
      <c r="O689" s="19" t="s">
        <v>44</v>
      </c>
      <c r="P689" s="19" t="s">
        <v>58</v>
      </c>
      <c r="Q689" s="19" t="str">
        <f>TRIM(SalesData[[#This Row],[Customer_Name]])</f>
        <v>Ishita Bose</v>
      </c>
      <c r="R689" s="21">
        <f>SalesData[[#This Row],[Sales]]-SalesData[[#This Row],[Cost]]</f>
        <v>4975.2700000000004</v>
      </c>
      <c r="S689" s="22">
        <f>IFERROR(SalesData[[#This Row],[Profit]]/SalesData[[#This Row],[Sales]],0)</f>
        <v>0.7212741867440623</v>
      </c>
      <c r="T689" s="19">
        <f>YEAR(SalesData[[#This Row],[Order_Date]])</f>
        <v>2024</v>
      </c>
      <c r="U689" s="19" t="str">
        <f>TEXT(SalesData[[#This Row],[Order_Date]],"mmm")</f>
        <v>Nov</v>
      </c>
      <c r="V689" s="19" t="str">
        <f>"Q"&amp;ROUNDUP(MONTH(SalesData[[#This Row],[Order_Date]])/3,0)</f>
        <v>Q4</v>
      </c>
      <c r="W689" s="19" t="str">
        <f>IF(SalesData[[#This Row],[Sales]]&gt;=50000,"High",IF(AND(SalesData[[#This Row],[Sales]]&gt;= 20000, SalesData[[#This Row],[Sales]]&lt; 50000),"Medium","Low"))</f>
        <v>Low</v>
      </c>
      <c r="X689" s="19" t="str">
        <f>IF(SalesData[[#This Row],[Profit]]&gt;0,"Profit","Loss")</f>
        <v>Profit</v>
      </c>
      <c r="Y689" s="19" t="str">
        <f>IF(AND(SalesData[[#This Row],[Sales]]&gt;= 50000, SalesData[[#This Row],[Quantity]]&gt;=2),"Yes","No")</f>
        <v>No</v>
      </c>
      <c r="Z689" s="19" t="str">
        <f>UPPER(SalesData[[#This Row],[Customer_Name]])</f>
        <v>ISHITA BOSE</v>
      </c>
      <c r="AA689" s="19" t="str">
        <f>LOWER(SalesData[[#This Row],[Customer_Name]])</f>
        <v>ishita bose</v>
      </c>
      <c r="AB689" s="19">
        <f>LEN(SalesData[[#This Row],[Customer_Name]])</f>
        <v>11</v>
      </c>
      <c r="AC689" s="19" t="str">
        <f>LEFT(SalesData[[#This Row],[Order_ID]],3)</f>
        <v>ORD</v>
      </c>
      <c r="AD689" s="19" t="str">
        <f>RIGHT(SalesData[[#This Row],[Order_ID]],4)</f>
        <v>0402</v>
      </c>
      <c r="AE689" s="19" t="str">
        <f>_xlfn.CONCAT(SalesData[[#This Row],[Clean_Customer_Name]],"-",SalesData[[#This Row],[Region]])</f>
        <v>Ishita Bose-West</v>
      </c>
      <c r="AF689" s="19" t="str">
        <f>MID(SalesData[[#This Row],[Order_ID]],4,4)</f>
        <v>0402</v>
      </c>
      <c r="AG689" s="19" t="e">
        <f ca="1">_xlfn.SINGLE(_xlfn.XLOOKUP(SalesData[[#This Row],[Product]],Product_Master!A:A,Product_Master!B:B,"Not Found"))</f>
        <v>#NAME?</v>
      </c>
      <c r="AH689" s="19" t="str">
        <f>VLOOKUP(SalesData[[#This Row],[Product]],Product_Master!$A$1:$B$21,2,FALSE)</f>
        <v>Pooja</v>
      </c>
      <c r="AI689" s="16"/>
    </row>
    <row r="690" spans="1:35" ht="13.8">
      <c r="A690" s="16" t="s">
        <v>883</v>
      </c>
      <c r="B690" s="17">
        <v>45443</v>
      </c>
      <c r="C690" s="16" t="s">
        <v>130</v>
      </c>
      <c r="D690" s="16" t="s">
        <v>131</v>
      </c>
      <c r="E690" s="16" t="s">
        <v>172</v>
      </c>
      <c r="F690" s="16" t="s">
        <v>173</v>
      </c>
      <c r="G690" s="16" t="s">
        <v>40</v>
      </c>
      <c r="H690" s="16" t="s">
        <v>41</v>
      </c>
      <c r="I690" s="16" t="s">
        <v>56</v>
      </c>
      <c r="J690" s="16" t="s">
        <v>91</v>
      </c>
      <c r="K690" s="18">
        <v>7644.64</v>
      </c>
      <c r="L690" s="18">
        <v>3506.12</v>
      </c>
      <c r="M690" s="19">
        <v>4</v>
      </c>
      <c r="N690" s="20">
        <v>0.1</v>
      </c>
      <c r="O690" s="19" t="s">
        <v>44</v>
      </c>
      <c r="P690" s="19" t="s">
        <v>77</v>
      </c>
      <c r="Q690" s="19" t="str">
        <f>TRIM(SalesData[[#This Row],[Customer_Name]])</f>
        <v>Ishita Bose</v>
      </c>
      <c r="R690" s="21">
        <f>SalesData[[#This Row],[Sales]]-SalesData[[#This Row],[Cost]]</f>
        <v>4138.5200000000004</v>
      </c>
      <c r="S690" s="22">
        <f>IFERROR(SalesData[[#This Row],[Profit]]/SalesData[[#This Row],[Sales]],0)</f>
        <v>0.5413623139873166</v>
      </c>
      <c r="T690" s="19">
        <f>YEAR(SalesData[[#This Row],[Order_Date]])</f>
        <v>2024</v>
      </c>
      <c r="U690" s="19" t="str">
        <f>TEXT(SalesData[[#This Row],[Order_Date]],"mmm")</f>
        <v>May</v>
      </c>
      <c r="V690" s="19" t="str">
        <f>"Q"&amp;ROUNDUP(MONTH(SalesData[[#This Row],[Order_Date]])/3,0)</f>
        <v>Q2</v>
      </c>
      <c r="W690" s="19" t="str">
        <f>IF(SalesData[[#This Row],[Sales]]&gt;=50000,"High",IF(AND(SalesData[[#This Row],[Sales]]&gt;= 20000, SalesData[[#This Row],[Sales]]&lt; 50000),"Medium","Low"))</f>
        <v>Low</v>
      </c>
      <c r="X690" s="19" t="str">
        <f>IF(SalesData[[#This Row],[Profit]]&gt;0,"Profit","Loss")</f>
        <v>Profit</v>
      </c>
      <c r="Y690" s="19" t="str">
        <f>IF(AND(SalesData[[#This Row],[Sales]]&gt;= 50000, SalesData[[#This Row],[Quantity]]&gt;=2),"Yes","No")</f>
        <v>No</v>
      </c>
      <c r="Z690" s="19" t="str">
        <f>UPPER(SalesData[[#This Row],[Customer_Name]])</f>
        <v>ISHITA BOSE</v>
      </c>
      <c r="AA690" s="19" t="str">
        <f>LOWER(SalesData[[#This Row],[Customer_Name]])</f>
        <v>ishita bose</v>
      </c>
      <c r="AB690" s="19">
        <f>LEN(SalesData[[#This Row],[Customer_Name]])</f>
        <v>11</v>
      </c>
      <c r="AC690" s="19" t="str">
        <f>LEFT(SalesData[[#This Row],[Order_ID]],3)</f>
        <v>ORD</v>
      </c>
      <c r="AD690" s="19" t="str">
        <f>RIGHT(SalesData[[#This Row],[Order_ID]],4)</f>
        <v>0730</v>
      </c>
      <c r="AE690" s="19" t="str">
        <f>_xlfn.CONCAT(SalesData[[#This Row],[Clean_Customer_Name]],"-",SalesData[[#This Row],[Region]])</f>
        <v>Ishita Bose-West</v>
      </c>
      <c r="AF690" s="19" t="str">
        <f>MID(SalesData[[#This Row],[Order_ID]],4,4)</f>
        <v>0730</v>
      </c>
      <c r="AG690" s="19" t="e">
        <f ca="1">_xlfn.SINGLE(_xlfn.XLOOKUP(SalesData[[#This Row],[Product]],Product_Master!A:A,Product_Master!B:B,"Not Found"))</f>
        <v>#NAME?</v>
      </c>
      <c r="AH690" s="19" t="str">
        <f>VLOOKUP(SalesData[[#This Row],[Product]],Product_Master!$A$1:$B$21,2,FALSE)</f>
        <v>Pooja</v>
      </c>
      <c r="AI690" s="16"/>
    </row>
    <row r="691" spans="1:35" ht="13.8">
      <c r="A691" s="16" t="s">
        <v>895</v>
      </c>
      <c r="B691" s="17">
        <v>45839</v>
      </c>
      <c r="C691" s="16" t="s">
        <v>130</v>
      </c>
      <c r="D691" s="16" t="s">
        <v>131</v>
      </c>
      <c r="E691" s="16" t="s">
        <v>172</v>
      </c>
      <c r="F691" s="16" t="s">
        <v>173</v>
      </c>
      <c r="G691" s="16" t="s">
        <v>40</v>
      </c>
      <c r="H691" s="16" t="s">
        <v>41</v>
      </c>
      <c r="I691" s="16" t="s">
        <v>23</v>
      </c>
      <c r="J691" s="16" t="s">
        <v>33</v>
      </c>
      <c r="K691" s="18">
        <v>6830.5</v>
      </c>
      <c r="L691" s="18">
        <v>4366.45</v>
      </c>
      <c r="M691" s="19">
        <v>5</v>
      </c>
      <c r="N691" s="20">
        <v>0.05</v>
      </c>
      <c r="O691" s="19" t="s">
        <v>34</v>
      </c>
      <c r="P691" s="19" t="s">
        <v>45</v>
      </c>
      <c r="Q691" s="19" t="str">
        <f>TRIM(SalesData[[#This Row],[Customer_Name]])</f>
        <v>Ishita Bose</v>
      </c>
      <c r="R691" s="21">
        <f>SalesData[[#This Row],[Sales]]-SalesData[[#This Row],[Cost]]</f>
        <v>2464.0500000000002</v>
      </c>
      <c r="S691" s="22">
        <f>IFERROR(SalesData[[#This Row],[Profit]]/SalesData[[#This Row],[Sales]],0)</f>
        <v>0.360742258985433</v>
      </c>
      <c r="T691" s="19">
        <f>YEAR(SalesData[[#This Row],[Order_Date]])</f>
        <v>2025</v>
      </c>
      <c r="U691" s="19" t="str">
        <f>TEXT(SalesData[[#This Row],[Order_Date]],"mmm")</f>
        <v>Jul</v>
      </c>
      <c r="V691" s="19" t="str">
        <f>"Q"&amp;ROUNDUP(MONTH(SalesData[[#This Row],[Order_Date]])/3,0)</f>
        <v>Q3</v>
      </c>
      <c r="W691" s="19" t="str">
        <f>IF(SalesData[[#This Row],[Sales]]&gt;=50000,"High",IF(AND(SalesData[[#This Row],[Sales]]&gt;= 20000, SalesData[[#This Row],[Sales]]&lt; 50000),"Medium","Low"))</f>
        <v>Low</v>
      </c>
      <c r="X691" s="19" t="str">
        <f>IF(SalesData[[#This Row],[Profit]]&gt;0,"Profit","Loss")</f>
        <v>Profit</v>
      </c>
      <c r="Y691" s="19" t="str">
        <f>IF(AND(SalesData[[#This Row],[Sales]]&gt;= 50000, SalesData[[#This Row],[Quantity]]&gt;=2),"Yes","No")</f>
        <v>No</v>
      </c>
      <c r="Z691" s="19" t="str">
        <f>UPPER(SalesData[[#This Row],[Customer_Name]])</f>
        <v>ISHITA BOSE</v>
      </c>
      <c r="AA691" s="19" t="str">
        <f>LOWER(SalesData[[#This Row],[Customer_Name]])</f>
        <v>ishita bose</v>
      </c>
      <c r="AB691" s="19">
        <f>LEN(SalesData[[#This Row],[Customer_Name]])</f>
        <v>11</v>
      </c>
      <c r="AC691" s="19" t="str">
        <f>LEFT(SalesData[[#This Row],[Order_ID]],3)</f>
        <v>ORD</v>
      </c>
      <c r="AD691" s="19" t="str">
        <f>RIGHT(SalesData[[#This Row],[Order_ID]],4)</f>
        <v>0742</v>
      </c>
      <c r="AE691" s="19" t="str">
        <f>_xlfn.CONCAT(SalesData[[#This Row],[Clean_Customer_Name]],"-",SalesData[[#This Row],[Region]])</f>
        <v>Ishita Bose-North</v>
      </c>
      <c r="AF691" s="19" t="str">
        <f>MID(SalesData[[#This Row],[Order_ID]],4,4)</f>
        <v>0742</v>
      </c>
      <c r="AG691" s="19" t="e">
        <f ca="1">_xlfn.SINGLE(_xlfn.XLOOKUP(SalesData[[#This Row],[Product]],Product_Master!A:A,Product_Master!B:B,"Not Found"))</f>
        <v>#NAME?</v>
      </c>
      <c r="AH691" s="19" t="str">
        <f>VLOOKUP(SalesData[[#This Row],[Product]],Product_Master!$A$1:$B$21,2,FALSE)</f>
        <v>Pooja</v>
      </c>
      <c r="AI691" s="16"/>
    </row>
    <row r="692" spans="1:35" ht="13.8">
      <c r="A692" s="16" t="s">
        <v>430</v>
      </c>
      <c r="B692" s="17">
        <v>45434</v>
      </c>
      <c r="C692" s="16" t="s">
        <v>130</v>
      </c>
      <c r="D692" s="16" t="s">
        <v>131</v>
      </c>
      <c r="E692" s="16" t="s">
        <v>106</v>
      </c>
      <c r="F692" s="16" t="s">
        <v>107</v>
      </c>
      <c r="G692" s="16" t="s">
        <v>40</v>
      </c>
      <c r="H692" s="16" t="s">
        <v>108</v>
      </c>
      <c r="I692" s="16" t="s">
        <v>23</v>
      </c>
      <c r="J692" s="16" t="s">
        <v>75</v>
      </c>
      <c r="K692" s="18">
        <v>5654.61</v>
      </c>
      <c r="L692" s="18">
        <v>2016.48</v>
      </c>
      <c r="M692" s="19">
        <v>3</v>
      </c>
      <c r="N692" s="20">
        <v>0</v>
      </c>
      <c r="O692" s="19" t="s">
        <v>76</v>
      </c>
      <c r="P692" s="19" t="s">
        <v>26</v>
      </c>
      <c r="Q692" s="19" t="str">
        <f>TRIM(SalesData[[#This Row],[Customer_Name]])</f>
        <v>Ishita Bose</v>
      </c>
      <c r="R692" s="21">
        <f>SalesData[[#This Row],[Sales]]-SalesData[[#This Row],[Cost]]</f>
        <v>3638.1299999999997</v>
      </c>
      <c r="S692" s="22">
        <f>IFERROR(SalesData[[#This Row],[Profit]]/SalesData[[#This Row],[Sales]],0)</f>
        <v>0.64339185195795989</v>
      </c>
      <c r="T692" s="19">
        <f>YEAR(SalesData[[#This Row],[Order_Date]])</f>
        <v>2024</v>
      </c>
      <c r="U692" s="19" t="str">
        <f>TEXT(SalesData[[#This Row],[Order_Date]],"mmm")</f>
        <v>May</v>
      </c>
      <c r="V692" s="19" t="str">
        <f>"Q"&amp;ROUNDUP(MONTH(SalesData[[#This Row],[Order_Date]])/3,0)</f>
        <v>Q2</v>
      </c>
      <c r="W692" s="19" t="str">
        <f>IF(SalesData[[#This Row],[Sales]]&gt;=50000,"High",IF(AND(SalesData[[#This Row],[Sales]]&gt;= 20000, SalesData[[#This Row],[Sales]]&lt; 50000),"Medium","Low"))</f>
        <v>Low</v>
      </c>
      <c r="X692" s="19" t="str">
        <f>IF(SalesData[[#This Row],[Profit]]&gt;0,"Profit","Loss")</f>
        <v>Profit</v>
      </c>
      <c r="Y692" s="19" t="str">
        <f>IF(AND(SalesData[[#This Row],[Sales]]&gt;= 50000, SalesData[[#This Row],[Quantity]]&gt;=2),"Yes","No")</f>
        <v>No</v>
      </c>
      <c r="Z692" s="19" t="str">
        <f>UPPER(SalesData[[#This Row],[Customer_Name]])</f>
        <v>ISHITA BOSE</v>
      </c>
      <c r="AA692" s="19" t="str">
        <f>LOWER(SalesData[[#This Row],[Customer_Name]])</f>
        <v>ishita bose</v>
      </c>
      <c r="AB692" s="19">
        <f>LEN(SalesData[[#This Row],[Customer_Name]])</f>
        <v>11</v>
      </c>
      <c r="AC692" s="19" t="str">
        <f>LEFT(SalesData[[#This Row],[Order_ID]],3)</f>
        <v>ORD</v>
      </c>
      <c r="AD692" s="19" t="str">
        <f>RIGHT(SalesData[[#This Row],[Order_ID]],4)</f>
        <v>0277</v>
      </c>
      <c r="AE692" s="19" t="str">
        <f>_xlfn.CONCAT(SalesData[[#This Row],[Clean_Customer_Name]],"-",SalesData[[#This Row],[Region]])</f>
        <v>Ishita Bose-North</v>
      </c>
      <c r="AF692" s="19" t="str">
        <f>MID(SalesData[[#This Row],[Order_ID]],4,4)</f>
        <v>0277</v>
      </c>
      <c r="AG692" s="19" t="e">
        <f ca="1">_xlfn.SINGLE(_xlfn.XLOOKUP(SalesData[[#This Row],[Product]],Product_Master!A:A,Product_Master!B:B,"Not Found"))</f>
        <v>#NAME?</v>
      </c>
      <c r="AH692" s="19" t="str">
        <f>VLOOKUP(SalesData[[#This Row],[Product]],Product_Master!$A$1:$B$21,2,FALSE)</f>
        <v>Aditya</v>
      </c>
      <c r="AI692" s="16"/>
    </row>
    <row r="693" spans="1:35" ht="13.8">
      <c r="A693" s="16" t="s">
        <v>559</v>
      </c>
      <c r="B693" s="17">
        <v>45597</v>
      </c>
      <c r="C693" s="16" t="s">
        <v>130</v>
      </c>
      <c r="D693" s="16" t="s">
        <v>131</v>
      </c>
      <c r="E693" s="16" t="s">
        <v>106</v>
      </c>
      <c r="F693" s="16" t="s">
        <v>107</v>
      </c>
      <c r="G693" s="16" t="s">
        <v>40</v>
      </c>
      <c r="H693" s="16" t="s">
        <v>108</v>
      </c>
      <c r="I693" s="16" t="s">
        <v>56</v>
      </c>
      <c r="J693" s="16" t="s">
        <v>57</v>
      </c>
      <c r="K693" s="18">
        <v>10181.450000000001</v>
      </c>
      <c r="L693" s="18">
        <v>2550.2800000000002</v>
      </c>
      <c r="M693" s="19">
        <v>4</v>
      </c>
      <c r="N693" s="20">
        <v>0.05</v>
      </c>
      <c r="O693" s="19" t="s">
        <v>76</v>
      </c>
      <c r="P693" s="19" t="s">
        <v>77</v>
      </c>
      <c r="Q693" s="19" t="str">
        <f>TRIM(SalesData[[#This Row],[Customer_Name]])</f>
        <v>Ishita Bose</v>
      </c>
      <c r="R693" s="21">
        <f>SalesData[[#This Row],[Sales]]-SalesData[[#This Row],[Cost]]</f>
        <v>7631.17</v>
      </c>
      <c r="S693" s="22">
        <f>IFERROR(SalesData[[#This Row],[Profit]]/SalesData[[#This Row],[Sales]],0)</f>
        <v>0.74951701378487345</v>
      </c>
      <c r="T693" s="19">
        <f>YEAR(SalesData[[#This Row],[Order_Date]])</f>
        <v>2024</v>
      </c>
      <c r="U693" s="19" t="str">
        <f>TEXT(SalesData[[#This Row],[Order_Date]],"mmm")</f>
        <v>Nov</v>
      </c>
      <c r="V693" s="19" t="str">
        <f>"Q"&amp;ROUNDUP(MONTH(SalesData[[#This Row],[Order_Date]])/3,0)</f>
        <v>Q4</v>
      </c>
      <c r="W693" s="19" t="str">
        <f>IF(SalesData[[#This Row],[Sales]]&gt;=50000,"High",IF(AND(SalesData[[#This Row],[Sales]]&gt;= 20000, SalesData[[#This Row],[Sales]]&lt; 50000),"Medium","Low"))</f>
        <v>Low</v>
      </c>
      <c r="X693" s="19" t="str">
        <f>IF(SalesData[[#This Row],[Profit]]&gt;0,"Profit","Loss")</f>
        <v>Profit</v>
      </c>
      <c r="Y693" s="19" t="str">
        <f>IF(AND(SalesData[[#This Row],[Sales]]&gt;= 50000, SalesData[[#This Row],[Quantity]]&gt;=2),"Yes","No")</f>
        <v>No</v>
      </c>
      <c r="Z693" s="19" t="str">
        <f>UPPER(SalesData[[#This Row],[Customer_Name]])</f>
        <v>ISHITA BOSE</v>
      </c>
      <c r="AA693" s="19" t="str">
        <f>LOWER(SalesData[[#This Row],[Customer_Name]])</f>
        <v>ishita bose</v>
      </c>
      <c r="AB693" s="19">
        <f>LEN(SalesData[[#This Row],[Customer_Name]])</f>
        <v>11</v>
      </c>
      <c r="AC693" s="19" t="str">
        <f>LEFT(SalesData[[#This Row],[Order_ID]],3)</f>
        <v>ORD</v>
      </c>
      <c r="AD693" s="19" t="str">
        <f>RIGHT(SalesData[[#This Row],[Order_ID]],4)</f>
        <v>0406</v>
      </c>
      <c r="AE693" s="19" t="str">
        <f>_xlfn.CONCAT(SalesData[[#This Row],[Clean_Customer_Name]],"-",SalesData[[#This Row],[Region]])</f>
        <v>Ishita Bose-West</v>
      </c>
      <c r="AF693" s="19" t="str">
        <f>MID(SalesData[[#This Row],[Order_ID]],4,4)</f>
        <v>0406</v>
      </c>
      <c r="AG693" s="19" t="e">
        <f ca="1">_xlfn.SINGLE(_xlfn.XLOOKUP(SalesData[[#This Row],[Product]],Product_Master!A:A,Product_Master!B:B,"Not Found"))</f>
        <v>#NAME?</v>
      </c>
      <c r="AH693" s="19" t="str">
        <f>VLOOKUP(SalesData[[#This Row],[Product]],Product_Master!$A$1:$B$21,2,FALSE)</f>
        <v>Aditya</v>
      </c>
      <c r="AI693" s="16"/>
    </row>
    <row r="694" spans="1:35" ht="13.8">
      <c r="A694" s="16" t="s">
        <v>582</v>
      </c>
      <c r="B694" s="17">
        <v>45863</v>
      </c>
      <c r="C694" s="16" t="s">
        <v>130</v>
      </c>
      <c r="D694" s="16" t="s">
        <v>131</v>
      </c>
      <c r="E694" s="16" t="s">
        <v>106</v>
      </c>
      <c r="F694" s="16" t="s">
        <v>107</v>
      </c>
      <c r="G694" s="16" t="s">
        <v>40</v>
      </c>
      <c r="H694" s="16" t="s">
        <v>108</v>
      </c>
      <c r="I694" s="16" t="s">
        <v>23</v>
      </c>
      <c r="J694" s="16" t="s">
        <v>75</v>
      </c>
      <c r="K694" s="18">
        <v>10523.53</v>
      </c>
      <c r="L694" s="18">
        <v>3188.2</v>
      </c>
      <c r="M694" s="19">
        <v>5</v>
      </c>
      <c r="N694" s="20">
        <v>0.05</v>
      </c>
      <c r="O694" s="19" t="s">
        <v>34</v>
      </c>
      <c r="P694" s="19" t="s">
        <v>98</v>
      </c>
      <c r="Q694" s="19" t="str">
        <f>TRIM(SalesData[[#This Row],[Customer_Name]])</f>
        <v>Ishita Bose</v>
      </c>
      <c r="R694" s="21">
        <f>SalesData[[#This Row],[Sales]]-SalesData[[#This Row],[Cost]]</f>
        <v>7335.3300000000008</v>
      </c>
      <c r="S694" s="22">
        <f>IFERROR(SalesData[[#This Row],[Profit]]/SalesData[[#This Row],[Sales]],0)</f>
        <v>0.69704082185350358</v>
      </c>
      <c r="T694" s="19">
        <f>YEAR(SalesData[[#This Row],[Order_Date]])</f>
        <v>2025</v>
      </c>
      <c r="U694" s="19" t="str">
        <f>TEXT(SalesData[[#This Row],[Order_Date]],"mmm")</f>
        <v>Jul</v>
      </c>
      <c r="V694" s="19" t="str">
        <f>"Q"&amp;ROUNDUP(MONTH(SalesData[[#This Row],[Order_Date]])/3,0)</f>
        <v>Q3</v>
      </c>
      <c r="W694" s="19" t="str">
        <f>IF(SalesData[[#This Row],[Sales]]&gt;=50000,"High",IF(AND(SalesData[[#This Row],[Sales]]&gt;= 20000, SalesData[[#This Row],[Sales]]&lt; 50000),"Medium","Low"))</f>
        <v>Low</v>
      </c>
      <c r="X694" s="19" t="str">
        <f>IF(SalesData[[#This Row],[Profit]]&gt;0,"Profit","Loss")</f>
        <v>Profit</v>
      </c>
      <c r="Y694" s="19" t="str">
        <f>IF(AND(SalesData[[#This Row],[Sales]]&gt;= 50000, SalesData[[#This Row],[Quantity]]&gt;=2),"Yes","No")</f>
        <v>No</v>
      </c>
      <c r="Z694" s="19" t="str">
        <f>UPPER(SalesData[[#This Row],[Customer_Name]])</f>
        <v>ISHITA BOSE</v>
      </c>
      <c r="AA694" s="19" t="str">
        <f>LOWER(SalesData[[#This Row],[Customer_Name]])</f>
        <v>ishita bose</v>
      </c>
      <c r="AB694" s="19">
        <f>LEN(SalesData[[#This Row],[Customer_Name]])</f>
        <v>11</v>
      </c>
      <c r="AC694" s="19" t="str">
        <f>LEFT(SalesData[[#This Row],[Order_ID]],3)</f>
        <v>ORD</v>
      </c>
      <c r="AD694" s="19" t="str">
        <f>RIGHT(SalesData[[#This Row],[Order_ID]],4)</f>
        <v>0429</v>
      </c>
      <c r="AE694" s="19" t="str">
        <f>_xlfn.CONCAT(SalesData[[#This Row],[Clean_Customer_Name]],"-",SalesData[[#This Row],[Region]])</f>
        <v>Ishita Bose-North</v>
      </c>
      <c r="AF694" s="19" t="str">
        <f>MID(SalesData[[#This Row],[Order_ID]],4,4)</f>
        <v>0429</v>
      </c>
      <c r="AG694" s="19" t="e">
        <f ca="1">_xlfn.SINGLE(_xlfn.XLOOKUP(SalesData[[#This Row],[Product]],Product_Master!A:A,Product_Master!B:B,"Not Found"))</f>
        <v>#NAME?</v>
      </c>
      <c r="AH694" s="19" t="str">
        <f>VLOOKUP(SalesData[[#This Row],[Product]],Product_Master!$A$1:$B$21,2,FALSE)</f>
        <v>Aditya</v>
      </c>
      <c r="AI694" s="16"/>
    </row>
    <row r="695" spans="1:35" ht="13.8">
      <c r="A695" s="16" t="s">
        <v>818</v>
      </c>
      <c r="B695" s="17">
        <v>45560</v>
      </c>
      <c r="C695" s="16" t="s">
        <v>130</v>
      </c>
      <c r="D695" s="16" t="s">
        <v>131</v>
      </c>
      <c r="E695" s="16" t="s">
        <v>106</v>
      </c>
      <c r="F695" s="16" t="s">
        <v>107</v>
      </c>
      <c r="G695" s="16" t="s">
        <v>40</v>
      </c>
      <c r="H695" s="16" t="s">
        <v>108</v>
      </c>
      <c r="I695" s="16" t="s">
        <v>56</v>
      </c>
      <c r="J695" s="16" t="s">
        <v>191</v>
      </c>
      <c r="K695" s="18">
        <v>3161.56</v>
      </c>
      <c r="L695" s="18">
        <v>1408.52</v>
      </c>
      <c r="M695" s="19">
        <v>2</v>
      </c>
      <c r="N695" s="20">
        <v>0.1</v>
      </c>
      <c r="O695" s="19" t="s">
        <v>136</v>
      </c>
      <c r="P695" s="19" t="s">
        <v>26</v>
      </c>
      <c r="Q695" s="19" t="str">
        <f>TRIM(SalesData[[#This Row],[Customer_Name]])</f>
        <v>Ishita Bose</v>
      </c>
      <c r="R695" s="21">
        <f>SalesData[[#This Row],[Sales]]-SalesData[[#This Row],[Cost]]</f>
        <v>1753.04</v>
      </c>
      <c r="S695" s="22">
        <f>IFERROR(SalesData[[#This Row],[Profit]]/SalesData[[#This Row],[Sales]],0)</f>
        <v>0.55448576019433449</v>
      </c>
      <c r="T695" s="19">
        <f>YEAR(SalesData[[#This Row],[Order_Date]])</f>
        <v>2024</v>
      </c>
      <c r="U695" s="19" t="str">
        <f>TEXT(SalesData[[#This Row],[Order_Date]],"mmm")</f>
        <v>Sept</v>
      </c>
      <c r="V695" s="19" t="str">
        <f>"Q"&amp;ROUNDUP(MONTH(SalesData[[#This Row],[Order_Date]])/3,0)</f>
        <v>Q3</v>
      </c>
      <c r="W695" s="19" t="str">
        <f>IF(SalesData[[#This Row],[Sales]]&gt;=50000,"High",IF(AND(SalesData[[#This Row],[Sales]]&gt;= 20000, SalesData[[#This Row],[Sales]]&lt; 50000),"Medium","Low"))</f>
        <v>Low</v>
      </c>
      <c r="X695" s="19" t="str">
        <f>IF(SalesData[[#This Row],[Profit]]&gt;0,"Profit","Loss")</f>
        <v>Profit</v>
      </c>
      <c r="Y695" s="19" t="str">
        <f>IF(AND(SalesData[[#This Row],[Sales]]&gt;= 50000, SalesData[[#This Row],[Quantity]]&gt;=2),"Yes","No")</f>
        <v>No</v>
      </c>
      <c r="Z695" s="19" t="str">
        <f>UPPER(SalesData[[#This Row],[Customer_Name]])</f>
        <v>ISHITA BOSE</v>
      </c>
      <c r="AA695" s="19" t="str">
        <f>LOWER(SalesData[[#This Row],[Customer_Name]])</f>
        <v>ishita bose</v>
      </c>
      <c r="AB695" s="19">
        <f>LEN(SalesData[[#This Row],[Customer_Name]])</f>
        <v>11</v>
      </c>
      <c r="AC695" s="19" t="str">
        <f>LEFT(SalesData[[#This Row],[Order_ID]],3)</f>
        <v>ORD</v>
      </c>
      <c r="AD695" s="19" t="str">
        <f>RIGHT(SalesData[[#This Row],[Order_ID]],4)</f>
        <v>0665</v>
      </c>
      <c r="AE695" s="19" t="str">
        <f>_xlfn.CONCAT(SalesData[[#This Row],[Clean_Customer_Name]],"-",SalesData[[#This Row],[Region]])</f>
        <v>Ishita Bose-West</v>
      </c>
      <c r="AF695" s="19" t="str">
        <f>MID(SalesData[[#This Row],[Order_ID]],4,4)</f>
        <v>0665</v>
      </c>
      <c r="AG695" s="19" t="e">
        <f ca="1">_xlfn.SINGLE(_xlfn.XLOOKUP(SalesData[[#This Row],[Product]],Product_Master!A:A,Product_Master!B:B,"Not Found"))</f>
        <v>#NAME?</v>
      </c>
      <c r="AH695" s="19" t="str">
        <f>VLOOKUP(SalesData[[#This Row],[Product]],Product_Master!$A$1:$B$21,2,FALSE)</f>
        <v>Aditya</v>
      </c>
      <c r="AI695" s="16"/>
    </row>
    <row r="696" spans="1:35" ht="13.8">
      <c r="A696" s="16" t="s">
        <v>1144</v>
      </c>
      <c r="B696" s="17">
        <v>45917</v>
      </c>
      <c r="C696" s="16" t="s">
        <v>130</v>
      </c>
      <c r="D696" s="16" t="s">
        <v>131</v>
      </c>
      <c r="E696" s="16" t="s">
        <v>106</v>
      </c>
      <c r="F696" s="16" t="s">
        <v>107</v>
      </c>
      <c r="G696" s="16" t="s">
        <v>40</v>
      </c>
      <c r="H696" s="16" t="s">
        <v>108</v>
      </c>
      <c r="I696" s="16" t="s">
        <v>56</v>
      </c>
      <c r="J696" s="16" t="s">
        <v>91</v>
      </c>
      <c r="K696" s="18">
        <v>2720.77</v>
      </c>
      <c r="L696" s="18">
        <v>766.54</v>
      </c>
      <c r="M696" s="19">
        <v>1</v>
      </c>
      <c r="N696" s="20">
        <v>0</v>
      </c>
      <c r="O696" s="19" t="s">
        <v>25</v>
      </c>
      <c r="P696" s="19" t="s">
        <v>98</v>
      </c>
      <c r="Q696" s="19" t="str">
        <f>TRIM(SalesData[[#This Row],[Customer_Name]])</f>
        <v>Ishita Bose</v>
      </c>
      <c r="R696" s="21">
        <f>SalesData[[#This Row],[Sales]]-SalesData[[#This Row],[Cost]]</f>
        <v>1954.23</v>
      </c>
      <c r="S696" s="22">
        <f>IFERROR(SalesData[[#This Row],[Profit]]/SalesData[[#This Row],[Sales]],0)</f>
        <v>0.71826357979542554</v>
      </c>
      <c r="T696" s="19">
        <f>YEAR(SalesData[[#This Row],[Order_Date]])</f>
        <v>2025</v>
      </c>
      <c r="U696" s="19" t="str">
        <f>TEXT(SalesData[[#This Row],[Order_Date]],"mmm")</f>
        <v>Sept</v>
      </c>
      <c r="V696" s="19" t="str">
        <f>"Q"&amp;ROUNDUP(MONTH(SalesData[[#This Row],[Order_Date]])/3,0)</f>
        <v>Q3</v>
      </c>
      <c r="W696" s="19" t="str">
        <f>IF(SalesData[[#This Row],[Sales]]&gt;=50000,"High",IF(AND(SalesData[[#This Row],[Sales]]&gt;= 20000, SalesData[[#This Row],[Sales]]&lt; 50000),"Medium","Low"))</f>
        <v>Low</v>
      </c>
      <c r="X696" s="19" t="str">
        <f>IF(SalesData[[#This Row],[Profit]]&gt;0,"Profit","Loss")</f>
        <v>Profit</v>
      </c>
      <c r="Y696" s="19" t="str">
        <f>IF(AND(SalesData[[#This Row],[Sales]]&gt;= 50000, SalesData[[#This Row],[Quantity]]&gt;=2),"Yes","No")</f>
        <v>No</v>
      </c>
      <c r="Z696" s="19" t="str">
        <f>UPPER(SalesData[[#This Row],[Customer_Name]])</f>
        <v>ISHITA BOSE</v>
      </c>
      <c r="AA696" s="19" t="str">
        <f>LOWER(SalesData[[#This Row],[Customer_Name]])</f>
        <v>ishita bose</v>
      </c>
      <c r="AB696" s="19">
        <f>LEN(SalesData[[#This Row],[Customer_Name]])</f>
        <v>11</v>
      </c>
      <c r="AC696" s="19" t="str">
        <f>LEFT(SalesData[[#This Row],[Order_ID]],3)</f>
        <v>ORD</v>
      </c>
      <c r="AD696" s="19" t="str">
        <f>RIGHT(SalesData[[#This Row],[Order_ID]],4)</f>
        <v>0991</v>
      </c>
      <c r="AE696" s="19" t="str">
        <f>_xlfn.CONCAT(SalesData[[#This Row],[Clean_Customer_Name]],"-",SalesData[[#This Row],[Region]])</f>
        <v>Ishita Bose-West</v>
      </c>
      <c r="AF696" s="19" t="str">
        <f>MID(SalesData[[#This Row],[Order_ID]],4,4)</f>
        <v>0991</v>
      </c>
      <c r="AG696" s="19" t="e">
        <f ca="1">_xlfn.SINGLE(_xlfn.XLOOKUP(SalesData[[#This Row],[Product]],Product_Master!A:A,Product_Master!B:B,"Not Found"))</f>
        <v>#NAME?</v>
      </c>
      <c r="AH696" s="19" t="str">
        <f>VLOOKUP(SalesData[[#This Row],[Product]],Product_Master!$A$1:$B$21,2,FALSE)</f>
        <v>Aditya</v>
      </c>
      <c r="AI696" s="16"/>
    </row>
    <row r="697" spans="1:35" ht="13.8">
      <c r="A697" s="16" t="s">
        <v>129</v>
      </c>
      <c r="B697" s="17">
        <v>45725</v>
      </c>
      <c r="C697" s="16" t="s">
        <v>130</v>
      </c>
      <c r="D697" s="16" t="s">
        <v>131</v>
      </c>
      <c r="E697" s="16" t="s">
        <v>132</v>
      </c>
      <c r="F697" s="16" t="s">
        <v>133</v>
      </c>
      <c r="G697" s="16" t="s">
        <v>40</v>
      </c>
      <c r="H697" s="16" t="s">
        <v>41</v>
      </c>
      <c r="I697" s="16" t="s">
        <v>84</v>
      </c>
      <c r="J697" s="16" t="s">
        <v>134</v>
      </c>
      <c r="K697" s="18">
        <v>3878.84</v>
      </c>
      <c r="L697" s="18">
        <v>993.4</v>
      </c>
      <c r="M697" s="19">
        <v>4</v>
      </c>
      <c r="N697" s="20">
        <v>0</v>
      </c>
      <c r="O697" s="19" t="s">
        <v>25</v>
      </c>
      <c r="P697" s="19" t="s">
        <v>26</v>
      </c>
      <c r="Q697" s="19" t="str">
        <f>TRIM(SalesData[[#This Row],[Customer_Name]])</f>
        <v>Ishita Bose</v>
      </c>
      <c r="R697" s="21">
        <f>SalesData[[#This Row],[Sales]]-SalesData[[#This Row],[Cost]]</f>
        <v>2885.44</v>
      </c>
      <c r="S697" s="22">
        <f>IFERROR(SalesData[[#This Row],[Profit]]/SalesData[[#This Row],[Sales]],0)</f>
        <v>0.74389250394447826</v>
      </c>
      <c r="T697" s="19">
        <f>YEAR(SalesData[[#This Row],[Order_Date]])</f>
        <v>2025</v>
      </c>
      <c r="U697" s="19" t="str">
        <f>TEXT(SalesData[[#This Row],[Order_Date]],"mmm")</f>
        <v>Mar</v>
      </c>
      <c r="V697" s="19" t="str">
        <f>"Q"&amp;ROUNDUP(MONTH(SalesData[[#This Row],[Order_Date]])/3,0)</f>
        <v>Q1</v>
      </c>
      <c r="W697" s="19" t="str">
        <f>IF(SalesData[[#This Row],[Sales]]&gt;=50000,"High",IF(AND(SalesData[[#This Row],[Sales]]&gt;= 20000, SalesData[[#This Row],[Sales]]&lt; 50000),"Medium","Low"))</f>
        <v>Low</v>
      </c>
      <c r="X697" s="19" t="str">
        <f>IF(SalesData[[#This Row],[Profit]]&gt;0,"Profit","Loss")</f>
        <v>Profit</v>
      </c>
      <c r="Y697" s="19" t="str">
        <f>IF(AND(SalesData[[#This Row],[Sales]]&gt;= 50000, SalesData[[#This Row],[Quantity]]&gt;=2),"Yes","No")</f>
        <v>No</v>
      </c>
      <c r="Z697" s="19" t="str">
        <f>UPPER(SalesData[[#This Row],[Customer_Name]])</f>
        <v>ISHITA BOSE</v>
      </c>
      <c r="AA697" s="19" t="str">
        <f>LOWER(SalesData[[#This Row],[Customer_Name]])</f>
        <v>ishita bose</v>
      </c>
      <c r="AB697" s="19">
        <f>LEN(SalesData[[#This Row],[Customer_Name]])</f>
        <v>11</v>
      </c>
      <c r="AC697" s="19" t="str">
        <f>LEFT(SalesData[[#This Row],[Order_ID]],3)</f>
        <v>ORD</v>
      </c>
      <c r="AD697" s="19" t="str">
        <f>RIGHT(SalesData[[#This Row],[Order_ID]],4)</f>
        <v>0023</v>
      </c>
      <c r="AE697" s="19" t="str">
        <f>_xlfn.CONCAT(SalesData[[#This Row],[Clean_Customer_Name]],"-",SalesData[[#This Row],[Region]])</f>
        <v>Ishita Bose-South</v>
      </c>
      <c r="AF697" s="19" t="str">
        <f>MID(SalesData[[#This Row],[Order_ID]],4,4)</f>
        <v>0023</v>
      </c>
      <c r="AG697" s="19" t="e">
        <f ca="1">_xlfn.SINGLE(_xlfn.XLOOKUP(SalesData[[#This Row],[Product]],Product_Master!A:A,Product_Master!B:B,"Not Found"))</f>
        <v>#NAME?</v>
      </c>
      <c r="AH697" s="19" t="str">
        <f>VLOOKUP(SalesData[[#This Row],[Product]],Product_Master!$A$1:$B$21,2,FALSE)</f>
        <v>Kavya</v>
      </c>
      <c r="AI697" s="16"/>
    </row>
    <row r="698" spans="1:35" ht="13.8">
      <c r="A698" s="16" t="s">
        <v>185</v>
      </c>
      <c r="B698" s="17">
        <v>45704</v>
      </c>
      <c r="C698" s="16" t="s">
        <v>130</v>
      </c>
      <c r="D698" s="16" t="s">
        <v>131</v>
      </c>
      <c r="E698" s="16" t="s">
        <v>132</v>
      </c>
      <c r="F698" s="16" t="s">
        <v>133</v>
      </c>
      <c r="G698" s="16" t="s">
        <v>40</v>
      </c>
      <c r="H698" s="16" t="s">
        <v>41</v>
      </c>
      <c r="I698" s="16" t="s">
        <v>84</v>
      </c>
      <c r="J698" s="16" t="s">
        <v>134</v>
      </c>
      <c r="K698" s="18">
        <v>1308.3</v>
      </c>
      <c r="L698" s="18">
        <v>758.16</v>
      </c>
      <c r="M698" s="19">
        <v>3</v>
      </c>
      <c r="N698" s="20">
        <v>0.15</v>
      </c>
      <c r="O698" s="19" t="s">
        <v>76</v>
      </c>
      <c r="P698" s="19" t="s">
        <v>45</v>
      </c>
      <c r="Q698" s="19" t="str">
        <f>TRIM(SalesData[[#This Row],[Customer_Name]])</f>
        <v>Ishita Bose</v>
      </c>
      <c r="R698" s="21">
        <f>SalesData[[#This Row],[Sales]]-SalesData[[#This Row],[Cost]]</f>
        <v>550.14</v>
      </c>
      <c r="S698" s="22">
        <f>IFERROR(SalesData[[#This Row],[Profit]]/SalesData[[#This Row],[Sales]],0)</f>
        <v>0.42049988534739741</v>
      </c>
      <c r="T698" s="19">
        <f>YEAR(SalesData[[#This Row],[Order_Date]])</f>
        <v>2025</v>
      </c>
      <c r="U698" s="19" t="str">
        <f>TEXT(SalesData[[#This Row],[Order_Date]],"mmm")</f>
        <v>Feb</v>
      </c>
      <c r="V698" s="19" t="str">
        <f>"Q"&amp;ROUNDUP(MONTH(SalesData[[#This Row],[Order_Date]])/3,0)</f>
        <v>Q1</v>
      </c>
      <c r="W698" s="19" t="str">
        <f>IF(SalesData[[#This Row],[Sales]]&gt;=50000,"High",IF(AND(SalesData[[#This Row],[Sales]]&gt;= 20000, SalesData[[#This Row],[Sales]]&lt; 50000),"Medium","Low"))</f>
        <v>Low</v>
      </c>
      <c r="X698" s="19" t="str">
        <f>IF(SalesData[[#This Row],[Profit]]&gt;0,"Profit","Loss")</f>
        <v>Profit</v>
      </c>
      <c r="Y698" s="19" t="str">
        <f>IF(AND(SalesData[[#This Row],[Sales]]&gt;= 50000, SalesData[[#This Row],[Quantity]]&gt;=2),"Yes","No")</f>
        <v>No</v>
      </c>
      <c r="Z698" s="19" t="str">
        <f>UPPER(SalesData[[#This Row],[Customer_Name]])</f>
        <v>ISHITA BOSE</v>
      </c>
      <c r="AA698" s="19" t="str">
        <f>LOWER(SalesData[[#This Row],[Customer_Name]])</f>
        <v>ishita bose</v>
      </c>
      <c r="AB698" s="19">
        <f>LEN(SalesData[[#This Row],[Customer_Name]])</f>
        <v>11</v>
      </c>
      <c r="AC698" s="19" t="str">
        <f>LEFT(SalesData[[#This Row],[Order_ID]],3)</f>
        <v>ORD</v>
      </c>
      <c r="AD698" s="19" t="str">
        <f>RIGHT(SalesData[[#This Row],[Order_ID]],4)</f>
        <v>0048</v>
      </c>
      <c r="AE698" s="19" t="str">
        <f>_xlfn.CONCAT(SalesData[[#This Row],[Clean_Customer_Name]],"-",SalesData[[#This Row],[Region]])</f>
        <v>Ishita Bose-South</v>
      </c>
      <c r="AF698" s="19" t="str">
        <f>MID(SalesData[[#This Row],[Order_ID]],4,4)</f>
        <v>0048</v>
      </c>
      <c r="AG698" s="19" t="e">
        <f ca="1">_xlfn.SINGLE(_xlfn.XLOOKUP(SalesData[[#This Row],[Product]],Product_Master!A:A,Product_Master!B:B,"Not Found"))</f>
        <v>#NAME?</v>
      </c>
      <c r="AH698" s="19" t="str">
        <f>VLOOKUP(SalesData[[#This Row],[Product]],Product_Master!$A$1:$B$21,2,FALSE)</f>
        <v>Kavya</v>
      </c>
      <c r="AI698" s="16"/>
    </row>
    <row r="699" spans="1:35" ht="13.8">
      <c r="A699" s="16" t="s">
        <v>804</v>
      </c>
      <c r="B699" s="17">
        <v>45378</v>
      </c>
      <c r="C699" s="16" t="s">
        <v>130</v>
      </c>
      <c r="D699" s="16" t="s">
        <v>131</v>
      </c>
      <c r="E699" s="16" t="s">
        <v>132</v>
      </c>
      <c r="F699" s="16" t="s">
        <v>133</v>
      </c>
      <c r="G699" s="16" t="s">
        <v>40</v>
      </c>
      <c r="H699" s="16" t="s">
        <v>41</v>
      </c>
      <c r="I699" s="16" t="s">
        <v>23</v>
      </c>
      <c r="J699" s="16" t="s">
        <v>75</v>
      </c>
      <c r="K699" s="18">
        <v>1195.92</v>
      </c>
      <c r="L699" s="18">
        <v>514.22</v>
      </c>
      <c r="M699" s="19">
        <v>2</v>
      </c>
      <c r="N699" s="20">
        <v>0.15</v>
      </c>
      <c r="O699" s="19" t="s">
        <v>34</v>
      </c>
      <c r="P699" s="19" t="s">
        <v>26</v>
      </c>
      <c r="Q699" s="19" t="str">
        <f>TRIM(SalesData[[#This Row],[Customer_Name]])</f>
        <v>Ishita Bose</v>
      </c>
      <c r="R699" s="21">
        <f>SalesData[[#This Row],[Sales]]-SalesData[[#This Row],[Cost]]</f>
        <v>681.7</v>
      </c>
      <c r="S699" s="22">
        <f>IFERROR(SalesData[[#This Row],[Profit]]/SalesData[[#This Row],[Sales]],0)</f>
        <v>0.57002140611412133</v>
      </c>
      <c r="T699" s="19">
        <f>YEAR(SalesData[[#This Row],[Order_Date]])</f>
        <v>2024</v>
      </c>
      <c r="U699" s="19" t="str">
        <f>TEXT(SalesData[[#This Row],[Order_Date]],"mmm")</f>
        <v>Mar</v>
      </c>
      <c r="V699" s="19" t="str">
        <f>"Q"&amp;ROUNDUP(MONTH(SalesData[[#This Row],[Order_Date]])/3,0)</f>
        <v>Q1</v>
      </c>
      <c r="W699" s="19" t="str">
        <f>IF(SalesData[[#This Row],[Sales]]&gt;=50000,"High",IF(AND(SalesData[[#This Row],[Sales]]&gt;= 20000, SalesData[[#This Row],[Sales]]&lt; 50000),"Medium","Low"))</f>
        <v>Low</v>
      </c>
      <c r="X699" s="19" t="str">
        <f>IF(SalesData[[#This Row],[Profit]]&gt;0,"Profit","Loss")</f>
        <v>Profit</v>
      </c>
      <c r="Y699" s="19" t="str">
        <f>IF(AND(SalesData[[#This Row],[Sales]]&gt;= 50000, SalesData[[#This Row],[Quantity]]&gt;=2),"Yes","No")</f>
        <v>No</v>
      </c>
      <c r="Z699" s="19" t="str">
        <f>UPPER(SalesData[[#This Row],[Customer_Name]])</f>
        <v>ISHITA BOSE</v>
      </c>
      <c r="AA699" s="19" t="str">
        <f>LOWER(SalesData[[#This Row],[Customer_Name]])</f>
        <v>ishita bose</v>
      </c>
      <c r="AB699" s="19">
        <f>LEN(SalesData[[#This Row],[Customer_Name]])</f>
        <v>11</v>
      </c>
      <c r="AC699" s="19" t="str">
        <f>LEFT(SalesData[[#This Row],[Order_ID]],3)</f>
        <v>ORD</v>
      </c>
      <c r="AD699" s="19" t="str">
        <f>RIGHT(SalesData[[#This Row],[Order_ID]],4)</f>
        <v>0651</v>
      </c>
      <c r="AE699" s="19" t="str">
        <f>_xlfn.CONCAT(SalesData[[#This Row],[Clean_Customer_Name]],"-",SalesData[[#This Row],[Region]])</f>
        <v>Ishita Bose-North</v>
      </c>
      <c r="AF699" s="19" t="str">
        <f>MID(SalesData[[#This Row],[Order_ID]],4,4)</f>
        <v>0651</v>
      </c>
      <c r="AG699" s="19" t="e">
        <f ca="1">_xlfn.SINGLE(_xlfn.XLOOKUP(SalesData[[#This Row],[Product]],Product_Master!A:A,Product_Master!B:B,"Not Found"))</f>
        <v>#NAME?</v>
      </c>
      <c r="AH699" s="19" t="str">
        <f>VLOOKUP(SalesData[[#This Row],[Product]],Product_Master!$A$1:$B$21,2,FALSE)</f>
        <v>Kavya</v>
      </c>
      <c r="AI699" s="16"/>
    </row>
    <row r="700" spans="1:35" ht="13.8">
      <c r="A700" s="16" t="s">
        <v>710</v>
      </c>
      <c r="B700" s="17">
        <v>45930</v>
      </c>
      <c r="C700" s="16" t="s">
        <v>130</v>
      </c>
      <c r="D700" s="16" t="s">
        <v>131</v>
      </c>
      <c r="E700" s="16" t="s">
        <v>87</v>
      </c>
      <c r="F700" s="16" t="s">
        <v>88</v>
      </c>
      <c r="G700" s="16" t="s">
        <v>89</v>
      </c>
      <c r="H700" s="16" t="s">
        <v>90</v>
      </c>
      <c r="I700" s="16" t="s">
        <v>56</v>
      </c>
      <c r="J700" s="16" t="s">
        <v>57</v>
      </c>
      <c r="K700" s="18">
        <v>13169.52</v>
      </c>
      <c r="L700" s="18">
        <v>8560.7000000000007</v>
      </c>
      <c r="M700" s="19">
        <v>5</v>
      </c>
      <c r="N700" s="20">
        <v>0.2</v>
      </c>
      <c r="O700" s="19" t="s">
        <v>25</v>
      </c>
      <c r="P700" s="19" t="s">
        <v>58</v>
      </c>
      <c r="Q700" s="19" t="str">
        <f>TRIM(SalesData[[#This Row],[Customer_Name]])</f>
        <v>Ishita Bose</v>
      </c>
      <c r="R700" s="21">
        <f>SalesData[[#This Row],[Sales]]-SalesData[[#This Row],[Cost]]</f>
        <v>4608.82</v>
      </c>
      <c r="S700" s="22">
        <f>IFERROR(SalesData[[#This Row],[Profit]]/SalesData[[#This Row],[Sales]],0)</f>
        <v>0.34996112234918203</v>
      </c>
      <c r="T700" s="19">
        <f>YEAR(SalesData[[#This Row],[Order_Date]])</f>
        <v>2025</v>
      </c>
      <c r="U700" s="19" t="str">
        <f>TEXT(SalesData[[#This Row],[Order_Date]],"mmm")</f>
        <v>Sept</v>
      </c>
      <c r="V700" s="19" t="str">
        <f>"Q"&amp;ROUNDUP(MONTH(SalesData[[#This Row],[Order_Date]])/3,0)</f>
        <v>Q3</v>
      </c>
      <c r="W700" s="19" t="str">
        <f>IF(SalesData[[#This Row],[Sales]]&gt;=50000,"High",IF(AND(SalesData[[#This Row],[Sales]]&gt;= 20000, SalesData[[#This Row],[Sales]]&lt; 50000),"Medium","Low"))</f>
        <v>Low</v>
      </c>
      <c r="X700" s="19" t="str">
        <f>IF(SalesData[[#This Row],[Profit]]&gt;0,"Profit","Loss")</f>
        <v>Profit</v>
      </c>
      <c r="Y700" s="19" t="str">
        <f>IF(AND(SalesData[[#This Row],[Sales]]&gt;= 50000, SalesData[[#This Row],[Quantity]]&gt;=2),"Yes","No")</f>
        <v>No</v>
      </c>
      <c r="Z700" s="19" t="str">
        <f>UPPER(SalesData[[#This Row],[Customer_Name]])</f>
        <v>ISHITA BOSE</v>
      </c>
      <c r="AA700" s="19" t="str">
        <f>LOWER(SalesData[[#This Row],[Customer_Name]])</f>
        <v>ishita bose</v>
      </c>
      <c r="AB700" s="19">
        <f>LEN(SalesData[[#This Row],[Customer_Name]])</f>
        <v>11</v>
      </c>
      <c r="AC700" s="19" t="str">
        <f>LEFT(SalesData[[#This Row],[Order_ID]],3)</f>
        <v>ORD</v>
      </c>
      <c r="AD700" s="19" t="str">
        <f>RIGHT(SalesData[[#This Row],[Order_ID]],4)</f>
        <v>0557</v>
      </c>
      <c r="AE700" s="19" t="str">
        <f>_xlfn.CONCAT(SalesData[[#This Row],[Clean_Customer_Name]],"-",SalesData[[#This Row],[Region]])</f>
        <v>Ishita Bose-West</v>
      </c>
      <c r="AF700" s="19" t="str">
        <f>MID(SalesData[[#This Row],[Order_ID]],4,4)</f>
        <v>0557</v>
      </c>
      <c r="AG700" s="19" t="e">
        <f ca="1">_xlfn.SINGLE(_xlfn.XLOOKUP(SalesData[[#This Row],[Product]],Product_Master!A:A,Product_Master!B:B,"Not Found"))</f>
        <v>#NAME?</v>
      </c>
      <c r="AH700" s="19" t="str">
        <f>VLOOKUP(SalesData[[#This Row],[Product]],Product_Master!$A$1:$B$21,2,FALSE)</f>
        <v>Rahul</v>
      </c>
      <c r="AI700" s="16"/>
    </row>
    <row r="701" spans="1:35" ht="13.8">
      <c r="A701" s="16" t="s">
        <v>202</v>
      </c>
      <c r="B701" s="17">
        <v>45901</v>
      </c>
      <c r="C701" s="16" t="s">
        <v>130</v>
      </c>
      <c r="D701" s="16" t="s">
        <v>131</v>
      </c>
      <c r="E701" s="16" t="s">
        <v>182</v>
      </c>
      <c r="F701" s="16" t="s">
        <v>183</v>
      </c>
      <c r="G701" s="16" t="s">
        <v>89</v>
      </c>
      <c r="H701" s="16" t="s">
        <v>90</v>
      </c>
      <c r="I701" s="16" t="s">
        <v>56</v>
      </c>
      <c r="J701" s="16" t="s">
        <v>57</v>
      </c>
      <c r="K701" s="18">
        <v>31702.99</v>
      </c>
      <c r="L701" s="18">
        <v>19620.150000000001</v>
      </c>
      <c r="M701" s="19">
        <v>3</v>
      </c>
      <c r="N701" s="20">
        <v>0.2</v>
      </c>
      <c r="O701" s="19" t="s">
        <v>34</v>
      </c>
      <c r="P701" s="19" t="s">
        <v>26</v>
      </c>
      <c r="Q701" s="19" t="str">
        <f>TRIM(SalesData[[#This Row],[Customer_Name]])</f>
        <v>Ishita Bose</v>
      </c>
      <c r="R701" s="21">
        <f>SalesData[[#This Row],[Sales]]-SalesData[[#This Row],[Cost]]</f>
        <v>12082.84</v>
      </c>
      <c r="S701" s="22">
        <f>IFERROR(SalesData[[#This Row],[Profit]]/SalesData[[#This Row],[Sales]],0)</f>
        <v>0.38112619661426256</v>
      </c>
      <c r="T701" s="19">
        <f>YEAR(SalesData[[#This Row],[Order_Date]])</f>
        <v>2025</v>
      </c>
      <c r="U701" s="19" t="str">
        <f>TEXT(SalesData[[#This Row],[Order_Date]],"mmm")</f>
        <v>Sept</v>
      </c>
      <c r="V701" s="19" t="str">
        <f>"Q"&amp;ROUNDUP(MONTH(SalesData[[#This Row],[Order_Date]])/3,0)</f>
        <v>Q3</v>
      </c>
      <c r="W701" s="19" t="str">
        <f>IF(SalesData[[#This Row],[Sales]]&gt;=50000,"High",IF(AND(SalesData[[#This Row],[Sales]]&gt;= 20000, SalesData[[#This Row],[Sales]]&lt; 50000),"Medium","Low"))</f>
        <v>Medium</v>
      </c>
      <c r="X701" s="19" t="str">
        <f>IF(SalesData[[#This Row],[Profit]]&gt;0,"Profit","Loss")</f>
        <v>Profit</v>
      </c>
      <c r="Y701" s="19" t="str">
        <f>IF(AND(SalesData[[#This Row],[Sales]]&gt;= 50000, SalesData[[#This Row],[Quantity]]&gt;=2),"Yes","No")</f>
        <v>No</v>
      </c>
      <c r="Z701" s="19" t="str">
        <f>UPPER(SalesData[[#This Row],[Customer_Name]])</f>
        <v>ISHITA BOSE</v>
      </c>
      <c r="AA701" s="19" t="str">
        <f>LOWER(SalesData[[#This Row],[Customer_Name]])</f>
        <v>ishita bose</v>
      </c>
      <c r="AB701" s="19">
        <f>LEN(SalesData[[#This Row],[Customer_Name]])</f>
        <v>11</v>
      </c>
      <c r="AC701" s="19" t="str">
        <f>LEFT(SalesData[[#This Row],[Order_ID]],3)</f>
        <v>ORD</v>
      </c>
      <c r="AD701" s="19" t="str">
        <f>RIGHT(SalesData[[#This Row],[Order_ID]],4)</f>
        <v>0055</v>
      </c>
      <c r="AE701" s="19" t="str">
        <f>_xlfn.CONCAT(SalesData[[#This Row],[Clean_Customer_Name]],"-",SalesData[[#This Row],[Region]])</f>
        <v>Ishita Bose-West</v>
      </c>
      <c r="AF701" s="19" t="str">
        <f>MID(SalesData[[#This Row],[Order_ID]],4,4)</f>
        <v>0055</v>
      </c>
      <c r="AG701" s="19" t="e">
        <f ca="1">_xlfn.SINGLE(_xlfn.XLOOKUP(SalesData[[#This Row],[Product]],Product_Master!A:A,Product_Master!B:B,"Not Found"))</f>
        <v>#NAME?</v>
      </c>
      <c r="AH701" s="19" t="str">
        <f>VLOOKUP(SalesData[[#This Row],[Product]],Product_Master!$A$1:$B$21,2,FALSE)</f>
        <v>Priya</v>
      </c>
      <c r="AI701" s="16"/>
    </row>
    <row r="702" spans="1:35" ht="13.8">
      <c r="A702" s="16" t="s">
        <v>347</v>
      </c>
      <c r="B702" s="17">
        <v>45423</v>
      </c>
      <c r="C702" s="16" t="s">
        <v>130</v>
      </c>
      <c r="D702" s="16" t="s">
        <v>131</v>
      </c>
      <c r="E702" s="16" t="s">
        <v>182</v>
      </c>
      <c r="F702" s="16" t="s">
        <v>183</v>
      </c>
      <c r="G702" s="16" t="s">
        <v>89</v>
      </c>
      <c r="H702" s="16" t="s">
        <v>90</v>
      </c>
      <c r="I702" s="16" t="s">
        <v>84</v>
      </c>
      <c r="J702" s="16" t="s">
        <v>134</v>
      </c>
      <c r="K702" s="18">
        <v>38212.28</v>
      </c>
      <c r="L702" s="18">
        <v>30838.75</v>
      </c>
      <c r="M702" s="19">
        <v>5</v>
      </c>
      <c r="N702" s="20">
        <v>0.05</v>
      </c>
      <c r="O702" s="19" t="s">
        <v>136</v>
      </c>
      <c r="P702" s="19" t="s">
        <v>58</v>
      </c>
      <c r="Q702" s="19" t="str">
        <f>TRIM(SalesData[[#This Row],[Customer_Name]])</f>
        <v>Ishita Bose</v>
      </c>
      <c r="R702" s="21">
        <f>SalesData[[#This Row],[Sales]]-SalesData[[#This Row],[Cost]]</f>
        <v>7373.5299999999988</v>
      </c>
      <c r="S702" s="22">
        <f>IFERROR(SalesData[[#This Row],[Profit]]/SalesData[[#This Row],[Sales]],0)</f>
        <v>0.19296231473233211</v>
      </c>
      <c r="T702" s="19">
        <f>YEAR(SalesData[[#This Row],[Order_Date]])</f>
        <v>2024</v>
      </c>
      <c r="U702" s="19" t="str">
        <f>TEXT(SalesData[[#This Row],[Order_Date]],"mmm")</f>
        <v>May</v>
      </c>
      <c r="V702" s="19" t="str">
        <f>"Q"&amp;ROUNDUP(MONTH(SalesData[[#This Row],[Order_Date]])/3,0)</f>
        <v>Q2</v>
      </c>
      <c r="W702" s="19" t="str">
        <f>IF(SalesData[[#This Row],[Sales]]&gt;=50000,"High",IF(AND(SalesData[[#This Row],[Sales]]&gt;= 20000, SalesData[[#This Row],[Sales]]&lt; 50000),"Medium","Low"))</f>
        <v>Medium</v>
      </c>
      <c r="X702" s="19" t="str">
        <f>IF(SalesData[[#This Row],[Profit]]&gt;0,"Profit","Loss")</f>
        <v>Profit</v>
      </c>
      <c r="Y702" s="19" t="str">
        <f>IF(AND(SalesData[[#This Row],[Sales]]&gt;= 50000, SalesData[[#This Row],[Quantity]]&gt;=2),"Yes","No")</f>
        <v>No</v>
      </c>
      <c r="Z702" s="19" t="str">
        <f>UPPER(SalesData[[#This Row],[Customer_Name]])</f>
        <v>ISHITA BOSE</v>
      </c>
      <c r="AA702" s="19" t="str">
        <f>LOWER(SalesData[[#This Row],[Customer_Name]])</f>
        <v>ishita bose</v>
      </c>
      <c r="AB702" s="19">
        <f>LEN(SalesData[[#This Row],[Customer_Name]])</f>
        <v>11</v>
      </c>
      <c r="AC702" s="19" t="str">
        <f>LEFT(SalesData[[#This Row],[Order_ID]],3)</f>
        <v>ORD</v>
      </c>
      <c r="AD702" s="19" t="str">
        <f>RIGHT(SalesData[[#This Row],[Order_ID]],4)</f>
        <v>0194</v>
      </c>
      <c r="AE702" s="19" t="str">
        <f>_xlfn.CONCAT(SalesData[[#This Row],[Clean_Customer_Name]],"-",SalesData[[#This Row],[Region]])</f>
        <v>Ishita Bose-South</v>
      </c>
      <c r="AF702" s="19" t="str">
        <f>MID(SalesData[[#This Row],[Order_ID]],4,4)</f>
        <v>0194</v>
      </c>
      <c r="AG702" s="19" t="e">
        <f ca="1">_xlfn.SINGLE(_xlfn.XLOOKUP(SalesData[[#This Row],[Product]],Product_Master!A:A,Product_Master!B:B,"Not Found"))</f>
        <v>#NAME?</v>
      </c>
      <c r="AH702" s="19" t="str">
        <f>VLOOKUP(SalesData[[#This Row],[Product]],Product_Master!$A$1:$B$21,2,FALSE)</f>
        <v>Priya</v>
      </c>
      <c r="AI702" s="16"/>
    </row>
    <row r="703" spans="1:35" ht="13.8">
      <c r="A703" s="16" t="s">
        <v>399</v>
      </c>
      <c r="B703" s="17">
        <v>45715</v>
      </c>
      <c r="C703" s="16" t="s">
        <v>130</v>
      </c>
      <c r="D703" s="16" t="s">
        <v>131</v>
      </c>
      <c r="E703" s="16" t="s">
        <v>182</v>
      </c>
      <c r="F703" s="16" t="s">
        <v>183</v>
      </c>
      <c r="G703" s="16" t="s">
        <v>89</v>
      </c>
      <c r="H703" s="16" t="s">
        <v>90</v>
      </c>
      <c r="I703" s="16" t="s">
        <v>84</v>
      </c>
      <c r="J703" s="16" t="s">
        <v>85</v>
      </c>
      <c r="K703" s="18">
        <v>25854.98</v>
      </c>
      <c r="L703" s="18">
        <v>17190.54</v>
      </c>
      <c r="M703" s="19">
        <v>3</v>
      </c>
      <c r="N703" s="20">
        <v>0.2</v>
      </c>
      <c r="O703" s="19" t="s">
        <v>76</v>
      </c>
      <c r="P703" s="19" t="s">
        <v>26</v>
      </c>
      <c r="Q703" s="19" t="str">
        <f>TRIM(SalesData[[#This Row],[Customer_Name]])</f>
        <v>Ishita Bose</v>
      </c>
      <c r="R703" s="21">
        <f>SalesData[[#This Row],[Sales]]-SalesData[[#This Row],[Cost]]</f>
        <v>8664.4399999999987</v>
      </c>
      <c r="S703" s="22">
        <f>IFERROR(SalesData[[#This Row],[Profit]]/SalesData[[#This Row],[Sales]],0)</f>
        <v>0.33511687110181476</v>
      </c>
      <c r="T703" s="19">
        <f>YEAR(SalesData[[#This Row],[Order_Date]])</f>
        <v>2025</v>
      </c>
      <c r="U703" s="19" t="str">
        <f>TEXT(SalesData[[#This Row],[Order_Date]],"mmm")</f>
        <v>Feb</v>
      </c>
      <c r="V703" s="19" t="str">
        <f>"Q"&amp;ROUNDUP(MONTH(SalesData[[#This Row],[Order_Date]])/3,0)</f>
        <v>Q1</v>
      </c>
      <c r="W703" s="19" t="str">
        <f>IF(SalesData[[#This Row],[Sales]]&gt;=50000,"High",IF(AND(SalesData[[#This Row],[Sales]]&gt;= 20000, SalesData[[#This Row],[Sales]]&lt; 50000),"Medium","Low"))</f>
        <v>Medium</v>
      </c>
      <c r="X703" s="19" t="str">
        <f>IF(SalesData[[#This Row],[Profit]]&gt;0,"Profit","Loss")</f>
        <v>Profit</v>
      </c>
      <c r="Y703" s="19" t="str">
        <f>IF(AND(SalesData[[#This Row],[Sales]]&gt;= 50000, SalesData[[#This Row],[Quantity]]&gt;=2),"Yes","No")</f>
        <v>No</v>
      </c>
      <c r="Z703" s="19" t="str">
        <f>UPPER(SalesData[[#This Row],[Customer_Name]])</f>
        <v>ISHITA BOSE</v>
      </c>
      <c r="AA703" s="19" t="str">
        <f>LOWER(SalesData[[#This Row],[Customer_Name]])</f>
        <v>ishita bose</v>
      </c>
      <c r="AB703" s="19">
        <f>LEN(SalesData[[#This Row],[Customer_Name]])</f>
        <v>11</v>
      </c>
      <c r="AC703" s="19" t="str">
        <f>LEFT(SalesData[[#This Row],[Order_ID]],3)</f>
        <v>ORD</v>
      </c>
      <c r="AD703" s="19" t="str">
        <f>RIGHT(SalesData[[#This Row],[Order_ID]],4)</f>
        <v>0246</v>
      </c>
      <c r="AE703" s="19" t="str">
        <f>_xlfn.CONCAT(SalesData[[#This Row],[Clean_Customer_Name]],"-",SalesData[[#This Row],[Region]])</f>
        <v>Ishita Bose-South</v>
      </c>
      <c r="AF703" s="19" t="str">
        <f>MID(SalesData[[#This Row],[Order_ID]],4,4)</f>
        <v>0246</v>
      </c>
      <c r="AG703" s="19" t="e">
        <f ca="1">_xlfn.SINGLE(_xlfn.XLOOKUP(SalesData[[#This Row],[Product]],Product_Master!A:A,Product_Master!B:B,"Not Found"))</f>
        <v>#NAME?</v>
      </c>
      <c r="AH703" s="19" t="str">
        <f>VLOOKUP(SalesData[[#This Row],[Product]],Product_Master!$A$1:$B$21,2,FALSE)</f>
        <v>Priya</v>
      </c>
      <c r="AI703" s="16"/>
    </row>
    <row r="704" spans="1:35" ht="13.8">
      <c r="A704" s="16" t="s">
        <v>422</v>
      </c>
      <c r="B704" s="17">
        <v>45685</v>
      </c>
      <c r="C704" s="16" t="s">
        <v>130</v>
      </c>
      <c r="D704" s="16" t="s">
        <v>131</v>
      </c>
      <c r="E704" s="16" t="s">
        <v>187</v>
      </c>
      <c r="F704" s="16" t="s">
        <v>188</v>
      </c>
      <c r="G704" s="16" t="s">
        <v>89</v>
      </c>
      <c r="H704" s="16" t="s">
        <v>189</v>
      </c>
      <c r="I704" s="16" t="s">
        <v>84</v>
      </c>
      <c r="J704" s="16" t="s">
        <v>134</v>
      </c>
      <c r="K704" s="18">
        <v>21749.759999999998</v>
      </c>
      <c r="L704" s="18">
        <v>11639.1</v>
      </c>
      <c r="M704" s="19">
        <v>2</v>
      </c>
      <c r="N704" s="20">
        <v>0</v>
      </c>
      <c r="O704" s="19" t="s">
        <v>34</v>
      </c>
      <c r="P704" s="19" t="s">
        <v>77</v>
      </c>
      <c r="Q704" s="19" t="str">
        <f>TRIM(SalesData[[#This Row],[Customer_Name]])</f>
        <v>Ishita Bose</v>
      </c>
      <c r="R704" s="21">
        <f>SalesData[[#This Row],[Sales]]-SalesData[[#This Row],[Cost]]</f>
        <v>10110.659999999998</v>
      </c>
      <c r="S704" s="22">
        <f>IFERROR(SalesData[[#This Row],[Profit]]/SalesData[[#This Row],[Sales]],0)</f>
        <v>0.46486306055790955</v>
      </c>
      <c r="T704" s="19">
        <f>YEAR(SalesData[[#This Row],[Order_Date]])</f>
        <v>2025</v>
      </c>
      <c r="U704" s="19" t="str">
        <f>TEXT(SalesData[[#This Row],[Order_Date]],"mmm")</f>
        <v>Jan</v>
      </c>
      <c r="V704" s="19" t="str">
        <f>"Q"&amp;ROUNDUP(MONTH(SalesData[[#This Row],[Order_Date]])/3,0)</f>
        <v>Q1</v>
      </c>
      <c r="W704" s="19" t="str">
        <f>IF(SalesData[[#This Row],[Sales]]&gt;=50000,"High",IF(AND(SalesData[[#This Row],[Sales]]&gt;= 20000, SalesData[[#This Row],[Sales]]&lt; 50000),"Medium","Low"))</f>
        <v>Medium</v>
      </c>
      <c r="X704" s="19" t="str">
        <f>IF(SalesData[[#This Row],[Profit]]&gt;0,"Profit","Loss")</f>
        <v>Profit</v>
      </c>
      <c r="Y704" s="19" t="str">
        <f>IF(AND(SalesData[[#This Row],[Sales]]&gt;= 50000, SalesData[[#This Row],[Quantity]]&gt;=2),"Yes","No")</f>
        <v>No</v>
      </c>
      <c r="Z704" s="19" t="str">
        <f>UPPER(SalesData[[#This Row],[Customer_Name]])</f>
        <v>ISHITA BOSE</v>
      </c>
      <c r="AA704" s="19" t="str">
        <f>LOWER(SalesData[[#This Row],[Customer_Name]])</f>
        <v>ishita bose</v>
      </c>
      <c r="AB704" s="19">
        <f>LEN(SalesData[[#This Row],[Customer_Name]])</f>
        <v>11</v>
      </c>
      <c r="AC704" s="19" t="str">
        <f>LEFT(SalesData[[#This Row],[Order_ID]],3)</f>
        <v>ORD</v>
      </c>
      <c r="AD704" s="19" t="str">
        <f>RIGHT(SalesData[[#This Row],[Order_ID]],4)</f>
        <v>0269</v>
      </c>
      <c r="AE704" s="19" t="str">
        <f>_xlfn.CONCAT(SalesData[[#This Row],[Clean_Customer_Name]],"-",SalesData[[#This Row],[Region]])</f>
        <v>Ishita Bose-South</v>
      </c>
      <c r="AF704" s="19" t="str">
        <f>MID(SalesData[[#This Row],[Order_ID]],4,4)</f>
        <v>0269</v>
      </c>
      <c r="AG704" s="19" t="e">
        <f ca="1">_xlfn.SINGLE(_xlfn.XLOOKUP(SalesData[[#This Row],[Product]],Product_Master!A:A,Product_Master!B:B,"Not Found"))</f>
        <v>#NAME?</v>
      </c>
      <c r="AH704" s="19" t="str">
        <f>VLOOKUP(SalesData[[#This Row],[Product]],Product_Master!$A$1:$B$21,2,FALSE)</f>
        <v>Amit</v>
      </c>
      <c r="AI704" s="16"/>
    </row>
    <row r="705" spans="1:35" ht="13.8">
      <c r="A705" s="16" t="s">
        <v>937</v>
      </c>
      <c r="B705" s="17">
        <v>45951</v>
      </c>
      <c r="C705" s="16" t="s">
        <v>130</v>
      </c>
      <c r="D705" s="16" t="s">
        <v>131</v>
      </c>
      <c r="E705" s="16" t="s">
        <v>187</v>
      </c>
      <c r="F705" s="16" t="s">
        <v>188</v>
      </c>
      <c r="G705" s="16" t="s">
        <v>89</v>
      </c>
      <c r="H705" s="16" t="s">
        <v>189</v>
      </c>
      <c r="I705" s="16" t="s">
        <v>23</v>
      </c>
      <c r="J705" s="16" t="s">
        <v>75</v>
      </c>
      <c r="K705" s="18">
        <v>9483.16</v>
      </c>
      <c r="L705" s="18">
        <v>6010.17</v>
      </c>
      <c r="M705" s="19">
        <v>1</v>
      </c>
      <c r="N705" s="20">
        <v>0</v>
      </c>
      <c r="O705" s="19" t="s">
        <v>25</v>
      </c>
      <c r="P705" s="19" t="s">
        <v>58</v>
      </c>
      <c r="Q705" s="19" t="str">
        <f>TRIM(SalesData[[#This Row],[Customer_Name]])</f>
        <v>Ishita Bose</v>
      </c>
      <c r="R705" s="21">
        <f>SalesData[[#This Row],[Sales]]-SalesData[[#This Row],[Cost]]</f>
        <v>3472.99</v>
      </c>
      <c r="S705" s="22">
        <f>IFERROR(SalesData[[#This Row],[Profit]]/SalesData[[#This Row],[Sales]],0)</f>
        <v>0.36622708042466856</v>
      </c>
      <c r="T705" s="19">
        <f>YEAR(SalesData[[#This Row],[Order_Date]])</f>
        <v>2025</v>
      </c>
      <c r="U705" s="19" t="str">
        <f>TEXT(SalesData[[#This Row],[Order_Date]],"mmm")</f>
        <v>Oct</v>
      </c>
      <c r="V705" s="19" t="str">
        <f>"Q"&amp;ROUNDUP(MONTH(SalesData[[#This Row],[Order_Date]])/3,0)</f>
        <v>Q4</v>
      </c>
      <c r="W705" s="19" t="str">
        <f>IF(SalesData[[#This Row],[Sales]]&gt;=50000,"High",IF(AND(SalesData[[#This Row],[Sales]]&gt;= 20000, SalesData[[#This Row],[Sales]]&lt; 50000),"Medium","Low"))</f>
        <v>Low</v>
      </c>
      <c r="X705" s="19" t="str">
        <f>IF(SalesData[[#This Row],[Profit]]&gt;0,"Profit","Loss")</f>
        <v>Profit</v>
      </c>
      <c r="Y705" s="19" t="str">
        <f>IF(AND(SalesData[[#This Row],[Sales]]&gt;= 50000, SalesData[[#This Row],[Quantity]]&gt;=2),"Yes","No")</f>
        <v>No</v>
      </c>
      <c r="Z705" s="19" t="str">
        <f>UPPER(SalesData[[#This Row],[Customer_Name]])</f>
        <v>ISHITA BOSE</v>
      </c>
      <c r="AA705" s="19" t="str">
        <f>LOWER(SalesData[[#This Row],[Customer_Name]])</f>
        <v>ishita bose</v>
      </c>
      <c r="AB705" s="19">
        <f>LEN(SalesData[[#This Row],[Customer_Name]])</f>
        <v>11</v>
      </c>
      <c r="AC705" s="19" t="str">
        <f>LEFT(SalesData[[#This Row],[Order_ID]],3)</f>
        <v>ORD</v>
      </c>
      <c r="AD705" s="19" t="str">
        <f>RIGHT(SalesData[[#This Row],[Order_ID]],4)</f>
        <v>0784</v>
      </c>
      <c r="AE705" s="19" t="str">
        <f>_xlfn.CONCAT(SalesData[[#This Row],[Clean_Customer_Name]],"-",SalesData[[#This Row],[Region]])</f>
        <v>Ishita Bose-North</v>
      </c>
      <c r="AF705" s="19" t="str">
        <f>MID(SalesData[[#This Row],[Order_ID]],4,4)</f>
        <v>0784</v>
      </c>
      <c r="AG705" s="19" t="e">
        <f ca="1">_xlfn.SINGLE(_xlfn.XLOOKUP(SalesData[[#This Row],[Product]],Product_Master!A:A,Product_Master!B:B,"Not Found"))</f>
        <v>#NAME?</v>
      </c>
      <c r="AH705" s="19" t="str">
        <f>VLOOKUP(SalesData[[#This Row],[Product]],Product_Master!$A$1:$B$21,2,FALSE)</f>
        <v>Amit</v>
      </c>
      <c r="AI705" s="16"/>
    </row>
    <row r="706" spans="1:35" ht="13.8">
      <c r="A706" s="16" t="s">
        <v>1027</v>
      </c>
      <c r="B706" s="17">
        <v>45311</v>
      </c>
      <c r="C706" s="16" t="s">
        <v>130</v>
      </c>
      <c r="D706" s="16" t="s">
        <v>131</v>
      </c>
      <c r="E706" s="16" t="s">
        <v>187</v>
      </c>
      <c r="F706" s="16" t="s">
        <v>188</v>
      </c>
      <c r="G706" s="16" t="s">
        <v>89</v>
      </c>
      <c r="H706" s="16" t="s">
        <v>189</v>
      </c>
      <c r="I706" s="16" t="s">
        <v>23</v>
      </c>
      <c r="J706" s="16" t="s">
        <v>75</v>
      </c>
      <c r="K706" s="18">
        <v>18810.62</v>
      </c>
      <c r="L706" s="18">
        <v>17446.29</v>
      </c>
      <c r="M706" s="19">
        <v>3</v>
      </c>
      <c r="N706" s="20">
        <v>0.2</v>
      </c>
      <c r="O706" s="19" t="s">
        <v>136</v>
      </c>
      <c r="P706" s="19" t="s">
        <v>58</v>
      </c>
      <c r="Q706" s="19" t="str">
        <f>TRIM(SalesData[[#This Row],[Customer_Name]])</f>
        <v>Ishita Bose</v>
      </c>
      <c r="R706" s="21">
        <f>SalesData[[#This Row],[Sales]]-SalesData[[#This Row],[Cost]]</f>
        <v>1364.3299999999981</v>
      </c>
      <c r="S706" s="22">
        <f>IFERROR(SalesData[[#This Row],[Profit]]/SalesData[[#This Row],[Sales]],0)</f>
        <v>7.2529773074996903E-2</v>
      </c>
      <c r="T706" s="19">
        <f>YEAR(SalesData[[#This Row],[Order_Date]])</f>
        <v>2024</v>
      </c>
      <c r="U706" s="19" t="str">
        <f>TEXT(SalesData[[#This Row],[Order_Date]],"mmm")</f>
        <v>Jan</v>
      </c>
      <c r="V706" s="19" t="str">
        <f>"Q"&amp;ROUNDUP(MONTH(SalesData[[#This Row],[Order_Date]])/3,0)</f>
        <v>Q1</v>
      </c>
      <c r="W706" s="19" t="str">
        <f>IF(SalesData[[#This Row],[Sales]]&gt;=50000,"High",IF(AND(SalesData[[#This Row],[Sales]]&gt;= 20000, SalesData[[#This Row],[Sales]]&lt; 50000),"Medium","Low"))</f>
        <v>Low</v>
      </c>
      <c r="X706" s="19" t="str">
        <f>IF(SalesData[[#This Row],[Profit]]&gt;0,"Profit","Loss")</f>
        <v>Profit</v>
      </c>
      <c r="Y706" s="19" t="str">
        <f>IF(AND(SalesData[[#This Row],[Sales]]&gt;= 50000, SalesData[[#This Row],[Quantity]]&gt;=2),"Yes","No")</f>
        <v>No</v>
      </c>
      <c r="Z706" s="19" t="str">
        <f>UPPER(SalesData[[#This Row],[Customer_Name]])</f>
        <v>ISHITA BOSE</v>
      </c>
      <c r="AA706" s="19" t="str">
        <f>LOWER(SalesData[[#This Row],[Customer_Name]])</f>
        <v>ishita bose</v>
      </c>
      <c r="AB706" s="19">
        <f>LEN(SalesData[[#This Row],[Customer_Name]])</f>
        <v>11</v>
      </c>
      <c r="AC706" s="19" t="str">
        <f>LEFT(SalesData[[#This Row],[Order_ID]],3)</f>
        <v>ORD</v>
      </c>
      <c r="AD706" s="19" t="str">
        <f>RIGHT(SalesData[[#This Row],[Order_ID]],4)</f>
        <v>0874</v>
      </c>
      <c r="AE706" s="19" t="str">
        <f>_xlfn.CONCAT(SalesData[[#This Row],[Clean_Customer_Name]],"-",SalesData[[#This Row],[Region]])</f>
        <v>Ishita Bose-North</v>
      </c>
      <c r="AF706" s="19" t="str">
        <f>MID(SalesData[[#This Row],[Order_ID]],4,4)</f>
        <v>0874</v>
      </c>
      <c r="AG706" s="19" t="e">
        <f ca="1">_xlfn.SINGLE(_xlfn.XLOOKUP(SalesData[[#This Row],[Product]],Product_Master!A:A,Product_Master!B:B,"Not Found"))</f>
        <v>#NAME?</v>
      </c>
      <c r="AH706" s="19" t="str">
        <f>VLOOKUP(SalesData[[#This Row],[Product]],Product_Master!$A$1:$B$21,2,FALSE)</f>
        <v>Amit</v>
      </c>
      <c r="AI706" s="16"/>
    </row>
    <row r="707" spans="1:35" ht="13.8">
      <c r="A707" s="16" t="s">
        <v>150</v>
      </c>
      <c r="B707" s="17">
        <v>45827</v>
      </c>
      <c r="C707" s="16" t="s">
        <v>130</v>
      </c>
      <c r="D707" s="16" t="s">
        <v>131</v>
      </c>
      <c r="E707" s="16" t="s">
        <v>95</v>
      </c>
      <c r="F707" s="16" t="s">
        <v>96</v>
      </c>
      <c r="G707" s="16" t="s">
        <v>89</v>
      </c>
      <c r="H707" s="16" t="s">
        <v>97</v>
      </c>
      <c r="I707" s="16" t="s">
        <v>42</v>
      </c>
      <c r="J707" s="16" t="s">
        <v>43</v>
      </c>
      <c r="K707" s="18">
        <v>13385.63</v>
      </c>
      <c r="L707" s="18">
        <v>11412.87</v>
      </c>
      <c r="M707" s="19">
        <v>3</v>
      </c>
      <c r="N707" s="20">
        <v>0.1</v>
      </c>
      <c r="O707" s="19" t="s">
        <v>76</v>
      </c>
      <c r="P707" s="19" t="s">
        <v>45</v>
      </c>
      <c r="Q707" s="19" t="str">
        <f>TRIM(SalesData[[#This Row],[Customer_Name]])</f>
        <v>Ishita Bose</v>
      </c>
      <c r="R707" s="21">
        <f>SalesData[[#This Row],[Sales]]-SalesData[[#This Row],[Cost]]</f>
        <v>1972.7599999999984</v>
      </c>
      <c r="S707" s="22">
        <f>IFERROR(SalesData[[#This Row],[Profit]]/SalesData[[#This Row],[Sales]],0)</f>
        <v>0.14737894294104936</v>
      </c>
      <c r="T707" s="19">
        <f>YEAR(SalesData[[#This Row],[Order_Date]])</f>
        <v>2025</v>
      </c>
      <c r="U707" s="19" t="str">
        <f>TEXT(SalesData[[#This Row],[Order_Date]],"mmm")</f>
        <v>Jun</v>
      </c>
      <c r="V707" s="19" t="str">
        <f>"Q"&amp;ROUNDUP(MONTH(SalesData[[#This Row],[Order_Date]])/3,0)</f>
        <v>Q2</v>
      </c>
      <c r="W707" s="19" t="str">
        <f>IF(SalesData[[#This Row],[Sales]]&gt;=50000,"High",IF(AND(SalesData[[#This Row],[Sales]]&gt;= 20000, SalesData[[#This Row],[Sales]]&lt; 50000),"Medium","Low"))</f>
        <v>Low</v>
      </c>
      <c r="X707" s="19" t="str">
        <f>IF(SalesData[[#This Row],[Profit]]&gt;0,"Profit","Loss")</f>
        <v>Profit</v>
      </c>
      <c r="Y707" s="19" t="str">
        <f>IF(AND(SalesData[[#This Row],[Sales]]&gt;= 50000, SalesData[[#This Row],[Quantity]]&gt;=2),"Yes","No")</f>
        <v>No</v>
      </c>
      <c r="Z707" s="19" t="str">
        <f>UPPER(SalesData[[#This Row],[Customer_Name]])</f>
        <v>ISHITA BOSE</v>
      </c>
      <c r="AA707" s="19" t="str">
        <f>LOWER(SalesData[[#This Row],[Customer_Name]])</f>
        <v>ishita bose</v>
      </c>
      <c r="AB707" s="19">
        <f>LEN(SalesData[[#This Row],[Customer_Name]])</f>
        <v>11</v>
      </c>
      <c r="AC707" s="19" t="str">
        <f>LEFT(SalesData[[#This Row],[Order_ID]],3)</f>
        <v>ORD</v>
      </c>
      <c r="AD707" s="19" t="str">
        <f>RIGHT(SalesData[[#This Row],[Order_ID]],4)</f>
        <v>0031</v>
      </c>
      <c r="AE707" s="19" t="str">
        <f>_xlfn.CONCAT(SalesData[[#This Row],[Clean_Customer_Name]],"-",SalesData[[#This Row],[Region]])</f>
        <v>Ishita Bose-East</v>
      </c>
      <c r="AF707" s="19" t="str">
        <f>MID(SalesData[[#This Row],[Order_ID]],4,4)</f>
        <v>0031</v>
      </c>
      <c r="AG707" s="19" t="e">
        <f ca="1">_xlfn.SINGLE(_xlfn.XLOOKUP(SalesData[[#This Row],[Product]],Product_Master!A:A,Product_Master!B:B,"Not Found"))</f>
        <v>#NAME?</v>
      </c>
      <c r="AH707" s="19" t="str">
        <f>VLOOKUP(SalesData[[#This Row],[Product]],Product_Master!$A$1:$B$21,2,FALSE)</f>
        <v>Neha</v>
      </c>
      <c r="AI707" s="16"/>
    </row>
    <row r="708" spans="1:35" ht="13.8">
      <c r="A708" s="16" t="s">
        <v>241</v>
      </c>
      <c r="B708" s="17">
        <v>45313</v>
      </c>
      <c r="C708" s="16" t="s">
        <v>130</v>
      </c>
      <c r="D708" s="16" t="s">
        <v>131</v>
      </c>
      <c r="E708" s="16" t="s">
        <v>95</v>
      </c>
      <c r="F708" s="16" t="s">
        <v>96</v>
      </c>
      <c r="G708" s="16" t="s">
        <v>89</v>
      </c>
      <c r="H708" s="16" t="s">
        <v>97</v>
      </c>
      <c r="I708" s="16" t="s">
        <v>42</v>
      </c>
      <c r="J708" s="16" t="s">
        <v>43</v>
      </c>
      <c r="K708" s="18">
        <v>22220.28</v>
      </c>
      <c r="L708" s="18">
        <v>10660.11</v>
      </c>
      <c r="M708" s="19">
        <v>3</v>
      </c>
      <c r="N708" s="20">
        <v>0.05</v>
      </c>
      <c r="O708" s="19" t="s">
        <v>136</v>
      </c>
      <c r="P708" s="19" t="s">
        <v>98</v>
      </c>
      <c r="Q708" s="19" t="str">
        <f>TRIM(SalesData[[#This Row],[Customer_Name]])</f>
        <v>Ishita Bose</v>
      </c>
      <c r="R708" s="21">
        <f>SalesData[[#This Row],[Sales]]-SalesData[[#This Row],[Cost]]</f>
        <v>11560.169999999998</v>
      </c>
      <c r="S708" s="22">
        <f>IFERROR(SalesData[[#This Row],[Profit]]/SalesData[[#This Row],[Sales]],0)</f>
        <v>0.52025312012269864</v>
      </c>
      <c r="T708" s="19">
        <f>YEAR(SalesData[[#This Row],[Order_Date]])</f>
        <v>2024</v>
      </c>
      <c r="U708" s="19" t="str">
        <f>TEXT(SalesData[[#This Row],[Order_Date]],"mmm")</f>
        <v>Jan</v>
      </c>
      <c r="V708" s="19" t="str">
        <f>"Q"&amp;ROUNDUP(MONTH(SalesData[[#This Row],[Order_Date]])/3,0)</f>
        <v>Q1</v>
      </c>
      <c r="W708" s="19" t="str">
        <f>IF(SalesData[[#This Row],[Sales]]&gt;=50000,"High",IF(AND(SalesData[[#This Row],[Sales]]&gt;= 20000, SalesData[[#This Row],[Sales]]&lt; 50000),"Medium","Low"))</f>
        <v>Medium</v>
      </c>
      <c r="X708" s="19" t="str">
        <f>IF(SalesData[[#This Row],[Profit]]&gt;0,"Profit","Loss")</f>
        <v>Profit</v>
      </c>
      <c r="Y708" s="19" t="str">
        <f>IF(AND(SalesData[[#This Row],[Sales]]&gt;= 50000, SalesData[[#This Row],[Quantity]]&gt;=2),"Yes","No")</f>
        <v>No</v>
      </c>
      <c r="Z708" s="19" t="str">
        <f>UPPER(SalesData[[#This Row],[Customer_Name]])</f>
        <v>ISHITA BOSE</v>
      </c>
      <c r="AA708" s="19" t="str">
        <f>LOWER(SalesData[[#This Row],[Customer_Name]])</f>
        <v>ishita bose</v>
      </c>
      <c r="AB708" s="19">
        <f>LEN(SalesData[[#This Row],[Customer_Name]])</f>
        <v>11</v>
      </c>
      <c r="AC708" s="19" t="str">
        <f>LEFT(SalesData[[#This Row],[Order_ID]],3)</f>
        <v>ORD</v>
      </c>
      <c r="AD708" s="19" t="str">
        <f>RIGHT(SalesData[[#This Row],[Order_ID]],4)</f>
        <v>0090</v>
      </c>
      <c r="AE708" s="19" t="str">
        <f>_xlfn.CONCAT(SalesData[[#This Row],[Clean_Customer_Name]],"-",SalesData[[#This Row],[Region]])</f>
        <v>Ishita Bose-East</v>
      </c>
      <c r="AF708" s="19" t="str">
        <f>MID(SalesData[[#This Row],[Order_ID]],4,4)</f>
        <v>0090</v>
      </c>
      <c r="AG708" s="19" t="e">
        <f ca="1">_xlfn.SINGLE(_xlfn.XLOOKUP(SalesData[[#This Row],[Product]],Product_Master!A:A,Product_Master!B:B,"Not Found"))</f>
        <v>#NAME?</v>
      </c>
      <c r="AH708" s="19" t="str">
        <f>VLOOKUP(SalesData[[#This Row],[Product]],Product_Master!$A$1:$B$21,2,FALSE)</f>
        <v>Neha</v>
      </c>
      <c r="AI708" s="16"/>
    </row>
    <row r="709" spans="1:35" ht="13.8">
      <c r="A709" s="16" t="s">
        <v>425</v>
      </c>
      <c r="B709" s="17">
        <v>45681</v>
      </c>
      <c r="C709" s="16" t="s">
        <v>130</v>
      </c>
      <c r="D709" s="16" t="s">
        <v>131</v>
      </c>
      <c r="E709" s="16" t="s">
        <v>95</v>
      </c>
      <c r="F709" s="16" t="s">
        <v>96</v>
      </c>
      <c r="G709" s="16" t="s">
        <v>89</v>
      </c>
      <c r="H709" s="16" t="s">
        <v>97</v>
      </c>
      <c r="I709" s="16" t="s">
        <v>42</v>
      </c>
      <c r="J709" s="16" t="s">
        <v>68</v>
      </c>
      <c r="K709" s="18">
        <v>5149.5</v>
      </c>
      <c r="L709" s="18">
        <v>3690.52</v>
      </c>
      <c r="M709" s="19">
        <v>1</v>
      </c>
      <c r="N709" s="20">
        <v>0.05</v>
      </c>
      <c r="O709" s="19" t="s">
        <v>25</v>
      </c>
      <c r="P709" s="19" t="s">
        <v>58</v>
      </c>
      <c r="Q709" s="19" t="str">
        <f>TRIM(SalesData[[#This Row],[Customer_Name]])</f>
        <v>Ishita Bose</v>
      </c>
      <c r="R709" s="21">
        <f>SalesData[[#This Row],[Sales]]-SalesData[[#This Row],[Cost]]</f>
        <v>1458.98</v>
      </c>
      <c r="S709" s="22">
        <f>IFERROR(SalesData[[#This Row],[Profit]]/SalesData[[#This Row],[Sales]],0)</f>
        <v>0.28332459462083698</v>
      </c>
      <c r="T709" s="19">
        <f>YEAR(SalesData[[#This Row],[Order_Date]])</f>
        <v>2025</v>
      </c>
      <c r="U709" s="19" t="str">
        <f>TEXT(SalesData[[#This Row],[Order_Date]],"mmm")</f>
        <v>Jan</v>
      </c>
      <c r="V709" s="19" t="str">
        <f>"Q"&amp;ROUNDUP(MONTH(SalesData[[#This Row],[Order_Date]])/3,0)</f>
        <v>Q1</v>
      </c>
      <c r="W709" s="19" t="str">
        <f>IF(SalesData[[#This Row],[Sales]]&gt;=50000,"High",IF(AND(SalesData[[#This Row],[Sales]]&gt;= 20000, SalesData[[#This Row],[Sales]]&lt; 50000),"Medium","Low"))</f>
        <v>Low</v>
      </c>
      <c r="X709" s="19" t="str">
        <f>IF(SalesData[[#This Row],[Profit]]&gt;0,"Profit","Loss")</f>
        <v>Profit</v>
      </c>
      <c r="Y709" s="19" t="str">
        <f>IF(AND(SalesData[[#This Row],[Sales]]&gt;= 50000, SalesData[[#This Row],[Quantity]]&gt;=2),"Yes","No")</f>
        <v>No</v>
      </c>
      <c r="Z709" s="19" t="str">
        <f>UPPER(SalesData[[#This Row],[Customer_Name]])</f>
        <v>ISHITA BOSE</v>
      </c>
      <c r="AA709" s="19" t="str">
        <f>LOWER(SalesData[[#This Row],[Customer_Name]])</f>
        <v>ishita bose</v>
      </c>
      <c r="AB709" s="19">
        <f>LEN(SalesData[[#This Row],[Customer_Name]])</f>
        <v>11</v>
      </c>
      <c r="AC709" s="19" t="str">
        <f>LEFT(SalesData[[#This Row],[Order_ID]],3)</f>
        <v>ORD</v>
      </c>
      <c r="AD709" s="19" t="str">
        <f>RIGHT(SalesData[[#This Row],[Order_ID]],4)</f>
        <v>0272</v>
      </c>
      <c r="AE709" s="19" t="str">
        <f>_xlfn.CONCAT(SalesData[[#This Row],[Clean_Customer_Name]],"-",SalesData[[#This Row],[Region]])</f>
        <v>Ishita Bose-East</v>
      </c>
      <c r="AF709" s="19" t="str">
        <f>MID(SalesData[[#This Row],[Order_ID]],4,4)</f>
        <v>0272</v>
      </c>
      <c r="AG709" s="19" t="e">
        <f ca="1">_xlfn.SINGLE(_xlfn.XLOOKUP(SalesData[[#This Row],[Product]],Product_Master!A:A,Product_Master!B:B,"Not Found"))</f>
        <v>#NAME?</v>
      </c>
      <c r="AH709" s="19" t="str">
        <f>VLOOKUP(SalesData[[#This Row],[Product]],Product_Master!$A$1:$B$21,2,FALSE)</f>
        <v>Neha</v>
      </c>
      <c r="AI709" s="16"/>
    </row>
    <row r="710" spans="1:35" ht="13.8">
      <c r="A710" s="16" t="s">
        <v>913</v>
      </c>
      <c r="B710" s="17">
        <v>45788</v>
      </c>
      <c r="C710" s="16" t="s">
        <v>130</v>
      </c>
      <c r="D710" s="16" t="s">
        <v>131</v>
      </c>
      <c r="E710" s="16" t="s">
        <v>193</v>
      </c>
      <c r="F710" s="16" t="s">
        <v>194</v>
      </c>
      <c r="G710" s="16" t="s">
        <v>89</v>
      </c>
      <c r="H710" s="16" t="s">
        <v>90</v>
      </c>
      <c r="I710" s="16" t="s">
        <v>56</v>
      </c>
      <c r="J710" s="16" t="s">
        <v>91</v>
      </c>
      <c r="K710" s="18">
        <v>7608</v>
      </c>
      <c r="L710" s="18">
        <v>2389.4499999999998</v>
      </c>
      <c r="M710" s="19">
        <v>5</v>
      </c>
      <c r="N710" s="20">
        <v>0</v>
      </c>
      <c r="O710" s="19" t="s">
        <v>25</v>
      </c>
      <c r="P710" s="19" t="s">
        <v>45</v>
      </c>
      <c r="Q710" s="19" t="str">
        <f>TRIM(SalesData[[#This Row],[Customer_Name]])</f>
        <v>Ishita Bose</v>
      </c>
      <c r="R710" s="21">
        <f>SalesData[[#This Row],[Sales]]-SalesData[[#This Row],[Cost]]</f>
        <v>5218.55</v>
      </c>
      <c r="S710" s="22">
        <f>IFERROR(SalesData[[#This Row],[Profit]]/SalesData[[#This Row],[Sales]],0)</f>
        <v>0.68592928496319661</v>
      </c>
      <c r="T710" s="19">
        <f>YEAR(SalesData[[#This Row],[Order_Date]])</f>
        <v>2025</v>
      </c>
      <c r="U710" s="19" t="str">
        <f>TEXT(SalesData[[#This Row],[Order_Date]],"mmm")</f>
        <v>May</v>
      </c>
      <c r="V710" s="19" t="str">
        <f>"Q"&amp;ROUNDUP(MONTH(SalesData[[#This Row],[Order_Date]])/3,0)</f>
        <v>Q2</v>
      </c>
      <c r="W710" s="19" t="str">
        <f>IF(SalesData[[#This Row],[Sales]]&gt;=50000,"High",IF(AND(SalesData[[#This Row],[Sales]]&gt;= 20000, SalesData[[#This Row],[Sales]]&lt; 50000),"Medium","Low"))</f>
        <v>Low</v>
      </c>
      <c r="X710" s="19" t="str">
        <f>IF(SalesData[[#This Row],[Profit]]&gt;0,"Profit","Loss")</f>
        <v>Profit</v>
      </c>
      <c r="Y710" s="19" t="str">
        <f>IF(AND(SalesData[[#This Row],[Sales]]&gt;= 50000, SalesData[[#This Row],[Quantity]]&gt;=2),"Yes","No")</f>
        <v>No</v>
      </c>
      <c r="Z710" s="19" t="str">
        <f>UPPER(SalesData[[#This Row],[Customer_Name]])</f>
        <v>ISHITA BOSE</v>
      </c>
      <c r="AA710" s="19" t="str">
        <f>LOWER(SalesData[[#This Row],[Customer_Name]])</f>
        <v>ishita bose</v>
      </c>
      <c r="AB710" s="19">
        <f>LEN(SalesData[[#This Row],[Customer_Name]])</f>
        <v>11</v>
      </c>
      <c r="AC710" s="19" t="str">
        <f>LEFT(SalesData[[#This Row],[Order_ID]],3)</f>
        <v>ORD</v>
      </c>
      <c r="AD710" s="19" t="str">
        <f>RIGHT(SalesData[[#This Row],[Order_ID]],4)</f>
        <v>0760</v>
      </c>
      <c r="AE710" s="19" t="str">
        <f>_xlfn.CONCAT(SalesData[[#This Row],[Clean_Customer_Name]],"-",SalesData[[#This Row],[Region]])</f>
        <v>Ishita Bose-West</v>
      </c>
      <c r="AF710" s="19" t="str">
        <f>MID(SalesData[[#This Row],[Order_ID]],4,4)</f>
        <v>0760</v>
      </c>
      <c r="AG710" s="19" t="e">
        <f ca="1">_xlfn.SINGLE(_xlfn.XLOOKUP(SalesData[[#This Row],[Product]],Product_Master!A:A,Product_Master!B:B,"Not Found"))</f>
        <v>#NAME?</v>
      </c>
      <c r="AH710" s="19" t="str">
        <f>VLOOKUP(SalesData[[#This Row],[Product]],Product_Master!$A$1:$B$21,2,FALSE)</f>
        <v>Simran</v>
      </c>
      <c r="AI710" s="16"/>
    </row>
    <row r="711" spans="1:35" ht="13.8">
      <c r="A711" s="16" t="s">
        <v>1075</v>
      </c>
      <c r="B711" s="17">
        <v>45463</v>
      </c>
      <c r="C711" s="16" t="s">
        <v>130</v>
      </c>
      <c r="D711" s="16" t="s">
        <v>131</v>
      </c>
      <c r="E711" s="16" t="s">
        <v>193</v>
      </c>
      <c r="F711" s="16" t="s">
        <v>194</v>
      </c>
      <c r="G711" s="16" t="s">
        <v>89</v>
      </c>
      <c r="H711" s="16" t="s">
        <v>90</v>
      </c>
      <c r="I711" s="16" t="s">
        <v>23</v>
      </c>
      <c r="J711" s="16" t="s">
        <v>33</v>
      </c>
      <c r="K711" s="18">
        <v>6635.64</v>
      </c>
      <c r="L711" s="18">
        <v>2444.0500000000002</v>
      </c>
      <c r="M711" s="19">
        <v>5</v>
      </c>
      <c r="N711" s="20">
        <v>0.2</v>
      </c>
      <c r="O711" s="19" t="s">
        <v>44</v>
      </c>
      <c r="P711" s="19" t="s">
        <v>98</v>
      </c>
      <c r="Q711" s="19" t="str">
        <f>TRIM(SalesData[[#This Row],[Customer_Name]])</f>
        <v>Ishita Bose</v>
      </c>
      <c r="R711" s="21">
        <f>SalesData[[#This Row],[Sales]]-SalesData[[#This Row],[Cost]]</f>
        <v>4191.59</v>
      </c>
      <c r="S711" s="22">
        <f>IFERROR(SalesData[[#This Row],[Profit]]/SalesData[[#This Row],[Sales]],0)</f>
        <v>0.63167833095225179</v>
      </c>
      <c r="T711" s="19">
        <f>YEAR(SalesData[[#This Row],[Order_Date]])</f>
        <v>2024</v>
      </c>
      <c r="U711" s="19" t="str">
        <f>TEXT(SalesData[[#This Row],[Order_Date]],"mmm")</f>
        <v>Jun</v>
      </c>
      <c r="V711" s="19" t="str">
        <f>"Q"&amp;ROUNDUP(MONTH(SalesData[[#This Row],[Order_Date]])/3,0)</f>
        <v>Q2</v>
      </c>
      <c r="W711" s="19" t="str">
        <f>IF(SalesData[[#This Row],[Sales]]&gt;=50000,"High",IF(AND(SalesData[[#This Row],[Sales]]&gt;= 20000, SalesData[[#This Row],[Sales]]&lt; 50000),"Medium","Low"))</f>
        <v>Low</v>
      </c>
      <c r="X711" s="19" t="str">
        <f>IF(SalesData[[#This Row],[Profit]]&gt;0,"Profit","Loss")</f>
        <v>Profit</v>
      </c>
      <c r="Y711" s="19" t="str">
        <f>IF(AND(SalesData[[#This Row],[Sales]]&gt;= 50000, SalesData[[#This Row],[Quantity]]&gt;=2),"Yes","No")</f>
        <v>No</v>
      </c>
      <c r="Z711" s="19" t="str">
        <f>UPPER(SalesData[[#This Row],[Customer_Name]])</f>
        <v>ISHITA BOSE</v>
      </c>
      <c r="AA711" s="19" t="str">
        <f>LOWER(SalesData[[#This Row],[Customer_Name]])</f>
        <v>ishita bose</v>
      </c>
      <c r="AB711" s="19">
        <f>LEN(SalesData[[#This Row],[Customer_Name]])</f>
        <v>11</v>
      </c>
      <c r="AC711" s="19" t="str">
        <f>LEFT(SalesData[[#This Row],[Order_ID]],3)</f>
        <v>ORD</v>
      </c>
      <c r="AD711" s="19" t="str">
        <f>RIGHT(SalesData[[#This Row],[Order_ID]],4)</f>
        <v>0922</v>
      </c>
      <c r="AE711" s="19" t="str">
        <f>_xlfn.CONCAT(SalesData[[#This Row],[Clean_Customer_Name]],"-",SalesData[[#This Row],[Region]])</f>
        <v>Ishita Bose-North</v>
      </c>
      <c r="AF711" s="19" t="str">
        <f>MID(SalesData[[#This Row],[Order_ID]],4,4)</f>
        <v>0922</v>
      </c>
      <c r="AG711" s="19" t="e">
        <f ca="1">_xlfn.SINGLE(_xlfn.XLOOKUP(SalesData[[#This Row],[Product]],Product_Master!A:A,Product_Master!B:B,"Not Found"))</f>
        <v>#NAME?</v>
      </c>
      <c r="AH711" s="19" t="str">
        <f>VLOOKUP(SalesData[[#This Row],[Product]],Product_Master!$A$1:$B$21,2,FALSE)</f>
        <v>Simran</v>
      </c>
      <c r="AI711" s="16"/>
    </row>
    <row r="712" spans="1:35" ht="13.8">
      <c r="A712" s="16" t="s">
        <v>1087</v>
      </c>
      <c r="B712" s="17">
        <v>45434</v>
      </c>
      <c r="C712" s="16" t="s">
        <v>70</v>
      </c>
      <c r="D712" s="16" t="s">
        <v>71</v>
      </c>
      <c r="E712" s="16" t="s">
        <v>30</v>
      </c>
      <c r="F712" s="16" t="s">
        <v>31</v>
      </c>
      <c r="G712" s="16" t="s">
        <v>21</v>
      </c>
      <c r="H712" s="16" t="s">
        <v>32</v>
      </c>
      <c r="I712" s="16" t="s">
        <v>84</v>
      </c>
      <c r="J712" s="16" t="s">
        <v>134</v>
      </c>
      <c r="K712" s="18">
        <v>285973.15000000002</v>
      </c>
      <c r="L712" s="18">
        <v>257940</v>
      </c>
      <c r="M712" s="19">
        <v>5</v>
      </c>
      <c r="N712" s="20">
        <v>0</v>
      </c>
      <c r="O712" s="19" t="s">
        <v>136</v>
      </c>
      <c r="P712" s="19" t="s">
        <v>77</v>
      </c>
      <c r="Q712" s="19" t="str">
        <f>TRIM(SalesData[[#This Row],[Customer_Name]])</f>
        <v>Divya Shah</v>
      </c>
      <c r="R712" s="21">
        <f>SalesData[[#This Row],[Sales]]-SalesData[[#This Row],[Cost]]</f>
        <v>28033.150000000023</v>
      </c>
      <c r="S712" s="22">
        <f>IFERROR(SalesData[[#This Row],[Profit]]/SalesData[[#This Row],[Sales]],0)</f>
        <v>9.8027209897153009E-2</v>
      </c>
      <c r="T712" s="19">
        <f>YEAR(SalesData[[#This Row],[Order_Date]])</f>
        <v>2024</v>
      </c>
      <c r="U712" s="19" t="str">
        <f>TEXT(SalesData[[#This Row],[Order_Date]],"mmm")</f>
        <v>May</v>
      </c>
      <c r="V712" s="19" t="str">
        <f>"Q"&amp;ROUNDUP(MONTH(SalesData[[#This Row],[Order_Date]])/3,0)</f>
        <v>Q2</v>
      </c>
      <c r="W712" s="19" t="str">
        <f>IF(SalesData[[#This Row],[Sales]]&gt;=50000,"High",IF(AND(SalesData[[#This Row],[Sales]]&gt;= 20000, SalesData[[#This Row],[Sales]]&lt; 50000),"Medium","Low"))</f>
        <v>High</v>
      </c>
      <c r="X712" s="19" t="str">
        <f>IF(SalesData[[#This Row],[Profit]]&gt;0,"Profit","Loss")</f>
        <v>Profit</v>
      </c>
      <c r="Y712" s="19" t="str">
        <f>IF(AND(SalesData[[#This Row],[Sales]]&gt;= 50000, SalesData[[#This Row],[Quantity]]&gt;=2),"Yes","No")</f>
        <v>Yes</v>
      </c>
      <c r="Z712" s="19" t="str">
        <f>UPPER(SalesData[[#This Row],[Customer_Name]])</f>
        <v>DIVYA SHAH</v>
      </c>
      <c r="AA712" s="19" t="str">
        <f>LOWER(SalesData[[#This Row],[Customer_Name]])</f>
        <v>divya shah</v>
      </c>
      <c r="AB712" s="19">
        <f>LEN(SalesData[[#This Row],[Customer_Name]])</f>
        <v>10</v>
      </c>
      <c r="AC712" s="19" t="str">
        <f>LEFT(SalesData[[#This Row],[Order_ID]],3)</f>
        <v>ORD</v>
      </c>
      <c r="AD712" s="19" t="str">
        <f>RIGHT(SalesData[[#This Row],[Order_ID]],4)</f>
        <v>0934</v>
      </c>
      <c r="AE712" s="19" t="str">
        <f>_xlfn.CONCAT(SalesData[[#This Row],[Clean_Customer_Name]],"-",SalesData[[#This Row],[Region]])</f>
        <v>Divya Shah-South</v>
      </c>
      <c r="AF712" s="19" t="str">
        <f>MID(SalesData[[#This Row],[Order_ID]],4,4)</f>
        <v>0934</v>
      </c>
      <c r="AG712" s="19" t="e">
        <f ca="1">_xlfn.SINGLE(_xlfn.XLOOKUP(SalesData[[#This Row],[Product]],Product_Master!A:A,Product_Master!B:B,"Not Found"))</f>
        <v>#NAME?</v>
      </c>
      <c r="AH712" s="19" t="str">
        <f>VLOOKUP(SalesData[[#This Row],[Product]],Product_Master!$A$1:$B$21,2,FALSE)</f>
        <v>Rahul</v>
      </c>
      <c r="AI712" s="16"/>
    </row>
    <row r="713" spans="1:35" ht="13.8">
      <c r="A713" s="16" t="s">
        <v>532</v>
      </c>
      <c r="B713" s="17">
        <v>45688</v>
      </c>
      <c r="C713" s="16" t="s">
        <v>70</v>
      </c>
      <c r="D713" s="16" t="s">
        <v>71</v>
      </c>
      <c r="E713" s="16" t="s">
        <v>81</v>
      </c>
      <c r="F713" s="16" t="s">
        <v>82</v>
      </c>
      <c r="G713" s="16" t="s">
        <v>21</v>
      </c>
      <c r="H713" s="16" t="s">
        <v>83</v>
      </c>
      <c r="I713" s="16" t="s">
        <v>53</v>
      </c>
      <c r="J713" s="16" t="s">
        <v>102</v>
      </c>
      <c r="K713" s="18">
        <v>119454.88</v>
      </c>
      <c r="L713" s="18">
        <v>88535.4</v>
      </c>
      <c r="M713" s="19">
        <v>5</v>
      </c>
      <c r="N713" s="20">
        <v>0.15</v>
      </c>
      <c r="O713" s="19" t="s">
        <v>34</v>
      </c>
      <c r="P713" s="19" t="s">
        <v>58</v>
      </c>
      <c r="Q713" s="19" t="str">
        <f>TRIM(SalesData[[#This Row],[Customer_Name]])</f>
        <v>Divya Shah</v>
      </c>
      <c r="R713" s="21">
        <f>SalesData[[#This Row],[Sales]]-SalesData[[#This Row],[Cost]]</f>
        <v>30919.48000000001</v>
      </c>
      <c r="S713" s="22">
        <f>IFERROR(SalesData[[#This Row],[Profit]]/SalesData[[#This Row],[Sales]],0)</f>
        <v>0.25883814876378436</v>
      </c>
      <c r="T713" s="19">
        <f>YEAR(SalesData[[#This Row],[Order_Date]])</f>
        <v>2025</v>
      </c>
      <c r="U713" s="19" t="str">
        <f>TEXT(SalesData[[#This Row],[Order_Date]],"mmm")</f>
        <v>Jan</v>
      </c>
      <c r="V713" s="19" t="str">
        <f>"Q"&amp;ROUNDUP(MONTH(SalesData[[#This Row],[Order_Date]])/3,0)</f>
        <v>Q1</v>
      </c>
      <c r="W713" s="19" t="str">
        <f>IF(SalesData[[#This Row],[Sales]]&gt;=50000,"High",IF(AND(SalesData[[#This Row],[Sales]]&gt;= 20000, SalesData[[#This Row],[Sales]]&lt; 50000),"Medium","Low"))</f>
        <v>High</v>
      </c>
      <c r="X713" s="19" t="str">
        <f>IF(SalesData[[#This Row],[Profit]]&gt;0,"Profit","Loss")</f>
        <v>Profit</v>
      </c>
      <c r="Y713" s="19" t="str">
        <f>IF(AND(SalesData[[#This Row],[Sales]]&gt;= 50000, SalesData[[#This Row],[Quantity]]&gt;=2),"Yes","No")</f>
        <v>Yes</v>
      </c>
      <c r="Z713" s="19" t="str">
        <f>UPPER(SalesData[[#This Row],[Customer_Name]])</f>
        <v>DIVYA SHAH</v>
      </c>
      <c r="AA713" s="19" t="str">
        <f>LOWER(SalesData[[#This Row],[Customer_Name]])</f>
        <v>divya shah</v>
      </c>
      <c r="AB713" s="19">
        <f>LEN(SalesData[[#This Row],[Customer_Name]])</f>
        <v>10</v>
      </c>
      <c r="AC713" s="19" t="str">
        <f>LEFT(SalesData[[#This Row],[Order_ID]],3)</f>
        <v>ORD</v>
      </c>
      <c r="AD713" s="19" t="str">
        <f>RIGHT(SalesData[[#This Row],[Order_ID]],4)</f>
        <v>0379</v>
      </c>
      <c r="AE713" s="19" t="str">
        <f>_xlfn.CONCAT(SalesData[[#This Row],[Clean_Customer_Name]],"-",SalesData[[#This Row],[Region]])</f>
        <v>Divya Shah-Central</v>
      </c>
      <c r="AF713" s="19" t="str">
        <f>MID(SalesData[[#This Row],[Order_ID]],4,4)</f>
        <v>0379</v>
      </c>
      <c r="AG713" s="19" t="e">
        <f ca="1">_xlfn.SINGLE(_xlfn.XLOOKUP(SalesData[[#This Row],[Product]],Product_Master!A:A,Product_Master!B:B,"Not Found"))</f>
        <v>#NAME?</v>
      </c>
      <c r="AH713" s="19" t="str">
        <f>VLOOKUP(SalesData[[#This Row],[Product]],Product_Master!$A$1:$B$21,2,FALSE)</f>
        <v>Priya</v>
      </c>
      <c r="AI713" s="16"/>
    </row>
    <row r="714" spans="1:35" ht="13.8">
      <c r="A714" s="16" t="s">
        <v>682</v>
      </c>
      <c r="B714" s="17">
        <v>45698</v>
      </c>
      <c r="C714" s="16" t="s">
        <v>70</v>
      </c>
      <c r="D714" s="16" t="s">
        <v>71</v>
      </c>
      <c r="E714" s="16" t="s">
        <v>81</v>
      </c>
      <c r="F714" s="16" t="s">
        <v>82</v>
      </c>
      <c r="G714" s="16" t="s">
        <v>21</v>
      </c>
      <c r="H714" s="16" t="s">
        <v>83</v>
      </c>
      <c r="I714" s="16" t="s">
        <v>23</v>
      </c>
      <c r="J714" s="16" t="s">
        <v>24</v>
      </c>
      <c r="K714" s="18">
        <v>96279.53</v>
      </c>
      <c r="L714" s="18">
        <v>94769.95</v>
      </c>
      <c r="M714" s="19">
        <v>5</v>
      </c>
      <c r="N714" s="20">
        <v>0.1</v>
      </c>
      <c r="O714" s="19" t="s">
        <v>34</v>
      </c>
      <c r="P714" s="19" t="s">
        <v>58</v>
      </c>
      <c r="Q714" s="19" t="str">
        <f>TRIM(SalesData[[#This Row],[Customer_Name]])</f>
        <v>Divya Shah</v>
      </c>
      <c r="R714" s="21">
        <f>SalesData[[#This Row],[Sales]]-SalesData[[#This Row],[Cost]]</f>
        <v>1509.5800000000017</v>
      </c>
      <c r="S714" s="22">
        <f>IFERROR(SalesData[[#This Row],[Profit]]/SalesData[[#This Row],[Sales]],0)</f>
        <v>1.5679137611078926E-2</v>
      </c>
      <c r="T714" s="19">
        <f>YEAR(SalesData[[#This Row],[Order_Date]])</f>
        <v>2025</v>
      </c>
      <c r="U714" s="19" t="str">
        <f>TEXT(SalesData[[#This Row],[Order_Date]],"mmm")</f>
        <v>Feb</v>
      </c>
      <c r="V714" s="19" t="str">
        <f>"Q"&amp;ROUNDUP(MONTH(SalesData[[#This Row],[Order_Date]])/3,0)</f>
        <v>Q1</v>
      </c>
      <c r="W714" s="19" t="str">
        <f>IF(SalesData[[#This Row],[Sales]]&gt;=50000,"High",IF(AND(SalesData[[#This Row],[Sales]]&gt;= 20000, SalesData[[#This Row],[Sales]]&lt; 50000),"Medium","Low"))</f>
        <v>High</v>
      </c>
      <c r="X714" s="19" t="str">
        <f>IF(SalesData[[#This Row],[Profit]]&gt;0,"Profit","Loss")</f>
        <v>Profit</v>
      </c>
      <c r="Y714" s="19" t="str">
        <f>IF(AND(SalesData[[#This Row],[Sales]]&gt;= 50000, SalesData[[#This Row],[Quantity]]&gt;=2),"Yes","No")</f>
        <v>Yes</v>
      </c>
      <c r="Z714" s="19" t="str">
        <f>UPPER(SalesData[[#This Row],[Customer_Name]])</f>
        <v>DIVYA SHAH</v>
      </c>
      <c r="AA714" s="19" t="str">
        <f>LOWER(SalesData[[#This Row],[Customer_Name]])</f>
        <v>divya shah</v>
      </c>
      <c r="AB714" s="19">
        <f>LEN(SalesData[[#This Row],[Customer_Name]])</f>
        <v>10</v>
      </c>
      <c r="AC714" s="19" t="str">
        <f>LEFT(SalesData[[#This Row],[Order_ID]],3)</f>
        <v>ORD</v>
      </c>
      <c r="AD714" s="19" t="str">
        <f>RIGHT(SalesData[[#This Row],[Order_ID]],4)</f>
        <v>0529</v>
      </c>
      <c r="AE714" s="19" t="str">
        <f>_xlfn.CONCAT(SalesData[[#This Row],[Clean_Customer_Name]],"-",SalesData[[#This Row],[Region]])</f>
        <v>Divya Shah-North</v>
      </c>
      <c r="AF714" s="19" t="str">
        <f>MID(SalesData[[#This Row],[Order_ID]],4,4)</f>
        <v>0529</v>
      </c>
      <c r="AG714" s="19" t="e">
        <f ca="1">_xlfn.SINGLE(_xlfn.XLOOKUP(SalesData[[#This Row],[Product]],Product_Master!A:A,Product_Master!B:B,"Not Found"))</f>
        <v>#NAME?</v>
      </c>
      <c r="AH714" s="19" t="str">
        <f>VLOOKUP(SalesData[[#This Row],[Product]],Product_Master!$A$1:$B$21,2,FALSE)</f>
        <v>Priya</v>
      </c>
      <c r="AI714" s="16"/>
    </row>
    <row r="715" spans="1:35" ht="13.8">
      <c r="A715" s="16" t="s">
        <v>766</v>
      </c>
      <c r="B715" s="17">
        <v>45774</v>
      </c>
      <c r="C715" s="16" t="s">
        <v>70</v>
      </c>
      <c r="D715" s="16" t="s">
        <v>71</v>
      </c>
      <c r="E715" s="16" t="s">
        <v>62</v>
      </c>
      <c r="F715" s="16" t="s">
        <v>63</v>
      </c>
      <c r="G715" s="16" t="s">
        <v>21</v>
      </c>
      <c r="H715" s="16" t="s">
        <v>64</v>
      </c>
      <c r="I715" s="16" t="s">
        <v>84</v>
      </c>
      <c r="J715" s="16" t="s">
        <v>142</v>
      </c>
      <c r="K715" s="18">
        <v>10565.26</v>
      </c>
      <c r="L715" s="18">
        <v>3327.86</v>
      </c>
      <c r="M715" s="19">
        <v>2</v>
      </c>
      <c r="N715" s="20">
        <v>0.1</v>
      </c>
      <c r="O715" s="19" t="s">
        <v>34</v>
      </c>
      <c r="P715" s="19" t="s">
        <v>26</v>
      </c>
      <c r="Q715" s="19" t="str">
        <f>TRIM(SalesData[[#This Row],[Customer_Name]])</f>
        <v>Divya Shah</v>
      </c>
      <c r="R715" s="21">
        <f>SalesData[[#This Row],[Sales]]-SalesData[[#This Row],[Cost]]</f>
        <v>7237.4</v>
      </c>
      <c r="S715" s="22">
        <f>IFERROR(SalesData[[#This Row],[Profit]]/SalesData[[#This Row],[Sales]],0)</f>
        <v>0.68501863655035455</v>
      </c>
      <c r="T715" s="19">
        <f>YEAR(SalesData[[#This Row],[Order_Date]])</f>
        <v>2025</v>
      </c>
      <c r="U715" s="19" t="str">
        <f>TEXT(SalesData[[#This Row],[Order_Date]],"mmm")</f>
        <v>Apr</v>
      </c>
      <c r="V715" s="19" t="str">
        <f>"Q"&amp;ROUNDUP(MONTH(SalesData[[#This Row],[Order_Date]])/3,0)</f>
        <v>Q2</v>
      </c>
      <c r="W715" s="19" t="str">
        <f>IF(SalesData[[#This Row],[Sales]]&gt;=50000,"High",IF(AND(SalesData[[#This Row],[Sales]]&gt;= 20000, SalesData[[#This Row],[Sales]]&lt; 50000),"Medium","Low"))</f>
        <v>Low</v>
      </c>
      <c r="X715" s="19" t="str">
        <f>IF(SalesData[[#This Row],[Profit]]&gt;0,"Profit","Loss")</f>
        <v>Profit</v>
      </c>
      <c r="Y715" s="19" t="str">
        <f>IF(AND(SalesData[[#This Row],[Sales]]&gt;= 50000, SalesData[[#This Row],[Quantity]]&gt;=2),"Yes","No")</f>
        <v>No</v>
      </c>
      <c r="Z715" s="19" t="str">
        <f>UPPER(SalesData[[#This Row],[Customer_Name]])</f>
        <v>DIVYA SHAH</v>
      </c>
      <c r="AA715" s="19" t="str">
        <f>LOWER(SalesData[[#This Row],[Customer_Name]])</f>
        <v>divya shah</v>
      </c>
      <c r="AB715" s="19">
        <f>LEN(SalesData[[#This Row],[Customer_Name]])</f>
        <v>10</v>
      </c>
      <c r="AC715" s="19" t="str">
        <f>LEFT(SalesData[[#This Row],[Order_ID]],3)</f>
        <v>ORD</v>
      </c>
      <c r="AD715" s="19" t="str">
        <f>RIGHT(SalesData[[#This Row],[Order_ID]],4)</f>
        <v>0613</v>
      </c>
      <c r="AE715" s="19" t="str">
        <f>_xlfn.CONCAT(SalesData[[#This Row],[Clean_Customer_Name]],"-",SalesData[[#This Row],[Region]])</f>
        <v>Divya Shah-South</v>
      </c>
      <c r="AF715" s="19" t="str">
        <f>MID(SalesData[[#This Row],[Order_ID]],4,4)</f>
        <v>0613</v>
      </c>
      <c r="AG715" s="19" t="e">
        <f ca="1">_xlfn.SINGLE(_xlfn.XLOOKUP(SalesData[[#This Row],[Product]],Product_Master!A:A,Product_Master!B:B,"Not Found"))</f>
        <v>#NAME?</v>
      </c>
      <c r="AH715" s="19" t="str">
        <f>VLOOKUP(SalesData[[#This Row],[Product]],Product_Master!$A$1:$B$21,2,FALSE)</f>
        <v>Amit</v>
      </c>
      <c r="AI715" s="16"/>
    </row>
    <row r="716" spans="1:35" ht="13.8">
      <c r="A716" s="16" t="s">
        <v>341</v>
      </c>
      <c r="B716" s="17">
        <v>45558</v>
      </c>
      <c r="C716" s="16" t="s">
        <v>70</v>
      </c>
      <c r="D716" s="16" t="s">
        <v>71</v>
      </c>
      <c r="E716" s="16" t="s">
        <v>19</v>
      </c>
      <c r="F716" s="16" t="s">
        <v>20</v>
      </c>
      <c r="G716" s="16" t="s">
        <v>21</v>
      </c>
      <c r="H716" s="16" t="s">
        <v>22</v>
      </c>
      <c r="I716" s="16" t="s">
        <v>84</v>
      </c>
      <c r="J716" s="16" t="s">
        <v>142</v>
      </c>
      <c r="K716" s="18">
        <v>23157.37</v>
      </c>
      <c r="L716" s="18">
        <v>11314.96</v>
      </c>
      <c r="M716" s="19">
        <v>4</v>
      </c>
      <c r="N716" s="20">
        <v>0.15</v>
      </c>
      <c r="O716" s="19" t="s">
        <v>76</v>
      </c>
      <c r="P716" s="19" t="s">
        <v>58</v>
      </c>
      <c r="Q716" s="19" t="str">
        <f>TRIM(SalesData[[#This Row],[Customer_Name]])</f>
        <v>Divya Shah</v>
      </c>
      <c r="R716" s="21">
        <f>SalesData[[#This Row],[Sales]]-SalesData[[#This Row],[Cost]]</f>
        <v>11842.41</v>
      </c>
      <c r="S716" s="22">
        <f>IFERROR(SalesData[[#This Row],[Profit]]/SalesData[[#This Row],[Sales]],0)</f>
        <v>0.5113883830504069</v>
      </c>
      <c r="T716" s="19">
        <f>YEAR(SalesData[[#This Row],[Order_Date]])</f>
        <v>2024</v>
      </c>
      <c r="U716" s="19" t="str">
        <f>TEXT(SalesData[[#This Row],[Order_Date]],"mmm")</f>
        <v>Sept</v>
      </c>
      <c r="V716" s="19" t="str">
        <f>"Q"&amp;ROUNDUP(MONTH(SalesData[[#This Row],[Order_Date]])/3,0)</f>
        <v>Q3</v>
      </c>
      <c r="W716" s="19" t="str">
        <f>IF(SalesData[[#This Row],[Sales]]&gt;=50000,"High",IF(AND(SalesData[[#This Row],[Sales]]&gt;= 20000, SalesData[[#This Row],[Sales]]&lt; 50000),"Medium","Low"))</f>
        <v>Medium</v>
      </c>
      <c r="X716" s="19" t="str">
        <f>IF(SalesData[[#This Row],[Profit]]&gt;0,"Profit","Loss")</f>
        <v>Profit</v>
      </c>
      <c r="Y716" s="19" t="str">
        <f>IF(AND(SalesData[[#This Row],[Sales]]&gt;= 50000, SalesData[[#This Row],[Quantity]]&gt;=2),"Yes","No")</f>
        <v>No</v>
      </c>
      <c r="Z716" s="19" t="str">
        <f>UPPER(SalesData[[#This Row],[Customer_Name]])</f>
        <v>DIVYA SHAH</v>
      </c>
      <c r="AA716" s="19" t="str">
        <f>LOWER(SalesData[[#This Row],[Customer_Name]])</f>
        <v>divya shah</v>
      </c>
      <c r="AB716" s="19">
        <f>LEN(SalesData[[#This Row],[Customer_Name]])</f>
        <v>10</v>
      </c>
      <c r="AC716" s="19" t="str">
        <f>LEFT(SalesData[[#This Row],[Order_ID]],3)</f>
        <v>ORD</v>
      </c>
      <c r="AD716" s="19" t="str">
        <f>RIGHT(SalesData[[#This Row],[Order_ID]],4)</f>
        <v>0188</v>
      </c>
      <c r="AE716" s="19" t="str">
        <f>_xlfn.CONCAT(SalesData[[#This Row],[Clean_Customer_Name]],"-",SalesData[[#This Row],[Region]])</f>
        <v>Divya Shah-South</v>
      </c>
      <c r="AF716" s="19" t="str">
        <f>MID(SalesData[[#This Row],[Order_ID]],4,4)</f>
        <v>0188</v>
      </c>
      <c r="AG716" s="19" t="e">
        <f ca="1">_xlfn.SINGLE(_xlfn.XLOOKUP(SalesData[[#This Row],[Product]],Product_Master!A:A,Product_Master!B:B,"Not Found"))</f>
        <v>#NAME?</v>
      </c>
      <c r="AH716" s="19" t="str">
        <f>VLOOKUP(SalesData[[#This Row],[Product]],Product_Master!$A$1:$B$21,2,FALSE)</f>
        <v>Neha</v>
      </c>
      <c r="AI716" s="16"/>
    </row>
    <row r="717" spans="1:35" ht="13.8">
      <c r="A717" s="16" t="s">
        <v>796</v>
      </c>
      <c r="B717" s="17">
        <v>45747</v>
      </c>
      <c r="C717" s="16" t="s">
        <v>70</v>
      </c>
      <c r="D717" s="16" t="s">
        <v>71</v>
      </c>
      <c r="E717" s="16" t="s">
        <v>19</v>
      </c>
      <c r="F717" s="16" t="s">
        <v>20</v>
      </c>
      <c r="G717" s="16" t="s">
        <v>21</v>
      </c>
      <c r="H717" s="16" t="s">
        <v>22</v>
      </c>
      <c r="I717" s="16" t="s">
        <v>53</v>
      </c>
      <c r="J717" s="16" t="s">
        <v>102</v>
      </c>
      <c r="K717" s="18">
        <v>9037.89</v>
      </c>
      <c r="L717" s="18">
        <v>5769.64</v>
      </c>
      <c r="M717" s="19">
        <v>2</v>
      </c>
      <c r="N717" s="20">
        <v>0.2</v>
      </c>
      <c r="O717" s="19" t="s">
        <v>25</v>
      </c>
      <c r="P717" s="19" t="s">
        <v>26</v>
      </c>
      <c r="Q717" s="19" t="str">
        <f>TRIM(SalesData[[#This Row],[Customer_Name]])</f>
        <v>Divya Shah</v>
      </c>
      <c r="R717" s="21">
        <f>SalesData[[#This Row],[Sales]]-SalesData[[#This Row],[Cost]]</f>
        <v>3268.2499999999991</v>
      </c>
      <c r="S717" s="22">
        <f>IFERROR(SalesData[[#This Row],[Profit]]/SalesData[[#This Row],[Sales]],0)</f>
        <v>0.36161648349338166</v>
      </c>
      <c r="T717" s="19">
        <f>YEAR(SalesData[[#This Row],[Order_Date]])</f>
        <v>2025</v>
      </c>
      <c r="U717" s="19" t="str">
        <f>TEXT(SalesData[[#This Row],[Order_Date]],"mmm")</f>
        <v>Mar</v>
      </c>
      <c r="V717" s="19" t="str">
        <f>"Q"&amp;ROUNDUP(MONTH(SalesData[[#This Row],[Order_Date]])/3,0)</f>
        <v>Q1</v>
      </c>
      <c r="W717" s="19" t="str">
        <f>IF(SalesData[[#This Row],[Sales]]&gt;=50000,"High",IF(AND(SalesData[[#This Row],[Sales]]&gt;= 20000, SalesData[[#This Row],[Sales]]&lt; 50000),"Medium","Low"))</f>
        <v>Low</v>
      </c>
      <c r="X717" s="19" t="str">
        <f>IF(SalesData[[#This Row],[Profit]]&gt;0,"Profit","Loss")</f>
        <v>Profit</v>
      </c>
      <c r="Y717" s="19" t="str">
        <f>IF(AND(SalesData[[#This Row],[Sales]]&gt;= 50000, SalesData[[#This Row],[Quantity]]&gt;=2),"Yes","No")</f>
        <v>No</v>
      </c>
      <c r="Z717" s="19" t="str">
        <f>UPPER(SalesData[[#This Row],[Customer_Name]])</f>
        <v>DIVYA SHAH</v>
      </c>
      <c r="AA717" s="19" t="str">
        <f>LOWER(SalesData[[#This Row],[Customer_Name]])</f>
        <v>divya shah</v>
      </c>
      <c r="AB717" s="19">
        <f>LEN(SalesData[[#This Row],[Customer_Name]])</f>
        <v>10</v>
      </c>
      <c r="AC717" s="19" t="str">
        <f>LEFT(SalesData[[#This Row],[Order_ID]],3)</f>
        <v>ORD</v>
      </c>
      <c r="AD717" s="19" t="str">
        <f>RIGHT(SalesData[[#This Row],[Order_ID]],4)</f>
        <v>0643</v>
      </c>
      <c r="AE717" s="19" t="str">
        <f>_xlfn.CONCAT(SalesData[[#This Row],[Clean_Customer_Name]],"-",SalesData[[#This Row],[Region]])</f>
        <v>Divya Shah-Central</v>
      </c>
      <c r="AF717" s="19" t="str">
        <f>MID(SalesData[[#This Row],[Order_ID]],4,4)</f>
        <v>0643</v>
      </c>
      <c r="AG717" s="19" t="e">
        <f ca="1">_xlfn.SINGLE(_xlfn.XLOOKUP(SalesData[[#This Row],[Product]],Product_Master!A:A,Product_Master!B:B,"Not Found"))</f>
        <v>#NAME?</v>
      </c>
      <c r="AH717" s="19" t="str">
        <f>VLOOKUP(SalesData[[#This Row],[Product]],Product_Master!$A$1:$B$21,2,FALSE)</f>
        <v>Neha</v>
      </c>
      <c r="AI717" s="16"/>
    </row>
    <row r="718" spans="1:35" ht="13.8">
      <c r="A718" s="16" t="s">
        <v>447</v>
      </c>
      <c r="B718" s="17">
        <v>45625</v>
      </c>
      <c r="C718" s="16" t="s">
        <v>70</v>
      </c>
      <c r="D718" s="16" t="s">
        <v>71</v>
      </c>
      <c r="E718" s="16" t="s">
        <v>117</v>
      </c>
      <c r="F718" s="16" t="s">
        <v>118</v>
      </c>
      <c r="G718" s="16" t="s">
        <v>51</v>
      </c>
      <c r="H718" s="16" t="s">
        <v>119</v>
      </c>
      <c r="I718" s="16" t="s">
        <v>84</v>
      </c>
      <c r="J718" s="16" t="s">
        <v>134</v>
      </c>
      <c r="K718" s="18">
        <v>11226.17</v>
      </c>
      <c r="L718" s="18">
        <v>8923.6</v>
      </c>
      <c r="M718" s="19">
        <v>2</v>
      </c>
      <c r="N718" s="20">
        <v>0.15</v>
      </c>
      <c r="O718" s="19" t="s">
        <v>34</v>
      </c>
      <c r="P718" s="19" t="s">
        <v>77</v>
      </c>
      <c r="Q718" s="19" t="str">
        <f>TRIM(SalesData[[#This Row],[Customer_Name]])</f>
        <v>Divya Shah</v>
      </c>
      <c r="R718" s="21">
        <f>SalesData[[#This Row],[Sales]]-SalesData[[#This Row],[Cost]]</f>
        <v>2302.5699999999997</v>
      </c>
      <c r="S718" s="22">
        <f>IFERROR(SalesData[[#This Row],[Profit]]/SalesData[[#This Row],[Sales]],0)</f>
        <v>0.20510735183949644</v>
      </c>
      <c r="T718" s="19">
        <f>YEAR(SalesData[[#This Row],[Order_Date]])</f>
        <v>2024</v>
      </c>
      <c r="U718" s="19" t="str">
        <f>TEXT(SalesData[[#This Row],[Order_Date]],"mmm")</f>
        <v>Nov</v>
      </c>
      <c r="V718" s="19" t="str">
        <f>"Q"&amp;ROUNDUP(MONTH(SalesData[[#This Row],[Order_Date]])/3,0)</f>
        <v>Q4</v>
      </c>
      <c r="W718" s="19" t="str">
        <f>IF(SalesData[[#This Row],[Sales]]&gt;=50000,"High",IF(AND(SalesData[[#This Row],[Sales]]&gt;= 20000, SalesData[[#This Row],[Sales]]&lt; 50000),"Medium","Low"))</f>
        <v>Low</v>
      </c>
      <c r="X718" s="19" t="str">
        <f>IF(SalesData[[#This Row],[Profit]]&gt;0,"Profit","Loss")</f>
        <v>Profit</v>
      </c>
      <c r="Y718" s="19" t="str">
        <f>IF(AND(SalesData[[#This Row],[Sales]]&gt;= 50000, SalesData[[#This Row],[Quantity]]&gt;=2),"Yes","No")</f>
        <v>No</v>
      </c>
      <c r="Z718" s="19" t="str">
        <f>UPPER(SalesData[[#This Row],[Customer_Name]])</f>
        <v>DIVYA SHAH</v>
      </c>
      <c r="AA718" s="19" t="str">
        <f>LOWER(SalesData[[#This Row],[Customer_Name]])</f>
        <v>divya shah</v>
      </c>
      <c r="AB718" s="19">
        <f>LEN(SalesData[[#This Row],[Customer_Name]])</f>
        <v>10</v>
      </c>
      <c r="AC718" s="19" t="str">
        <f>LEFT(SalesData[[#This Row],[Order_ID]],3)</f>
        <v>ORD</v>
      </c>
      <c r="AD718" s="19" t="str">
        <f>RIGHT(SalesData[[#This Row],[Order_ID]],4)</f>
        <v>0294</v>
      </c>
      <c r="AE718" s="19" t="str">
        <f>_xlfn.CONCAT(SalesData[[#This Row],[Clean_Customer_Name]],"-",SalesData[[#This Row],[Region]])</f>
        <v>Divya Shah-South</v>
      </c>
      <c r="AF718" s="19" t="str">
        <f>MID(SalesData[[#This Row],[Order_ID]],4,4)</f>
        <v>0294</v>
      </c>
      <c r="AG718" s="19" t="e">
        <f ca="1">_xlfn.SINGLE(_xlfn.XLOOKUP(SalesData[[#This Row],[Product]],Product_Master!A:A,Product_Master!B:B,"Not Found"))</f>
        <v>#NAME?</v>
      </c>
      <c r="AH718" s="19" t="str">
        <f>VLOOKUP(SalesData[[#This Row],[Product]],Product_Master!$A$1:$B$21,2,FALSE)</f>
        <v>Karan</v>
      </c>
      <c r="AI718" s="16"/>
    </row>
    <row r="719" spans="1:35" ht="13.8">
      <c r="A719" s="16" t="s">
        <v>69</v>
      </c>
      <c r="B719" s="17">
        <v>45765</v>
      </c>
      <c r="C719" s="16" t="s">
        <v>70</v>
      </c>
      <c r="D719" s="16" t="s">
        <v>71</v>
      </c>
      <c r="E719" s="16" t="s">
        <v>72</v>
      </c>
      <c r="F719" s="16" t="s">
        <v>73</v>
      </c>
      <c r="G719" s="16" t="s">
        <v>51</v>
      </c>
      <c r="H719" s="16" t="s">
        <v>74</v>
      </c>
      <c r="I719" s="16" t="s">
        <v>23</v>
      </c>
      <c r="J719" s="16" t="s">
        <v>75</v>
      </c>
      <c r="K719" s="18">
        <v>30682.11</v>
      </c>
      <c r="L719" s="18">
        <v>15263.84</v>
      </c>
      <c r="M719" s="19">
        <v>4</v>
      </c>
      <c r="N719" s="20">
        <v>0.2</v>
      </c>
      <c r="O719" s="19" t="s">
        <v>76</v>
      </c>
      <c r="P719" s="19" t="s">
        <v>77</v>
      </c>
      <c r="Q719" s="19" t="str">
        <f>TRIM(SalesData[[#This Row],[Customer_Name]])</f>
        <v>Divya Shah</v>
      </c>
      <c r="R719" s="21">
        <f>SalesData[[#This Row],[Sales]]-SalesData[[#This Row],[Cost]]</f>
        <v>15418.27</v>
      </c>
      <c r="S719" s="22">
        <f>IFERROR(SalesData[[#This Row],[Profit]]/SalesData[[#This Row],[Sales]],0)</f>
        <v>0.50251661310125018</v>
      </c>
      <c r="T719" s="19">
        <f>YEAR(SalesData[[#This Row],[Order_Date]])</f>
        <v>2025</v>
      </c>
      <c r="U719" s="19" t="str">
        <f>TEXT(SalesData[[#This Row],[Order_Date]],"mmm")</f>
        <v>Apr</v>
      </c>
      <c r="V719" s="19" t="str">
        <f>"Q"&amp;ROUNDUP(MONTH(SalesData[[#This Row],[Order_Date]])/3,0)</f>
        <v>Q2</v>
      </c>
      <c r="W719" s="19" t="str">
        <f>IF(SalesData[[#This Row],[Sales]]&gt;=50000,"High",IF(AND(SalesData[[#This Row],[Sales]]&gt;= 20000, SalesData[[#This Row],[Sales]]&lt; 50000),"Medium","Low"))</f>
        <v>Medium</v>
      </c>
      <c r="X719" s="19" t="str">
        <f>IF(SalesData[[#This Row],[Profit]]&gt;0,"Profit","Loss")</f>
        <v>Profit</v>
      </c>
      <c r="Y719" s="19" t="str">
        <f>IF(AND(SalesData[[#This Row],[Sales]]&gt;= 50000, SalesData[[#This Row],[Quantity]]&gt;=2),"Yes","No")</f>
        <v>No</v>
      </c>
      <c r="Z719" s="19" t="str">
        <f>UPPER(SalesData[[#This Row],[Customer_Name]])</f>
        <v>DIVYA SHAH</v>
      </c>
      <c r="AA719" s="19" t="str">
        <f>LOWER(SalesData[[#This Row],[Customer_Name]])</f>
        <v>divya shah</v>
      </c>
      <c r="AB719" s="19">
        <f>LEN(SalesData[[#This Row],[Customer_Name]])</f>
        <v>10</v>
      </c>
      <c r="AC719" s="19" t="str">
        <f>LEFT(SalesData[[#This Row],[Order_ID]],3)</f>
        <v>ORD</v>
      </c>
      <c r="AD719" s="19" t="str">
        <f>RIGHT(SalesData[[#This Row],[Order_ID]],4)</f>
        <v>0008</v>
      </c>
      <c r="AE719" s="19" t="str">
        <f>_xlfn.CONCAT(SalesData[[#This Row],[Clean_Customer_Name]],"-",SalesData[[#This Row],[Region]])</f>
        <v>Divya Shah-North</v>
      </c>
      <c r="AF719" s="19" t="str">
        <f>MID(SalesData[[#This Row],[Order_ID]],4,4)</f>
        <v>0008</v>
      </c>
      <c r="AG719" s="19" t="e">
        <f ca="1">_xlfn.SINGLE(_xlfn.XLOOKUP(SalesData[[#This Row],[Product]],Product_Master!A:A,Product_Master!B:B,"Not Found"))</f>
        <v>#NAME?</v>
      </c>
      <c r="AH719" s="19" t="str">
        <f>VLOOKUP(SalesData[[#This Row],[Product]],Product_Master!$A$1:$B$21,2,FALSE)</f>
        <v>Anjali</v>
      </c>
      <c r="AI719" s="16"/>
    </row>
    <row r="720" spans="1:35" ht="13.8">
      <c r="A720" s="16" t="s">
        <v>374</v>
      </c>
      <c r="B720" s="17">
        <v>46004</v>
      </c>
      <c r="C720" s="16" t="s">
        <v>70</v>
      </c>
      <c r="D720" s="16" t="s">
        <v>71</v>
      </c>
      <c r="E720" s="16" t="s">
        <v>175</v>
      </c>
      <c r="F720" s="16" t="s">
        <v>176</v>
      </c>
      <c r="G720" s="16" t="s">
        <v>51</v>
      </c>
      <c r="H720" s="16" t="s">
        <v>177</v>
      </c>
      <c r="I720" s="16" t="s">
        <v>56</v>
      </c>
      <c r="J720" s="16" t="s">
        <v>57</v>
      </c>
      <c r="K720" s="18">
        <v>63812.95</v>
      </c>
      <c r="L720" s="18">
        <v>44517.81</v>
      </c>
      <c r="M720" s="19">
        <v>3</v>
      </c>
      <c r="N720" s="20">
        <v>0.2</v>
      </c>
      <c r="O720" s="19" t="s">
        <v>76</v>
      </c>
      <c r="P720" s="19" t="s">
        <v>58</v>
      </c>
      <c r="Q720" s="19" t="str">
        <f>TRIM(SalesData[[#This Row],[Customer_Name]])</f>
        <v>Divya Shah</v>
      </c>
      <c r="R720" s="21">
        <f>SalesData[[#This Row],[Sales]]-SalesData[[#This Row],[Cost]]</f>
        <v>19295.14</v>
      </c>
      <c r="S720" s="22">
        <f>IFERROR(SalesData[[#This Row],[Profit]]/SalesData[[#This Row],[Sales]],0)</f>
        <v>0.30237028690884843</v>
      </c>
      <c r="T720" s="19">
        <f>YEAR(SalesData[[#This Row],[Order_Date]])</f>
        <v>2025</v>
      </c>
      <c r="U720" s="19" t="str">
        <f>TEXT(SalesData[[#This Row],[Order_Date]],"mmm")</f>
        <v>Dec</v>
      </c>
      <c r="V720" s="19" t="str">
        <f>"Q"&amp;ROUNDUP(MONTH(SalesData[[#This Row],[Order_Date]])/3,0)</f>
        <v>Q4</v>
      </c>
      <c r="W720" s="19" t="str">
        <f>IF(SalesData[[#This Row],[Sales]]&gt;=50000,"High",IF(AND(SalesData[[#This Row],[Sales]]&gt;= 20000, SalesData[[#This Row],[Sales]]&lt; 50000),"Medium","Low"))</f>
        <v>High</v>
      </c>
      <c r="X720" s="19" t="str">
        <f>IF(SalesData[[#This Row],[Profit]]&gt;0,"Profit","Loss")</f>
        <v>Profit</v>
      </c>
      <c r="Y720" s="19" t="str">
        <f>IF(AND(SalesData[[#This Row],[Sales]]&gt;= 50000, SalesData[[#This Row],[Quantity]]&gt;=2),"Yes","No")</f>
        <v>Yes</v>
      </c>
      <c r="Z720" s="19" t="str">
        <f>UPPER(SalesData[[#This Row],[Customer_Name]])</f>
        <v>DIVYA SHAH</v>
      </c>
      <c r="AA720" s="19" t="str">
        <f>LOWER(SalesData[[#This Row],[Customer_Name]])</f>
        <v>divya shah</v>
      </c>
      <c r="AB720" s="19">
        <f>LEN(SalesData[[#This Row],[Customer_Name]])</f>
        <v>10</v>
      </c>
      <c r="AC720" s="19" t="str">
        <f>LEFT(SalesData[[#This Row],[Order_ID]],3)</f>
        <v>ORD</v>
      </c>
      <c r="AD720" s="19" t="str">
        <f>RIGHT(SalesData[[#This Row],[Order_ID]],4)</f>
        <v>0221</v>
      </c>
      <c r="AE720" s="19" t="str">
        <f>_xlfn.CONCAT(SalesData[[#This Row],[Clean_Customer_Name]],"-",SalesData[[#This Row],[Region]])</f>
        <v>Divya Shah-West</v>
      </c>
      <c r="AF720" s="19" t="str">
        <f>MID(SalesData[[#This Row],[Order_ID]],4,4)</f>
        <v>0221</v>
      </c>
      <c r="AG720" s="19" t="e">
        <f ca="1">_xlfn.SINGLE(_xlfn.XLOOKUP(SalesData[[#This Row],[Product]],Product_Master!A:A,Product_Master!B:B,"Not Found"))</f>
        <v>#NAME?</v>
      </c>
      <c r="AH720" s="19" t="str">
        <f>VLOOKUP(SalesData[[#This Row],[Product]],Product_Master!$A$1:$B$21,2,FALSE)</f>
        <v>Arjun</v>
      </c>
      <c r="AI720" s="16"/>
    </row>
    <row r="721" spans="1:35" ht="13.8">
      <c r="A721" s="16" t="s">
        <v>704</v>
      </c>
      <c r="B721" s="17">
        <v>46005</v>
      </c>
      <c r="C721" s="16" t="s">
        <v>70</v>
      </c>
      <c r="D721" s="16" t="s">
        <v>71</v>
      </c>
      <c r="E721" s="16" t="s">
        <v>123</v>
      </c>
      <c r="F721" s="16" t="s">
        <v>124</v>
      </c>
      <c r="G721" s="16" t="s">
        <v>51</v>
      </c>
      <c r="H721" s="16" t="s">
        <v>125</v>
      </c>
      <c r="I721" s="16" t="s">
        <v>56</v>
      </c>
      <c r="J721" s="16" t="s">
        <v>57</v>
      </c>
      <c r="K721" s="18">
        <v>84561.91</v>
      </c>
      <c r="L721" s="18">
        <v>67532.759999999995</v>
      </c>
      <c r="M721" s="19">
        <v>4</v>
      </c>
      <c r="N721" s="20">
        <v>0.1</v>
      </c>
      <c r="O721" s="19" t="s">
        <v>44</v>
      </c>
      <c r="P721" s="19" t="s">
        <v>98</v>
      </c>
      <c r="Q721" s="19" t="str">
        <f>TRIM(SalesData[[#This Row],[Customer_Name]])</f>
        <v>Divya Shah</v>
      </c>
      <c r="R721" s="21">
        <f>SalesData[[#This Row],[Sales]]-SalesData[[#This Row],[Cost]]</f>
        <v>17029.150000000009</v>
      </c>
      <c r="S721" s="22">
        <f>IFERROR(SalesData[[#This Row],[Profit]]/SalesData[[#This Row],[Sales]],0)</f>
        <v>0.20138085811921713</v>
      </c>
      <c r="T721" s="19">
        <f>YEAR(SalesData[[#This Row],[Order_Date]])</f>
        <v>2025</v>
      </c>
      <c r="U721" s="19" t="str">
        <f>TEXT(SalesData[[#This Row],[Order_Date]],"mmm")</f>
        <v>Dec</v>
      </c>
      <c r="V721" s="19" t="str">
        <f>"Q"&amp;ROUNDUP(MONTH(SalesData[[#This Row],[Order_Date]])/3,0)</f>
        <v>Q4</v>
      </c>
      <c r="W721" s="19" t="str">
        <f>IF(SalesData[[#This Row],[Sales]]&gt;=50000,"High",IF(AND(SalesData[[#This Row],[Sales]]&gt;= 20000, SalesData[[#This Row],[Sales]]&lt; 50000),"Medium","Low"))</f>
        <v>High</v>
      </c>
      <c r="X721" s="19" t="str">
        <f>IF(SalesData[[#This Row],[Profit]]&gt;0,"Profit","Loss")</f>
        <v>Profit</v>
      </c>
      <c r="Y721" s="19" t="str">
        <f>IF(AND(SalesData[[#This Row],[Sales]]&gt;= 50000, SalesData[[#This Row],[Quantity]]&gt;=2),"Yes","No")</f>
        <v>Yes</v>
      </c>
      <c r="Z721" s="19" t="str">
        <f>UPPER(SalesData[[#This Row],[Customer_Name]])</f>
        <v>DIVYA SHAH</v>
      </c>
      <c r="AA721" s="19" t="str">
        <f>LOWER(SalesData[[#This Row],[Customer_Name]])</f>
        <v>divya shah</v>
      </c>
      <c r="AB721" s="19">
        <f>LEN(SalesData[[#This Row],[Customer_Name]])</f>
        <v>10</v>
      </c>
      <c r="AC721" s="19" t="str">
        <f>LEFT(SalesData[[#This Row],[Order_ID]],3)</f>
        <v>ORD</v>
      </c>
      <c r="AD721" s="19" t="str">
        <f>RIGHT(SalesData[[#This Row],[Order_ID]],4)</f>
        <v>0551</v>
      </c>
      <c r="AE721" s="19" t="str">
        <f>_xlfn.CONCAT(SalesData[[#This Row],[Clean_Customer_Name]],"-",SalesData[[#This Row],[Region]])</f>
        <v>Divya Shah-West</v>
      </c>
      <c r="AF721" s="19" t="str">
        <f>MID(SalesData[[#This Row],[Order_ID]],4,4)</f>
        <v>0551</v>
      </c>
      <c r="AG721" s="19" t="e">
        <f ca="1">_xlfn.SINGLE(_xlfn.XLOOKUP(SalesData[[#This Row],[Product]],Product_Master!A:A,Product_Master!B:B,"Not Found"))</f>
        <v>#NAME?</v>
      </c>
      <c r="AH721" s="19" t="str">
        <f>VLOOKUP(SalesData[[#This Row],[Product]],Product_Master!$A$1:$B$21,2,FALSE)</f>
        <v>Sneha</v>
      </c>
      <c r="AI721" s="16"/>
    </row>
    <row r="722" spans="1:35" ht="13.8">
      <c r="A722" s="16" t="s">
        <v>369</v>
      </c>
      <c r="B722" s="17">
        <v>45781</v>
      </c>
      <c r="C722" s="16" t="s">
        <v>70</v>
      </c>
      <c r="D722" s="16" t="s">
        <v>71</v>
      </c>
      <c r="E722" s="16" t="s">
        <v>110</v>
      </c>
      <c r="F722" s="16" t="s">
        <v>111</v>
      </c>
      <c r="G722" s="16" t="s">
        <v>40</v>
      </c>
      <c r="H722" s="16" t="s">
        <v>112</v>
      </c>
      <c r="I722" s="16" t="s">
        <v>42</v>
      </c>
      <c r="J722" s="16" t="s">
        <v>68</v>
      </c>
      <c r="K722" s="18">
        <v>20576.97</v>
      </c>
      <c r="L722" s="18">
        <v>5852.2</v>
      </c>
      <c r="M722" s="19">
        <v>5</v>
      </c>
      <c r="N722" s="20">
        <v>0.15</v>
      </c>
      <c r="O722" s="19" t="s">
        <v>34</v>
      </c>
      <c r="P722" s="19" t="s">
        <v>77</v>
      </c>
      <c r="Q722" s="19" t="str">
        <f>TRIM(SalesData[[#This Row],[Customer_Name]])</f>
        <v>Divya Shah</v>
      </c>
      <c r="R722" s="21">
        <f>SalesData[[#This Row],[Sales]]-SalesData[[#This Row],[Cost]]</f>
        <v>14724.77</v>
      </c>
      <c r="S722" s="22">
        <f>IFERROR(SalesData[[#This Row],[Profit]]/SalesData[[#This Row],[Sales]],0)</f>
        <v>0.71559466724206722</v>
      </c>
      <c r="T722" s="19">
        <f>YEAR(SalesData[[#This Row],[Order_Date]])</f>
        <v>2025</v>
      </c>
      <c r="U722" s="19" t="str">
        <f>TEXT(SalesData[[#This Row],[Order_Date]],"mmm")</f>
        <v>May</v>
      </c>
      <c r="V722" s="19" t="str">
        <f>"Q"&amp;ROUNDUP(MONTH(SalesData[[#This Row],[Order_Date]])/3,0)</f>
        <v>Q2</v>
      </c>
      <c r="W722" s="19" t="str">
        <f>IF(SalesData[[#This Row],[Sales]]&gt;=50000,"High",IF(AND(SalesData[[#This Row],[Sales]]&gt;= 20000, SalesData[[#This Row],[Sales]]&lt; 50000),"Medium","Low"))</f>
        <v>Medium</v>
      </c>
      <c r="X722" s="19" t="str">
        <f>IF(SalesData[[#This Row],[Profit]]&gt;0,"Profit","Loss")</f>
        <v>Profit</v>
      </c>
      <c r="Y722" s="19" t="str">
        <f>IF(AND(SalesData[[#This Row],[Sales]]&gt;= 50000, SalesData[[#This Row],[Quantity]]&gt;=2),"Yes","No")</f>
        <v>No</v>
      </c>
      <c r="Z722" s="19" t="str">
        <f>UPPER(SalesData[[#This Row],[Customer_Name]])</f>
        <v>DIVYA SHAH</v>
      </c>
      <c r="AA722" s="19" t="str">
        <f>LOWER(SalesData[[#This Row],[Customer_Name]])</f>
        <v>divya shah</v>
      </c>
      <c r="AB722" s="19">
        <f>LEN(SalesData[[#This Row],[Customer_Name]])</f>
        <v>10</v>
      </c>
      <c r="AC722" s="19" t="str">
        <f>LEFT(SalesData[[#This Row],[Order_ID]],3)</f>
        <v>ORD</v>
      </c>
      <c r="AD722" s="19" t="str">
        <f>RIGHT(SalesData[[#This Row],[Order_ID]],4)</f>
        <v>0216</v>
      </c>
      <c r="AE722" s="19" t="str">
        <f>_xlfn.CONCAT(SalesData[[#This Row],[Clean_Customer_Name]],"-",SalesData[[#This Row],[Region]])</f>
        <v>Divya Shah-East</v>
      </c>
      <c r="AF722" s="19" t="str">
        <f>MID(SalesData[[#This Row],[Order_ID]],4,4)</f>
        <v>0216</v>
      </c>
      <c r="AG722" s="19" t="e">
        <f ca="1">_xlfn.SINGLE(_xlfn.XLOOKUP(SalesData[[#This Row],[Product]],Product_Master!A:A,Product_Master!B:B,"Not Found"))</f>
        <v>#NAME?</v>
      </c>
      <c r="AH722" s="19" t="str">
        <f>VLOOKUP(SalesData[[#This Row],[Product]],Product_Master!$A$1:$B$21,2,FALSE)</f>
        <v>Vikas</v>
      </c>
      <c r="AI722" s="16"/>
    </row>
    <row r="723" spans="1:35" ht="13.8">
      <c r="A723" s="16" t="s">
        <v>406</v>
      </c>
      <c r="B723" s="17">
        <v>45581</v>
      </c>
      <c r="C723" s="16" t="s">
        <v>70</v>
      </c>
      <c r="D723" s="16" t="s">
        <v>71</v>
      </c>
      <c r="E723" s="16" t="s">
        <v>110</v>
      </c>
      <c r="F723" s="16" t="s">
        <v>111</v>
      </c>
      <c r="G723" s="16" t="s">
        <v>40</v>
      </c>
      <c r="H723" s="16" t="s">
        <v>112</v>
      </c>
      <c r="I723" s="16" t="s">
        <v>53</v>
      </c>
      <c r="J723" s="16" t="s">
        <v>54</v>
      </c>
      <c r="K723" s="18">
        <v>13376.63</v>
      </c>
      <c r="L723" s="18">
        <v>4767.6000000000004</v>
      </c>
      <c r="M723" s="19">
        <v>4</v>
      </c>
      <c r="N723" s="20">
        <v>0.1</v>
      </c>
      <c r="O723" s="19" t="s">
        <v>44</v>
      </c>
      <c r="P723" s="19" t="s">
        <v>77</v>
      </c>
      <c r="Q723" s="19" t="str">
        <f>TRIM(SalesData[[#This Row],[Customer_Name]])</f>
        <v>Divya Shah</v>
      </c>
      <c r="R723" s="21">
        <f>SalesData[[#This Row],[Sales]]-SalesData[[#This Row],[Cost]]</f>
        <v>8609.0299999999988</v>
      </c>
      <c r="S723" s="22">
        <f>IFERROR(SalesData[[#This Row],[Profit]]/SalesData[[#This Row],[Sales]],0)</f>
        <v>0.6435873609421805</v>
      </c>
      <c r="T723" s="19">
        <f>YEAR(SalesData[[#This Row],[Order_Date]])</f>
        <v>2024</v>
      </c>
      <c r="U723" s="19" t="str">
        <f>TEXT(SalesData[[#This Row],[Order_Date]],"mmm")</f>
        <v>Oct</v>
      </c>
      <c r="V723" s="19" t="str">
        <f>"Q"&amp;ROUNDUP(MONTH(SalesData[[#This Row],[Order_Date]])/3,0)</f>
        <v>Q4</v>
      </c>
      <c r="W723" s="19" t="str">
        <f>IF(SalesData[[#This Row],[Sales]]&gt;=50000,"High",IF(AND(SalesData[[#This Row],[Sales]]&gt;= 20000, SalesData[[#This Row],[Sales]]&lt; 50000),"Medium","Low"))</f>
        <v>Low</v>
      </c>
      <c r="X723" s="19" t="str">
        <f>IF(SalesData[[#This Row],[Profit]]&gt;0,"Profit","Loss")</f>
        <v>Profit</v>
      </c>
      <c r="Y723" s="19" t="str">
        <f>IF(AND(SalesData[[#This Row],[Sales]]&gt;= 50000, SalesData[[#This Row],[Quantity]]&gt;=2),"Yes","No")</f>
        <v>No</v>
      </c>
      <c r="Z723" s="19" t="str">
        <f>UPPER(SalesData[[#This Row],[Customer_Name]])</f>
        <v>DIVYA SHAH</v>
      </c>
      <c r="AA723" s="19" t="str">
        <f>LOWER(SalesData[[#This Row],[Customer_Name]])</f>
        <v>divya shah</v>
      </c>
      <c r="AB723" s="19">
        <f>LEN(SalesData[[#This Row],[Customer_Name]])</f>
        <v>10</v>
      </c>
      <c r="AC723" s="19" t="str">
        <f>LEFT(SalesData[[#This Row],[Order_ID]],3)</f>
        <v>ORD</v>
      </c>
      <c r="AD723" s="19" t="str">
        <f>RIGHT(SalesData[[#This Row],[Order_ID]],4)</f>
        <v>0253</v>
      </c>
      <c r="AE723" s="19" t="str">
        <f>_xlfn.CONCAT(SalesData[[#This Row],[Clean_Customer_Name]],"-",SalesData[[#This Row],[Region]])</f>
        <v>Divya Shah-Central</v>
      </c>
      <c r="AF723" s="19" t="str">
        <f>MID(SalesData[[#This Row],[Order_ID]],4,4)</f>
        <v>0253</v>
      </c>
      <c r="AG723" s="19" t="e">
        <f ca="1">_xlfn.SINGLE(_xlfn.XLOOKUP(SalesData[[#This Row],[Product]],Product_Master!A:A,Product_Master!B:B,"Not Found"))</f>
        <v>#NAME?</v>
      </c>
      <c r="AH723" s="19" t="str">
        <f>VLOOKUP(SalesData[[#This Row],[Product]],Product_Master!$A$1:$B$21,2,FALSE)</f>
        <v>Vikas</v>
      </c>
      <c r="AI723" s="16"/>
    </row>
    <row r="724" spans="1:35" ht="13.8">
      <c r="A724" s="16" t="s">
        <v>370</v>
      </c>
      <c r="B724" s="17">
        <v>45989</v>
      </c>
      <c r="C724" s="16" t="s">
        <v>70</v>
      </c>
      <c r="D724" s="16" t="s">
        <v>71</v>
      </c>
      <c r="E724" s="16" t="s">
        <v>172</v>
      </c>
      <c r="F724" s="16" t="s">
        <v>173</v>
      </c>
      <c r="G724" s="16" t="s">
        <v>40</v>
      </c>
      <c r="H724" s="16" t="s">
        <v>41</v>
      </c>
      <c r="I724" s="16" t="s">
        <v>42</v>
      </c>
      <c r="J724" s="16" t="s">
        <v>68</v>
      </c>
      <c r="K724" s="18">
        <v>4512.26</v>
      </c>
      <c r="L724" s="18">
        <v>2759.43</v>
      </c>
      <c r="M724" s="19">
        <v>3</v>
      </c>
      <c r="N724" s="20">
        <v>0.05</v>
      </c>
      <c r="O724" s="19" t="s">
        <v>44</v>
      </c>
      <c r="P724" s="19" t="s">
        <v>45</v>
      </c>
      <c r="Q724" s="19" t="str">
        <f>TRIM(SalesData[[#This Row],[Customer_Name]])</f>
        <v>Divya Shah</v>
      </c>
      <c r="R724" s="21">
        <f>SalesData[[#This Row],[Sales]]-SalesData[[#This Row],[Cost]]</f>
        <v>1752.8300000000004</v>
      </c>
      <c r="S724" s="22">
        <f>IFERROR(SalesData[[#This Row],[Profit]]/SalesData[[#This Row],[Sales]],0)</f>
        <v>0.38845944161019097</v>
      </c>
      <c r="T724" s="19">
        <f>YEAR(SalesData[[#This Row],[Order_Date]])</f>
        <v>2025</v>
      </c>
      <c r="U724" s="19" t="str">
        <f>TEXT(SalesData[[#This Row],[Order_Date]],"mmm")</f>
        <v>Nov</v>
      </c>
      <c r="V724" s="19" t="str">
        <f>"Q"&amp;ROUNDUP(MONTH(SalesData[[#This Row],[Order_Date]])/3,0)</f>
        <v>Q4</v>
      </c>
      <c r="W724" s="19" t="str">
        <f>IF(SalesData[[#This Row],[Sales]]&gt;=50000,"High",IF(AND(SalesData[[#This Row],[Sales]]&gt;= 20000, SalesData[[#This Row],[Sales]]&lt; 50000),"Medium","Low"))</f>
        <v>Low</v>
      </c>
      <c r="X724" s="19" t="str">
        <f>IF(SalesData[[#This Row],[Profit]]&gt;0,"Profit","Loss")</f>
        <v>Profit</v>
      </c>
      <c r="Y724" s="19" t="str">
        <f>IF(AND(SalesData[[#This Row],[Sales]]&gt;= 50000, SalesData[[#This Row],[Quantity]]&gt;=2),"Yes","No")</f>
        <v>No</v>
      </c>
      <c r="Z724" s="19" t="str">
        <f>UPPER(SalesData[[#This Row],[Customer_Name]])</f>
        <v>DIVYA SHAH</v>
      </c>
      <c r="AA724" s="19" t="str">
        <f>LOWER(SalesData[[#This Row],[Customer_Name]])</f>
        <v>divya shah</v>
      </c>
      <c r="AB724" s="19">
        <f>LEN(SalesData[[#This Row],[Customer_Name]])</f>
        <v>10</v>
      </c>
      <c r="AC724" s="19" t="str">
        <f>LEFT(SalesData[[#This Row],[Order_ID]],3)</f>
        <v>ORD</v>
      </c>
      <c r="AD724" s="19" t="str">
        <f>RIGHT(SalesData[[#This Row],[Order_ID]],4)</f>
        <v>0217</v>
      </c>
      <c r="AE724" s="19" t="str">
        <f>_xlfn.CONCAT(SalesData[[#This Row],[Clean_Customer_Name]],"-",SalesData[[#This Row],[Region]])</f>
        <v>Divya Shah-East</v>
      </c>
      <c r="AF724" s="19" t="str">
        <f>MID(SalesData[[#This Row],[Order_ID]],4,4)</f>
        <v>0217</v>
      </c>
      <c r="AG724" s="19" t="e">
        <f ca="1">_xlfn.SINGLE(_xlfn.XLOOKUP(SalesData[[#This Row],[Product]],Product_Master!A:A,Product_Master!B:B,"Not Found"))</f>
        <v>#NAME?</v>
      </c>
      <c r="AH724" s="19" t="str">
        <f>VLOOKUP(SalesData[[#This Row],[Product]],Product_Master!$A$1:$B$21,2,FALSE)</f>
        <v>Pooja</v>
      </c>
      <c r="AI724" s="16"/>
    </row>
    <row r="725" spans="1:35" ht="13.8">
      <c r="A725" s="16" t="s">
        <v>536</v>
      </c>
      <c r="B725" s="17">
        <v>45625</v>
      </c>
      <c r="C725" s="16" t="s">
        <v>70</v>
      </c>
      <c r="D725" s="16" t="s">
        <v>71</v>
      </c>
      <c r="E725" s="16" t="s">
        <v>106</v>
      </c>
      <c r="F725" s="16" t="s">
        <v>107</v>
      </c>
      <c r="G725" s="16" t="s">
        <v>40</v>
      </c>
      <c r="H725" s="16" t="s">
        <v>108</v>
      </c>
      <c r="I725" s="16" t="s">
        <v>56</v>
      </c>
      <c r="J725" s="16" t="s">
        <v>57</v>
      </c>
      <c r="K725" s="18">
        <v>8453.2800000000007</v>
      </c>
      <c r="L725" s="18">
        <v>2108.2800000000002</v>
      </c>
      <c r="M725" s="19">
        <v>3</v>
      </c>
      <c r="N725" s="20">
        <v>0</v>
      </c>
      <c r="O725" s="19" t="s">
        <v>34</v>
      </c>
      <c r="P725" s="19" t="s">
        <v>26</v>
      </c>
      <c r="Q725" s="19" t="str">
        <f>TRIM(SalesData[[#This Row],[Customer_Name]])</f>
        <v>Divya Shah</v>
      </c>
      <c r="R725" s="21">
        <f>SalesData[[#This Row],[Sales]]-SalesData[[#This Row],[Cost]]</f>
        <v>6345</v>
      </c>
      <c r="S725" s="22">
        <f>IFERROR(SalesData[[#This Row],[Profit]]/SalesData[[#This Row],[Sales]],0)</f>
        <v>0.75059621827267042</v>
      </c>
      <c r="T725" s="19">
        <f>YEAR(SalesData[[#This Row],[Order_Date]])</f>
        <v>2024</v>
      </c>
      <c r="U725" s="19" t="str">
        <f>TEXT(SalesData[[#This Row],[Order_Date]],"mmm")</f>
        <v>Nov</v>
      </c>
      <c r="V725" s="19" t="str">
        <f>"Q"&amp;ROUNDUP(MONTH(SalesData[[#This Row],[Order_Date]])/3,0)</f>
        <v>Q4</v>
      </c>
      <c r="W725" s="19" t="str">
        <f>IF(SalesData[[#This Row],[Sales]]&gt;=50000,"High",IF(AND(SalesData[[#This Row],[Sales]]&gt;= 20000, SalesData[[#This Row],[Sales]]&lt; 50000),"Medium","Low"))</f>
        <v>Low</v>
      </c>
      <c r="X725" s="19" t="str">
        <f>IF(SalesData[[#This Row],[Profit]]&gt;0,"Profit","Loss")</f>
        <v>Profit</v>
      </c>
      <c r="Y725" s="19" t="str">
        <f>IF(AND(SalesData[[#This Row],[Sales]]&gt;= 50000, SalesData[[#This Row],[Quantity]]&gt;=2),"Yes","No")</f>
        <v>No</v>
      </c>
      <c r="Z725" s="19" t="str">
        <f>UPPER(SalesData[[#This Row],[Customer_Name]])</f>
        <v>DIVYA SHAH</v>
      </c>
      <c r="AA725" s="19" t="str">
        <f>LOWER(SalesData[[#This Row],[Customer_Name]])</f>
        <v>divya shah</v>
      </c>
      <c r="AB725" s="19">
        <f>LEN(SalesData[[#This Row],[Customer_Name]])</f>
        <v>10</v>
      </c>
      <c r="AC725" s="19" t="str">
        <f>LEFT(SalesData[[#This Row],[Order_ID]],3)</f>
        <v>ORD</v>
      </c>
      <c r="AD725" s="19" t="str">
        <f>RIGHT(SalesData[[#This Row],[Order_ID]],4)</f>
        <v>0383</v>
      </c>
      <c r="AE725" s="19" t="str">
        <f>_xlfn.CONCAT(SalesData[[#This Row],[Clean_Customer_Name]],"-",SalesData[[#This Row],[Region]])</f>
        <v>Divya Shah-West</v>
      </c>
      <c r="AF725" s="19" t="str">
        <f>MID(SalesData[[#This Row],[Order_ID]],4,4)</f>
        <v>0383</v>
      </c>
      <c r="AG725" s="19" t="e">
        <f ca="1">_xlfn.SINGLE(_xlfn.XLOOKUP(SalesData[[#This Row],[Product]],Product_Master!A:A,Product_Master!B:B,"Not Found"))</f>
        <v>#NAME?</v>
      </c>
      <c r="AH725" s="19" t="str">
        <f>VLOOKUP(SalesData[[#This Row],[Product]],Product_Master!$A$1:$B$21,2,FALSE)</f>
        <v>Aditya</v>
      </c>
      <c r="AI725" s="16"/>
    </row>
    <row r="726" spans="1:35" ht="13.8">
      <c r="A726" s="16" t="s">
        <v>584</v>
      </c>
      <c r="B726" s="17">
        <v>45532</v>
      </c>
      <c r="C726" s="16" t="s">
        <v>70</v>
      </c>
      <c r="D726" s="16" t="s">
        <v>71</v>
      </c>
      <c r="E726" s="16" t="s">
        <v>106</v>
      </c>
      <c r="F726" s="16" t="s">
        <v>107</v>
      </c>
      <c r="G726" s="16" t="s">
        <v>40</v>
      </c>
      <c r="H726" s="16" t="s">
        <v>108</v>
      </c>
      <c r="I726" s="16" t="s">
        <v>56</v>
      </c>
      <c r="J726" s="16" t="s">
        <v>91</v>
      </c>
      <c r="K726" s="18">
        <v>2178.35</v>
      </c>
      <c r="L726" s="18">
        <v>694.27</v>
      </c>
      <c r="M726" s="19">
        <v>1</v>
      </c>
      <c r="N726" s="20">
        <v>0.15</v>
      </c>
      <c r="O726" s="19" t="s">
        <v>25</v>
      </c>
      <c r="P726" s="19" t="s">
        <v>98</v>
      </c>
      <c r="Q726" s="19" t="str">
        <f>TRIM(SalesData[[#This Row],[Customer_Name]])</f>
        <v>Divya Shah</v>
      </c>
      <c r="R726" s="21">
        <f>SalesData[[#This Row],[Sales]]-SalesData[[#This Row],[Cost]]</f>
        <v>1484.08</v>
      </c>
      <c r="S726" s="22">
        <f>IFERROR(SalesData[[#This Row],[Profit]]/SalesData[[#This Row],[Sales]],0)</f>
        <v>0.68128629467257329</v>
      </c>
      <c r="T726" s="19">
        <f>YEAR(SalesData[[#This Row],[Order_Date]])</f>
        <v>2024</v>
      </c>
      <c r="U726" s="19" t="str">
        <f>TEXT(SalesData[[#This Row],[Order_Date]],"mmm")</f>
        <v>Aug</v>
      </c>
      <c r="V726" s="19" t="str">
        <f>"Q"&amp;ROUNDUP(MONTH(SalesData[[#This Row],[Order_Date]])/3,0)</f>
        <v>Q3</v>
      </c>
      <c r="W726" s="19" t="str">
        <f>IF(SalesData[[#This Row],[Sales]]&gt;=50000,"High",IF(AND(SalesData[[#This Row],[Sales]]&gt;= 20000, SalesData[[#This Row],[Sales]]&lt; 50000),"Medium","Low"))</f>
        <v>Low</v>
      </c>
      <c r="X726" s="19" t="str">
        <f>IF(SalesData[[#This Row],[Profit]]&gt;0,"Profit","Loss")</f>
        <v>Profit</v>
      </c>
      <c r="Y726" s="19" t="str">
        <f>IF(AND(SalesData[[#This Row],[Sales]]&gt;= 50000, SalesData[[#This Row],[Quantity]]&gt;=2),"Yes","No")</f>
        <v>No</v>
      </c>
      <c r="Z726" s="19" t="str">
        <f>UPPER(SalesData[[#This Row],[Customer_Name]])</f>
        <v>DIVYA SHAH</v>
      </c>
      <c r="AA726" s="19" t="str">
        <f>LOWER(SalesData[[#This Row],[Customer_Name]])</f>
        <v>divya shah</v>
      </c>
      <c r="AB726" s="19">
        <f>LEN(SalesData[[#This Row],[Customer_Name]])</f>
        <v>10</v>
      </c>
      <c r="AC726" s="19" t="str">
        <f>LEFT(SalesData[[#This Row],[Order_ID]],3)</f>
        <v>ORD</v>
      </c>
      <c r="AD726" s="19" t="str">
        <f>RIGHT(SalesData[[#This Row],[Order_ID]],4)</f>
        <v>0431</v>
      </c>
      <c r="AE726" s="19" t="str">
        <f>_xlfn.CONCAT(SalesData[[#This Row],[Clean_Customer_Name]],"-",SalesData[[#This Row],[Region]])</f>
        <v>Divya Shah-West</v>
      </c>
      <c r="AF726" s="19" t="str">
        <f>MID(SalesData[[#This Row],[Order_ID]],4,4)</f>
        <v>0431</v>
      </c>
      <c r="AG726" s="19" t="e">
        <f ca="1">_xlfn.SINGLE(_xlfn.XLOOKUP(SalesData[[#This Row],[Product]],Product_Master!A:A,Product_Master!B:B,"Not Found"))</f>
        <v>#NAME?</v>
      </c>
      <c r="AH726" s="19" t="str">
        <f>VLOOKUP(SalesData[[#This Row],[Product]],Product_Master!$A$1:$B$21,2,FALSE)</f>
        <v>Aditya</v>
      </c>
      <c r="AI726" s="16"/>
    </row>
    <row r="727" spans="1:35" ht="13.8">
      <c r="A727" s="16" t="s">
        <v>402</v>
      </c>
      <c r="B727" s="17">
        <v>45862</v>
      </c>
      <c r="C727" s="16" t="s">
        <v>70</v>
      </c>
      <c r="D727" s="16" t="s">
        <v>71</v>
      </c>
      <c r="E727" s="16" t="s">
        <v>132</v>
      </c>
      <c r="F727" s="16" t="s">
        <v>133</v>
      </c>
      <c r="G727" s="16" t="s">
        <v>40</v>
      </c>
      <c r="H727" s="16" t="s">
        <v>41</v>
      </c>
      <c r="I727" s="16" t="s">
        <v>56</v>
      </c>
      <c r="J727" s="16" t="s">
        <v>91</v>
      </c>
      <c r="K727" s="18">
        <v>2643.04</v>
      </c>
      <c r="L727" s="18">
        <v>1158.5</v>
      </c>
      <c r="M727" s="19">
        <v>5</v>
      </c>
      <c r="N727" s="20">
        <v>0.05</v>
      </c>
      <c r="O727" s="19" t="s">
        <v>44</v>
      </c>
      <c r="P727" s="19" t="s">
        <v>58</v>
      </c>
      <c r="Q727" s="19" t="str">
        <f>TRIM(SalesData[[#This Row],[Customer_Name]])</f>
        <v>Divya Shah</v>
      </c>
      <c r="R727" s="21">
        <f>SalesData[[#This Row],[Sales]]-SalesData[[#This Row],[Cost]]</f>
        <v>1484.54</v>
      </c>
      <c r="S727" s="22">
        <f>IFERROR(SalesData[[#This Row],[Profit]]/SalesData[[#This Row],[Sales]],0)</f>
        <v>0.56167897572492276</v>
      </c>
      <c r="T727" s="19">
        <f>YEAR(SalesData[[#This Row],[Order_Date]])</f>
        <v>2025</v>
      </c>
      <c r="U727" s="19" t="str">
        <f>TEXT(SalesData[[#This Row],[Order_Date]],"mmm")</f>
        <v>Jul</v>
      </c>
      <c r="V727" s="19" t="str">
        <f>"Q"&amp;ROUNDUP(MONTH(SalesData[[#This Row],[Order_Date]])/3,0)</f>
        <v>Q3</v>
      </c>
      <c r="W727" s="19" t="str">
        <f>IF(SalesData[[#This Row],[Sales]]&gt;=50000,"High",IF(AND(SalesData[[#This Row],[Sales]]&gt;= 20000, SalesData[[#This Row],[Sales]]&lt; 50000),"Medium","Low"))</f>
        <v>Low</v>
      </c>
      <c r="X727" s="19" t="str">
        <f>IF(SalesData[[#This Row],[Profit]]&gt;0,"Profit","Loss")</f>
        <v>Profit</v>
      </c>
      <c r="Y727" s="19" t="str">
        <f>IF(AND(SalesData[[#This Row],[Sales]]&gt;= 50000, SalesData[[#This Row],[Quantity]]&gt;=2),"Yes","No")</f>
        <v>No</v>
      </c>
      <c r="Z727" s="19" t="str">
        <f>UPPER(SalesData[[#This Row],[Customer_Name]])</f>
        <v>DIVYA SHAH</v>
      </c>
      <c r="AA727" s="19" t="str">
        <f>LOWER(SalesData[[#This Row],[Customer_Name]])</f>
        <v>divya shah</v>
      </c>
      <c r="AB727" s="19">
        <f>LEN(SalesData[[#This Row],[Customer_Name]])</f>
        <v>10</v>
      </c>
      <c r="AC727" s="19" t="str">
        <f>LEFT(SalesData[[#This Row],[Order_ID]],3)</f>
        <v>ORD</v>
      </c>
      <c r="AD727" s="19" t="str">
        <f>RIGHT(SalesData[[#This Row],[Order_ID]],4)</f>
        <v>0249</v>
      </c>
      <c r="AE727" s="19" t="str">
        <f>_xlfn.CONCAT(SalesData[[#This Row],[Clean_Customer_Name]],"-",SalesData[[#This Row],[Region]])</f>
        <v>Divya Shah-West</v>
      </c>
      <c r="AF727" s="19" t="str">
        <f>MID(SalesData[[#This Row],[Order_ID]],4,4)</f>
        <v>0249</v>
      </c>
      <c r="AG727" s="19" t="e">
        <f ca="1">_xlfn.SINGLE(_xlfn.XLOOKUP(SalesData[[#This Row],[Product]],Product_Master!A:A,Product_Master!B:B,"Not Found"))</f>
        <v>#NAME?</v>
      </c>
      <c r="AH727" s="19" t="str">
        <f>VLOOKUP(SalesData[[#This Row],[Product]],Product_Master!$A$1:$B$21,2,FALSE)</f>
        <v>Kavya</v>
      </c>
      <c r="AI727" s="16"/>
    </row>
    <row r="728" spans="1:35" ht="13.8">
      <c r="A728" s="16" t="s">
        <v>672</v>
      </c>
      <c r="B728" s="17">
        <v>45682</v>
      </c>
      <c r="C728" s="16" t="s">
        <v>70</v>
      </c>
      <c r="D728" s="16" t="s">
        <v>71</v>
      </c>
      <c r="E728" s="16" t="s">
        <v>132</v>
      </c>
      <c r="F728" s="16" t="s">
        <v>133</v>
      </c>
      <c r="G728" s="16" t="s">
        <v>40</v>
      </c>
      <c r="H728" s="16" t="s">
        <v>41</v>
      </c>
      <c r="I728" s="16" t="s">
        <v>53</v>
      </c>
      <c r="J728" s="16" t="s">
        <v>102</v>
      </c>
      <c r="K728" s="18">
        <v>2214.0300000000002</v>
      </c>
      <c r="L728" s="18">
        <v>464.58</v>
      </c>
      <c r="M728" s="19">
        <v>2</v>
      </c>
      <c r="N728" s="20">
        <v>0.05</v>
      </c>
      <c r="O728" s="19" t="s">
        <v>136</v>
      </c>
      <c r="P728" s="19" t="s">
        <v>58</v>
      </c>
      <c r="Q728" s="19" t="str">
        <f>TRIM(SalesData[[#This Row],[Customer_Name]])</f>
        <v>Divya Shah</v>
      </c>
      <c r="R728" s="21">
        <f>SalesData[[#This Row],[Sales]]-SalesData[[#This Row],[Cost]]</f>
        <v>1749.4500000000003</v>
      </c>
      <c r="S728" s="22">
        <f>IFERROR(SalesData[[#This Row],[Profit]]/SalesData[[#This Row],[Sales]],0)</f>
        <v>0.7901654449126706</v>
      </c>
      <c r="T728" s="19">
        <f>YEAR(SalesData[[#This Row],[Order_Date]])</f>
        <v>2025</v>
      </c>
      <c r="U728" s="19" t="str">
        <f>TEXT(SalesData[[#This Row],[Order_Date]],"mmm")</f>
        <v>Jan</v>
      </c>
      <c r="V728" s="19" t="str">
        <f>"Q"&amp;ROUNDUP(MONTH(SalesData[[#This Row],[Order_Date]])/3,0)</f>
        <v>Q1</v>
      </c>
      <c r="W728" s="19" t="str">
        <f>IF(SalesData[[#This Row],[Sales]]&gt;=50000,"High",IF(AND(SalesData[[#This Row],[Sales]]&gt;= 20000, SalesData[[#This Row],[Sales]]&lt; 50000),"Medium","Low"))</f>
        <v>Low</v>
      </c>
      <c r="X728" s="19" t="str">
        <f>IF(SalesData[[#This Row],[Profit]]&gt;0,"Profit","Loss")</f>
        <v>Profit</v>
      </c>
      <c r="Y728" s="19" t="str">
        <f>IF(AND(SalesData[[#This Row],[Sales]]&gt;= 50000, SalesData[[#This Row],[Quantity]]&gt;=2),"Yes","No")</f>
        <v>No</v>
      </c>
      <c r="Z728" s="19" t="str">
        <f>UPPER(SalesData[[#This Row],[Customer_Name]])</f>
        <v>DIVYA SHAH</v>
      </c>
      <c r="AA728" s="19" t="str">
        <f>LOWER(SalesData[[#This Row],[Customer_Name]])</f>
        <v>divya shah</v>
      </c>
      <c r="AB728" s="19">
        <f>LEN(SalesData[[#This Row],[Customer_Name]])</f>
        <v>10</v>
      </c>
      <c r="AC728" s="19" t="str">
        <f>LEFT(SalesData[[#This Row],[Order_ID]],3)</f>
        <v>ORD</v>
      </c>
      <c r="AD728" s="19" t="str">
        <f>RIGHT(SalesData[[#This Row],[Order_ID]],4)</f>
        <v>0519</v>
      </c>
      <c r="AE728" s="19" t="str">
        <f>_xlfn.CONCAT(SalesData[[#This Row],[Clean_Customer_Name]],"-",SalesData[[#This Row],[Region]])</f>
        <v>Divya Shah-Central</v>
      </c>
      <c r="AF728" s="19" t="str">
        <f>MID(SalesData[[#This Row],[Order_ID]],4,4)</f>
        <v>0519</v>
      </c>
      <c r="AG728" s="19" t="e">
        <f ca="1">_xlfn.SINGLE(_xlfn.XLOOKUP(SalesData[[#This Row],[Product]],Product_Master!A:A,Product_Master!B:B,"Not Found"))</f>
        <v>#NAME?</v>
      </c>
      <c r="AH728" s="19" t="str">
        <f>VLOOKUP(SalesData[[#This Row],[Product]],Product_Master!$A$1:$B$21,2,FALSE)</f>
        <v>Kavya</v>
      </c>
      <c r="AI728" s="16"/>
    </row>
    <row r="729" spans="1:35" ht="13.8">
      <c r="A729" s="16" t="s">
        <v>689</v>
      </c>
      <c r="B729" s="17">
        <v>45547</v>
      </c>
      <c r="C729" s="16" t="s">
        <v>70</v>
      </c>
      <c r="D729" s="16" t="s">
        <v>71</v>
      </c>
      <c r="E729" s="16" t="s">
        <v>132</v>
      </c>
      <c r="F729" s="16" t="s">
        <v>133</v>
      </c>
      <c r="G729" s="16" t="s">
        <v>40</v>
      </c>
      <c r="H729" s="16" t="s">
        <v>41</v>
      </c>
      <c r="I729" s="16" t="s">
        <v>56</v>
      </c>
      <c r="J729" s="16" t="s">
        <v>91</v>
      </c>
      <c r="K729" s="18">
        <v>1528.45</v>
      </c>
      <c r="L729" s="18">
        <v>521.5</v>
      </c>
      <c r="M729" s="19">
        <v>2</v>
      </c>
      <c r="N729" s="20">
        <v>0.15</v>
      </c>
      <c r="O729" s="19" t="s">
        <v>76</v>
      </c>
      <c r="P729" s="19" t="s">
        <v>45</v>
      </c>
      <c r="Q729" s="19" t="str">
        <f>TRIM(SalesData[[#This Row],[Customer_Name]])</f>
        <v>Divya Shah</v>
      </c>
      <c r="R729" s="21">
        <f>SalesData[[#This Row],[Sales]]-SalesData[[#This Row],[Cost]]</f>
        <v>1006.95</v>
      </c>
      <c r="S729" s="22">
        <f>IFERROR(SalesData[[#This Row],[Profit]]/SalesData[[#This Row],[Sales]],0)</f>
        <v>0.65880467139912979</v>
      </c>
      <c r="T729" s="19">
        <f>YEAR(SalesData[[#This Row],[Order_Date]])</f>
        <v>2024</v>
      </c>
      <c r="U729" s="19" t="str">
        <f>TEXT(SalesData[[#This Row],[Order_Date]],"mmm")</f>
        <v>Sept</v>
      </c>
      <c r="V729" s="19" t="str">
        <f>"Q"&amp;ROUNDUP(MONTH(SalesData[[#This Row],[Order_Date]])/3,0)</f>
        <v>Q3</v>
      </c>
      <c r="W729" s="19" t="str">
        <f>IF(SalesData[[#This Row],[Sales]]&gt;=50000,"High",IF(AND(SalesData[[#This Row],[Sales]]&gt;= 20000, SalesData[[#This Row],[Sales]]&lt; 50000),"Medium","Low"))</f>
        <v>Low</v>
      </c>
      <c r="X729" s="19" t="str">
        <f>IF(SalesData[[#This Row],[Profit]]&gt;0,"Profit","Loss")</f>
        <v>Profit</v>
      </c>
      <c r="Y729" s="19" t="str">
        <f>IF(AND(SalesData[[#This Row],[Sales]]&gt;= 50000, SalesData[[#This Row],[Quantity]]&gt;=2),"Yes","No")</f>
        <v>No</v>
      </c>
      <c r="Z729" s="19" t="str">
        <f>UPPER(SalesData[[#This Row],[Customer_Name]])</f>
        <v>DIVYA SHAH</v>
      </c>
      <c r="AA729" s="19" t="str">
        <f>LOWER(SalesData[[#This Row],[Customer_Name]])</f>
        <v>divya shah</v>
      </c>
      <c r="AB729" s="19">
        <f>LEN(SalesData[[#This Row],[Customer_Name]])</f>
        <v>10</v>
      </c>
      <c r="AC729" s="19" t="str">
        <f>LEFT(SalesData[[#This Row],[Order_ID]],3)</f>
        <v>ORD</v>
      </c>
      <c r="AD729" s="19" t="str">
        <f>RIGHT(SalesData[[#This Row],[Order_ID]],4)</f>
        <v>0536</v>
      </c>
      <c r="AE729" s="19" t="str">
        <f>_xlfn.CONCAT(SalesData[[#This Row],[Clean_Customer_Name]],"-",SalesData[[#This Row],[Region]])</f>
        <v>Divya Shah-West</v>
      </c>
      <c r="AF729" s="19" t="str">
        <f>MID(SalesData[[#This Row],[Order_ID]],4,4)</f>
        <v>0536</v>
      </c>
      <c r="AG729" s="19" t="e">
        <f ca="1">_xlfn.SINGLE(_xlfn.XLOOKUP(SalesData[[#This Row],[Product]],Product_Master!A:A,Product_Master!B:B,"Not Found"))</f>
        <v>#NAME?</v>
      </c>
      <c r="AH729" s="19" t="str">
        <f>VLOOKUP(SalesData[[#This Row],[Product]],Product_Master!$A$1:$B$21,2,FALSE)</f>
        <v>Kavya</v>
      </c>
      <c r="AI729" s="16"/>
    </row>
    <row r="730" spans="1:35" ht="13.8">
      <c r="A730" s="16" t="s">
        <v>936</v>
      </c>
      <c r="B730" s="17">
        <v>45954</v>
      </c>
      <c r="C730" s="16" t="s">
        <v>70</v>
      </c>
      <c r="D730" s="16" t="s">
        <v>71</v>
      </c>
      <c r="E730" s="16" t="s">
        <v>132</v>
      </c>
      <c r="F730" s="16" t="s">
        <v>133</v>
      </c>
      <c r="G730" s="16" t="s">
        <v>40</v>
      </c>
      <c r="H730" s="16" t="s">
        <v>41</v>
      </c>
      <c r="I730" s="16" t="s">
        <v>56</v>
      </c>
      <c r="J730" s="16" t="s">
        <v>91</v>
      </c>
      <c r="K730" s="18">
        <v>581.80999999999995</v>
      </c>
      <c r="L730" s="18">
        <v>235.1</v>
      </c>
      <c r="M730" s="19">
        <v>1</v>
      </c>
      <c r="N730" s="20">
        <v>0</v>
      </c>
      <c r="O730" s="19" t="s">
        <v>44</v>
      </c>
      <c r="P730" s="19" t="s">
        <v>45</v>
      </c>
      <c r="Q730" s="19" t="str">
        <f>TRIM(SalesData[[#This Row],[Customer_Name]])</f>
        <v>Divya Shah</v>
      </c>
      <c r="R730" s="21">
        <f>SalesData[[#This Row],[Sales]]-SalesData[[#This Row],[Cost]]</f>
        <v>346.70999999999992</v>
      </c>
      <c r="S730" s="22">
        <f>IFERROR(SalesData[[#This Row],[Profit]]/SalesData[[#This Row],[Sales]],0)</f>
        <v>0.595916192571458</v>
      </c>
      <c r="T730" s="19">
        <f>YEAR(SalesData[[#This Row],[Order_Date]])</f>
        <v>2025</v>
      </c>
      <c r="U730" s="19" t="str">
        <f>TEXT(SalesData[[#This Row],[Order_Date]],"mmm")</f>
        <v>Oct</v>
      </c>
      <c r="V730" s="19" t="str">
        <f>"Q"&amp;ROUNDUP(MONTH(SalesData[[#This Row],[Order_Date]])/3,0)</f>
        <v>Q4</v>
      </c>
      <c r="W730" s="19" t="str">
        <f>IF(SalesData[[#This Row],[Sales]]&gt;=50000,"High",IF(AND(SalesData[[#This Row],[Sales]]&gt;= 20000, SalesData[[#This Row],[Sales]]&lt; 50000),"Medium","Low"))</f>
        <v>Low</v>
      </c>
      <c r="X730" s="19" t="str">
        <f>IF(SalesData[[#This Row],[Profit]]&gt;0,"Profit","Loss")</f>
        <v>Profit</v>
      </c>
      <c r="Y730" s="19" t="str">
        <f>IF(AND(SalesData[[#This Row],[Sales]]&gt;= 50000, SalesData[[#This Row],[Quantity]]&gt;=2),"Yes","No")</f>
        <v>No</v>
      </c>
      <c r="Z730" s="19" t="str">
        <f>UPPER(SalesData[[#This Row],[Customer_Name]])</f>
        <v>DIVYA SHAH</v>
      </c>
      <c r="AA730" s="19" t="str">
        <f>LOWER(SalesData[[#This Row],[Customer_Name]])</f>
        <v>divya shah</v>
      </c>
      <c r="AB730" s="19">
        <f>LEN(SalesData[[#This Row],[Customer_Name]])</f>
        <v>10</v>
      </c>
      <c r="AC730" s="19" t="str">
        <f>LEFT(SalesData[[#This Row],[Order_ID]],3)</f>
        <v>ORD</v>
      </c>
      <c r="AD730" s="19" t="str">
        <f>RIGHT(SalesData[[#This Row],[Order_ID]],4)</f>
        <v>0783</v>
      </c>
      <c r="AE730" s="19" t="str">
        <f>_xlfn.CONCAT(SalesData[[#This Row],[Clean_Customer_Name]],"-",SalesData[[#This Row],[Region]])</f>
        <v>Divya Shah-West</v>
      </c>
      <c r="AF730" s="19" t="str">
        <f>MID(SalesData[[#This Row],[Order_ID]],4,4)</f>
        <v>0783</v>
      </c>
      <c r="AG730" s="19" t="e">
        <f ca="1">_xlfn.SINGLE(_xlfn.XLOOKUP(SalesData[[#This Row],[Product]],Product_Master!A:A,Product_Master!B:B,"Not Found"))</f>
        <v>#NAME?</v>
      </c>
      <c r="AH730" s="19" t="str">
        <f>VLOOKUP(SalesData[[#This Row],[Product]],Product_Master!$A$1:$B$21,2,FALSE)</f>
        <v>Kavya</v>
      </c>
      <c r="AI730" s="16"/>
    </row>
    <row r="731" spans="1:35" ht="13.8">
      <c r="A731" s="16" t="s">
        <v>203</v>
      </c>
      <c r="B731" s="17">
        <v>45778</v>
      </c>
      <c r="C731" s="16" t="s">
        <v>70</v>
      </c>
      <c r="D731" s="16" t="s">
        <v>71</v>
      </c>
      <c r="E731" s="16" t="s">
        <v>38</v>
      </c>
      <c r="F731" s="16" t="s">
        <v>39</v>
      </c>
      <c r="G731" s="16" t="s">
        <v>40</v>
      </c>
      <c r="H731" s="16" t="s">
        <v>41</v>
      </c>
      <c r="I731" s="16" t="s">
        <v>23</v>
      </c>
      <c r="J731" s="16" t="s">
        <v>75</v>
      </c>
      <c r="K731" s="18">
        <v>3584.09</v>
      </c>
      <c r="L731" s="18">
        <v>1903.68</v>
      </c>
      <c r="M731" s="19">
        <v>4</v>
      </c>
      <c r="N731" s="20">
        <v>0.1</v>
      </c>
      <c r="O731" s="19" t="s">
        <v>34</v>
      </c>
      <c r="P731" s="19" t="s">
        <v>98</v>
      </c>
      <c r="Q731" s="19" t="str">
        <f>TRIM(SalesData[[#This Row],[Customer_Name]])</f>
        <v>Divya Shah</v>
      </c>
      <c r="R731" s="21">
        <f>SalesData[[#This Row],[Sales]]-SalesData[[#This Row],[Cost]]</f>
        <v>1680.41</v>
      </c>
      <c r="S731" s="22">
        <f>IFERROR(SalesData[[#This Row],[Profit]]/SalesData[[#This Row],[Sales]],0)</f>
        <v>0.46885262367853486</v>
      </c>
      <c r="T731" s="19">
        <f>YEAR(SalesData[[#This Row],[Order_Date]])</f>
        <v>2025</v>
      </c>
      <c r="U731" s="19" t="str">
        <f>TEXT(SalesData[[#This Row],[Order_Date]],"mmm")</f>
        <v>May</v>
      </c>
      <c r="V731" s="19" t="str">
        <f>"Q"&amp;ROUNDUP(MONTH(SalesData[[#This Row],[Order_Date]])/3,0)</f>
        <v>Q2</v>
      </c>
      <c r="W731" s="19" t="str">
        <f>IF(SalesData[[#This Row],[Sales]]&gt;=50000,"High",IF(AND(SalesData[[#This Row],[Sales]]&gt;= 20000, SalesData[[#This Row],[Sales]]&lt; 50000),"Medium","Low"))</f>
        <v>Low</v>
      </c>
      <c r="X731" s="19" t="str">
        <f>IF(SalesData[[#This Row],[Profit]]&gt;0,"Profit","Loss")</f>
        <v>Profit</v>
      </c>
      <c r="Y731" s="19" t="str">
        <f>IF(AND(SalesData[[#This Row],[Sales]]&gt;= 50000, SalesData[[#This Row],[Quantity]]&gt;=2),"Yes","No")</f>
        <v>No</v>
      </c>
      <c r="Z731" s="19" t="str">
        <f>UPPER(SalesData[[#This Row],[Customer_Name]])</f>
        <v>DIVYA SHAH</v>
      </c>
      <c r="AA731" s="19" t="str">
        <f>LOWER(SalesData[[#This Row],[Customer_Name]])</f>
        <v>divya shah</v>
      </c>
      <c r="AB731" s="19">
        <f>LEN(SalesData[[#This Row],[Customer_Name]])</f>
        <v>10</v>
      </c>
      <c r="AC731" s="19" t="str">
        <f>LEFT(SalesData[[#This Row],[Order_ID]],3)</f>
        <v>ORD</v>
      </c>
      <c r="AD731" s="19" t="str">
        <f>RIGHT(SalesData[[#This Row],[Order_ID]],4)</f>
        <v>0056</v>
      </c>
      <c r="AE731" s="19" t="str">
        <f>_xlfn.CONCAT(SalesData[[#This Row],[Clean_Customer_Name]],"-",SalesData[[#This Row],[Region]])</f>
        <v>Divya Shah-North</v>
      </c>
      <c r="AF731" s="19" t="str">
        <f>MID(SalesData[[#This Row],[Order_ID]],4,4)</f>
        <v>0056</v>
      </c>
      <c r="AG731" s="19" t="e">
        <f ca="1">_xlfn.SINGLE(_xlfn.XLOOKUP(SalesData[[#This Row],[Product]],Product_Master!A:A,Product_Master!B:B,"Not Found"))</f>
        <v>#NAME?</v>
      </c>
      <c r="AH731" s="19" t="str">
        <f>VLOOKUP(SalesData[[#This Row],[Product]],Product_Master!$A$1:$B$21,2,FALSE)</f>
        <v>Manish</v>
      </c>
      <c r="AI731" s="16"/>
    </row>
    <row r="732" spans="1:35" ht="13.8">
      <c r="A732" s="16" t="s">
        <v>964</v>
      </c>
      <c r="B732" s="17">
        <v>45485</v>
      </c>
      <c r="C732" s="16" t="s">
        <v>70</v>
      </c>
      <c r="D732" s="16" t="s">
        <v>71</v>
      </c>
      <c r="E732" s="16" t="s">
        <v>38</v>
      </c>
      <c r="F732" s="16" t="s">
        <v>39</v>
      </c>
      <c r="G732" s="16" t="s">
        <v>40</v>
      </c>
      <c r="H732" s="16" t="s">
        <v>41</v>
      </c>
      <c r="I732" s="16" t="s">
        <v>23</v>
      </c>
      <c r="J732" s="16" t="s">
        <v>24</v>
      </c>
      <c r="K732" s="18">
        <v>1518.15</v>
      </c>
      <c r="L732" s="18">
        <v>910.92</v>
      </c>
      <c r="M732" s="19">
        <v>2</v>
      </c>
      <c r="N732" s="20">
        <v>0.15</v>
      </c>
      <c r="O732" s="19" t="s">
        <v>44</v>
      </c>
      <c r="P732" s="19" t="s">
        <v>58</v>
      </c>
      <c r="Q732" s="19" t="str">
        <f>TRIM(SalesData[[#This Row],[Customer_Name]])</f>
        <v>Divya Shah</v>
      </c>
      <c r="R732" s="21">
        <f>SalesData[[#This Row],[Sales]]-SalesData[[#This Row],[Cost]]</f>
        <v>607.23000000000013</v>
      </c>
      <c r="S732" s="22">
        <f>IFERROR(SalesData[[#This Row],[Profit]]/SalesData[[#This Row],[Sales]],0)</f>
        <v>0.39998023910680769</v>
      </c>
      <c r="T732" s="19">
        <f>YEAR(SalesData[[#This Row],[Order_Date]])</f>
        <v>2024</v>
      </c>
      <c r="U732" s="19" t="str">
        <f>TEXT(SalesData[[#This Row],[Order_Date]],"mmm")</f>
        <v>Jul</v>
      </c>
      <c r="V732" s="19" t="str">
        <f>"Q"&amp;ROUNDUP(MONTH(SalesData[[#This Row],[Order_Date]])/3,0)</f>
        <v>Q3</v>
      </c>
      <c r="W732" s="19" t="str">
        <f>IF(SalesData[[#This Row],[Sales]]&gt;=50000,"High",IF(AND(SalesData[[#This Row],[Sales]]&gt;= 20000, SalesData[[#This Row],[Sales]]&lt; 50000),"Medium","Low"))</f>
        <v>Low</v>
      </c>
      <c r="X732" s="19" t="str">
        <f>IF(SalesData[[#This Row],[Profit]]&gt;0,"Profit","Loss")</f>
        <v>Profit</v>
      </c>
      <c r="Y732" s="19" t="str">
        <f>IF(AND(SalesData[[#This Row],[Sales]]&gt;= 50000, SalesData[[#This Row],[Quantity]]&gt;=2),"Yes","No")</f>
        <v>No</v>
      </c>
      <c r="Z732" s="19" t="str">
        <f>UPPER(SalesData[[#This Row],[Customer_Name]])</f>
        <v>DIVYA SHAH</v>
      </c>
      <c r="AA732" s="19" t="str">
        <f>LOWER(SalesData[[#This Row],[Customer_Name]])</f>
        <v>divya shah</v>
      </c>
      <c r="AB732" s="19">
        <f>LEN(SalesData[[#This Row],[Customer_Name]])</f>
        <v>10</v>
      </c>
      <c r="AC732" s="19" t="str">
        <f>LEFT(SalesData[[#This Row],[Order_ID]],3)</f>
        <v>ORD</v>
      </c>
      <c r="AD732" s="19" t="str">
        <f>RIGHT(SalesData[[#This Row],[Order_ID]],4)</f>
        <v>0811</v>
      </c>
      <c r="AE732" s="19" t="str">
        <f>_xlfn.CONCAT(SalesData[[#This Row],[Clean_Customer_Name]],"-",SalesData[[#This Row],[Region]])</f>
        <v>Divya Shah-North</v>
      </c>
      <c r="AF732" s="19" t="str">
        <f>MID(SalesData[[#This Row],[Order_ID]],4,4)</f>
        <v>0811</v>
      </c>
      <c r="AG732" s="19" t="e">
        <f ca="1">_xlfn.SINGLE(_xlfn.XLOOKUP(SalesData[[#This Row],[Product]],Product_Master!A:A,Product_Master!B:B,"Not Found"))</f>
        <v>#NAME?</v>
      </c>
      <c r="AH732" s="19" t="str">
        <f>VLOOKUP(SalesData[[#This Row],[Product]],Product_Master!$A$1:$B$21,2,FALSE)</f>
        <v>Manish</v>
      </c>
      <c r="AI732" s="16"/>
    </row>
    <row r="733" spans="1:35" ht="13.8">
      <c r="A733" s="16" t="s">
        <v>400</v>
      </c>
      <c r="B733" s="17">
        <v>45644</v>
      </c>
      <c r="C733" s="16" t="s">
        <v>70</v>
      </c>
      <c r="D733" s="16" t="s">
        <v>71</v>
      </c>
      <c r="E733" s="16" t="s">
        <v>87</v>
      </c>
      <c r="F733" s="16" t="s">
        <v>88</v>
      </c>
      <c r="G733" s="16" t="s">
        <v>89</v>
      </c>
      <c r="H733" s="16" t="s">
        <v>90</v>
      </c>
      <c r="I733" s="16" t="s">
        <v>23</v>
      </c>
      <c r="J733" s="16" t="s">
        <v>24</v>
      </c>
      <c r="K733" s="18">
        <v>10630</v>
      </c>
      <c r="L733" s="18">
        <v>7611.56</v>
      </c>
      <c r="M733" s="19">
        <v>4</v>
      </c>
      <c r="N733" s="20">
        <v>0.15</v>
      </c>
      <c r="O733" s="19" t="s">
        <v>136</v>
      </c>
      <c r="P733" s="19" t="s">
        <v>58</v>
      </c>
      <c r="Q733" s="19" t="str">
        <f>TRIM(SalesData[[#This Row],[Customer_Name]])</f>
        <v>Divya Shah</v>
      </c>
      <c r="R733" s="21">
        <f>SalesData[[#This Row],[Sales]]-SalesData[[#This Row],[Cost]]</f>
        <v>3018.4399999999996</v>
      </c>
      <c r="S733" s="22">
        <f>IFERROR(SalesData[[#This Row],[Profit]]/SalesData[[#This Row],[Sales]],0)</f>
        <v>0.28395484477892752</v>
      </c>
      <c r="T733" s="19">
        <f>YEAR(SalesData[[#This Row],[Order_Date]])</f>
        <v>2024</v>
      </c>
      <c r="U733" s="19" t="str">
        <f>TEXT(SalesData[[#This Row],[Order_Date]],"mmm")</f>
        <v>Dec</v>
      </c>
      <c r="V733" s="19" t="str">
        <f>"Q"&amp;ROUNDUP(MONTH(SalesData[[#This Row],[Order_Date]])/3,0)</f>
        <v>Q4</v>
      </c>
      <c r="W733" s="19" t="str">
        <f>IF(SalesData[[#This Row],[Sales]]&gt;=50000,"High",IF(AND(SalesData[[#This Row],[Sales]]&gt;= 20000, SalesData[[#This Row],[Sales]]&lt; 50000),"Medium","Low"))</f>
        <v>Low</v>
      </c>
      <c r="X733" s="19" t="str">
        <f>IF(SalesData[[#This Row],[Profit]]&gt;0,"Profit","Loss")</f>
        <v>Profit</v>
      </c>
      <c r="Y733" s="19" t="str">
        <f>IF(AND(SalesData[[#This Row],[Sales]]&gt;= 50000, SalesData[[#This Row],[Quantity]]&gt;=2),"Yes","No")</f>
        <v>No</v>
      </c>
      <c r="Z733" s="19" t="str">
        <f>UPPER(SalesData[[#This Row],[Customer_Name]])</f>
        <v>DIVYA SHAH</v>
      </c>
      <c r="AA733" s="19" t="str">
        <f>LOWER(SalesData[[#This Row],[Customer_Name]])</f>
        <v>divya shah</v>
      </c>
      <c r="AB733" s="19">
        <f>LEN(SalesData[[#This Row],[Customer_Name]])</f>
        <v>10</v>
      </c>
      <c r="AC733" s="19" t="str">
        <f>LEFT(SalesData[[#This Row],[Order_ID]],3)</f>
        <v>ORD</v>
      </c>
      <c r="AD733" s="19" t="str">
        <f>RIGHT(SalesData[[#This Row],[Order_ID]],4)</f>
        <v>0247</v>
      </c>
      <c r="AE733" s="19" t="str">
        <f>_xlfn.CONCAT(SalesData[[#This Row],[Clean_Customer_Name]],"-",SalesData[[#This Row],[Region]])</f>
        <v>Divya Shah-North</v>
      </c>
      <c r="AF733" s="19" t="str">
        <f>MID(SalesData[[#This Row],[Order_ID]],4,4)</f>
        <v>0247</v>
      </c>
      <c r="AG733" s="19" t="e">
        <f ca="1">_xlfn.SINGLE(_xlfn.XLOOKUP(SalesData[[#This Row],[Product]],Product_Master!A:A,Product_Master!B:B,"Not Found"))</f>
        <v>#NAME?</v>
      </c>
      <c r="AH733" s="19" t="str">
        <f>VLOOKUP(SalesData[[#This Row],[Product]],Product_Master!$A$1:$B$21,2,FALSE)</f>
        <v>Rahul</v>
      </c>
      <c r="AI733" s="16"/>
    </row>
    <row r="734" spans="1:35" ht="13.8">
      <c r="A734" s="16" t="s">
        <v>888</v>
      </c>
      <c r="B734" s="17">
        <v>45601</v>
      </c>
      <c r="C734" s="16" t="s">
        <v>70</v>
      </c>
      <c r="D734" s="16" t="s">
        <v>71</v>
      </c>
      <c r="E734" s="16" t="s">
        <v>87</v>
      </c>
      <c r="F734" s="16" t="s">
        <v>88</v>
      </c>
      <c r="G734" s="16" t="s">
        <v>89</v>
      </c>
      <c r="H734" s="16" t="s">
        <v>90</v>
      </c>
      <c r="I734" s="16" t="s">
        <v>23</v>
      </c>
      <c r="J734" s="16" t="s">
        <v>24</v>
      </c>
      <c r="K734" s="18">
        <v>16849.3</v>
      </c>
      <c r="L734" s="18">
        <v>8647.0499999999993</v>
      </c>
      <c r="M734" s="19">
        <v>5</v>
      </c>
      <c r="N734" s="20">
        <v>0.15</v>
      </c>
      <c r="O734" s="19" t="s">
        <v>76</v>
      </c>
      <c r="P734" s="19" t="s">
        <v>58</v>
      </c>
      <c r="Q734" s="19" t="str">
        <f>TRIM(SalesData[[#This Row],[Customer_Name]])</f>
        <v>Divya Shah</v>
      </c>
      <c r="R734" s="21">
        <f>SalesData[[#This Row],[Sales]]-SalesData[[#This Row],[Cost]]</f>
        <v>8202.25</v>
      </c>
      <c r="S734" s="22">
        <f>IFERROR(SalesData[[#This Row],[Profit]]/SalesData[[#This Row],[Sales]],0)</f>
        <v>0.48680063860219713</v>
      </c>
      <c r="T734" s="19">
        <f>YEAR(SalesData[[#This Row],[Order_Date]])</f>
        <v>2024</v>
      </c>
      <c r="U734" s="19" t="str">
        <f>TEXT(SalesData[[#This Row],[Order_Date]],"mmm")</f>
        <v>Nov</v>
      </c>
      <c r="V734" s="19" t="str">
        <f>"Q"&amp;ROUNDUP(MONTH(SalesData[[#This Row],[Order_Date]])/3,0)</f>
        <v>Q4</v>
      </c>
      <c r="W734" s="19" t="str">
        <f>IF(SalesData[[#This Row],[Sales]]&gt;=50000,"High",IF(AND(SalesData[[#This Row],[Sales]]&gt;= 20000, SalesData[[#This Row],[Sales]]&lt; 50000),"Medium","Low"))</f>
        <v>Low</v>
      </c>
      <c r="X734" s="19" t="str">
        <f>IF(SalesData[[#This Row],[Profit]]&gt;0,"Profit","Loss")</f>
        <v>Profit</v>
      </c>
      <c r="Y734" s="19" t="str">
        <f>IF(AND(SalesData[[#This Row],[Sales]]&gt;= 50000, SalesData[[#This Row],[Quantity]]&gt;=2),"Yes","No")</f>
        <v>No</v>
      </c>
      <c r="Z734" s="19" t="str">
        <f>UPPER(SalesData[[#This Row],[Customer_Name]])</f>
        <v>DIVYA SHAH</v>
      </c>
      <c r="AA734" s="19" t="str">
        <f>LOWER(SalesData[[#This Row],[Customer_Name]])</f>
        <v>divya shah</v>
      </c>
      <c r="AB734" s="19">
        <f>LEN(SalesData[[#This Row],[Customer_Name]])</f>
        <v>10</v>
      </c>
      <c r="AC734" s="19" t="str">
        <f>LEFT(SalesData[[#This Row],[Order_ID]],3)</f>
        <v>ORD</v>
      </c>
      <c r="AD734" s="19" t="str">
        <f>RIGHT(SalesData[[#This Row],[Order_ID]],4)</f>
        <v>0735</v>
      </c>
      <c r="AE734" s="19" t="str">
        <f>_xlfn.CONCAT(SalesData[[#This Row],[Clean_Customer_Name]],"-",SalesData[[#This Row],[Region]])</f>
        <v>Divya Shah-North</v>
      </c>
      <c r="AF734" s="19" t="str">
        <f>MID(SalesData[[#This Row],[Order_ID]],4,4)</f>
        <v>0735</v>
      </c>
      <c r="AG734" s="19" t="e">
        <f ca="1">_xlfn.SINGLE(_xlfn.XLOOKUP(SalesData[[#This Row],[Product]],Product_Master!A:A,Product_Master!B:B,"Not Found"))</f>
        <v>#NAME?</v>
      </c>
      <c r="AH734" s="19" t="str">
        <f>VLOOKUP(SalesData[[#This Row],[Product]],Product_Master!$A$1:$B$21,2,FALSE)</f>
        <v>Rahul</v>
      </c>
      <c r="AI734" s="16"/>
    </row>
    <row r="735" spans="1:35" ht="13.8">
      <c r="A735" s="16" t="s">
        <v>225</v>
      </c>
      <c r="B735" s="17">
        <v>45727</v>
      </c>
      <c r="C735" s="16" t="s">
        <v>70</v>
      </c>
      <c r="D735" s="16" t="s">
        <v>71</v>
      </c>
      <c r="E735" s="16" t="s">
        <v>182</v>
      </c>
      <c r="F735" s="16" t="s">
        <v>183</v>
      </c>
      <c r="G735" s="16" t="s">
        <v>89</v>
      </c>
      <c r="H735" s="16" t="s">
        <v>90</v>
      </c>
      <c r="I735" s="16" t="s">
        <v>84</v>
      </c>
      <c r="J735" s="16" t="s">
        <v>134</v>
      </c>
      <c r="K735" s="18">
        <v>53265.51</v>
      </c>
      <c r="L735" s="18">
        <v>28984.75</v>
      </c>
      <c r="M735" s="19">
        <v>5</v>
      </c>
      <c r="N735" s="20">
        <v>0.1</v>
      </c>
      <c r="O735" s="19" t="s">
        <v>44</v>
      </c>
      <c r="P735" s="19" t="s">
        <v>45</v>
      </c>
      <c r="Q735" s="19" t="str">
        <f>TRIM(SalesData[[#This Row],[Customer_Name]])</f>
        <v>Divya Shah</v>
      </c>
      <c r="R735" s="21">
        <f>SalesData[[#This Row],[Sales]]-SalesData[[#This Row],[Cost]]</f>
        <v>24280.760000000002</v>
      </c>
      <c r="S735" s="22">
        <f>IFERROR(SalesData[[#This Row],[Profit]]/SalesData[[#This Row],[Sales]],0)</f>
        <v>0.45584394104177356</v>
      </c>
      <c r="T735" s="19">
        <f>YEAR(SalesData[[#This Row],[Order_Date]])</f>
        <v>2025</v>
      </c>
      <c r="U735" s="19" t="str">
        <f>TEXT(SalesData[[#This Row],[Order_Date]],"mmm")</f>
        <v>Mar</v>
      </c>
      <c r="V735" s="19" t="str">
        <f>"Q"&amp;ROUNDUP(MONTH(SalesData[[#This Row],[Order_Date]])/3,0)</f>
        <v>Q1</v>
      </c>
      <c r="W735" s="19" t="str">
        <f>IF(SalesData[[#This Row],[Sales]]&gt;=50000,"High",IF(AND(SalesData[[#This Row],[Sales]]&gt;= 20000, SalesData[[#This Row],[Sales]]&lt; 50000),"Medium","Low"))</f>
        <v>High</v>
      </c>
      <c r="X735" s="19" t="str">
        <f>IF(SalesData[[#This Row],[Profit]]&gt;0,"Profit","Loss")</f>
        <v>Profit</v>
      </c>
      <c r="Y735" s="19" t="str">
        <f>IF(AND(SalesData[[#This Row],[Sales]]&gt;= 50000, SalesData[[#This Row],[Quantity]]&gt;=2),"Yes","No")</f>
        <v>Yes</v>
      </c>
      <c r="Z735" s="19" t="str">
        <f>UPPER(SalesData[[#This Row],[Customer_Name]])</f>
        <v>DIVYA SHAH</v>
      </c>
      <c r="AA735" s="19" t="str">
        <f>LOWER(SalesData[[#This Row],[Customer_Name]])</f>
        <v>divya shah</v>
      </c>
      <c r="AB735" s="19">
        <f>LEN(SalesData[[#This Row],[Customer_Name]])</f>
        <v>10</v>
      </c>
      <c r="AC735" s="19" t="str">
        <f>LEFT(SalesData[[#This Row],[Order_ID]],3)</f>
        <v>ORD</v>
      </c>
      <c r="AD735" s="19" t="str">
        <f>RIGHT(SalesData[[#This Row],[Order_ID]],4)</f>
        <v>0076</v>
      </c>
      <c r="AE735" s="19" t="str">
        <f>_xlfn.CONCAT(SalesData[[#This Row],[Clean_Customer_Name]],"-",SalesData[[#This Row],[Region]])</f>
        <v>Divya Shah-South</v>
      </c>
      <c r="AF735" s="19" t="str">
        <f>MID(SalesData[[#This Row],[Order_ID]],4,4)</f>
        <v>0076</v>
      </c>
      <c r="AG735" s="19" t="e">
        <f ca="1">_xlfn.SINGLE(_xlfn.XLOOKUP(SalesData[[#This Row],[Product]],Product_Master!A:A,Product_Master!B:B,"Not Found"))</f>
        <v>#NAME?</v>
      </c>
      <c r="AH735" s="19" t="str">
        <f>VLOOKUP(SalesData[[#This Row],[Product]],Product_Master!$A$1:$B$21,2,FALSE)</f>
        <v>Priya</v>
      </c>
      <c r="AI735" s="16"/>
    </row>
    <row r="736" spans="1:35" ht="13.8">
      <c r="A736" s="16" t="s">
        <v>643</v>
      </c>
      <c r="B736" s="17">
        <v>45412</v>
      </c>
      <c r="C736" s="16" t="s">
        <v>70</v>
      </c>
      <c r="D736" s="16" t="s">
        <v>71</v>
      </c>
      <c r="E736" s="16" t="s">
        <v>182</v>
      </c>
      <c r="F736" s="16" t="s">
        <v>183</v>
      </c>
      <c r="G736" s="16" t="s">
        <v>89</v>
      </c>
      <c r="H736" s="16" t="s">
        <v>90</v>
      </c>
      <c r="I736" s="16" t="s">
        <v>53</v>
      </c>
      <c r="J736" s="16" t="s">
        <v>54</v>
      </c>
      <c r="K736" s="18">
        <v>6135.03</v>
      </c>
      <c r="L736" s="18">
        <v>5978.69</v>
      </c>
      <c r="M736" s="19">
        <v>1</v>
      </c>
      <c r="N736" s="20">
        <v>0.2</v>
      </c>
      <c r="O736" s="19" t="s">
        <v>34</v>
      </c>
      <c r="P736" s="19" t="s">
        <v>58</v>
      </c>
      <c r="Q736" s="19" t="str">
        <f>TRIM(SalesData[[#This Row],[Customer_Name]])</f>
        <v>Divya Shah</v>
      </c>
      <c r="R736" s="21">
        <f>SalesData[[#This Row],[Sales]]-SalesData[[#This Row],[Cost]]</f>
        <v>156.34000000000015</v>
      </c>
      <c r="S736" s="22">
        <f>IFERROR(SalesData[[#This Row],[Profit]]/SalesData[[#This Row],[Sales]],0)</f>
        <v>2.5483167971468788E-2</v>
      </c>
      <c r="T736" s="19">
        <f>YEAR(SalesData[[#This Row],[Order_Date]])</f>
        <v>2024</v>
      </c>
      <c r="U736" s="19" t="str">
        <f>TEXT(SalesData[[#This Row],[Order_Date]],"mmm")</f>
        <v>Apr</v>
      </c>
      <c r="V736" s="19" t="str">
        <f>"Q"&amp;ROUNDUP(MONTH(SalesData[[#This Row],[Order_Date]])/3,0)</f>
        <v>Q2</v>
      </c>
      <c r="W736" s="19" t="str">
        <f>IF(SalesData[[#This Row],[Sales]]&gt;=50000,"High",IF(AND(SalesData[[#This Row],[Sales]]&gt;= 20000, SalesData[[#This Row],[Sales]]&lt; 50000),"Medium","Low"))</f>
        <v>Low</v>
      </c>
      <c r="X736" s="19" t="str">
        <f>IF(SalesData[[#This Row],[Profit]]&gt;0,"Profit","Loss")</f>
        <v>Profit</v>
      </c>
      <c r="Y736" s="19" t="str">
        <f>IF(AND(SalesData[[#This Row],[Sales]]&gt;= 50000, SalesData[[#This Row],[Quantity]]&gt;=2),"Yes","No")</f>
        <v>No</v>
      </c>
      <c r="Z736" s="19" t="str">
        <f>UPPER(SalesData[[#This Row],[Customer_Name]])</f>
        <v>DIVYA SHAH</v>
      </c>
      <c r="AA736" s="19" t="str">
        <f>LOWER(SalesData[[#This Row],[Customer_Name]])</f>
        <v>divya shah</v>
      </c>
      <c r="AB736" s="19">
        <f>LEN(SalesData[[#This Row],[Customer_Name]])</f>
        <v>10</v>
      </c>
      <c r="AC736" s="19" t="str">
        <f>LEFT(SalesData[[#This Row],[Order_ID]],3)</f>
        <v>ORD</v>
      </c>
      <c r="AD736" s="19" t="str">
        <f>RIGHT(SalesData[[#This Row],[Order_ID]],4)</f>
        <v>0490</v>
      </c>
      <c r="AE736" s="19" t="str">
        <f>_xlfn.CONCAT(SalesData[[#This Row],[Clean_Customer_Name]],"-",SalesData[[#This Row],[Region]])</f>
        <v>Divya Shah-Central</v>
      </c>
      <c r="AF736" s="19" t="str">
        <f>MID(SalesData[[#This Row],[Order_ID]],4,4)</f>
        <v>0490</v>
      </c>
      <c r="AG736" s="19" t="e">
        <f ca="1">_xlfn.SINGLE(_xlfn.XLOOKUP(SalesData[[#This Row],[Product]],Product_Master!A:A,Product_Master!B:B,"Not Found"))</f>
        <v>#NAME?</v>
      </c>
      <c r="AH736" s="19" t="str">
        <f>VLOOKUP(SalesData[[#This Row],[Product]],Product_Master!$A$1:$B$21,2,FALSE)</f>
        <v>Priya</v>
      </c>
      <c r="AI736" s="16"/>
    </row>
    <row r="737" spans="1:35" ht="13.8">
      <c r="A737" s="16" t="s">
        <v>734</v>
      </c>
      <c r="B737" s="17">
        <v>45556</v>
      </c>
      <c r="C737" s="16" t="s">
        <v>70</v>
      </c>
      <c r="D737" s="16" t="s">
        <v>71</v>
      </c>
      <c r="E737" s="16" t="s">
        <v>182</v>
      </c>
      <c r="F737" s="16" t="s">
        <v>183</v>
      </c>
      <c r="G737" s="16" t="s">
        <v>89</v>
      </c>
      <c r="H737" s="16" t="s">
        <v>90</v>
      </c>
      <c r="I737" s="16" t="s">
        <v>53</v>
      </c>
      <c r="J737" s="16" t="s">
        <v>54</v>
      </c>
      <c r="K737" s="18">
        <v>57160.74</v>
      </c>
      <c r="L737" s="18">
        <v>29898.15</v>
      </c>
      <c r="M737" s="19">
        <v>5</v>
      </c>
      <c r="N737" s="20">
        <v>0.05</v>
      </c>
      <c r="O737" s="19" t="s">
        <v>25</v>
      </c>
      <c r="P737" s="19" t="s">
        <v>26</v>
      </c>
      <c r="Q737" s="19" t="str">
        <f>TRIM(SalesData[[#This Row],[Customer_Name]])</f>
        <v>Divya Shah</v>
      </c>
      <c r="R737" s="21">
        <f>SalesData[[#This Row],[Sales]]-SalesData[[#This Row],[Cost]]</f>
        <v>27262.589999999997</v>
      </c>
      <c r="S737" s="22">
        <f>IFERROR(SalesData[[#This Row],[Profit]]/SalesData[[#This Row],[Sales]],0)</f>
        <v>0.476946064729043</v>
      </c>
      <c r="T737" s="19">
        <f>YEAR(SalesData[[#This Row],[Order_Date]])</f>
        <v>2024</v>
      </c>
      <c r="U737" s="19" t="str">
        <f>TEXT(SalesData[[#This Row],[Order_Date]],"mmm")</f>
        <v>Sept</v>
      </c>
      <c r="V737" s="19" t="str">
        <f>"Q"&amp;ROUNDUP(MONTH(SalesData[[#This Row],[Order_Date]])/3,0)</f>
        <v>Q3</v>
      </c>
      <c r="W737" s="19" t="str">
        <f>IF(SalesData[[#This Row],[Sales]]&gt;=50000,"High",IF(AND(SalesData[[#This Row],[Sales]]&gt;= 20000, SalesData[[#This Row],[Sales]]&lt; 50000),"Medium","Low"))</f>
        <v>High</v>
      </c>
      <c r="X737" s="19" t="str">
        <f>IF(SalesData[[#This Row],[Profit]]&gt;0,"Profit","Loss")</f>
        <v>Profit</v>
      </c>
      <c r="Y737" s="19" t="str">
        <f>IF(AND(SalesData[[#This Row],[Sales]]&gt;= 50000, SalesData[[#This Row],[Quantity]]&gt;=2),"Yes","No")</f>
        <v>Yes</v>
      </c>
      <c r="Z737" s="19" t="str">
        <f>UPPER(SalesData[[#This Row],[Customer_Name]])</f>
        <v>DIVYA SHAH</v>
      </c>
      <c r="AA737" s="19" t="str">
        <f>LOWER(SalesData[[#This Row],[Customer_Name]])</f>
        <v>divya shah</v>
      </c>
      <c r="AB737" s="19">
        <f>LEN(SalesData[[#This Row],[Customer_Name]])</f>
        <v>10</v>
      </c>
      <c r="AC737" s="19" t="str">
        <f>LEFT(SalesData[[#This Row],[Order_ID]],3)</f>
        <v>ORD</v>
      </c>
      <c r="AD737" s="19" t="str">
        <f>RIGHT(SalesData[[#This Row],[Order_ID]],4)</f>
        <v>0581</v>
      </c>
      <c r="AE737" s="19" t="str">
        <f>_xlfn.CONCAT(SalesData[[#This Row],[Clean_Customer_Name]],"-",SalesData[[#This Row],[Region]])</f>
        <v>Divya Shah-Central</v>
      </c>
      <c r="AF737" s="19" t="str">
        <f>MID(SalesData[[#This Row],[Order_ID]],4,4)</f>
        <v>0581</v>
      </c>
      <c r="AG737" s="19" t="e">
        <f ca="1">_xlfn.SINGLE(_xlfn.XLOOKUP(SalesData[[#This Row],[Product]],Product_Master!A:A,Product_Master!B:B,"Not Found"))</f>
        <v>#NAME?</v>
      </c>
      <c r="AH737" s="19" t="str">
        <f>VLOOKUP(SalesData[[#This Row],[Product]],Product_Master!$A$1:$B$21,2,FALSE)</f>
        <v>Priya</v>
      </c>
      <c r="AI737" s="16"/>
    </row>
    <row r="738" spans="1:35" ht="13.8">
      <c r="A738" s="16" t="s">
        <v>343</v>
      </c>
      <c r="B738" s="17">
        <v>45599</v>
      </c>
      <c r="C738" s="16" t="s">
        <v>70</v>
      </c>
      <c r="D738" s="16" t="s">
        <v>71</v>
      </c>
      <c r="E738" s="16" t="s">
        <v>187</v>
      </c>
      <c r="F738" s="16" t="s">
        <v>188</v>
      </c>
      <c r="G738" s="16" t="s">
        <v>89</v>
      </c>
      <c r="H738" s="16" t="s">
        <v>189</v>
      </c>
      <c r="I738" s="16" t="s">
        <v>84</v>
      </c>
      <c r="J738" s="16" t="s">
        <v>142</v>
      </c>
      <c r="K738" s="18">
        <v>23755.51</v>
      </c>
      <c r="L738" s="18">
        <v>11465.98</v>
      </c>
      <c r="M738" s="19">
        <v>2</v>
      </c>
      <c r="N738" s="20">
        <v>0.05</v>
      </c>
      <c r="O738" s="19" t="s">
        <v>44</v>
      </c>
      <c r="P738" s="19" t="s">
        <v>58</v>
      </c>
      <c r="Q738" s="19" t="str">
        <f>TRIM(SalesData[[#This Row],[Customer_Name]])</f>
        <v>Divya Shah</v>
      </c>
      <c r="R738" s="21">
        <f>SalesData[[#This Row],[Sales]]-SalesData[[#This Row],[Cost]]</f>
        <v>12289.529999999999</v>
      </c>
      <c r="S738" s="22">
        <f>IFERROR(SalesData[[#This Row],[Profit]]/SalesData[[#This Row],[Sales]],0)</f>
        <v>0.51733387327824154</v>
      </c>
      <c r="T738" s="19">
        <f>YEAR(SalesData[[#This Row],[Order_Date]])</f>
        <v>2024</v>
      </c>
      <c r="U738" s="19" t="str">
        <f>TEXT(SalesData[[#This Row],[Order_Date]],"mmm")</f>
        <v>Nov</v>
      </c>
      <c r="V738" s="19" t="str">
        <f>"Q"&amp;ROUNDUP(MONTH(SalesData[[#This Row],[Order_Date]])/3,0)</f>
        <v>Q4</v>
      </c>
      <c r="W738" s="19" t="str">
        <f>IF(SalesData[[#This Row],[Sales]]&gt;=50000,"High",IF(AND(SalesData[[#This Row],[Sales]]&gt;= 20000, SalesData[[#This Row],[Sales]]&lt; 50000),"Medium","Low"))</f>
        <v>Medium</v>
      </c>
      <c r="X738" s="19" t="str">
        <f>IF(SalesData[[#This Row],[Profit]]&gt;0,"Profit","Loss")</f>
        <v>Profit</v>
      </c>
      <c r="Y738" s="19" t="str">
        <f>IF(AND(SalesData[[#This Row],[Sales]]&gt;= 50000, SalesData[[#This Row],[Quantity]]&gt;=2),"Yes","No")</f>
        <v>No</v>
      </c>
      <c r="Z738" s="19" t="str">
        <f>UPPER(SalesData[[#This Row],[Customer_Name]])</f>
        <v>DIVYA SHAH</v>
      </c>
      <c r="AA738" s="19" t="str">
        <f>LOWER(SalesData[[#This Row],[Customer_Name]])</f>
        <v>divya shah</v>
      </c>
      <c r="AB738" s="19">
        <f>LEN(SalesData[[#This Row],[Customer_Name]])</f>
        <v>10</v>
      </c>
      <c r="AC738" s="19" t="str">
        <f>LEFT(SalesData[[#This Row],[Order_ID]],3)</f>
        <v>ORD</v>
      </c>
      <c r="AD738" s="19" t="str">
        <f>RIGHT(SalesData[[#This Row],[Order_ID]],4)</f>
        <v>0190</v>
      </c>
      <c r="AE738" s="19" t="str">
        <f>_xlfn.CONCAT(SalesData[[#This Row],[Clean_Customer_Name]],"-",SalesData[[#This Row],[Region]])</f>
        <v>Divya Shah-South</v>
      </c>
      <c r="AF738" s="19" t="str">
        <f>MID(SalesData[[#This Row],[Order_ID]],4,4)</f>
        <v>0190</v>
      </c>
      <c r="AG738" s="19" t="e">
        <f ca="1">_xlfn.SINGLE(_xlfn.XLOOKUP(SalesData[[#This Row],[Product]],Product_Master!A:A,Product_Master!B:B,"Not Found"))</f>
        <v>#NAME?</v>
      </c>
      <c r="AH738" s="19" t="str">
        <f>VLOOKUP(SalesData[[#This Row],[Product]],Product_Master!$A$1:$B$21,2,FALSE)</f>
        <v>Amit</v>
      </c>
      <c r="AI738" s="16"/>
    </row>
    <row r="739" spans="1:35" ht="13.8">
      <c r="A739" s="16" t="s">
        <v>628</v>
      </c>
      <c r="B739" s="17">
        <v>45961</v>
      </c>
      <c r="C739" s="16" t="s">
        <v>70</v>
      </c>
      <c r="D739" s="16" t="s">
        <v>71</v>
      </c>
      <c r="E739" s="16" t="s">
        <v>187</v>
      </c>
      <c r="F739" s="16" t="s">
        <v>188</v>
      </c>
      <c r="G739" s="16" t="s">
        <v>89</v>
      </c>
      <c r="H739" s="16" t="s">
        <v>189</v>
      </c>
      <c r="I739" s="16" t="s">
        <v>56</v>
      </c>
      <c r="J739" s="16" t="s">
        <v>191</v>
      </c>
      <c r="K739" s="18">
        <v>12299.87</v>
      </c>
      <c r="L739" s="18">
        <v>10704.8</v>
      </c>
      <c r="M739" s="19">
        <v>2</v>
      </c>
      <c r="N739" s="20">
        <v>0.2</v>
      </c>
      <c r="O739" s="19" t="s">
        <v>44</v>
      </c>
      <c r="P739" s="19" t="s">
        <v>58</v>
      </c>
      <c r="Q739" s="19" t="str">
        <f>TRIM(SalesData[[#This Row],[Customer_Name]])</f>
        <v>Divya Shah</v>
      </c>
      <c r="R739" s="21">
        <f>SalesData[[#This Row],[Sales]]-SalesData[[#This Row],[Cost]]</f>
        <v>1595.0700000000015</v>
      </c>
      <c r="S739" s="22">
        <f>IFERROR(SalesData[[#This Row],[Profit]]/SalesData[[#This Row],[Sales]],0)</f>
        <v>0.12968185842614607</v>
      </c>
      <c r="T739" s="19">
        <f>YEAR(SalesData[[#This Row],[Order_Date]])</f>
        <v>2025</v>
      </c>
      <c r="U739" s="19" t="str">
        <f>TEXT(SalesData[[#This Row],[Order_Date]],"mmm")</f>
        <v>Oct</v>
      </c>
      <c r="V739" s="19" t="str">
        <f>"Q"&amp;ROUNDUP(MONTH(SalesData[[#This Row],[Order_Date]])/3,0)</f>
        <v>Q4</v>
      </c>
      <c r="W739" s="19" t="str">
        <f>IF(SalesData[[#This Row],[Sales]]&gt;=50000,"High",IF(AND(SalesData[[#This Row],[Sales]]&gt;= 20000, SalesData[[#This Row],[Sales]]&lt; 50000),"Medium","Low"))</f>
        <v>Low</v>
      </c>
      <c r="X739" s="19" t="str">
        <f>IF(SalesData[[#This Row],[Profit]]&gt;0,"Profit","Loss")</f>
        <v>Profit</v>
      </c>
      <c r="Y739" s="19" t="str">
        <f>IF(AND(SalesData[[#This Row],[Sales]]&gt;= 50000, SalesData[[#This Row],[Quantity]]&gt;=2),"Yes","No")</f>
        <v>No</v>
      </c>
      <c r="Z739" s="19" t="str">
        <f>UPPER(SalesData[[#This Row],[Customer_Name]])</f>
        <v>DIVYA SHAH</v>
      </c>
      <c r="AA739" s="19" t="str">
        <f>LOWER(SalesData[[#This Row],[Customer_Name]])</f>
        <v>divya shah</v>
      </c>
      <c r="AB739" s="19">
        <f>LEN(SalesData[[#This Row],[Customer_Name]])</f>
        <v>10</v>
      </c>
      <c r="AC739" s="19" t="str">
        <f>LEFT(SalesData[[#This Row],[Order_ID]],3)</f>
        <v>ORD</v>
      </c>
      <c r="AD739" s="19" t="str">
        <f>RIGHT(SalesData[[#This Row],[Order_ID]],4)</f>
        <v>0475</v>
      </c>
      <c r="AE739" s="19" t="str">
        <f>_xlfn.CONCAT(SalesData[[#This Row],[Clean_Customer_Name]],"-",SalesData[[#This Row],[Region]])</f>
        <v>Divya Shah-West</v>
      </c>
      <c r="AF739" s="19" t="str">
        <f>MID(SalesData[[#This Row],[Order_ID]],4,4)</f>
        <v>0475</v>
      </c>
      <c r="AG739" s="19" t="e">
        <f ca="1">_xlfn.SINGLE(_xlfn.XLOOKUP(SalesData[[#This Row],[Product]],Product_Master!A:A,Product_Master!B:B,"Not Found"))</f>
        <v>#NAME?</v>
      </c>
      <c r="AH739" s="19" t="str">
        <f>VLOOKUP(SalesData[[#This Row],[Product]],Product_Master!$A$1:$B$21,2,FALSE)</f>
        <v>Amit</v>
      </c>
      <c r="AI739" s="16"/>
    </row>
    <row r="740" spans="1:35" ht="13.8">
      <c r="A740" s="16" t="s">
        <v>714</v>
      </c>
      <c r="B740" s="17">
        <v>45400</v>
      </c>
      <c r="C740" s="16" t="s">
        <v>70</v>
      </c>
      <c r="D740" s="16" t="s">
        <v>71</v>
      </c>
      <c r="E740" s="16" t="s">
        <v>187</v>
      </c>
      <c r="F740" s="16" t="s">
        <v>188</v>
      </c>
      <c r="G740" s="16" t="s">
        <v>89</v>
      </c>
      <c r="H740" s="16" t="s">
        <v>189</v>
      </c>
      <c r="I740" s="16" t="s">
        <v>56</v>
      </c>
      <c r="J740" s="16" t="s">
        <v>91</v>
      </c>
      <c r="K740" s="18">
        <v>39515.01</v>
      </c>
      <c r="L740" s="18">
        <v>26718.799999999999</v>
      </c>
      <c r="M740" s="19">
        <v>5</v>
      </c>
      <c r="N740" s="20">
        <v>0.15</v>
      </c>
      <c r="O740" s="19" t="s">
        <v>25</v>
      </c>
      <c r="P740" s="19" t="s">
        <v>58</v>
      </c>
      <c r="Q740" s="19" t="str">
        <f>TRIM(SalesData[[#This Row],[Customer_Name]])</f>
        <v>Divya Shah</v>
      </c>
      <c r="R740" s="21">
        <f>SalesData[[#This Row],[Sales]]-SalesData[[#This Row],[Cost]]</f>
        <v>12796.210000000003</v>
      </c>
      <c r="S740" s="22">
        <f>IFERROR(SalesData[[#This Row],[Profit]]/SalesData[[#This Row],[Sales]],0)</f>
        <v>0.32383162752584405</v>
      </c>
      <c r="T740" s="19">
        <f>YEAR(SalesData[[#This Row],[Order_Date]])</f>
        <v>2024</v>
      </c>
      <c r="U740" s="19" t="str">
        <f>TEXT(SalesData[[#This Row],[Order_Date]],"mmm")</f>
        <v>Apr</v>
      </c>
      <c r="V740" s="19" t="str">
        <f>"Q"&amp;ROUNDUP(MONTH(SalesData[[#This Row],[Order_Date]])/3,0)</f>
        <v>Q2</v>
      </c>
      <c r="W740" s="19" t="str">
        <f>IF(SalesData[[#This Row],[Sales]]&gt;=50000,"High",IF(AND(SalesData[[#This Row],[Sales]]&gt;= 20000, SalesData[[#This Row],[Sales]]&lt; 50000),"Medium","Low"))</f>
        <v>Medium</v>
      </c>
      <c r="X740" s="19" t="str">
        <f>IF(SalesData[[#This Row],[Profit]]&gt;0,"Profit","Loss")</f>
        <v>Profit</v>
      </c>
      <c r="Y740" s="19" t="str">
        <f>IF(AND(SalesData[[#This Row],[Sales]]&gt;= 50000, SalesData[[#This Row],[Quantity]]&gt;=2),"Yes","No")</f>
        <v>No</v>
      </c>
      <c r="Z740" s="19" t="str">
        <f>UPPER(SalesData[[#This Row],[Customer_Name]])</f>
        <v>DIVYA SHAH</v>
      </c>
      <c r="AA740" s="19" t="str">
        <f>LOWER(SalesData[[#This Row],[Customer_Name]])</f>
        <v>divya shah</v>
      </c>
      <c r="AB740" s="19">
        <f>LEN(SalesData[[#This Row],[Customer_Name]])</f>
        <v>10</v>
      </c>
      <c r="AC740" s="19" t="str">
        <f>LEFT(SalesData[[#This Row],[Order_ID]],3)</f>
        <v>ORD</v>
      </c>
      <c r="AD740" s="19" t="str">
        <f>RIGHT(SalesData[[#This Row],[Order_ID]],4)</f>
        <v>0561</v>
      </c>
      <c r="AE740" s="19" t="str">
        <f>_xlfn.CONCAT(SalesData[[#This Row],[Clean_Customer_Name]],"-",SalesData[[#This Row],[Region]])</f>
        <v>Divya Shah-West</v>
      </c>
      <c r="AF740" s="19" t="str">
        <f>MID(SalesData[[#This Row],[Order_ID]],4,4)</f>
        <v>0561</v>
      </c>
      <c r="AG740" s="19" t="e">
        <f ca="1">_xlfn.SINGLE(_xlfn.XLOOKUP(SalesData[[#This Row],[Product]],Product_Master!A:A,Product_Master!B:B,"Not Found"))</f>
        <v>#NAME?</v>
      </c>
      <c r="AH740" s="19" t="str">
        <f>VLOOKUP(SalesData[[#This Row],[Product]],Product_Master!$A$1:$B$21,2,FALSE)</f>
        <v>Amit</v>
      </c>
      <c r="AI740" s="16"/>
    </row>
    <row r="741" spans="1:35" ht="13.8">
      <c r="A741" s="16" t="s">
        <v>674</v>
      </c>
      <c r="B741" s="17">
        <v>45699</v>
      </c>
      <c r="C741" s="16" t="s">
        <v>70</v>
      </c>
      <c r="D741" s="16" t="s">
        <v>71</v>
      </c>
      <c r="E741" s="16" t="s">
        <v>95</v>
      </c>
      <c r="F741" s="16" t="s">
        <v>96</v>
      </c>
      <c r="G741" s="16" t="s">
        <v>89</v>
      </c>
      <c r="H741" s="16" t="s">
        <v>97</v>
      </c>
      <c r="I741" s="16" t="s">
        <v>23</v>
      </c>
      <c r="J741" s="16" t="s">
        <v>24</v>
      </c>
      <c r="K741" s="18">
        <v>3802.48</v>
      </c>
      <c r="L741" s="18">
        <v>3633.38</v>
      </c>
      <c r="M741" s="19">
        <v>1</v>
      </c>
      <c r="N741" s="20">
        <v>0.1</v>
      </c>
      <c r="O741" s="19" t="s">
        <v>136</v>
      </c>
      <c r="P741" s="19" t="s">
        <v>58</v>
      </c>
      <c r="Q741" s="19" t="str">
        <f>TRIM(SalesData[[#This Row],[Customer_Name]])</f>
        <v>Divya Shah</v>
      </c>
      <c r="R741" s="21">
        <f>SalesData[[#This Row],[Sales]]-SalesData[[#This Row],[Cost]]</f>
        <v>169.09999999999991</v>
      </c>
      <c r="S741" s="22">
        <f>IFERROR(SalesData[[#This Row],[Profit]]/SalesData[[#This Row],[Sales]],0)</f>
        <v>4.4470976836170052E-2</v>
      </c>
      <c r="T741" s="19">
        <f>YEAR(SalesData[[#This Row],[Order_Date]])</f>
        <v>2025</v>
      </c>
      <c r="U741" s="19" t="str">
        <f>TEXT(SalesData[[#This Row],[Order_Date]],"mmm")</f>
        <v>Feb</v>
      </c>
      <c r="V741" s="19" t="str">
        <f>"Q"&amp;ROUNDUP(MONTH(SalesData[[#This Row],[Order_Date]])/3,0)</f>
        <v>Q1</v>
      </c>
      <c r="W741" s="19" t="str">
        <f>IF(SalesData[[#This Row],[Sales]]&gt;=50000,"High",IF(AND(SalesData[[#This Row],[Sales]]&gt;= 20000, SalesData[[#This Row],[Sales]]&lt; 50000),"Medium","Low"))</f>
        <v>Low</v>
      </c>
      <c r="X741" s="19" t="str">
        <f>IF(SalesData[[#This Row],[Profit]]&gt;0,"Profit","Loss")</f>
        <v>Profit</v>
      </c>
      <c r="Y741" s="19" t="str">
        <f>IF(AND(SalesData[[#This Row],[Sales]]&gt;= 50000, SalesData[[#This Row],[Quantity]]&gt;=2),"Yes","No")</f>
        <v>No</v>
      </c>
      <c r="Z741" s="19" t="str">
        <f>UPPER(SalesData[[#This Row],[Customer_Name]])</f>
        <v>DIVYA SHAH</v>
      </c>
      <c r="AA741" s="19" t="str">
        <f>LOWER(SalesData[[#This Row],[Customer_Name]])</f>
        <v>divya shah</v>
      </c>
      <c r="AB741" s="19">
        <f>LEN(SalesData[[#This Row],[Customer_Name]])</f>
        <v>10</v>
      </c>
      <c r="AC741" s="19" t="str">
        <f>LEFT(SalesData[[#This Row],[Order_ID]],3)</f>
        <v>ORD</v>
      </c>
      <c r="AD741" s="19" t="str">
        <f>RIGHT(SalesData[[#This Row],[Order_ID]],4)</f>
        <v>0521</v>
      </c>
      <c r="AE741" s="19" t="str">
        <f>_xlfn.CONCAT(SalesData[[#This Row],[Clean_Customer_Name]],"-",SalesData[[#This Row],[Region]])</f>
        <v>Divya Shah-North</v>
      </c>
      <c r="AF741" s="19" t="str">
        <f>MID(SalesData[[#This Row],[Order_ID]],4,4)</f>
        <v>0521</v>
      </c>
      <c r="AG741" s="19" t="e">
        <f ca="1">_xlfn.SINGLE(_xlfn.XLOOKUP(SalesData[[#This Row],[Product]],Product_Master!A:A,Product_Master!B:B,"Not Found"))</f>
        <v>#NAME?</v>
      </c>
      <c r="AH741" s="19" t="str">
        <f>VLOOKUP(SalesData[[#This Row],[Product]],Product_Master!$A$1:$B$21,2,FALSE)</f>
        <v>Neha</v>
      </c>
      <c r="AI741" s="16"/>
    </row>
    <row r="742" spans="1:35" ht="13.8">
      <c r="A742" s="16" t="s">
        <v>807</v>
      </c>
      <c r="B742" s="17">
        <v>45326</v>
      </c>
      <c r="C742" s="16" t="s">
        <v>70</v>
      </c>
      <c r="D742" s="16" t="s">
        <v>71</v>
      </c>
      <c r="E742" s="16" t="s">
        <v>95</v>
      </c>
      <c r="F742" s="16" t="s">
        <v>96</v>
      </c>
      <c r="G742" s="16" t="s">
        <v>89</v>
      </c>
      <c r="H742" s="16" t="s">
        <v>97</v>
      </c>
      <c r="I742" s="16" t="s">
        <v>84</v>
      </c>
      <c r="J742" s="16" t="s">
        <v>134</v>
      </c>
      <c r="K742" s="18">
        <v>7500.8</v>
      </c>
      <c r="L742" s="18">
        <v>3547.7</v>
      </c>
      <c r="M742" s="19">
        <v>1</v>
      </c>
      <c r="N742" s="20">
        <v>0</v>
      </c>
      <c r="O742" s="19" t="s">
        <v>34</v>
      </c>
      <c r="P742" s="19" t="s">
        <v>98</v>
      </c>
      <c r="Q742" s="19" t="str">
        <f>TRIM(SalesData[[#This Row],[Customer_Name]])</f>
        <v>Divya Shah</v>
      </c>
      <c r="R742" s="21">
        <f>SalesData[[#This Row],[Sales]]-SalesData[[#This Row],[Cost]]</f>
        <v>3953.1000000000004</v>
      </c>
      <c r="S742" s="22">
        <f>IFERROR(SalesData[[#This Row],[Profit]]/SalesData[[#This Row],[Sales]],0)</f>
        <v>0.52702378412969286</v>
      </c>
      <c r="T742" s="19">
        <f>YEAR(SalesData[[#This Row],[Order_Date]])</f>
        <v>2024</v>
      </c>
      <c r="U742" s="19" t="str">
        <f>TEXT(SalesData[[#This Row],[Order_Date]],"mmm")</f>
        <v>Feb</v>
      </c>
      <c r="V742" s="19" t="str">
        <f>"Q"&amp;ROUNDUP(MONTH(SalesData[[#This Row],[Order_Date]])/3,0)</f>
        <v>Q1</v>
      </c>
      <c r="W742" s="19" t="str">
        <f>IF(SalesData[[#This Row],[Sales]]&gt;=50000,"High",IF(AND(SalesData[[#This Row],[Sales]]&gt;= 20000, SalesData[[#This Row],[Sales]]&lt; 50000),"Medium","Low"))</f>
        <v>Low</v>
      </c>
      <c r="X742" s="19" t="str">
        <f>IF(SalesData[[#This Row],[Profit]]&gt;0,"Profit","Loss")</f>
        <v>Profit</v>
      </c>
      <c r="Y742" s="19" t="str">
        <f>IF(AND(SalesData[[#This Row],[Sales]]&gt;= 50000, SalesData[[#This Row],[Quantity]]&gt;=2),"Yes","No")</f>
        <v>No</v>
      </c>
      <c r="Z742" s="19" t="str">
        <f>UPPER(SalesData[[#This Row],[Customer_Name]])</f>
        <v>DIVYA SHAH</v>
      </c>
      <c r="AA742" s="19" t="str">
        <f>LOWER(SalesData[[#This Row],[Customer_Name]])</f>
        <v>divya shah</v>
      </c>
      <c r="AB742" s="19">
        <f>LEN(SalesData[[#This Row],[Customer_Name]])</f>
        <v>10</v>
      </c>
      <c r="AC742" s="19" t="str">
        <f>LEFT(SalesData[[#This Row],[Order_ID]],3)</f>
        <v>ORD</v>
      </c>
      <c r="AD742" s="19" t="str">
        <f>RIGHT(SalesData[[#This Row],[Order_ID]],4)</f>
        <v>0654</v>
      </c>
      <c r="AE742" s="19" t="str">
        <f>_xlfn.CONCAT(SalesData[[#This Row],[Clean_Customer_Name]],"-",SalesData[[#This Row],[Region]])</f>
        <v>Divya Shah-South</v>
      </c>
      <c r="AF742" s="19" t="str">
        <f>MID(SalesData[[#This Row],[Order_ID]],4,4)</f>
        <v>0654</v>
      </c>
      <c r="AG742" s="19" t="e">
        <f ca="1">_xlfn.SINGLE(_xlfn.XLOOKUP(SalesData[[#This Row],[Product]],Product_Master!A:A,Product_Master!B:B,"Not Found"))</f>
        <v>#NAME?</v>
      </c>
      <c r="AH742" s="19" t="str">
        <f>VLOOKUP(SalesData[[#This Row],[Product]],Product_Master!$A$1:$B$21,2,FALSE)</f>
        <v>Neha</v>
      </c>
      <c r="AI742" s="16"/>
    </row>
    <row r="743" spans="1:35" ht="13.8">
      <c r="A743" s="16" t="s">
        <v>1010</v>
      </c>
      <c r="B743" s="17">
        <v>45539</v>
      </c>
      <c r="C743" s="16" t="s">
        <v>70</v>
      </c>
      <c r="D743" s="16" t="s">
        <v>71</v>
      </c>
      <c r="E743" s="16" t="s">
        <v>95</v>
      </c>
      <c r="F743" s="16" t="s">
        <v>96</v>
      </c>
      <c r="G743" s="16" t="s">
        <v>89</v>
      </c>
      <c r="H743" s="16" t="s">
        <v>97</v>
      </c>
      <c r="I743" s="16" t="s">
        <v>84</v>
      </c>
      <c r="J743" s="16" t="s">
        <v>142</v>
      </c>
      <c r="K743" s="18">
        <v>26801.19</v>
      </c>
      <c r="L743" s="18">
        <v>10975.68</v>
      </c>
      <c r="M743" s="19">
        <v>3</v>
      </c>
      <c r="N743" s="20">
        <v>0</v>
      </c>
      <c r="O743" s="19" t="s">
        <v>25</v>
      </c>
      <c r="P743" s="19" t="s">
        <v>77</v>
      </c>
      <c r="Q743" s="19" t="str">
        <f>TRIM(SalesData[[#This Row],[Customer_Name]])</f>
        <v>Divya Shah</v>
      </c>
      <c r="R743" s="21">
        <f>SalesData[[#This Row],[Sales]]-SalesData[[#This Row],[Cost]]</f>
        <v>15825.509999999998</v>
      </c>
      <c r="S743" s="22">
        <f>IFERROR(SalesData[[#This Row],[Profit]]/SalesData[[#This Row],[Sales]],0)</f>
        <v>0.5904778854968753</v>
      </c>
      <c r="T743" s="19">
        <f>YEAR(SalesData[[#This Row],[Order_Date]])</f>
        <v>2024</v>
      </c>
      <c r="U743" s="19" t="str">
        <f>TEXT(SalesData[[#This Row],[Order_Date]],"mmm")</f>
        <v>Sept</v>
      </c>
      <c r="V743" s="19" t="str">
        <f>"Q"&amp;ROUNDUP(MONTH(SalesData[[#This Row],[Order_Date]])/3,0)</f>
        <v>Q3</v>
      </c>
      <c r="W743" s="19" t="str">
        <f>IF(SalesData[[#This Row],[Sales]]&gt;=50000,"High",IF(AND(SalesData[[#This Row],[Sales]]&gt;= 20000, SalesData[[#This Row],[Sales]]&lt; 50000),"Medium","Low"))</f>
        <v>Medium</v>
      </c>
      <c r="X743" s="19" t="str">
        <f>IF(SalesData[[#This Row],[Profit]]&gt;0,"Profit","Loss")</f>
        <v>Profit</v>
      </c>
      <c r="Y743" s="19" t="str">
        <f>IF(AND(SalesData[[#This Row],[Sales]]&gt;= 50000, SalesData[[#This Row],[Quantity]]&gt;=2),"Yes","No")</f>
        <v>No</v>
      </c>
      <c r="Z743" s="19" t="str">
        <f>UPPER(SalesData[[#This Row],[Customer_Name]])</f>
        <v>DIVYA SHAH</v>
      </c>
      <c r="AA743" s="19" t="str">
        <f>LOWER(SalesData[[#This Row],[Customer_Name]])</f>
        <v>divya shah</v>
      </c>
      <c r="AB743" s="19">
        <f>LEN(SalesData[[#This Row],[Customer_Name]])</f>
        <v>10</v>
      </c>
      <c r="AC743" s="19" t="str">
        <f>LEFT(SalesData[[#This Row],[Order_ID]],3)</f>
        <v>ORD</v>
      </c>
      <c r="AD743" s="19" t="str">
        <f>RIGHT(SalesData[[#This Row],[Order_ID]],4)</f>
        <v>0857</v>
      </c>
      <c r="AE743" s="19" t="str">
        <f>_xlfn.CONCAT(SalesData[[#This Row],[Clean_Customer_Name]],"-",SalesData[[#This Row],[Region]])</f>
        <v>Divya Shah-South</v>
      </c>
      <c r="AF743" s="19" t="str">
        <f>MID(SalesData[[#This Row],[Order_ID]],4,4)</f>
        <v>0857</v>
      </c>
      <c r="AG743" s="19" t="e">
        <f ca="1">_xlfn.SINGLE(_xlfn.XLOOKUP(SalesData[[#This Row],[Product]],Product_Master!A:A,Product_Master!B:B,"Not Found"))</f>
        <v>#NAME?</v>
      </c>
      <c r="AH743" s="19" t="str">
        <f>VLOOKUP(SalesData[[#This Row],[Product]],Product_Master!$A$1:$B$21,2,FALSE)</f>
        <v>Neha</v>
      </c>
      <c r="AI743" s="16"/>
    </row>
    <row r="744" spans="1:35" ht="13.8">
      <c r="A744" s="16" t="s">
        <v>551</v>
      </c>
      <c r="B744" s="17">
        <v>45581</v>
      </c>
      <c r="C744" s="16" t="s">
        <v>70</v>
      </c>
      <c r="D744" s="16" t="s">
        <v>71</v>
      </c>
      <c r="E744" s="16" t="s">
        <v>193</v>
      </c>
      <c r="F744" s="16" t="s">
        <v>194</v>
      </c>
      <c r="G744" s="16" t="s">
        <v>89</v>
      </c>
      <c r="H744" s="16" t="s">
        <v>90</v>
      </c>
      <c r="I744" s="16" t="s">
        <v>42</v>
      </c>
      <c r="J744" s="16" t="s">
        <v>43</v>
      </c>
      <c r="K744" s="18">
        <v>3180.84</v>
      </c>
      <c r="L744" s="18">
        <v>1555.32</v>
      </c>
      <c r="M744" s="19">
        <v>3</v>
      </c>
      <c r="N744" s="20">
        <v>0.1</v>
      </c>
      <c r="O744" s="19" t="s">
        <v>44</v>
      </c>
      <c r="P744" s="19" t="s">
        <v>77</v>
      </c>
      <c r="Q744" s="19" t="str">
        <f>TRIM(SalesData[[#This Row],[Customer_Name]])</f>
        <v>Divya Shah</v>
      </c>
      <c r="R744" s="21">
        <f>SalesData[[#This Row],[Sales]]-SalesData[[#This Row],[Cost]]</f>
        <v>1625.5200000000002</v>
      </c>
      <c r="S744" s="22">
        <f>IFERROR(SalesData[[#This Row],[Profit]]/SalesData[[#This Row],[Sales]],0)</f>
        <v>0.51103482099068176</v>
      </c>
      <c r="T744" s="19">
        <f>YEAR(SalesData[[#This Row],[Order_Date]])</f>
        <v>2024</v>
      </c>
      <c r="U744" s="19" t="str">
        <f>TEXT(SalesData[[#This Row],[Order_Date]],"mmm")</f>
        <v>Oct</v>
      </c>
      <c r="V744" s="19" t="str">
        <f>"Q"&amp;ROUNDUP(MONTH(SalesData[[#This Row],[Order_Date]])/3,0)</f>
        <v>Q4</v>
      </c>
      <c r="W744" s="19" t="str">
        <f>IF(SalesData[[#This Row],[Sales]]&gt;=50000,"High",IF(AND(SalesData[[#This Row],[Sales]]&gt;= 20000, SalesData[[#This Row],[Sales]]&lt; 50000),"Medium","Low"))</f>
        <v>Low</v>
      </c>
      <c r="X744" s="19" t="str">
        <f>IF(SalesData[[#This Row],[Profit]]&gt;0,"Profit","Loss")</f>
        <v>Profit</v>
      </c>
      <c r="Y744" s="19" t="str">
        <f>IF(AND(SalesData[[#This Row],[Sales]]&gt;= 50000, SalesData[[#This Row],[Quantity]]&gt;=2),"Yes","No")</f>
        <v>No</v>
      </c>
      <c r="Z744" s="19" t="str">
        <f>UPPER(SalesData[[#This Row],[Customer_Name]])</f>
        <v>DIVYA SHAH</v>
      </c>
      <c r="AA744" s="19" t="str">
        <f>LOWER(SalesData[[#This Row],[Customer_Name]])</f>
        <v>divya shah</v>
      </c>
      <c r="AB744" s="19">
        <f>LEN(SalesData[[#This Row],[Customer_Name]])</f>
        <v>10</v>
      </c>
      <c r="AC744" s="19" t="str">
        <f>LEFT(SalesData[[#This Row],[Order_ID]],3)</f>
        <v>ORD</v>
      </c>
      <c r="AD744" s="19" t="str">
        <f>RIGHT(SalesData[[#This Row],[Order_ID]],4)</f>
        <v>0398</v>
      </c>
      <c r="AE744" s="19" t="str">
        <f>_xlfn.CONCAT(SalesData[[#This Row],[Clean_Customer_Name]],"-",SalesData[[#This Row],[Region]])</f>
        <v>Divya Shah-East</v>
      </c>
      <c r="AF744" s="19" t="str">
        <f>MID(SalesData[[#This Row],[Order_ID]],4,4)</f>
        <v>0398</v>
      </c>
      <c r="AG744" s="19" t="e">
        <f ca="1">_xlfn.SINGLE(_xlfn.XLOOKUP(SalesData[[#This Row],[Product]],Product_Master!A:A,Product_Master!B:B,"Not Found"))</f>
        <v>#NAME?</v>
      </c>
      <c r="AH744" s="19" t="str">
        <f>VLOOKUP(SalesData[[#This Row],[Product]],Product_Master!$A$1:$B$21,2,FALSE)</f>
        <v>Simran</v>
      </c>
      <c r="AI744" s="16"/>
    </row>
    <row r="745" spans="1:35" ht="13.8">
      <c r="A745" s="16" t="s">
        <v>1028</v>
      </c>
      <c r="B745" s="17">
        <v>45703</v>
      </c>
      <c r="C745" s="16" t="s">
        <v>70</v>
      </c>
      <c r="D745" s="16" t="s">
        <v>71</v>
      </c>
      <c r="E745" s="16" t="s">
        <v>193</v>
      </c>
      <c r="F745" s="16" t="s">
        <v>194</v>
      </c>
      <c r="G745" s="16" t="s">
        <v>89</v>
      </c>
      <c r="H745" s="16" t="s">
        <v>90</v>
      </c>
      <c r="I745" s="16" t="s">
        <v>84</v>
      </c>
      <c r="J745" s="16" t="s">
        <v>134</v>
      </c>
      <c r="K745" s="18">
        <v>8171.85</v>
      </c>
      <c r="L745" s="18">
        <v>2272.5</v>
      </c>
      <c r="M745" s="19">
        <v>5</v>
      </c>
      <c r="N745" s="20">
        <v>0</v>
      </c>
      <c r="O745" s="19" t="s">
        <v>44</v>
      </c>
      <c r="P745" s="19" t="s">
        <v>26</v>
      </c>
      <c r="Q745" s="19" t="str">
        <f>TRIM(SalesData[[#This Row],[Customer_Name]])</f>
        <v>Divya Shah</v>
      </c>
      <c r="R745" s="21">
        <f>SalesData[[#This Row],[Sales]]-SalesData[[#This Row],[Cost]]</f>
        <v>5899.35</v>
      </c>
      <c r="S745" s="22">
        <f>IFERROR(SalesData[[#This Row],[Profit]]/SalesData[[#This Row],[Sales]],0)</f>
        <v>0.72191119513941149</v>
      </c>
      <c r="T745" s="19">
        <f>YEAR(SalesData[[#This Row],[Order_Date]])</f>
        <v>2025</v>
      </c>
      <c r="U745" s="19" t="str">
        <f>TEXT(SalesData[[#This Row],[Order_Date]],"mmm")</f>
        <v>Feb</v>
      </c>
      <c r="V745" s="19" t="str">
        <f>"Q"&amp;ROUNDUP(MONTH(SalesData[[#This Row],[Order_Date]])/3,0)</f>
        <v>Q1</v>
      </c>
      <c r="W745" s="19" t="str">
        <f>IF(SalesData[[#This Row],[Sales]]&gt;=50000,"High",IF(AND(SalesData[[#This Row],[Sales]]&gt;= 20000, SalesData[[#This Row],[Sales]]&lt; 50000),"Medium","Low"))</f>
        <v>Low</v>
      </c>
      <c r="X745" s="19" t="str">
        <f>IF(SalesData[[#This Row],[Profit]]&gt;0,"Profit","Loss")</f>
        <v>Profit</v>
      </c>
      <c r="Y745" s="19" t="str">
        <f>IF(AND(SalesData[[#This Row],[Sales]]&gt;= 50000, SalesData[[#This Row],[Quantity]]&gt;=2),"Yes","No")</f>
        <v>No</v>
      </c>
      <c r="Z745" s="19" t="str">
        <f>UPPER(SalesData[[#This Row],[Customer_Name]])</f>
        <v>DIVYA SHAH</v>
      </c>
      <c r="AA745" s="19" t="str">
        <f>LOWER(SalesData[[#This Row],[Customer_Name]])</f>
        <v>divya shah</v>
      </c>
      <c r="AB745" s="19">
        <f>LEN(SalesData[[#This Row],[Customer_Name]])</f>
        <v>10</v>
      </c>
      <c r="AC745" s="19" t="str">
        <f>LEFT(SalesData[[#This Row],[Order_ID]],3)</f>
        <v>ORD</v>
      </c>
      <c r="AD745" s="19" t="str">
        <f>RIGHT(SalesData[[#This Row],[Order_ID]],4)</f>
        <v>0875</v>
      </c>
      <c r="AE745" s="19" t="str">
        <f>_xlfn.CONCAT(SalesData[[#This Row],[Clean_Customer_Name]],"-",SalesData[[#This Row],[Region]])</f>
        <v>Divya Shah-South</v>
      </c>
      <c r="AF745" s="19" t="str">
        <f>MID(SalesData[[#This Row],[Order_ID]],4,4)</f>
        <v>0875</v>
      </c>
      <c r="AG745" s="19" t="e">
        <f ca="1">_xlfn.SINGLE(_xlfn.XLOOKUP(SalesData[[#This Row],[Product]],Product_Master!A:A,Product_Master!B:B,"Not Found"))</f>
        <v>#NAME?</v>
      </c>
      <c r="AH745" s="19" t="str">
        <f>VLOOKUP(SalesData[[#This Row],[Product]],Product_Master!$A$1:$B$21,2,FALSE)</f>
        <v>Simran</v>
      </c>
      <c r="AI745" s="16"/>
    </row>
    <row r="746" spans="1:35" ht="13.8">
      <c r="A746" s="16" t="s">
        <v>78</v>
      </c>
      <c r="B746" s="17">
        <v>45324</v>
      </c>
      <c r="C746" s="16" t="s">
        <v>79</v>
      </c>
      <c r="D746" s="16" t="s">
        <v>80</v>
      </c>
      <c r="E746" s="16" t="s">
        <v>81</v>
      </c>
      <c r="F746" s="16" t="s">
        <v>82</v>
      </c>
      <c r="G746" s="16" t="s">
        <v>21</v>
      </c>
      <c r="H746" s="16" t="s">
        <v>83</v>
      </c>
      <c r="I746" s="16" t="s">
        <v>84</v>
      </c>
      <c r="J746" s="16" t="s">
        <v>85</v>
      </c>
      <c r="K746" s="18">
        <v>50741.38</v>
      </c>
      <c r="L746" s="18">
        <v>52932.57</v>
      </c>
      <c r="M746" s="19">
        <v>3</v>
      </c>
      <c r="N746" s="20">
        <v>0.2</v>
      </c>
      <c r="O746" s="19" t="s">
        <v>44</v>
      </c>
      <c r="P746" s="19" t="s">
        <v>58</v>
      </c>
      <c r="Q746" s="19" t="str">
        <f>TRIM(SalesData[[#This Row],[Customer_Name]])</f>
        <v>Deepak Soni</v>
      </c>
      <c r="R746" s="21">
        <f>SalesData[[#This Row],[Sales]]-SalesData[[#This Row],[Cost]]</f>
        <v>-2191.1900000000023</v>
      </c>
      <c r="S746" s="22">
        <f>IFERROR(SalesData[[#This Row],[Profit]]/SalesData[[#This Row],[Sales]],0)</f>
        <v>-4.3183492447387173E-2</v>
      </c>
      <c r="T746" s="19">
        <f>YEAR(SalesData[[#This Row],[Order_Date]])</f>
        <v>2024</v>
      </c>
      <c r="U746" s="19" t="str">
        <f>TEXT(SalesData[[#This Row],[Order_Date]],"mmm")</f>
        <v>Feb</v>
      </c>
      <c r="V746" s="19" t="str">
        <f>"Q"&amp;ROUNDUP(MONTH(SalesData[[#This Row],[Order_Date]])/3,0)</f>
        <v>Q1</v>
      </c>
      <c r="W746" s="19" t="str">
        <f>IF(SalesData[[#This Row],[Sales]]&gt;=50000,"High",IF(AND(SalesData[[#This Row],[Sales]]&gt;= 20000, SalesData[[#This Row],[Sales]]&lt; 50000),"Medium","Low"))</f>
        <v>High</v>
      </c>
      <c r="X746" s="19" t="str">
        <f>IF(SalesData[[#This Row],[Profit]]&gt;0,"Profit","Loss")</f>
        <v>Loss</v>
      </c>
      <c r="Y746" s="19" t="str">
        <f>IF(AND(SalesData[[#This Row],[Sales]]&gt;= 50000, SalesData[[#This Row],[Quantity]]&gt;=2),"Yes","No")</f>
        <v>Yes</v>
      </c>
      <c r="Z746" s="19" t="str">
        <f>UPPER(SalesData[[#This Row],[Customer_Name]])</f>
        <v>DEEPAK SONI</v>
      </c>
      <c r="AA746" s="19" t="str">
        <f>LOWER(SalesData[[#This Row],[Customer_Name]])</f>
        <v>deepak soni</v>
      </c>
      <c r="AB746" s="19">
        <f>LEN(SalesData[[#This Row],[Customer_Name]])</f>
        <v>11</v>
      </c>
      <c r="AC746" s="19" t="str">
        <f>LEFT(SalesData[[#This Row],[Order_ID]],3)</f>
        <v>ORD</v>
      </c>
      <c r="AD746" s="19" t="str">
        <f>RIGHT(SalesData[[#This Row],[Order_ID]],4)</f>
        <v>0009</v>
      </c>
      <c r="AE746" s="19" t="str">
        <f>_xlfn.CONCAT(SalesData[[#This Row],[Clean_Customer_Name]],"-",SalesData[[#This Row],[Region]])</f>
        <v>Deepak Soni-South</v>
      </c>
      <c r="AF746" s="19" t="str">
        <f>MID(SalesData[[#This Row],[Order_ID]],4,4)</f>
        <v>0009</v>
      </c>
      <c r="AG746" s="19" t="e">
        <f ca="1">_xlfn.SINGLE(_xlfn.XLOOKUP(SalesData[[#This Row],[Product]],Product_Master!A:A,Product_Master!B:B,"Not Found"))</f>
        <v>#NAME?</v>
      </c>
      <c r="AH746" s="19" t="str">
        <f>VLOOKUP(SalesData[[#This Row],[Product]],Product_Master!$A$1:$B$21,2,FALSE)</f>
        <v>Priya</v>
      </c>
      <c r="AI746" s="16"/>
    </row>
    <row r="747" spans="1:35" ht="13.8">
      <c r="A747" s="16" t="s">
        <v>214</v>
      </c>
      <c r="B747" s="17">
        <v>45323</v>
      </c>
      <c r="C747" s="16" t="s">
        <v>79</v>
      </c>
      <c r="D747" s="16" t="s">
        <v>80</v>
      </c>
      <c r="E747" s="16" t="s">
        <v>81</v>
      </c>
      <c r="F747" s="16" t="s">
        <v>82</v>
      </c>
      <c r="G747" s="16" t="s">
        <v>21</v>
      </c>
      <c r="H747" s="16" t="s">
        <v>83</v>
      </c>
      <c r="I747" s="16" t="s">
        <v>53</v>
      </c>
      <c r="J747" s="16" t="s">
        <v>54</v>
      </c>
      <c r="K747" s="18">
        <v>38878.639999999999</v>
      </c>
      <c r="L747" s="18">
        <v>33835.4</v>
      </c>
      <c r="M747" s="19">
        <v>2</v>
      </c>
      <c r="N747" s="20">
        <v>0.05</v>
      </c>
      <c r="O747" s="19" t="s">
        <v>76</v>
      </c>
      <c r="P747" s="19" t="s">
        <v>58</v>
      </c>
      <c r="Q747" s="19" t="str">
        <f>TRIM(SalesData[[#This Row],[Customer_Name]])</f>
        <v>Deepak Soni</v>
      </c>
      <c r="R747" s="21">
        <f>SalesData[[#This Row],[Sales]]-SalesData[[#This Row],[Cost]]</f>
        <v>5043.239999999998</v>
      </c>
      <c r="S747" s="22">
        <f>IFERROR(SalesData[[#This Row],[Profit]]/SalesData[[#This Row],[Sales]],0)</f>
        <v>0.12971750040639277</v>
      </c>
      <c r="T747" s="19">
        <f>YEAR(SalesData[[#This Row],[Order_Date]])</f>
        <v>2024</v>
      </c>
      <c r="U747" s="19" t="str">
        <f>TEXT(SalesData[[#This Row],[Order_Date]],"mmm")</f>
        <v>Feb</v>
      </c>
      <c r="V747" s="19" t="str">
        <f>"Q"&amp;ROUNDUP(MONTH(SalesData[[#This Row],[Order_Date]])/3,0)</f>
        <v>Q1</v>
      </c>
      <c r="W747" s="19" t="str">
        <f>IF(SalesData[[#This Row],[Sales]]&gt;=50000,"High",IF(AND(SalesData[[#This Row],[Sales]]&gt;= 20000, SalesData[[#This Row],[Sales]]&lt; 50000),"Medium","Low"))</f>
        <v>Medium</v>
      </c>
      <c r="X747" s="19" t="str">
        <f>IF(SalesData[[#This Row],[Profit]]&gt;0,"Profit","Loss")</f>
        <v>Profit</v>
      </c>
      <c r="Y747" s="19" t="str">
        <f>IF(AND(SalesData[[#This Row],[Sales]]&gt;= 50000, SalesData[[#This Row],[Quantity]]&gt;=2),"Yes","No")</f>
        <v>No</v>
      </c>
      <c r="Z747" s="19" t="str">
        <f>UPPER(SalesData[[#This Row],[Customer_Name]])</f>
        <v>DEEPAK SONI</v>
      </c>
      <c r="AA747" s="19" t="str">
        <f>LOWER(SalesData[[#This Row],[Customer_Name]])</f>
        <v>deepak soni</v>
      </c>
      <c r="AB747" s="19">
        <f>LEN(SalesData[[#This Row],[Customer_Name]])</f>
        <v>11</v>
      </c>
      <c r="AC747" s="19" t="str">
        <f>LEFT(SalesData[[#This Row],[Order_ID]],3)</f>
        <v>ORD</v>
      </c>
      <c r="AD747" s="19" t="str">
        <f>RIGHT(SalesData[[#This Row],[Order_ID]],4)</f>
        <v>0065</v>
      </c>
      <c r="AE747" s="19" t="str">
        <f>_xlfn.CONCAT(SalesData[[#This Row],[Clean_Customer_Name]],"-",SalesData[[#This Row],[Region]])</f>
        <v>Deepak Soni-Central</v>
      </c>
      <c r="AF747" s="19" t="str">
        <f>MID(SalesData[[#This Row],[Order_ID]],4,4)</f>
        <v>0065</v>
      </c>
      <c r="AG747" s="19" t="e">
        <f ca="1">_xlfn.SINGLE(_xlfn.XLOOKUP(SalesData[[#This Row],[Product]],Product_Master!A:A,Product_Master!B:B,"Not Found"))</f>
        <v>#NAME?</v>
      </c>
      <c r="AH747" s="19" t="str">
        <f>VLOOKUP(SalesData[[#This Row],[Product]],Product_Master!$A$1:$B$21,2,FALSE)</f>
        <v>Priya</v>
      </c>
      <c r="AI747" s="16"/>
    </row>
    <row r="748" spans="1:35" ht="13.8">
      <c r="A748" s="16" t="s">
        <v>333</v>
      </c>
      <c r="B748" s="17">
        <v>45963</v>
      </c>
      <c r="C748" s="16" t="s">
        <v>79</v>
      </c>
      <c r="D748" s="16" t="s">
        <v>80</v>
      </c>
      <c r="E748" s="16" t="s">
        <v>81</v>
      </c>
      <c r="F748" s="16" t="s">
        <v>82</v>
      </c>
      <c r="G748" s="16" t="s">
        <v>21</v>
      </c>
      <c r="H748" s="16" t="s">
        <v>83</v>
      </c>
      <c r="I748" s="16" t="s">
        <v>53</v>
      </c>
      <c r="J748" s="16" t="s">
        <v>102</v>
      </c>
      <c r="K748" s="18">
        <v>81656.710000000006</v>
      </c>
      <c r="L748" s="18">
        <v>51550.74</v>
      </c>
      <c r="M748" s="19">
        <v>3</v>
      </c>
      <c r="N748" s="20">
        <v>0.15</v>
      </c>
      <c r="O748" s="19" t="s">
        <v>136</v>
      </c>
      <c r="P748" s="19" t="s">
        <v>98</v>
      </c>
      <c r="Q748" s="19" t="str">
        <f>TRIM(SalesData[[#This Row],[Customer_Name]])</f>
        <v>Deepak Soni</v>
      </c>
      <c r="R748" s="21">
        <f>SalesData[[#This Row],[Sales]]-SalesData[[#This Row],[Cost]]</f>
        <v>30105.970000000008</v>
      </c>
      <c r="S748" s="22">
        <f>IFERROR(SalesData[[#This Row],[Profit]]/SalesData[[#This Row],[Sales]],0)</f>
        <v>0.36868948063178159</v>
      </c>
      <c r="T748" s="19">
        <f>YEAR(SalesData[[#This Row],[Order_Date]])</f>
        <v>2025</v>
      </c>
      <c r="U748" s="19" t="str">
        <f>TEXT(SalesData[[#This Row],[Order_Date]],"mmm")</f>
        <v>Nov</v>
      </c>
      <c r="V748" s="19" t="str">
        <f>"Q"&amp;ROUNDUP(MONTH(SalesData[[#This Row],[Order_Date]])/3,0)</f>
        <v>Q4</v>
      </c>
      <c r="W748" s="19" t="str">
        <f>IF(SalesData[[#This Row],[Sales]]&gt;=50000,"High",IF(AND(SalesData[[#This Row],[Sales]]&gt;= 20000, SalesData[[#This Row],[Sales]]&lt; 50000),"Medium","Low"))</f>
        <v>High</v>
      </c>
      <c r="X748" s="19" t="str">
        <f>IF(SalesData[[#This Row],[Profit]]&gt;0,"Profit","Loss")</f>
        <v>Profit</v>
      </c>
      <c r="Y748" s="19" t="str">
        <f>IF(AND(SalesData[[#This Row],[Sales]]&gt;= 50000, SalesData[[#This Row],[Quantity]]&gt;=2),"Yes","No")</f>
        <v>Yes</v>
      </c>
      <c r="Z748" s="19" t="str">
        <f>UPPER(SalesData[[#This Row],[Customer_Name]])</f>
        <v>DEEPAK SONI</v>
      </c>
      <c r="AA748" s="19" t="str">
        <f>LOWER(SalesData[[#This Row],[Customer_Name]])</f>
        <v>deepak soni</v>
      </c>
      <c r="AB748" s="19">
        <f>LEN(SalesData[[#This Row],[Customer_Name]])</f>
        <v>11</v>
      </c>
      <c r="AC748" s="19" t="str">
        <f>LEFT(SalesData[[#This Row],[Order_ID]],3)</f>
        <v>ORD</v>
      </c>
      <c r="AD748" s="19" t="str">
        <f>RIGHT(SalesData[[#This Row],[Order_ID]],4)</f>
        <v>0180</v>
      </c>
      <c r="AE748" s="19" t="str">
        <f>_xlfn.CONCAT(SalesData[[#This Row],[Clean_Customer_Name]],"-",SalesData[[#This Row],[Region]])</f>
        <v>Deepak Soni-Central</v>
      </c>
      <c r="AF748" s="19" t="str">
        <f>MID(SalesData[[#This Row],[Order_ID]],4,4)</f>
        <v>0180</v>
      </c>
      <c r="AG748" s="19" t="e">
        <f ca="1">_xlfn.SINGLE(_xlfn.XLOOKUP(SalesData[[#This Row],[Product]],Product_Master!A:A,Product_Master!B:B,"Not Found"))</f>
        <v>#NAME?</v>
      </c>
      <c r="AH748" s="19" t="str">
        <f>VLOOKUP(SalesData[[#This Row],[Product]],Product_Master!$A$1:$B$21,2,FALSE)</f>
        <v>Priya</v>
      </c>
      <c r="AI748" s="16"/>
    </row>
    <row r="749" spans="1:35" ht="13.8">
      <c r="A749" s="16" t="s">
        <v>576</v>
      </c>
      <c r="B749" s="17">
        <v>45433</v>
      </c>
      <c r="C749" s="16" t="s">
        <v>79</v>
      </c>
      <c r="D749" s="16" t="s">
        <v>80</v>
      </c>
      <c r="E749" s="16" t="s">
        <v>81</v>
      </c>
      <c r="F749" s="16" t="s">
        <v>82</v>
      </c>
      <c r="G749" s="16" t="s">
        <v>21</v>
      </c>
      <c r="H749" s="16" t="s">
        <v>83</v>
      </c>
      <c r="I749" s="16" t="s">
        <v>23</v>
      </c>
      <c r="J749" s="16" t="s">
        <v>24</v>
      </c>
      <c r="K749" s="18">
        <v>53495.66</v>
      </c>
      <c r="L749" s="18">
        <v>34766.36</v>
      </c>
      <c r="M749" s="19">
        <v>2</v>
      </c>
      <c r="N749" s="20">
        <v>0.2</v>
      </c>
      <c r="O749" s="19" t="s">
        <v>44</v>
      </c>
      <c r="P749" s="19" t="s">
        <v>58</v>
      </c>
      <c r="Q749" s="19" t="str">
        <f>TRIM(SalesData[[#This Row],[Customer_Name]])</f>
        <v>Deepak Soni</v>
      </c>
      <c r="R749" s="21">
        <f>SalesData[[#This Row],[Sales]]-SalesData[[#This Row],[Cost]]</f>
        <v>18729.300000000003</v>
      </c>
      <c r="S749" s="22">
        <f>IFERROR(SalesData[[#This Row],[Profit]]/SalesData[[#This Row],[Sales]],0)</f>
        <v>0.3501087751791454</v>
      </c>
      <c r="T749" s="19">
        <f>YEAR(SalesData[[#This Row],[Order_Date]])</f>
        <v>2024</v>
      </c>
      <c r="U749" s="19" t="str">
        <f>TEXT(SalesData[[#This Row],[Order_Date]],"mmm")</f>
        <v>May</v>
      </c>
      <c r="V749" s="19" t="str">
        <f>"Q"&amp;ROUNDUP(MONTH(SalesData[[#This Row],[Order_Date]])/3,0)</f>
        <v>Q2</v>
      </c>
      <c r="W749" s="19" t="str">
        <f>IF(SalesData[[#This Row],[Sales]]&gt;=50000,"High",IF(AND(SalesData[[#This Row],[Sales]]&gt;= 20000, SalesData[[#This Row],[Sales]]&lt; 50000),"Medium","Low"))</f>
        <v>High</v>
      </c>
      <c r="X749" s="19" t="str">
        <f>IF(SalesData[[#This Row],[Profit]]&gt;0,"Profit","Loss")</f>
        <v>Profit</v>
      </c>
      <c r="Y749" s="19" t="str">
        <f>IF(AND(SalesData[[#This Row],[Sales]]&gt;= 50000, SalesData[[#This Row],[Quantity]]&gt;=2),"Yes","No")</f>
        <v>Yes</v>
      </c>
      <c r="Z749" s="19" t="str">
        <f>UPPER(SalesData[[#This Row],[Customer_Name]])</f>
        <v>DEEPAK SONI</v>
      </c>
      <c r="AA749" s="19" t="str">
        <f>LOWER(SalesData[[#This Row],[Customer_Name]])</f>
        <v>deepak soni</v>
      </c>
      <c r="AB749" s="19">
        <f>LEN(SalesData[[#This Row],[Customer_Name]])</f>
        <v>11</v>
      </c>
      <c r="AC749" s="19" t="str">
        <f>LEFT(SalesData[[#This Row],[Order_ID]],3)</f>
        <v>ORD</v>
      </c>
      <c r="AD749" s="19" t="str">
        <f>RIGHT(SalesData[[#This Row],[Order_ID]],4)</f>
        <v>0423</v>
      </c>
      <c r="AE749" s="19" t="str">
        <f>_xlfn.CONCAT(SalesData[[#This Row],[Clean_Customer_Name]],"-",SalesData[[#This Row],[Region]])</f>
        <v>Deepak Soni-North</v>
      </c>
      <c r="AF749" s="19" t="str">
        <f>MID(SalesData[[#This Row],[Order_ID]],4,4)</f>
        <v>0423</v>
      </c>
      <c r="AG749" s="19" t="e">
        <f ca="1">_xlfn.SINGLE(_xlfn.XLOOKUP(SalesData[[#This Row],[Product]],Product_Master!A:A,Product_Master!B:B,"Not Found"))</f>
        <v>#NAME?</v>
      </c>
      <c r="AH749" s="19" t="str">
        <f>VLOOKUP(SalesData[[#This Row],[Product]],Product_Master!$A$1:$B$21,2,FALSE)</f>
        <v>Priya</v>
      </c>
      <c r="AI749" s="16"/>
    </row>
    <row r="750" spans="1:35" ht="13.8">
      <c r="A750" s="16" t="s">
        <v>917</v>
      </c>
      <c r="B750" s="17">
        <v>45413</v>
      </c>
      <c r="C750" s="16" t="s">
        <v>79</v>
      </c>
      <c r="D750" s="16" t="s">
        <v>80</v>
      </c>
      <c r="E750" s="16" t="s">
        <v>81</v>
      </c>
      <c r="F750" s="16" t="s">
        <v>82</v>
      </c>
      <c r="G750" s="16" t="s">
        <v>21</v>
      </c>
      <c r="H750" s="16" t="s">
        <v>83</v>
      </c>
      <c r="I750" s="16" t="s">
        <v>56</v>
      </c>
      <c r="J750" s="16" t="s">
        <v>91</v>
      </c>
      <c r="K750" s="18">
        <v>111576.61</v>
      </c>
      <c r="L750" s="18">
        <v>71281.679999999993</v>
      </c>
      <c r="M750" s="19">
        <v>4</v>
      </c>
      <c r="N750" s="20">
        <v>0.15</v>
      </c>
      <c r="O750" s="19" t="s">
        <v>136</v>
      </c>
      <c r="P750" s="19" t="s">
        <v>58</v>
      </c>
      <c r="Q750" s="19" t="str">
        <f>TRIM(SalesData[[#This Row],[Customer_Name]])</f>
        <v>Deepak Soni</v>
      </c>
      <c r="R750" s="21">
        <f>SalesData[[#This Row],[Sales]]-SalesData[[#This Row],[Cost]]</f>
        <v>40294.930000000008</v>
      </c>
      <c r="S750" s="22">
        <f>IFERROR(SalesData[[#This Row],[Profit]]/SalesData[[#This Row],[Sales]],0)</f>
        <v>0.36114137183411477</v>
      </c>
      <c r="T750" s="19">
        <f>YEAR(SalesData[[#This Row],[Order_Date]])</f>
        <v>2024</v>
      </c>
      <c r="U750" s="19" t="str">
        <f>TEXT(SalesData[[#This Row],[Order_Date]],"mmm")</f>
        <v>May</v>
      </c>
      <c r="V750" s="19" t="str">
        <f>"Q"&amp;ROUNDUP(MONTH(SalesData[[#This Row],[Order_Date]])/3,0)</f>
        <v>Q2</v>
      </c>
      <c r="W750" s="19" t="str">
        <f>IF(SalesData[[#This Row],[Sales]]&gt;=50000,"High",IF(AND(SalesData[[#This Row],[Sales]]&gt;= 20000, SalesData[[#This Row],[Sales]]&lt; 50000),"Medium","Low"))</f>
        <v>High</v>
      </c>
      <c r="X750" s="19" t="str">
        <f>IF(SalesData[[#This Row],[Profit]]&gt;0,"Profit","Loss")</f>
        <v>Profit</v>
      </c>
      <c r="Y750" s="19" t="str">
        <f>IF(AND(SalesData[[#This Row],[Sales]]&gt;= 50000, SalesData[[#This Row],[Quantity]]&gt;=2),"Yes","No")</f>
        <v>Yes</v>
      </c>
      <c r="Z750" s="19" t="str">
        <f>UPPER(SalesData[[#This Row],[Customer_Name]])</f>
        <v>DEEPAK SONI</v>
      </c>
      <c r="AA750" s="19" t="str">
        <f>LOWER(SalesData[[#This Row],[Customer_Name]])</f>
        <v>deepak soni</v>
      </c>
      <c r="AB750" s="19">
        <f>LEN(SalesData[[#This Row],[Customer_Name]])</f>
        <v>11</v>
      </c>
      <c r="AC750" s="19" t="str">
        <f>LEFT(SalesData[[#This Row],[Order_ID]],3)</f>
        <v>ORD</v>
      </c>
      <c r="AD750" s="19" t="str">
        <f>RIGHT(SalesData[[#This Row],[Order_ID]],4)</f>
        <v>0764</v>
      </c>
      <c r="AE750" s="19" t="str">
        <f>_xlfn.CONCAT(SalesData[[#This Row],[Clean_Customer_Name]],"-",SalesData[[#This Row],[Region]])</f>
        <v>Deepak Soni-West</v>
      </c>
      <c r="AF750" s="19" t="str">
        <f>MID(SalesData[[#This Row],[Order_ID]],4,4)</f>
        <v>0764</v>
      </c>
      <c r="AG750" s="19" t="e">
        <f ca="1">_xlfn.SINGLE(_xlfn.XLOOKUP(SalesData[[#This Row],[Product]],Product_Master!A:A,Product_Master!B:B,"Not Found"))</f>
        <v>#NAME?</v>
      </c>
      <c r="AH750" s="19" t="str">
        <f>VLOOKUP(SalesData[[#This Row],[Product]],Product_Master!$A$1:$B$21,2,FALSE)</f>
        <v>Priya</v>
      </c>
      <c r="AI750" s="16"/>
    </row>
    <row r="751" spans="1:35" ht="13.8">
      <c r="A751" s="16" t="s">
        <v>701</v>
      </c>
      <c r="B751" s="17">
        <v>45453</v>
      </c>
      <c r="C751" s="16" t="s">
        <v>79</v>
      </c>
      <c r="D751" s="16" t="s">
        <v>80</v>
      </c>
      <c r="E751" s="16" t="s">
        <v>62</v>
      </c>
      <c r="F751" s="16" t="s">
        <v>63</v>
      </c>
      <c r="G751" s="16" t="s">
        <v>21</v>
      </c>
      <c r="H751" s="16" t="s">
        <v>64</v>
      </c>
      <c r="I751" s="16" t="s">
        <v>84</v>
      </c>
      <c r="J751" s="16" t="s">
        <v>85</v>
      </c>
      <c r="K751" s="18">
        <v>19160</v>
      </c>
      <c r="L751" s="18">
        <v>6611.6</v>
      </c>
      <c r="M751" s="19">
        <v>4</v>
      </c>
      <c r="N751" s="20">
        <v>0</v>
      </c>
      <c r="O751" s="19" t="s">
        <v>25</v>
      </c>
      <c r="P751" s="19" t="s">
        <v>77</v>
      </c>
      <c r="Q751" s="19" t="str">
        <f>TRIM(SalesData[[#This Row],[Customer_Name]])</f>
        <v>Deepak Soni</v>
      </c>
      <c r="R751" s="21">
        <f>SalesData[[#This Row],[Sales]]-SalesData[[#This Row],[Cost]]</f>
        <v>12548.4</v>
      </c>
      <c r="S751" s="22">
        <f>IFERROR(SalesData[[#This Row],[Profit]]/SalesData[[#This Row],[Sales]],0)</f>
        <v>0.65492693110647182</v>
      </c>
      <c r="T751" s="19">
        <f>YEAR(SalesData[[#This Row],[Order_Date]])</f>
        <v>2024</v>
      </c>
      <c r="U751" s="19" t="str">
        <f>TEXT(SalesData[[#This Row],[Order_Date]],"mmm")</f>
        <v>Jun</v>
      </c>
      <c r="V751" s="19" t="str">
        <f>"Q"&amp;ROUNDUP(MONTH(SalesData[[#This Row],[Order_Date]])/3,0)</f>
        <v>Q2</v>
      </c>
      <c r="W751" s="19" t="str">
        <f>IF(SalesData[[#This Row],[Sales]]&gt;=50000,"High",IF(AND(SalesData[[#This Row],[Sales]]&gt;= 20000, SalesData[[#This Row],[Sales]]&lt; 50000),"Medium","Low"))</f>
        <v>Low</v>
      </c>
      <c r="X751" s="19" t="str">
        <f>IF(SalesData[[#This Row],[Profit]]&gt;0,"Profit","Loss")</f>
        <v>Profit</v>
      </c>
      <c r="Y751" s="19" t="str">
        <f>IF(AND(SalesData[[#This Row],[Sales]]&gt;= 50000, SalesData[[#This Row],[Quantity]]&gt;=2),"Yes","No")</f>
        <v>No</v>
      </c>
      <c r="Z751" s="19" t="str">
        <f>UPPER(SalesData[[#This Row],[Customer_Name]])</f>
        <v>DEEPAK SONI</v>
      </c>
      <c r="AA751" s="19" t="str">
        <f>LOWER(SalesData[[#This Row],[Customer_Name]])</f>
        <v>deepak soni</v>
      </c>
      <c r="AB751" s="19">
        <f>LEN(SalesData[[#This Row],[Customer_Name]])</f>
        <v>11</v>
      </c>
      <c r="AC751" s="19" t="str">
        <f>LEFT(SalesData[[#This Row],[Order_ID]],3)</f>
        <v>ORD</v>
      </c>
      <c r="AD751" s="19" t="str">
        <f>RIGHT(SalesData[[#This Row],[Order_ID]],4)</f>
        <v>0548</v>
      </c>
      <c r="AE751" s="19" t="str">
        <f>_xlfn.CONCAT(SalesData[[#This Row],[Clean_Customer_Name]],"-",SalesData[[#This Row],[Region]])</f>
        <v>Deepak Soni-South</v>
      </c>
      <c r="AF751" s="19" t="str">
        <f>MID(SalesData[[#This Row],[Order_ID]],4,4)</f>
        <v>0548</v>
      </c>
      <c r="AG751" s="19" t="e">
        <f ca="1">_xlfn.SINGLE(_xlfn.XLOOKUP(SalesData[[#This Row],[Product]],Product_Master!A:A,Product_Master!B:B,"Not Found"))</f>
        <v>#NAME?</v>
      </c>
      <c r="AH751" s="19" t="str">
        <f>VLOOKUP(SalesData[[#This Row],[Product]],Product_Master!$A$1:$B$21,2,FALSE)</f>
        <v>Amit</v>
      </c>
      <c r="AI751" s="16"/>
    </row>
    <row r="752" spans="1:35" ht="13.8">
      <c r="A752" s="16" t="s">
        <v>732</v>
      </c>
      <c r="B752" s="17">
        <v>45347</v>
      </c>
      <c r="C752" s="16" t="s">
        <v>79</v>
      </c>
      <c r="D752" s="16" t="s">
        <v>80</v>
      </c>
      <c r="E752" s="16" t="s">
        <v>62</v>
      </c>
      <c r="F752" s="16" t="s">
        <v>63</v>
      </c>
      <c r="G752" s="16" t="s">
        <v>21</v>
      </c>
      <c r="H752" s="16" t="s">
        <v>64</v>
      </c>
      <c r="I752" s="16" t="s">
        <v>23</v>
      </c>
      <c r="J752" s="16" t="s">
        <v>33</v>
      </c>
      <c r="K752" s="18">
        <v>11108.63</v>
      </c>
      <c r="L752" s="18">
        <v>3923.24</v>
      </c>
      <c r="M752" s="19">
        <v>2</v>
      </c>
      <c r="N752" s="20">
        <v>0.1</v>
      </c>
      <c r="O752" s="19" t="s">
        <v>25</v>
      </c>
      <c r="P752" s="19" t="s">
        <v>77</v>
      </c>
      <c r="Q752" s="19" t="str">
        <f>TRIM(SalesData[[#This Row],[Customer_Name]])</f>
        <v>Deepak Soni</v>
      </c>
      <c r="R752" s="21">
        <f>SalesData[[#This Row],[Sales]]-SalesData[[#This Row],[Cost]]</f>
        <v>7185.3899999999994</v>
      </c>
      <c r="S752" s="22">
        <f>IFERROR(SalesData[[#This Row],[Profit]]/SalesData[[#This Row],[Sales]],0)</f>
        <v>0.64682953703562007</v>
      </c>
      <c r="T752" s="19">
        <f>YEAR(SalesData[[#This Row],[Order_Date]])</f>
        <v>2024</v>
      </c>
      <c r="U752" s="19" t="str">
        <f>TEXT(SalesData[[#This Row],[Order_Date]],"mmm")</f>
        <v>Feb</v>
      </c>
      <c r="V752" s="19" t="str">
        <f>"Q"&amp;ROUNDUP(MONTH(SalesData[[#This Row],[Order_Date]])/3,0)</f>
        <v>Q1</v>
      </c>
      <c r="W752" s="19" t="str">
        <f>IF(SalesData[[#This Row],[Sales]]&gt;=50000,"High",IF(AND(SalesData[[#This Row],[Sales]]&gt;= 20000, SalesData[[#This Row],[Sales]]&lt; 50000),"Medium","Low"))</f>
        <v>Low</v>
      </c>
      <c r="X752" s="19" t="str">
        <f>IF(SalesData[[#This Row],[Profit]]&gt;0,"Profit","Loss")</f>
        <v>Profit</v>
      </c>
      <c r="Y752" s="19" t="str">
        <f>IF(AND(SalesData[[#This Row],[Sales]]&gt;= 50000, SalesData[[#This Row],[Quantity]]&gt;=2),"Yes","No")</f>
        <v>No</v>
      </c>
      <c r="Z752" s="19" t="str">
        <f>UPPER(SalesData[[#This Row],[Customer_Name]])</f>
        <v>DEEPAK SONI</v>
      </c>
      <c r="AA752" s="19" t="str">
        <f>LOWER(SalesData[[#This Row],[Customer_Name]])</f>
        <v>deepak soni</v>
      </c>
      <c r="AB752" s="19">
        <f>LEN(SalesData[[#This Row],[Customer_Name]])</f>
        <v>11</v>
      </c>
      <c r="AC752" s="19" t="str">
        <f>LEFT(SalesData[[#This Row],[Order_ID]],3)</f>
        <v>ORD</v>
      </c>
      <c r="AD752" s="19" t="str">
        <f>RIGHT(SalesData[[#This Row],[Order_ID]],4)</f>
        <v>0579</v>
      </c>
      <c r="AE752" s="19" t="str">
        <f>_xlfn.CONCAT(SalesData[[#This Row],[Clean_Customer_Name]],"-",SalesData[[#This Row],[Region]])</f>
        <v>Deepak Soni-North</v>
      </c>
      <c r="AF752" s="19" t="str">
        <f>MID(SalesData[[#This Row],[Order_ID]],4,4)</f>
        <v>0579</v>
      </c>
      <c r="AG752" s="19" t="e">
        <f ca="1">_xlfn.SINGLE(_xlfn.XLOOKUP(SalesData[[#This Row],[Product]],Product_Master!A:A,Product_Master!B:B,"Not Found"))</f>
        <v>#NAME?</v>
      </c>
      <c r="AH752" s="19" t="str">
        <f>VLOOKUP(SalesData[[#This Row],[Product]],Product_Master!$A$1:$B$21,2,FALSE)</f>
        <v>Amit</v>
      </c>
      <c r="AI752" s="16"/>
    </row>
    <row r="753" spans="1:35" ht="13.8">
      <c r="A753" s="16" t="s">
        <v>665</v>
      </c>
      <c r="B753" s="17">
        <v>45372</v>
      </c>
      <c r="C753" s="16" t="s">
        <v>79</v>
      </c>
      <c r="D753" s="16" t="s">
        <v>80</v>
      </c>
      <c r="E753" s="16" t="s">
        <v>19</v>
      </c>
      <c r="F753" s="16" t="s">
        <v>20</v>
      </c>
      <c r="G753" s="16" t="s">
        <v>21</v>
      </c>
      <c r="H753" s="16" t="s">
        <v>22</v>
      </c>
      <c r="I753" s="16" t="s">
        <v>23</v>
      </c>
      <c r="J753" s="16" t="s">
        <v>33</v>
      </c>
      <c r="K753" s="18">
        <v>24545.09</v>
      </c>
      <c r="L753" s="18">
        <v>12273.2</v>
      </c>
      <c r="M753" s="19">
        <v>4</v>
      </c>
      <c r="N753" s="20">
        <v>0.2</v>
      </c>
      <c r="O753" s="19" t="s">
        <v>25</v>
      </c>
      <c r="P753" s="19" t="s">
        <v>98</v>
      </c>
      <c r="Q753" s="19" t="str">
        <f>TRIM(SalesData[[#This Row],[Customer_Name]])</f>
        <v>Deepak Soni</v>
      </c>
      <c r="R753" s="21">
        <f>SalesData[[#This Row],[Sales]]-SalesData[[#This Row],[Cost]]</f>
        <v>12271.89</v>
      </c>
      <c r="S753" s="22">
        <f>IFERROR(SalesData[[#This Row],[Profit]]/SalesData[[#This Row],[Sales]],0)</f>
        <v>0.49997331441848447</v>
      </c>
      <c r="T753" s="19">
        <f>YEAR(SalesData[[#This Row],[Order_Date]])</f>
        <v>2024</v>
      </c>
      <c r="U753" s="19" t="str">
        <f>TEXT(SalesData[[#This Row],[Order_Date]],"mmm")</f>
        <v>Mar</v>
      </c>
      <c r="V753" s="19" t="str">
        <f>"Q"&amp;ROUNDUP(MONTH(SalesData[[#This Row],[Order_Date]])/3,0)</f>
        <v>Q1</v>
      </c>
      <c r="W753" s="19" t="str">
        <f>IF(SalesData[[#This Row],[Sales]]&gt;=50000,"High",IF(AND(SalesData[[#This Row],[Sales]]&gt;= 20000, SalesData[[#This Row],[Sales]]&lt; 50000),"Medium","Low"))</f>
        <v>Medium</v>
      </c>
      <c r="X753" s="19" t="str">
        <f>IF(SalesData[[#This Row],[Profit]]&gt;0,"Profit","Loss")</f>
        <v>Profit</v>
      </c>
      <c r="Y753" s="19" t="str">
        <f>IF(AND(SalesData[[#This Row],[Sales]]&gt;= 50000, SalesData[[#This Row],[Quantity]]&gt;=2),"Yes","No")</f>
        <v>No</v>
      </c>
      <c r="Z753" s="19" t="str">
        <f>UPPER(SalesData[[#This Row],[Customer_Name]])</f>
        <v>DEEPAK SONI</v>
      </c>
      <c r="AA753" s="19" t="str">
        <f>LOWER(SalesData[[#This Row],[Customer_Name]])</f>
        <v>deepak soni</v>
      </c>
      <c r="AB753" s="19">
        <f>LEN(SalesData[[#This Row],[Customer_Name]])</f>
        <v>11</v>
      </c>
      <c r="AC753" s="19" t="str">
        <f>LEFT(SalesData[[#This Row],[Order_ID]],3)</f>
        <v>ORD</v>
      </c>
      <c r="AD753" s="19" t="str">
        <f>RIGHT(SalesData[[#This Row],[Order_ID]],4)</f>
        <v>0512</v>
      </c>
      <c r="AE753" s="19" t="str">
        <f>_xlfn.CONCAT(SalesData[[#This Row],[Clean_Customer_Name]],"-",SalesData[[#This Row],[Region]])</f>
        <v>Deepak Soni-North</v>
      </c>
      <c r="AF753" s="19" t="str">
        <f>MID(SalesData[[#This Row],[Order_ID]],4,4)</f>
        <v>0512</v>
      </c>
      <c r="AG753" s="19" t="e">
        <f ca="1">_xlfn.SINGLE(_xlfn.XLOOKUP(SalesData[[#This Row],[Product]],Product_Master!A:A,Product_Master!B:B,"Not Found"))</f>
        <v>#NAME?</v>
      </c>
      <c r="AH753" s="19" t="str">
        <f>VLOOKUP(SalesData[[#This Row],[Product]],Product_Master!$A$1:$B$21,2,FALSE)</f>
        <v>Neha</v>
      </c>
      <c r="AI753" s="16"/>
    </row>
    <row r="754" spans="1:35" ht="13.8">
      <c r="A754" s="16" t="s">
        <v>817</v>
      </c>
      <c r="B754" s="17">
        <v>45463</v>
      </c>
      <c r="C754" s="16" t="s">
        <v>79</v>
      </c>
      <c r="D754" s="16" t="s">
        <v>80</v>
      </c>
      <c r="E754" s="16" t="s">
        <v>19</v>
      </c>
      <c r="F754" s="16" t="s">
        <v>20</v>
      </c>
      <c r="G754" s="16" t="s">
        <v>21</v>
      </c>
      <c r="H754" s="16" t="s">
        <v>22</v>
      </c>
      <c r="I754" s="16" t="s">
        <v>23</v>
      </c>
      <c r="J754" s="16" t="s">
        <v>24</v>
      </c>
      <c r="K754" s="18">
        <v>16191.07</v>
      </c>
      <c r="L754" s="18">
        <v>11757</v>
      </c>
      <c r="M754" s="19">
        <v>4</v>
      </c>
      <c r="N754" s="20">
        <v>0.2</v>
      </c>
      <c r="O754" s="19" t="s">
        <v>76</v>
      </c>
      <c r="P754" s="19" t="s">
        <v>26</v>
      </c>
      <c r="Q754" s="19" t="str">
        <f>TRIM(SalesData[[#This Row],[Customer_Name]])</f>
        <v>Deepak Soni</v>
      </c>
      <c r="R754" s="21">
        <f>SalesData[[#This Row],[Sales]]-SalesData[[#This Row],[Cost]]</f>
        <v>4434.07</v>
      </c>
      <c r="S754" s="22">
        <f>IFERROR(SalesData[[#This Row],[Profit]]/SalesData[[#This Row],[Sales]],0)</f>
        <v>0.27385898523074753</v>
      </c>
      <c r="T754" s="19">
        <f>YEAR(SalesData[[#This Row],[Order_Date]])</f>
        <v>2024</v>
      </c>
      <c r="U754" s="19" t="str">
        <f>TEXT(SalesData[[#This Row],[Order_Date]],"mmm")</f>
        <v>Jun</v>
      </c>
      <c r="V754" s="19" t="str">
        <f>"Q"&amp;ROUNDUP(MONTH(SalesData[[#This Row],[Order_Date]])/3,0)</f>
        <v>Q2</v>
      </c>
      <c r="W754" s="19" t="str">
        <f>IF(SalesData[[#This Row],[Sales]]&gt;=50000,"High",IF(AND(SalesData[[#This Row],[Sales]]&gt;= 20000, SalesData[[#This Row],[Sales]]&lt; 50000),"Medium","Low"))</f>
        <v>Low</v>
      </c>
      <c r="X754" s="19" t="str">
        <f>IF(SalesData[[#This Row],[Profit]]&gt;0,"Profit","Loss")</f>
        <v>Profit</v>
      </c>
      <c r="Y754" s="19" t="str">
        <f>IF(AND(SalesData[[#This Row],[Sales]]&gt;= 50000, SalesData[[#This Row],[Quantity]]&gt;=2),"Yes","No")</f>
        <v>No</v>
      </c>
      <c r="Z754" s="19" t="str">
        <f>UPPER(SalesData[[#This Row],[Customer_Name]])</f>
        <v>DEEPAK SONI</v>
      </c>
      <c r="AA754" s="19" t="str">
        <f>LOWER(SalesData[[#This Row],[Customer_Name]])</f>
        <v>deepak soni</v>
      </c>
      <c r="AB754" s="19">
        <f>LEN(SalesData[[#This Row],[Customer_Name]])</f>
        <v>11</v>
      </c>
      <c r="AC754" s="19" t="str">
        <f>LEFT(SalesData[[#This Row],[Order_ID]],3)</f>
        <v>ORD</v>
      </c>
      <c r="AD754" s="19" t="str">
        <f>RIGHT(SalesData[[#This Row],[Order_ID]],4)</f>
        <v>0664</v>
      </c>
      <c r="AE754" s="19" t="str">
        <f>_xlfn.CONCAT(SalesData[[#This Row],[Clean_Customer_Name]],"-",SalesData[[#This Row],[Region]])</f>
        <v>Deepak Soni-North</v>
      </c>
      <c r="AF754" s="19" t="str">
        <f>MID(SalesData[[#This Row],[Order_ID]],4,4)</f>
        <v>0664</v>
      </c>
      <c r="AG754" s="19" t="e">
        <f ca="1">_xlfn.SINGLE(_xlfn.XLOOKUP(SalesData[[#This Row],[Product]],Product_Master!A:A,Product_Master!B:B,"Not Found"))</f>
        <v>#NAME?</v>
      </c>
      <c r="AH754" s="19" t="str">
        <f>VLOOKUP(SalesData[[#This Row],[Product]],Product_Master!$A$1:$B$21,2,FALSE)</f>
        <v>Neha</v>
      </c>
      <c r="AI754" s="16"/>
    </row>
    <row r="755" spans="1:35" ht="13.8">
      <c r="A755" s="16" t="s">
        <v>695</v>
      </c>
      <c r="B755" s="17">
        <v>45564</v>
      </c>
      <c r="C755" s="16" t="s">
        <v>79</v>
      </c>
      <c r="D755" s="16" t="s">
        <v>80</v>
      </c>
      <c r="E755" s="16" t="s">
        <v>152</v>
      </c>
      <c r="F755" s="16" t="s">
        <v>153</v>
      </c>
      <c r="G755" s="16" t="s">
        <v>21</v>
      </c>
      <c r="H755" s="16" t="s">
        <v>32</v>
      </c>
      <c r="I755" s="16" t="s">
        <v>23</v>
      </c>
      <c r="J755" s="16" t="s">
        <v>24</v>
      </c>
      <c r="K755" s="18">
        <v>46625.35</v>
      </c>
      <c r="L755" s="18">
        <v>29256.880000000001</v>
      </c>
      <c r="M755" s="19">
        <v>4</v>
      </c>
      <c r="N755" s="20">
        <v>0.05</v>
      </c>
      <c r="O755" s="19" t="s">
        <v>44</v>
      </c>
      <c r="P755" s="19" t="s">
        <v>26</v>
      </c>
      <c r="Q755" s="19" t="str">
        <f>TRIM(SalesData[[#This Row],[Customer_Name]])</f>
        <v>Deepak Soni</v>
      </c>
      <c r="R755" s="21">
        <f>SalesData[[#This Row],[Sales]]-SalesData[[#This Row],[Cost]]</f>
        <v>17368.469999999998</v>
      </c>
      <c r="S755" s="22">
        <f>IFERROR(SalesData[[#This Row],[Profit]]/SalesData[[#This Row],[Sales]],0)</f>
        <v>0.37251130554515943</v>
      </c>
      <c r="T755" s="19">
        <f>YEAR(SalesData[[#This Row],[Order_Date]])</f>
        <v>2024</v>
      </c>
      <c r="U755" s="19" t="str">
        <f>TEXT(SalesData[[#This Row],[Order_Date]],"mmm")</f>
        <v>Sept</v>
      </c>
      <c r="V755" s="19" t="str">
        <f>"Q"&amp;ROUNDUP(MONTH(SalesData[[#This Row],[Order_Date]])/3,0)</f>
        <v>Q3</v>
      </c>
      <c r="W755" s="19" t="str">
        <f>IF(SalesData[[#This Row],[Sales]]&gt;=50000,"High",IF(AND(SalesData[[#This Row],[Sales]]&gt;= 20000, SalesData[[#This Row],[Sales]]&lt; 50000),"Medium","Low"))</f>
        <v>Medium</v>
      </c>
      <c r="X755" s="19" t="str">
        <f>IF(SalesData[[#This Row],[Profit]]&gt;0,"Profit","Loss")</f>
        <v>Profit</v>
      </c>
      <c r="Y755" s="19" t="str">
        <f>IF(AND(SalesData[[#This Row],[Sales]]&gt;= 50000, SalesData[[#This Row],[Quantity]]&gt;=2),"Yes","No")</f>
        <v>No</v>
      </c>
      <c r="Z755" s="19" t="str">
        <f>UPPER(SalesData[[#This Row],[Customer_Name]])</f>
        <v>DEEPAK SONI</v>
      </c>
      <c r="AA755" s="19" t="str">
        <f>LOWER(SalesData[[#This Row],[Customer_Name]])</f>
        <v>deepak soni</v>
      </c>
      <c r="AB755" s="19">
        <f>LEN(SalesData[[#This Row],[Customer_Name]])</f>
        <v>11</v>
      </c>
      <c r="AC755" s="19" t="str">
        <f>LEFT(SalesData[[#This Row],[Order_ID]],3)</f>
        <v>ORD</v>
      </c>
      <c r="AD755" s="19" t="str">
        <f>RIGHT(SalesData[[#This Row],[Order_ID]],4)</f>
        <v>0542</v>
      </c>
      <c r="AE755" s="19" t="str">
        <f>_xlfn.CONCAT(SalesData[[#This Row],[Clean_Customer_Name]],"-",SalesData[[#This Row],[Region]])</f>
        <v>Deepak Soni-North</v>
      </c>
      <c r="AF755" s="19" t="str">
        <f>MID(SalesData[[#This Row],[Order_ID]],4,4)</f>
        <v>0542</v>
      </c>
      <c r="AG755" s="19" t="e">
        <f ca="1">_xlfn.SINGLE(_xlfn.XLOOKUP(SalesData[[#This Row],[Product]],Product_Master!A:A,Product_Master!B:B,"Not Found"))</f>
        <v>#NAME?</v>
      </c>
      <c r="AH755" s="19" t="str">
        <f>VLOOKUP(SalesData[[#This Row],[Product]],Product_Master!$A$1:$B$21,2,FALSE)</f>
        <v>Simran</v>
      </c>
      <c r="AI755" s="16"/>
    </row>
    <row r="756" spans="1:35" ht="13.8">
      <c r="A756" s="16" t="s">
        <v>116</v>
      </c>
      <c r="B756" s="17">
        <v>45835</v>
      </c>
      <c r="C756" s="16" t="s">
        <v>79</v>
      </c>
      <c r="D756" s="16" t="s">
        <v>80</v>
      </c>
      <c r="E756" s="16" t="s">
        <v>117</v>
      </c>
      <c r="F756" s="16" t="s">
        <v>118</v>
      </c>
      <c r="G756" s="16" t="s">
        <v>51</v>
      </c>
      <c r="H756" s="16" t="s">
        <v>119</v>
      </c>
      <c r="I756" s="16" t="s">
        <v>56</v>
      </c>
      <c r="J756" s="16" t="s">
        <v>57</v>
      </c>
      <c r="K756" s="18">
        <v>7952.09</v>
      </c>
      <c r="L756" s="18">
        <v>4589.05</v>
      </c>
      <c r="M756" s="19">
        <v>1</v>
      </c>
      <c r="N756" s="20">
        <v>0</v>
      </c>
      <c r="O756" s="19" t="s">
        <v>44</v>
      </c>
      <c r="P756" s="19" t="s">
        <v>45</v>
      </c>
      <c r="Q756" s="19" t="str">
        <f>TRIM(SalesData[[#This Row],[Customer_Name]])</f>
        <v>Deepak Soni</v>
      </c>
      <c r="R756" s="21">
        <f>SalesData[[#This Row],[Sales]]-SalesData[[#This Row],[Cost]]</f>
        <v>3363.04</v>
      </c>
      <c r="S756" s="22">
        <f>IFERROR(SalesData[[#This Row],[Profit]]/SalesData[[#This Row],[Sales]],0)</f>
        <v>0.42291271854317541</v>
      </c>
      <c r="T756" s="19">
        <f>YEAR(SalesData[[#This Row],[Order_Date]])</f>
        <v>2025</v>
      </c>
      <c r="U756" s="19" t="str">
        <f>TEXT(SalesData[[#This Row],[Order_Date]],"mmm")</f>
        <v>Jun</v>
      </c>
      <c r="V756" s="19" t="str">
        <f>"Q"&amp;ROUNDUP(MONTH(SalesData[[#This Row],[Order_Date]])/3,0)</f>
        <v>Q2</v>
      </c>
      <c r="W756" s="19" t="str">
        <f>IF(SalesData[[#This Row],[Sales]]&gt;=50000,"High",IF(AND(SalesData[[#This Row],[Sales]]&gt;= 20000, SalesData[[#This Row],[Sales]]&lt; 50000),"Medium","Low"))</f>
        <v>Low</v>
      </c>
      <c r="X756" s="19" t="str">
        <f>IF(SalesData[[#This Row],[Profit]]&gt;0,"Profit","Loss")</f>
        <v>Profit</v>
      </c>
      <c r="Y756" s="19" t="str">
        <f>IF(AND(SalesData[[#This Row],[Sales]]&gt;= 50000, SalesData[[#This Row],[Quantity]]&gt;=2),"Yes","No")</f>
        <v>No</v>
      </c>
      <c r="Z756" s="19" t="str">
        <f>UPPER(SalesData[[#This Row],[Customer_Name]])</f>
        <v>DEEPAK SONI</v>
      </c>
      <c r="AA756" s="19" t="str">
        <f>LOWER(SalesData[[#This Row],[Customer_Name]])</f>
        <v>deepak soni</v>
      </c>
      <c r="AB756" s="19">
        <f>LEN(SalesData[[#This Row],[Customer_Name]])</f>
        <v>11</v>
      </c>
      <c r="AC756" s="19" t="str">
        <f>LEFT(SalesData[[#This Row],[Order_ID]],3)</f>
        <v>ORD</v>
      </c>
      <c r="AD756" s="19" t="str">
        <f>RIGHT(SalesData[[#This Row],[Order_ID]],4)</f>
        <v>0016</v>
      </c>
      <c r="AE756" s="19" t="str">
        <f>_xlfn.CONCAT(SalesData[[#This Row],[Clean_Customer_Name]],"-",SalesData[[#This Row],[Region]])</f>
        <v>Deepak Soni-West</v>
      </c>
      <c r="AF756" s="19" t="str">
        <f>MID(SalesData[[#This Row],[Order_ID]],4,4)</f>
        <v>0016</v>
      </c>
      <c r="AG756" s="19" t="e">
        <f ca="1">_xlfn.SINGLE(_xlfn.XLOOKUP(SalesData[[#This Row],[Product]],Product_Master!A:A,Product_Master!B:B,"Not Found"))</f>
        <v>#NAME?</v>
      </c>
      <c r="AH756" s="19" t="str">
        <f>VLOOKUP(SalesData[[#This Row],[Product]],Product_Master!$A$1:$B$21,2,FALSE)</f>
        <v>Karan</v>
      </c>
      <c r="AI756" s="16"/>
    </row>
    <row r="757" spans="1:35" ht="13.8">
      <c r="A757" s="16" t="s">
        <v>216</v>
      </c>
      <c r="B757" s="17">
        <v>45402</v>
      </c>
      <c r="C757" s="16" t="s">
        <v>79</v>
      </c>
      <c r="D757" s="16" t="s">
        <v>80</v>
      </c>
      <c r="E757" s="16" t="s">
        <v>117</v>
      </c>
      <c r="F757" s="16" t="s">
        <v>118</v>
      </c>
      <c r="G757" s="16" t="s">
        <v>51</v>
      </c>
      <c r="H757" s="16" t="s">
        <v>119</v>
      </c>
      <c r="I757" s="16" t="s">
        <v>84</v>
      </c>
      <c r="J757" s="16" t="s">
        <v>142</v>
      </c>
      <c r="K757" s="18">
        <v>29321.9</v>
      </c>
      <c r="L757" s="18">
        <v>20365.55</v>
      </c>
      <c r="M757" s="19">
        <v>5</v>
      </c>
      <c r="N757" s="20">
        <v>0.15</v>
      </c>
      <c r="O757" s="19" t="s">
        <v>136</v>
      </c>
      <c r="P757" s="19" t="s">
        <v>58</v>
      </c>
      <c r="Q757" s="19" t="str">
        <f>TRIM(SalesData[[#This Row],[Customer_Name]])</f>
        <v>Deepak Soni</v>
      </c>
      <c r="R757" s="21">
        <f>SalesData[[#This Row],[Sales]]-SalesData[[#This Row],[Cost]]</f>
        <v>8956.3500000000022</v>
      </c>
      <c r="S757" s="22">
        <f>IFERROR(SalesData[[#This Row],[Profit]]/SalesData[[#This Row],[Sales]],0)</f>
        <v>0.30544916939216088</v>
      </c>
      <c r="T757" s="19">
        <f>YEAR(SalesData[[#This Row],[Order_Date]])</f>
        <v>2024</v>
      </c>
      <c r="U757" s="19" t="str">
        <f>TEXT(SalesData[[#This Row],[Order_Date]],"mmm")</f>
        <v>Apr</v>
      </c>
      <c r="V757" s="19" t="str">
        <f>"Q"&amp;ROUNDUP(MONTH(SalesData[[#This Row],[Order_Date]])/3,0)</f>
        <v>Q2</v>
      </c>
      <c r="W757" s="19" t="str">
        <f>IF(SalesData[[#This Row],[Sales]]&gt;=50000,"High",IF(AND(SalesData[[#This Row],[Sales]]&gt;= 20000, SalesData[[#This Row],[Sales]]&lt; 50000),"Medium","Low"))</f>
        <v>Medium</v>
      </c>
      <c r="X757" s="19" t="str">
        <f>IF(SalesData[[#This Row],[Profit]]&gt;0,"Profit","Loss")</f>
        <v>Profit</v>
      </c>
      <c r="Y757" s="19" t="str">
        <f>IF(AND(SalesData[[#This Row],[Sales]]&gt;= 50000, SalesData[[#This Row],[Quantity]]&gt;=2),"Yes","No")</f>
        <v>No</v>
      </c>
      <c r="Z757" s="19" t="str">
        <f>UPPER(SalesData[[#This Row],[Customer_Name]])</f>
        <v>DEEPAK SONI</v>
      </c>
      <c r="AA757" s="19" t="str">
        <f>LOWER(SalesData[[#This Row],[Customer_Name]])</f>
        <v>deepak soni</v>
      </c>
      <c r="AB757" s="19">
        <f>LEN(SalesData[[#This Row],[Customer_Name]])</f>
        <v>11</v>
      </c>
      <c r="AC757" s="19" t="str">
        <f>LEFT(SalesData[[#This Row],[Order_ID]],3)</f>
        <v>ORD</v>
      </c>
      <c r="AD757" s="19" t="str">
        <f>RIGHT(SalesData[[#This Row],[Order_ID]],4)</f>
        <v>0067</v>
      </c>
      <c r="AE757" s="19" t="str">
        <f>_xlfn.CONCAT(SalesData[[#This Row],[Clean_Customer_Name]],"-",SalesData[[#This Row],[Region]])</f>
        <v>Deepak Soni-South</v>
      </c>
      <c r="AF757" s="19" t="str">
        <f>MID(SalesData[[#This Row],[Order_ID]],4,4)</f>
        <v>0067</v>
      </c>
      <c r="AG757" s="19" t="e">
        <f ca="1">_xlfn.SINGLE(_xlfn.XLOOKUP(SalesData[[#This Row],[Product]],Product_Master!A:A,Product_Master!B:B,"Not Found"))</f>
        <v>#NAME?</v>
      </c>
      <c r="AH757" s="19" t="str">
        <f>VLOOKUP(SalesData[[#This Row],[Product]],Product_Master!$A$1:$B$21,2,FALSE)</f>
        <v>Karan</v>
      </c>
      <c r="AI757" s="16"/>
    </row>
    <row r="758" spans="1:35" ht="13.8">
      <c r="A758" s="16" t="s">
        <v>599</v>
      </c>
      <c r="B758" s="17">
        <v>45991</v>
      </c>
      <c r="C758" s="16" t="s">
        <v>79</v>
      </c>
      <c r="D758" s="16" t="s">
        <v>80</v>
      </c>
      <c r="E758" s="16" t="s">
        <v>117</v>
      </c>
      <c r="F758" s="16" t="s">
        <v>118</v>
      </c>
      <c r="G758" s="16" t="s">
        <v>51</v>
      </c>
      <c r="H758" s="16" t="s">
        <v>119</v>
      </c>
      <c r="I758" s="16" t="s">
        <v>84</v>
      </c>
      <c r="J758" s="16" t="s">
        <v>142</v>
      </c>
      <c r="K758" s="18">
        <v>14606.24</v>
      </c>
      <c r="L758" s="18">
        <v>12545.37</v>
      </c>
      <c r="M758" s="19">
        <v>3</v>
      </c>
      <c r="N758" s="20">
        <v>0.1</v>
      </c>
      <c r="O758" s="19" t="s">
        <v>76</v>
      </c>
      <c r="P758" s="19" t="s">
        <v>58</v>
      </c>
      <c r="Q758" s="19" t="str">
        <f>TRIM(SalesData[[#This Row],[Customer_Name]])</f>
        <v>Deepak Soni</v>
      </c>
      <c r="R758" s="21">
        <f>SalesData[[#This Row],[Sales]]-SalesData[[#This Row],[Cost]]</f>
        <v>2060.869999999999</v>
      </c>
      <c r="S758" s="22">
        <f>IFERROR(SalesData[[#This Row],[Profit]]/SalesData[[#This Row],[Sales]],0)</f>
        <v>0.14109517576049682</v>
      </c>
      <c r="T758" s="19">
        <f>YEAR(SalesData[[#This Row],[Order_Date]])</f>
        <v>2025</v>
      </c>
      <c r="U758" s="19" t="str">
        <f>TEXT(SalesData[[#This Row],[Order_Date]],"mmm")</f>
        <v>Nov</v>
      </c>
      <c r="V758" s="19" t="str">
        <f>"Q"&amp;ROUNDUP(MONTH(SalesData[[#This Row],[Order_Date]])/3,0)</f>
        <v>Q4</v>
      </c>
      <c r="W758" s="19" t="str">
        <f>IF(SalesData[[#This Row],[Sales]]&gt;=50000,"High",IF(AND(SalesData[[#This Row],[Sales]]&gt;= 20000, SalesData[[#This Row],[Sales]]&lt; 50000),"Medium","Low"))</f>
        <v>Low</v>
      </c>
      <c r="X758" s="19" t="str">
        <f>IF(SalesData[[#This Row],[Profit]]&gt;0,"Profit","Loss")</f>
        <v>Profit</v>
      </c>
      <c r="Y758" s="19" t="str">
        <f>IF(AND(SalesData[[#This Row],[Sales]]&gt;= 50000, SalesData[[#This Row],[Quantity]]&gt;=2),"Yes","No")</f>
        <v>No</v>
      </c>
      <c r="Z758" s="19" t="str">
        <f>UPPER(SalesData[[#This Row],[Customer_Name]])</f>
        <v>DEEPAK SONI</v>
      </c>
      <c r="AA758" s="19" t="str">
        <f>LOWER(SalesData[[#This Row],[Customer_Name]])</f>
        <v>deepak soni</v>
      </c>
      <c r="AB758" s="19">
        <f>LEN(SalesData[[#This Row],[Customer_Name]])</f>
        <v>11</v>
      </c>
      <c r="AC758" s="19" t="str">
        <f>LEFT(SalesData[[#This Row],[Order_ID]],3)</f>
        <v>ORD</v>
      </c>
      <c r="AD758" s="19" t="str">
        <f>RIGHT(SalesData[[#This Row],[Order_ID]],4)</f>
        <v>0446</v>
      </c>
      <c r="AE758" s="19" t="str">
        <f>_xlfn.CONCAT(SalesData[[#This Row],[Clean_Customer_Name]],"-",SalesData[[#This Row],[Region]])</f>
        <v>Deepak Soni-South</v>
      </c>
      <c r="AF758" s="19" t="str">
        <f>MID(SalesData[[#This Row],[Order_ID]],4,4)</f>
        <v>0446</v>
      </c>
      <c r="AG758" s="19" t="e">
        <f ca="1">_xlfn.SINGLE(_xlfn.XLOOKUP(SalesData[[#This Row],[Product]],Product_Master!A:A,Product_Master!B:B,"Not Found"))</f>
        <v>#NAME?</v>
      </c>
      <c r="AH758" s="19" t="str">
        <f>VLOOKUP(SalesData[[#This Row],[Product]],Product_Master!$A$1:$B$21,2,FALSE)</f>
        <v>Karan</v>
      </c>
      <c r="AI758" s="16"/>
    </row>
    <row r="759" spans="1:35" ht="13.8">
      <c r="A759" s="16" t="s">
        <v>843</v>
      </c>
      <c r="B759" s="17">
        <v>45790</v>
      </c>
      <c r="C759" s="16" t="s">
        <v>79</v>
      </c>
      <c r="D759" s="16" t="s">
        <v>80</v>
      </c>
      <c r="E759" s="16" t="s">
        <v>117</v>
      </c>
      <c r="F759" s="16" t="s">
        <v>118</v>
      </c>
      <c r="G759" s="16" t="s">
        <v>51</v>
      </c>
      <c r="H759" s="16" t="s">
        <v>119</v>
      </c>
      <c r="I759" s="16" t="s">
        <v>23</v>
      </c>
      <c r="J759" s="16" t="s">
        <v>24</v>
      </c>
      <c r="K759" s="18">
        <v>6109.3</v>
      </c>
      <c r="L759" s="18">
        <v>4055.71</v>
      </c>
      <c r="M759" s="19">
        <v>1</v>
      </c>
      <c r="N759" s="20">
        <v>0</v>
      </c>
      <c r="O759" s="19" t="s">
        <v>34</v>
      </c>
      <c r="P759" s="19" t="s">
        <v>45</v>
      </c>
      <c r="Q759" s="19" t="str">
        <f>TRIM(SalesData[[#This Row],[Customer_Name]])</f>
        <v>Deepak Soni</v>
      </c>
      <c r="R759" s="21">
        <f>SalesData[[#This Row],[Sales]]-SalesData[[#This Row],[Cost]]</f>
        <v>2053.59</v>
      </c>
      <c r="S759" s="22">
        <f>IFERROR(SalesData[[#This Row],[Profit]]/SalesData[[#This Row],[Sales]],0)</f>
        <v>0.33614162015288168</v>
      </c>
      <c r="T759" s="19">
        <f>YEAR(SalesData[[#This Row],[Order_Date]])</f>
        <v>2025</v>
      </c>
      <c r="U759" s="19" t="str">
        <f>TEXT(SalesData[[#This Row],[Order_Date]],"mmm")</f>
        <v>May</v>
      </c>
      <c r="V759" s="19" t="str">
        <f>"Q"&amp;ROUNDUP(MONTH(SalesData[[#This Row],[Order_Date]])/3,0)</f>
        <v>Q2</v>
      </c>
      <c r="W759" s="19" t="str">
        <f>IF(SalesData[[#This Row],[Sales]]&gt;=50000,"High",IF(AND(SalesData[[#This Row],[Sales]]&gt;= 20000, SalesData[[#This Row],[Sales]]&lt; 50000),"Medium","Low"))</f>
        <v>Low</v>
      </c>
      <c r="X759" s="19" t="str">
        <f>IF(SalesData[[#This Row],[Profit]]&gt;0,"Profit","Loss")</f>
        <v>Profit</v>
      </c>
      <c r="Y759" s="19" t="str">
        <f>IF(AND(SalesData[[#This Row],[Sales]]&gt;= 50000, SalesData[[#This Row],[Quantity]]&gt;=2),"Yes","No")</f>
        <v>No</v>
      </c>
      <c r="Z759" s="19" t="str">
        <f>UPPER(SalesData[[#This Row],[Customer_Name]])</f>
        <v>DEEPAK SONI</v>
      </c>
      <c r="AA759" s="19" t="str">
        <f>LOWER(SalesData[[#This Row],[Customer_Name]])</f>
        <v>deepak soni</v>
      </c>
      <c r="AB759" s="19">
        <f>LEN(SalesData[[#This Row],[Customer_Name]])</f>
        <v>11</v>
      </c>
      <c r="AC759" s="19" t="str">
        <f>LEFT(SalesData[[#This Row],[Order_ID]],3)</f>
        <v>ORD</v>
      </c>
      <c r="AD759" s="19" t="str">
        <f>RIGHT(SalesData[[#This Row],[Order_ID]],4)</f>
        <v>0690</v>
      </c>
      <c r="AE759" s="19" t="str">
        <f>_xlfn.CONCAT(SalesData[[#This Row],[Clean_Customer_Name]],"-",SalesData[[#This Row],[Region]])</f>
        <v>Deepak Soni-North</v>
      </c>
      <c r="AF759" s="19" t="str">
        <f>MID(SalesData[[#This Row],[Order_ID]],4,4)</f>
        <v>0690</v>
      </c>
      <c r="AG759" s="19" t="e">
        <f ca="1">_xlfn.SINGLE(_xlfn.XLOOKUP(SalesData[[#This Row],[Product]],Product_Master!A:A,Product_Master!B:B,"Not Found"))</f>
        <v>#NAME?</v>
      </c>
      <c r="AH759" s="19" t="str">
        <f>VLOOKUP(SalesData[[#This Row],[Product]],Product_Master!$A$1:$B$21,2,FALSE)</f>
        <v>Karan</v>
      </c>
      <c r="AI759" s="16"/>
    </row>
    <row r="760" spans="1:35" ht="13.8">
      <c r="A760" s="16" t="s">
        <v>894</v>
      </c>
      <c r="B760" s="17">
        <v>45388</v>
      </c>
      <c r="C760" s="16" t="s">
        <v>79</v>
      </c>
      <c r="D760" s="16" t="s">
        <v>80</v>
      </c>
      <c r="E760" s="16" t="s">
        <v>117</v>
      </c>
      <c r="F760" s="16" t="s">
        <v>118</v>
      </c>
      <c r="G760" s="16" t="s">
        <v>51</v>
      </c>
      <c r="H760" s="16" t="s">
        <v>119</v>
      </c>
      <c r="I760" s="16" t="s">
        <v>53</v>
      </c>
      <c r="J760" s="16" t="s">
        <v>54</v>
      </c>
      <c r="K760" s="18">
        <v>37262.39</v>
      </c>
      <c r="L760" s="18">
        <v>23636.85</v>
      </c>
      <c r="M760" s="19">
        <v>5</v>
      </c>
      <c r="N760" s="20">
        <v>0.1</v>
      </c>
      <c r="O760" s="19" t="s">
        <v>44</v>
      </c>
      <c r="P760" s="19" t="s">
        <v>45</v>
      </c>
      <c r="Q760" s="19" t="str">
        <f>TRIM(SalesData[[#This Row],[Customer_Name]])</f>
        <v>Deepak Soni</v>
      </c>
      <c r="R760" s="21">
        <f>SalesData[[#This Row],[Sales]]-SalesData[[#This Row],[Cost]]</f>
        <v>13625.54</v>
      </c>
      <c r="S760" s="22">
        <f>IFERROR(SalesData[[#This Row],[Profit]]/SalesData[[#This Row],[Sales]],0)</f>
        <v>0.36566468227078297</v>
      </c>
      <c r="T760" s="19">
        <f>YEAR(SalesData[[#This Row],[Order_Date]])</f>
        <v>2024</v>
      </c>
      <c r="U760" s="19" t="str">
        <f>TEXT(SalesData[[#This Row],[Order_Date]],"mmm")</f>
        <v>Apr</v>
      </c>
      <c r="V760" s="19" t="str">
        <f>"Q"&amp;ROUNDUP(MONTH(SalesData[[#This Row],[Order_Date]])/3,0)</f>
        <v>Q2</v>
      </c>
      <c r="W760" s="19" t="str">
        <f>IF(SalesData[[#This Row],[Sales]]&gt;=50000,"High",IF(AND(SalesData[[#This Row],[Sales]]&gt;= 20000, SalesData[[#This Row],[Sales]]&lt; 50000),"Medium","Low"))</f>
        <v>Medium</v>
      </c>
      <c r="X760" s="19" t="str">
        <f>IF(SalesData[[#This Row],[Profit]]&gt;0,"Profit","Loss")</f>
        <v>Profit</v>
      </c>
      <c r="Y760" s="19" t="str">
        <f>IF(AND(SalesData[[#This Row],[Sales]]&gt;= 50000, SalesData[[#This Row],[Quantity]]&gt;=2),"Yes","No")</f>
        <v>No</v>
      </c>
      <c r="Z760" s="19" t="str">
        <f>UPPER(SalesData[[#This Row],[Customer_Name]])</f>
        <v>DEEPAK SONI</v>
      </c>
      <c r="AA760" s="19" t="str">
        <f>LOWER(SalesData[[#This Row],[Customer_Name]])</f>
        <v>deepak soni</v>
      </c>
      <c r="AB760" s="19">
        <f>LEN(SalesData[[#This Row],[Customer_Name]])</f>
        <v>11</v>
      </c>
      <c r="AC760" s="19" t="str">
        <f>LEFT(SalesData[[#This Row],[Order_ID]],3)</f>
        <v>ORD</v>
      </c>
      <c r="AD760" s="19" t="str">
        <f>RIGHT(SalesData[[#This Row],[Order_ID]],4)</f>
        <v>0741</v>
      </c>
      <c r="AE760" s="19" t="str">
        <f>_xlfn.CONCAT(SalesData[[#This Row],[Clean_Customer_Name]],"-",SalesData[[#This Row],[Region]])</f>
        <v>Deepak Soni-Central</v>
      </c>
      <c r="AF760" s="19" t="str">
        <f>MID(SalesData[[#This Row],[Order_ID]],4,4)</f>
        <v>0741</v>
      </c>
      <c r="AG760" s="19" t="e">
        <f ca="1">_xlfn.SINGLE(_xlfn.XLOOKUP(SalesData[[#This Row],[Product]],Product_Master!A:A,Product_Master!B:B,"Not Found"))</f>
        <v>#NAME?</v>
      </c>
      <c r="AH760" s="19" t="str">
        <f>VLOOKUP(SalesData[[#This Row],[Product]],Product_Master!$A$1:$B$21,2,FALSE)</f>
        <v>Karan</v>
      </c>
      <c r="AI760" s="16"/>
    </row>
    <row r="761" spans="1:35" ht="13.8">
      <c r="A761" s="16" t="s">
        <v>603</v>
      </c>
      <c r="B761" s="17">
        <v>45751</v>
      </c>
      <c r="C761" s="16" t="s">
        <v>79</v>
      </c>
      <c r="D761" s="16" t="s">
        <v>80</v>
      </c>
      <c r="E761" s="16" t="s">
        <v>49</v>
      </c>
      <c r="F761" s="16" t="s">
        <v>50</v>
      </c>
      <c r="G761" s="16" t="s">
        <v>51</v>
      </c>
      <c r="H761" s="16" t="s">
        <v>52</v>
      </c>
      <c r="I761" s="16" t="s">
        <v>84</v>
      </c>
      <c r="J761" s="16" t="s">
        <v>142</v>
      </c>
      <c r="K761" s="18">
        <v>16333.54</v>
      </c>
      <c r="L761" s="18">
        <v>15353.66</v>
      </c>
      <c r="M761" s="19">
        <v>2</v>
      </c>
      <c r="N761" s="20">
        <v>0.05</v>
      </c>
      <c r="O761" s="19" t="s">
        <v>34</v>
      </c>
      <c r="P761" s="19" t="s">
        <v>58</v>
      </c>
      <c r="Q761" s="19" t="str">
        <f>TRIM(SalesData[[#This Row],[Customer_Name]])</f>
        <v>Deepak Soni</v>
      </c>
      <c r="R761" s="21">
        <f>SalesData[[#This Row],[Sales]]-SalesData[[#This Row],[Cost]]</f>
        <v>979.88000000000102</v>
      </c>
      <c r="S761" s="22">
        <f>IFERROR(SalesData[[#This Row],[Profit]]/SalesData[[#This Row],[Sales]],0)</f>
        <v>5.9991893980117048E-2</v>
      </c>
      <c r="T761" s="19">
        <f>YEAR(SalesData[[#This Row],[Order_Date]])</f>
        <v>2025</v>
      </c>
      <c r="U761" s="19" t="str">
        <f>TEXT(SalesData[[#This Row],[Order_Date]],"mmm")</f>
        <v>Apr</v>
      </c>
      <c r="V761" s="19" t="str">
        <f>"Q"&amp;ROUNDUP(MONTH(SalesData[[#This Row],[Order_Date]])/3,0)</f>
        <v>Q2</v>
      </c>
      <c r="W761" s="19" t="str">
        <f>IF(SalesData[[#This Row],[Sales]]&gt;=50000,"High",IF(AND(SalesData[[#This Row],[Sales]]&gt;= 20000, SalesData[[#This Row],[Sales]]&lt; 50000),"Medium","Low"))</f>
        <v>Low</v>
      </c>
      <c r="X761" s="19" t="str">
        <f>IF(SalesData[[#This Row],[Profit]]&gt;0,"Profit","Loss")</f>
        <v>Profit</v>
      </c>
      <c r="Y761" s="19" t="str">
        <f>IF(AND(SalesData[[#This Row],[Sales]]&gt;= 50000, SalesData[[#This Row],[Quantity]]&gt;=2),"Yes","No")</f>
        <v>No</v>
      </c>
      <c r="Z761" s="19" t="str">
        <f>UPPER(SalesData[[#This Row],[Customer_Name]])</f>
        <v>DEEPAK SONI</v>
      </c>
      <c r="AA761" s="19" t="str">
        <f>LOWER(SalesData[[#This Row],[Customer_Name]])</f>
        <v>deepak soni</v>
      </c>
      <c r="AB761" s="19">
        <f>LEN(SalesData[[#This Row],[Customer_Name]])</f>
        <v>11</v>
      </c>
      <c r="AC761" s="19" t="str">
        <f>LEFT(SalesData[[#This Row],[Order_ID]],3)</f>
        <v>ORD</v>
      </c>
      <c r="AD761" s="19" t="str">
        <f>RIGHT(SalesData[[#This Row],[Order_ID]],4)</f>
        <v>0450</v>
      </c>
      <c r="AE761" s="19" t="str">
        <f>_xlfn.CONCAT(SalesData[[#This Row],[Clean_Customer_Name]],"-",SalesData[[#This Row],[Region]])</f>
        <v>Deepak Soni-South</v>
      </c>
      <c r="AF761" s="19" t="str">
        <f>MID(SalesData[[#This Row],[Order_ID]],4,4)</f>
        <v>0450</v>
      </c>
      <c r="AG761" s="19" t="e">
        <f ca="1">_xlfn.SINGLE(_xlfn.XLOOKUP(SalesData[[#This Row],[Product]],Product_Master!A:A,Product_Master!B:B,"Not Found"))</f>
        <v>#NAME?</v>
      </c>
      <c r="AH761" s="19" t="str">
        <f>VLOOKUP(SalesData[[#This Row],[Product]],Product_Master!$A$1:$B$21,2,FALSE)</f>
        <v>Rohan</v>
      </c>
      <c r="AI761" s="16"/>
    </row>
    <row r="762" spans="1:35" ht="13.8">
      <c r="A762" s="16" t="s">
        <v>174</v>
      </c>
      <c r="B762" s="17">
        <v>45948</v>
      </c>
      <c r="C762" s="16" t="s">
        <v>79</v>
      </c>
      <c r="D762" s="16" t="s">
        <v>80</v>
      </c>
      <c r="E762" s="16" t="s">
        <v>175</v>
      </c>
      <c r="F762" s="16" t="s">
        <v>176</v>
      </c>
      <c r="G762" s="16" t="s">
        <v>51</v>
      </c>
      <c r="H762" s="16" t="s">
        <v>177</v>
      </c>
      <c r="I762" s="16" t="s">
        <v>84</v>
      </c>
      <c r="J762" s="16" t="s">
        <v>134</v>
      </c>
      <c r="K762" s="18">
        <v>126938.36</v>
      </c>
      <c r="L762" s="18">
        <v>78394.850000000006</v>
      </c>
      <c r="M762" s="19">
        <v>5</v>
      </c>
      <c r="N762" s="20">
        <v>0.2</v>
      </c>
      <c r="O762" s="19" t="s">
        <v>44</v>
      </c>
      <c r="P762" s="19" t="s">
        <v>58</v>
      </c>
      <c r="Q762" s="19" t="str">
        <f>TRIM(SalesData[[#This Row],[Customer_Name]])</f>
        <v>Deepak Soni</v>
      </c>
      <c r="R762" s="21">
        <f>SalesData[[#This Row],[Sales]]-SalesData[[#This Row],[Cost]]</f>
        <v>48543.509999999995</v>
      </c>
      <c r="S762" s="22">
        <f>IFERROR(SalesData[[#This Row],[Profit]]/SalesData[[#This Row],[Sales]],0)</f>
        <v>0.38241797042280989</v>
      </c>
      <c r="T762" s="19">
        <f>YEAR(SalesData[[#This Row],[Order_Date]])</f>
        <v>2025</v>
      </c>
      <c r="U762" s="19" t="str">
        <f>TEXT(SalesData[[#This Row],[Order_Date]],"mmm")</f>
        <v>Oct</v>
      </c>
      <c r="V762" s="19" t="str">
        <f>"Q"&amp;ROUNDUP(MONTH(SalesData[[#This Row],[Order_Date]])/3,0)</f>
        <v>Q4</v>
      </c>
      <c r="W762" s="19" t="str">
        <f>IF(SalesData[[#This Row],[Sales]]&gt;=50000,"High",IF(AND(SalesData[[#This Row],[Sales]]&gt;= 20000, SalesData[[#This Row],[Sales]]&lt; 50000),"Medium","Low"))</f>
        <v>High</v>
      </c>
      <c r="X762" s="19" t="str">
        <f>IF(SalesData[[#This Row],[Profit]]&gt;0,"Profit","Loss")</f>
        <v>Profit</v>
      </c>
      <c r="Y762" s="19" t="str">
        <f>IF(AND(SalesData[[#This Row],[Sales]]&gt;= 50000, SalesData[[#This Row],[Quantity]]&gt;=2),"Yes","No")</f>
        <v>Yes</v>
      </c>
      <c r="Z762" s="19" t="str">
        <f>UPPER(SalesData[[#This Row],[Customer_Name]])</f>
        <v>DEEPAK SONI</v>
      </c>
      <c r="AA762" s="19" t="str">
        <f>LOWER(SalesData[[#This Row],[Customer_Name]])</f>
        <v>deepak soni</v>
      </c>
      <c r="AB762" s="19">
        <f>LEN(SalesData[[#This Row],[Customer_Name]])</f>
        <v>11</v>
      </c>
      <c r="AC762" s="19" t="str">
        <f>LEFT(SalesData[[#This Row],[Order_ID]],3)</f>
        <v>ORD</v>
      </c>
      <c r="AD762" s="19" t="str">
        <f>RIGHT(SalesData[[#This Row],[Order_ID]],4)</f>
        <v>0044</v>
      </c>
      <c r="AE762" s="19" t="str">
        <f>_xlfn.CONCAT(SalesData[[#This Row],[Clean_Customer_Name]],"-",SalesData[[#This Row],[Region]])</f>
        <v>Deepak Soni-South</v>
      </c>
      <c r="AF762" s="19" t="str">
        <f>MID(SalesData[[#This Row],[Order_ID]],4,4)</f>
        <v>0044</v>
      </c>
      <c r="AG762" s="19" t="e">
        <f ca="1">_xlfn.SINGLE(_xlfn.XLOOKUP(SalesData[[#This Row],[Product]],Product_Master!A:A,Product_Master!B:B,"Not Found"))</f>
        <v>#NAME?</v>
      </c>
      <c r="AH762" s="19" t="str">
        <f>VLOOKUP(SalesData[[#This Row],[Product]],Product_Master!$A$1:$B$21,2,FALSE)</f>
        <v>Arjun</v>
      </c>
      <c r="AI762" s="16"/>
    </row>
    <row r="763" spans="1:35" ht="13.8">
      <c r="A763" s="16" t="s">
        <v>509</v>
      </c>
      <c r="B763" s="17">
        <v>45775</v>
      </c>
      <c r="C763" s="16" t="s">
        <v>79</v>
      </c>
      <c r="D763" s="16" t="s">
        <v>80</v>
      </c>
      <c r="E763" s="16" t="s">
        <v>175</v>
      </c>
      <c r="F763" s="16" t="s">
        <v>176</v>
      </c>
      <c r="G763" s="16" t="s">
        <v>51</v>
      </c>
      <c r="H763" s="16" t="s">
        <v>177</v>
      </c>
      <c r="I763" s="16" t="s">
        <v>23</v>
      </c>
      <c r="J763" s="16" t="s">
        <v>24</v>
      </c>
      <c r="K763" s="18">
        <v>124177.16</v>
      </c>
      <c r="L763" s="18">
        <v>77718.95</v>
      </c>
      <c r="M763" s="19">
        <v>5</v>
      </c>
      <c r="N763" s="20">
        <v>0.05</v>
      </c>
      <c r="O763" s="19" t="s">
        <v>76</v>
      </c>
      <c r="P763" s="19" t="s">
        <v>58</v>
      </c>
      <c r="Q763" s="19" t="str">
        <f>TRIM(SalesData[[#This Row],[Customer_Name]])</f>
        <v>Deepak Soni</v>
      </c>
      <c r="R763" s="21">
        <f>SalesData[[#This Row],[Sales]]-SalesData[[#This Row],[Cost]]</f>
        <v>46458.210000000006</v>
      </c>
      <c r="S763" s="22">
        <f>IFERROR(SalesData[[#This Row],[Profit]]/SalesData[[#This Row],[Sales]],0)</f>
        <v>0.37412846291540253</v>
      </c>
      <c r="T763" s="19">
        <f>YEAR(SalesData[[#This Row],[Order_Date]])</f>
        <v>2025</v>
      </c>
      <c r="U763" s="19" t="str">
        <f>TEXT(SalesData[[#This Row],[Order_Date]],"mmm")</f>
        <v>Apr</v>
      </c>
      <c r="V763" s="19" t="str">
        <f>"Q"&amp;ROUNDUP(MONTH(SalesData[[#This Row],[Order_Date]])/3,0)</f>
        <v>Q2</v>
      </c>
      <c r="W763" s="19" t="str">
        <f>IF(SalesData[[#This Row],[Sales]]&gt;=50000,"High",IF(AND(SalesData[[#This Row],[Sales]]&gt;= 20000, SalesData[[#This Row],[Sales]]&lt; 50000),"Medium","Low"))</f>
        <v>High</v>
      </c>
      <c r="X763" s="19" t="str">
        <f>IF(SalesData[[#This Row],[Profit]]&gt;0,"Profit","Loss")</f>
        <v>Profit</v>
      </c>
      <c r="Y763" s="19" t="str">
        <f>IF(AND(SalesData[[#This Row],[Sales]]&gt;= 50000, SalesData[[#This Row],[Quantity]]&gt;=2),"Yes","No")</f>
        <v>Yes</v>
      </c>
      <c r="Z763" s="19" t="str">
        <f>UPPER(SalesData[[#This Row],[Customer_Name]])</f>
        <v>DEEPAK SONI</v>
      </c>
      <c r="AA763" s="19" t="str">
        <f>LOWER(SalesData[[#This Row],[Customer_Name]])</f>
        <v>deepak soni</v>
      </c>
      <c r="AB763" s="19">
        <f>LEN(SalesData[[#This Row],[Customer_Name]])</f>
        <v>11</v>
      </c>
      <c r="AC763" s="19" t="str">
        <f>LEFT(SalesData[[#This Row],[Order_ID]],3)</f>
        <v>ORD</v>
      </c>
      <c r="AD763" s="19" t="str">
        <f>RIGHT(SalesData[[#This Row],[Order_ID]],4)</f>
        <v>0356</v>
      </c>
      <c r="AE763" s="19" t="str">
        <f>_xlfn.CONCAT(SalesData[[#This Row],[Clean_Customer_Name]],"-",SalesData[[#This Row],[Region]])</f>
        <v>Deepak Soni-North</v>
      </c>
      <c r="AF763" s="19" t="str">
        <f>MID(SalesData[[#This Row],[Order_ID]],4,4)</f>
        <v>0356</v>
      </c>
      <c r="AG763" s="19" t="e">
        <f ca="1">_xlfn.SINGLE(_xlfn.XLOOKUP(SalesData[[#This Row],[Product]],Product_Master!A:A,Product_Master!B:B,"Not Found"))</f>
        <v>#NAME?</v>
      </c>
      <c r="AH763" s="19" t="str">
        <f>VLOOKUP(SalesData[[#This Row],[Product]],Product_Master!$A$1:$B$21,2,FALSE)</f>
        <v>Arjun</v>
      </c>
      <c r="AI763" s="16"/>
    </row>
    <row r="764" spans="1:35" ht="13.8">
      <c r="A764" s="16" t="s">
        <v>833</v>
      </c>
      <c r="B764" s="17">
        <v>45499</v>
      </c>
      <c r="C764" s="16" t="s">
        <v>79</v>
      </c>
      <c r="D764" s="16" t="s">
        <v>80</v>
      </c>
      <c r="E764" s="16" t="s">
        <v>123</v>
      </c>
      <c r="F764" s="16" t="s">
        <v>124</v>
      </c>
      <c r="G764" s="16" t="s">
        <v>51</v>
      </c>
      <c r="H764" s="16" t="s">
        <v>125</v>
      </c>
      <c r="I764" s="16" t="s">
        <v>42</v>
      </c>
      <c r="J764" s="16" t="s">
        <v>68</v>
      </c>
      <c r="K764" s="18">
        <v>71098.820000000007</v>
      </c>
      <c r="L764" s="18">
        <v>36392.22</v>
      </c>
      <c r="M764" s="19">
        <v>2</v>
      </c>
      <c r="N764" s="20">
        <v>0.05</v>
      </c>
      <c r="O764" s="19" t="s">
        <v>44</v>
      </c>
      <c r="P764" s="19" t="s">
        <v>26</v>
      </c>
      <c r="Q764" s="19" t="str">
        <f>TRIM(SalesData[[#This Row],[Customer_Name]])</f>
        <v>Deepak Soni</v>
      </c>
      <c r="R764" s="21">
        <f>SalesData[[#This Row],[Sales]]-SalesData[[#This Row],[Cost]]</f>
        <v>34706.600000000006</v>
      </c>
      <c r="S764" s="22">
        <f>IFERROR(SalesData[[#This Row],[Profit]]/SalesData[[#This Row],[Sales]],0)</f>
        <v>0.48814593547403462</v>
      </c>
      <c r="T764" s="19">
        <f>YEAR(SalesData[[#This Row],[Order_Date]])</f>
        <v>2024</v>
      </c>
      <c r="U764" s="19" t="str">
        <f>TEXT(SalesData[[#This Row],[Order_Date]],"mmm")</f>
        <v>Jul</v>
      </c>
      <c r="V764" s="19" t="str">
        <f>"Q"&amp;ROUNDUP(MONTH(SalesData[[#This Row],[Order_Date]])/3,0)</f>
        <v>Q3</v>
      </c>
      <c r="W764" s="19" t="str">
        <f>IF(SalesData[[#This Row],[Sales]]&gt;=50000,"High",IF(AND(SalesData[[#This Row],[Sales]]&gt;= 20000, SalesData[[#This Row],[Sales]]&lt; 50000),"Medium","Low"))</f>
        <v>High</v>
      </c>
      <c r="X764" s="19" t="str">
        <f>IF(SalesData[[#This Row],[Profit]]&gt;0,"Profit","Loss")</f>
        <v>Profit</v>
      </c>
      <c r="Y764" s="19" t="str">
        <f>IF(AND(SalesData[[#This Row],[Sales]]&gt;= 50000, SalesData[[#This Row],[Quantity]]&gt;=2),"Yes","No")</f>
        <v>Yes</v>
      </c>
      <c r="Z764" s="19" t="str">
        <f>UPPER(SalesData[[#This Row],[Customer_Name]])</f>
        <v>DEEPAK SONI</v>
      </c>
      <c r="AA764" s="19" t="str">
        <f>LOWER(SalesData[[#This Row],[Customer_Name]])</f>
        <v>deepak soni</v>
      </c>
      <c r="AB764" s="19">
        <f>LEN(SalesData[[#This Row],[Customer_Name]])</f>
        <v>11</v>
      </c>
      <c r="AC764" s="19" t="str">
        <f>LEFT(SalesData[[#This Row],[Order_ID]],3)</f>
        <v>ORD</v>
      </c>
      <c r="AD764" s="19" t="str">
        <f>RIGHT(SalesData[[#This Row],[Order_ID]],4)</f>
        <v>0680</v>
      </c>
      <c r="AE764" s="19" t="str">
        <f>_xlfn.CONCAT(SalesData[[#This Row],[Clean_Customer_Name]],"-",SalesData[[#This Row],[Region]])</f>
        <v>Deepak Soni-East</v>
      </c>
      <c r="AF764" s="19" t="str">
        <f>MID(SalesData[[#This Row],[Order_ID]],4,4)</f>
        <v>0680</v>
      </c>
      <c r="AG764" s="19" t="e">
        <f ca="1">_xlfn.SINGLE(_xlfn.XLOOKUP(SalesData[[#This Row],[Product]],Product_Master!A:A,Product_Master!B:B,"Not Found"))</f>
        <v>#NAME?</v>
      </c>
      <c r="AH764" s="19" t="str">
        <f>VLOOKUP(SalesData[[#This Row],[Product]],Product_Master!$A$1:$B$21,2,FALSE)</f>
        <v>Sneha</v>
      </c>
      <c r="AI764" s="16"/>
    </row>
    <row r="765" spans="1:35" ht="13.8">
      <c r="A765" s="16" t="s">
        <v>921</v>
      </c>
      <c r="B765" s="17">
        <v>45354</v>
      </c>
      <c r="C765" s="16" t="s">
        <v>79</v>
      </c>
      <c r="D765" s="16" t="s">
        <v>80</v>
      </c>
      <c r="E765" s="16" t="s">
        <v>123</v>
      </c>
      <c r="F765" s="16" t="s">
        <v>124</v>
      </c>
      <c r="G765" s="16" t="s">
        <v>51</v>
      </c>
      <c r="H765" s="16" t="s">
        <v>125</v>
      </c>
      <c r="I765" s="16" t="s">
        <v>84</v>
      </c>
      <c r="J765" s="16" t="s">
        <v>134</v>
      </c>
      <c r="K765" s="18">
        <v>20202.349999999999</v>
      </c>
      <c r="L765" s="18">
        <v>18325.669999999998</v>
      </c>
      <c r="M765" s="19">
        <v>1</v>
      </c>
      <c r="N765" s="20">
        <v>0.1</v>
      </c>
      <c r="O765" s="19" t="s">
        <v>44</v>
      </c>
      <c r="P765" s="19" t="s">
        <v>58</v>
      </c>
      <c r="Q765" s="19" t="str">
        <f>TRIM(SalesData[[#This Row],[Customer_Name]])</f>
        <v>Deepak Soni</v>
      </c>
      <c r="R765" s="21">
        <f>SalesData[[#This Row],[Sales]]-SalesData[[#This Row],[Cost]]</f>
        <v>1876.6800000000003</v>
      </c>
      <c r="S765" s="22">
        <f>IFERROR(SalesData[[#This Row],[Profit]]/SalesData[[#This Row],[Sales]],0)</f>
        <v>9.2894143503107332E-2</v>
      </c>
      <c r="T765" s="19">
        <f>YEAR(SalesData[[#This Row],[Order_Date]])</f>
        <v>2024</v>
      </c>
      <c r="U765" s="19" t="str">
        <f>TEXT(SalesData[[#This Row],[Order_Date]],"mmm")</f>
        <v>Mar</v>
      </c>
      <c r="V765" s="19" t="str">
        <f>"Q"&amp;ROUNDUP(MONTH(SalesData[[#This Row],[Order_Date]])/3,0)</f>
        <v>Q1</v>
      </c>
      <c r="W765" s="19" t="str">
        <f>IF(SalesData[[#This Row],[Sales]]&gt;=50000,"High",IF(AND(SalesData[[#This Row],[Sales]]&gt;= 20000, SalesData[[#This Row],[Sales]]&lt; 50000),"Medium","Low"))</f>
        <v>Medium</v>
      </c>
      <c r="X765" s="19" t="str">
        <f>IF(SalesData[[#This Row],[Profit]]&gt;0,"Profit","Loss")</f>
        <v>Profit</v>
      </c>
      <c r="Y765" s="19" t="str">
        <f>IF(AND(SalesData[[#This Row],[Sales]]&gt;= 50000, SalesData[[#This Row],[Quantity]]&gt;=2),"Yes","No")</f>
        <v>No</v>
      </c>
      <c r="Z765" s="19" t="str">
        <f>UPPER(SalesData[[#This Row],[Customer_Name]])</f>
        <v>DEEPAK SONI</v>
      </c>
      <c r="AA765" s="19" t="str">
        <f>LOWER(SalesData[[#This Row],[Customer_Name]])</f>
        <v>deepak soni</v>
      </c>
      <c r="AB765" s="19">
        <f>LEN(SalesData[[#This Row],[Customer_Name]])</f>
        <v>11</v>
      </c>
      <c r="AC765" s="19" t="str">
        <f>LEFT(SalesData[[#This Row],[Order_ID]],3)</f>
        <v>ORD</v>
      </c>
      <c r="AD765" s="19" t="str">
        <f>RIGHT(SalesData[[#This Row],[Order_ID]],4)</f>
        <v>0768</v>
      </c>
      <c r="AE765" s="19" t="str">
        <f>_xlfn.CONCAT(SalesData[[#This Row],[Clean_Customer_Name]],"-",SalesData[[#This Row],[Region]])</f>
        <v>Deepak Soni-South</v>
      </c>
      <c r="AF765" s="19" t="str">
        <f>MID(SalesData[[#This Row],[Order_ID]],4,4)</f>
        <v>0768</v>
      </c>
      <c r="AG765" s="19" t="e">
        <f ca="1">_xlfn.SINGLE(_xlfn.XLOOKUP(SalesData[[#This Row],[Product]],Product_Master!A:A,Product_Master!B:B,"Not Found"))</f>
        <v>#NAME?</v>
      </c>
      <c r="AH765" s="19" t="str">
        <f>VLOOKUP(SalesData[[#This Row],[Product]],Product_Master!$A$1:$B$21,2,FALSE)</f>
        <v>Sneha</v>
      </c>
      <c r="AI765" s="16"/>
    </row>
    <row r="766" spans="1:35" ht="13.8">
      <c r="A766" s="16" t="s">
        <v>109</v>
      </c>
      <c r="B766" s="17">
        <v>45592</v>
      </c>
      <c r="C766" s="16" t="s">
        <v>79</v>
      </c>
      <c r="D766" s="16" t="s">
        <v>80</v>
      </c>
      <c r="E766" s="16" t="s">
        <v>110</v>
      </c>
      <c r="F766" s="16" t="s">
        <v>111</v>
      </c>
      <c r="G766" s="16" t="s">
        <v>40</v>
      </c>
      <c r="H766" s="16" t="s">
        <v>112</v>
      </c>
      <c r="I766" s="16" t="s">
        <v>23</v>
      </c>
      <c r="J766" s="16" t="s">
        <v>33</v>
      </c>
      <c r="K766" s="18">
        <v>4881.1000000000004</v>
      </c>
      <c r="L766" s="18">
        <v>4471.84</v>
      </c>
      <c r="M766" s="19">
        <v>4</v>
      </c>
      <c r="N766" s="20">
        <v>0.1</v>
      </c>
      <c r="O766" s="19" t="s">
        <v>34</v>
      </c>
      <c r="P766" s="19" t="s">
        <v>58</v>
      </c>
      <c r="Q766" s="19" t="str">
        <f>TRIM(SalesData[[#This Row],[Customer_Name]])</f>
        <v>Deepak Soni</v>
      </c>
      <c r="R766" s="21">
        <f>SalesData[[#This Row],[Sales]]-SalesData[[#This Row],[Cost]]</f>
        <v>409.26000000000022</v>
      </c>
      <c r="S766" s="22">
        <f>IFERROR(SalesData[[#This Row],[Profit]]/SalesData[[#This Row],[Sales]],0)</f>
        <v>8.3845854418061541E-2</v>
      </c>
      <c r="T766" s="19">
        <f>YEAR(SalesData[[#This Row],[Order_Date]])</f>
        <v>2024</v>
      </c>
      <c r="U766" s="19" t="str">
        <f>TEXT(SalesData[[#This Row],[Order_Date]],"mmm")</f>
        <v>Oct</v>
      </c>
      <c r="V766" s="19" t="str">
        <f>"Q"&amp;ROUNDUP(MONTH(SalesData[[#This Row],[Order_Date]])/3,0)</f>
        <v>Q4</v>
      </c>
      <c r="W766" s="19" t="str">
        <f>IF(SalesData[[#This Row],[Sales]]&gt;=50000,"High",IF(AND(SalesData[[#This Row],[Sales]]&gt;= 20000, SalesData[[#This Row],[Sales]]&lt; 50000),"Medium","Low"))</f>
        <v>Low</v>
      </c>
      <c r="X766" s="19" t="str">
        <f>IF(SalesData[[#This Row],[Profit]]&gt;0,"Profit","Loss")</f>
        <v>Profit</v>
      </c>
      <c r="Y766" s="19" t="str">
        <f>IF(AND(SalesData[[#This Row],[Sales]]&gt;= 50000, SalesData[[#This Row],[Quantity]]&gt;=2),"Yes","No")</f>
        <v>No</v>
      </c>
      <c r="Z766" s="19" t="str">
        <f>UPPER(SalesData[[#This Row],[Customer_Name]])</f>
        <v>DEEPAK SONI</v>
      </c>
      <c r="AA766" s="19" t="str">
        <f>LOWER(SalesData[[#This Row],[Customer_Name]])</f>
        <v>deepak soni</v>
      </c>
      <c r="AB766" s="19">
        <f>LEN(SalesData[[#This Row],[Customer_Name]])</f>
        <v>11</v>
      </c>
      <c r="AC766" s="19" t="str">
        <f>LEFT(SalesData[[#This Row],[Order_ID]],3)</f>
        <v>ORD</v>
      </c>
      <c r="AD766" s="19" t="str">
        <f>RIGHT(SalesData[[#This Row],[Order_ID]],4)</f>
        <v>0014</v>
      </c>
      <c r="AE766" s="19" t="str">
        <f>_xlfn.CONCAT(SalesData[[#This Row],[Clean_Customer_Name]],"-",SalesData[[#This Row],[Region]])</f>
        <v>Deepak Soni-North</v>
      </c>
      <c r="AF766" s="19" t="str">
        <f>MID(SalesData[[#This Row],[Order_ID]],4,4)</f>
        <v>0014</v>
      </c>
      <c r="AG766" s="19" t="e">
        <f ca="1">_xlfn.SINGLE(_xlfn.XLOOKUP(SalesData[[#This Row],[Product]],Product_Master!A:A,Product_Master!B:B,"Not Found"))</f>
        <v>#NAME?</v>
      </c>
      <c r="AH766" s="19" t="str">
        <f>VLOOKUP(SalesData[[#This Row],[Product]],Product_Master!$A$1:$B$21,2,FALSE)</f>
        <v>Vikas</v>
      </c>
      <c r="AI766" s="16"/>
    </row>
    <row r="767" spans="1:35" ht="13.8">
      <c r="A767" s="16" t="s">
        <v>922</v>
      </c>
      <c r="B767" s="17">
        <v>45391</v>
      </c>
      <c r="C767" s="16" t="s">
        <v>79</v>
      </c>
      <c r="D767" s="16" t="s">
        <v>80</v>
      </c>
      <c r="E767" s="16" t="s">
        <v>110</v>
      </c>
      <c r="F767" s="16" t="s">
        <v>111</v>
      </c>
      <c r="G767" s="16" t="s">
        <v>40</v>
      </c>
      <c r="H767" s="16" t="s">
        <v>112</v>
      </c>
      <c r="I767" s="16" t="s">
        <v>56</v>
      </c>
      <c r="J767" s="16" t="s">
        <v>91</v>
      </c>
      <c r="K767" s="18">
        <v>9541.91</v>
      </c>
      <c r="L767" s="18">
        <v>4651.32</v>
      </c>
      <c r="M767" s="19">
        <v>4</v>
      </c>
      <c r="N767" s="20">
        <v>0.1</v>
      </c>
      <c r="O767" s="19" t="s">
        <v>25</v>
      </c>
      <c r="P767" s="19" t="s">
        <v>58</v>
      </c>
      <c r="Q767" s="19" t="str">
        <f>TRIM(SalesData[[#This Row],[Customer_Name]])</f>
        <v>Deepak Soni</v>
      </c>
      <c r="R767" s="21">
        <f>SalesData[[#This Row],[Sales]]-SalesData[[#This Row],[Cost]]</f>
        <v>4890.59</v>
      </c>
      <c r="S767" s="22">
        <f>IFERROR(SalesData[[#This Row],[Profit]]/SalesData[[#This Row],[Sales]],0)</f>
        <v>0.51253784619641141</v>
      </c>
      <c r="T767" s="19">
        <f>YEAR(SalesData[[#This Row],[Order_Date]])</f>
        <v>2024</v>
      </c>
      <c r="U767" s="19" t="str">
        <f>TEXT(SalesData[[#This Row],[Order_Date]],"mmm")</f>
        <v>Apr</v>
      </c>
      <c r="V767" s="19" t="str">
        <f>"Q"&amp;ROUNDUP(MONTH(SalesData[[#This Row],[Order_Date]])/3,0)</f>
        <v>Q2</v>
      </c>
      <c r="W767" s="19" t="str">
        <f>IF(SalesData[[#This Row],[Sales]]&gt;=50000,"High",IF(AND(SalesData[[#This Row],[Sales]]&gt;= 20000, SalesData[[#This Row],[Sales]]&lt; 50000),"Medium","Low"))</f>
        <v>Low</v>
      </c>
      <c r="X767" s="19" t="str">
        <f>IF(SalesData[[#This Row],[Profit]]&gt;0,"Profit","Loss")</f>
        <v>Profit</v>
      </c>
      <c r="Y767" s="19" t="str">
        <f>IF(AND(SalesData[[#This Row],[Sales]]&gt;= 50000, SalesData[[#This Row],[Quantity]]&gt;=2),"Yes","No")</f>
        <v>No</v>
      </c>
      <c r="Z767" s="19" t="str">
        <f>UPPER(SalesData[[#This Row],[Customer_Name]])</f>
        <v>DEEPAK SONI</v>
      </c>
      <c r="AA767" s="19" t="str">
        <f>LOWER(SalesData[[#This Row],[Customer_Name]])</f>
        <v>deepak soni</v>
      </c>
      <c r="AB767" s="19">
        <f>LEN(SalesData[[#This Row],[Customer_Name]])</f>
        <v>11</v>
      </c>
      <c r="AC767" s="19" t="str">
        <f>LEFT(SalesData[[#This Row],[Order_ID]],3)</f>
        <v>ORD</v>
      </c>
      <c r="AD767" s="19" t="str">
        <f>RIGHT(SalesData[[#This Row],[Order_ID]],4)</f>
        <v>0769</v>
      </c>
      <c r="AE767" s="19" t="str">
        <f>_xlfn.CONCAT(SalesData[[#This Row],[Clean_Customer_Name]],"-",SalesData[[#This Row],[Region]])</f>
        <v>Deepak Soni-West</v>
      </c>
      <c r="AF767" s="19" t="str">
        <f>MID(SalesData[[#This Row],[Order_ID]],4,4)</f>
        <v>0769</v>
      </c>
      <c r="AG767" s="19" t="e">
        <f ca="1">_xlfn.SINGLE(_xlfn.XLOOKUP(SalesData[[#This Row],[Product]],Product_Master!A:A,Product_Master!B:B,"Not Found"))</f>
        <v>#NAME?</v>
      </c>
      <c r="AH767" s="19" t="str">
        <f>VLOOKUP(SalesData[[#This Row],[Product]],Product_Master!$A$1:$B$21,2,FALSE)</f>
        <v>Vikas</v>
      </c>
      <c r="AI767" s="16"/>
    </row>
    <row r="768" spans="1:35" ht="13.8">
      <c r="A768" s="16" t="s">
        <v>1143</v>
      </c>
      <c r="B768" s="17">
        <v>45731</v>
      </c>
      <c r="C768" s="16" t="s">
        <v>79</v>
      </c>
      <c r="D768" s="16" t="s">
        <v>80</v>
      </c>
      <c r="E768" s="16" t="s">
        <v>110</v>
      </c>
      <c r="F768" s="16" t="s">
        <v>111</v>
      </c>
      <c r="G768" s="16" t="s">
        <v>40</v>
      </c>
      <c r="H768" s="16" t="s">
        <v>112</v>
      </c>
      <c r="I768" s="16" t="s">
        <v>42</v>
      </c>
      <c r="J768" s="16" t="s">
        <v>43</v>
      </c>
      <c r="K768" s="18">
        <v>12415.68</v>
      </c>
      <c r="L768" s="18">
        <v>3506.97</v>
      </c>
      <c r="M768" s="19">
        <v>3</v>
      </c>
      <c r="N768" s="20">
        <v>0.1</v>
      </c>
      <c r="O768" s="19" t="s">
        <v>76</v>
      </c>
      <c r="P768" s="19" t="s">
        <v>77</v>
      </c>
      <c r="Q768" s="19" t="str">
        <f>TRIM(SalesData[[#This Row],[Customer_Name]])</f>
        <v>Deepak Soni</v>
      </c>
      <c r="R768" s="21">
        <f>SalesData[[#This Row],[Sales]]-SalesData[[#This Row],[Cost]]</f>
        <v>8908.7100000000009</v>
      </c>
      <c r="S768" s="22">
        <f>IFERROR(SalesData[[#This Row],[Profit]]/SalesData[[#This Row],[Sales]],0)</f>
        <v>0.71753701770664202</v>
      </c>
      <c r="T768" s="19">
        <f>YEAR(SalesData[[#This Row],[Order_Date]])</f>
        <v>2025</v>
      </c>
      <c r="U768" s="19" t="str">
        <f>TEXT(SalesData[[#This Row],[Order_Date]],"mmm")</f>
        <v>Mar</v>
      </c>
      <c r="V768" s="19" t="str">
        <f>"Q"&amp;ROUNDUP(MONTH(SalesData[[#This Row],[Order_Date]])/3,0)</f>
        <v>Q1</v>
      </c>
      <c r="W768" s="19" t="str">
        <f>IF(SalesData[[#This Row],[Sales]]&gt;=50000,"High",IF(AND(SalesData[[#This Row],[Sales]]&gt;= 20000, SalesData[[#This Row],[Sales]]&lt; 50000),"Medium","Low"))</f>
        <v>Low</v>
      </c>
      <c r="X768" s="19" t="str">
        <f>IF(SalesData[[#This Row],[Profit]]&gt;0,"Profit","Loss")</f>
        <v>Profit</v>
      </c>
      <c r="Y768" s="19" t="str">
        <f>IF(AND(SalesData[[#This Row],[Sales]]&gt;= 50000, SalesData[[#This Row],[Quantity]]&gt;=2),"Yes","No")</f>
        <v>No</v>
      </c>
      <c r="Z768" s="19" t="str">
        <f>UPPER(SalesData[[#This Row],[Customer_Name]])</f>
        <v>DEEPAK SONI</v>
      </c>
      <c r="AA768" s="19" t="str">
        <f>LOWER(SalesData[[#This Row],[Customer_Name]])</f>
        <v>deepak soni</v>
      </c>
      <c r="AB768" s="19">
        <f>LEN(SalesData[[#This Row],[Customer_Name]])</f>
        <v>11</v>
      </c>
      <c r="AC768" s="19" t="str">
        <f>LEFT(SalesData[[#This Row],[Order_ID]],3)</f>
        <v>ORD</v>
      </c>
      <c r="AD768" s="19" t="str">
        <f>RIGHT(SalesData[[#This Row],[Order_ID]],4)</f>
        <v>0990</v>
      </c>
      <c r="AE768" s="19" t="str">
        <f>_xlfn.CONCAT(SalesData[[#This Row],[Clean_Customer_Name]],"-",SalesData[[#This Row],[Region]])</f>
        <v>Deepak Soni-East</v>
      </c>
      <c r="AF768" s="19" t="str">
        <f>MID(SalesData[[#This Row],[Order_ID]],4,4)</f>
        <v>0990</v>
      </c>
      <c r="AG768" s="19" t="e">
        <f ca="1">_xlfn.SINGLE(_xlfn.XLOOKUP(SalesData[[#This Row],[Product]],Product_Master!A:A,Product_Master!B:B,"Not Found"))</f>
        <v>#NAME?</v>
      </c>
      <c r="AH768" s="19" t="str">
        <f>VLOOKUP(SalesData[[#This Row],[Product]],Product_Master!$A$1:$B$21,2,FALSE)</f>
        <v>Vikas</v>
      </c>
      <c r="AI768" s="16"/>
    </row>
    <row r="769" spans="1:35" ht="13.8">
      <c r="A769" s="16" t="s">
        <v>281</v>
      </c>
      <c r="B769" s="17">
        <v>45899</v>
      </c>
      <c r="C769" s="16" t="s">
        <v>79</v>
      </c>
      <c r="D769" s="16" t="s">
        <v>80</v>
      </c>
      <c r="E769" s="16" t="s">
        <v>172</v>
      </c>
      <c r="F769" s="16" t="s">
        <v>173</v>
      </c>
      <c r="G769" s="16" t="s">
        <v>40</v>
      </c>
      <c r="H769" s="16" t="s">
        <v>41</v>
      </c>
      <c r="I769" s="16" t="s">
        <v>56</v>
      </c>
      <c r="J769" s="16" t="s">
        <v>57</v>
      </c>
      <c r="K769" s="18">
        <v>1336.7</v>
      </c>
      <c r="L769" s="18">
        <v>891.36</v>
      </c>
      <c r="M769" s="19">
        <v>1</v>
      </c>
      <c r="N769" s="20">
        <v>0.2</v>
      </c>
      <c r="O769" s="19" t="s">
        <v>25</v>
      </c>
      <c r="P769" s="19" t="s">
        <v>45</v>
      </c>
      <c r="Q769" s="19" t="str">
        <f>TRIM(SalesData[[#This Row],[Customer_Name]])</f>
        <v>Deepak Soni</v>
      </c>
      <c r="R769" s="21">
        <f>SalesData[[#This Row],[Sales]]-SalesData[[#This Row],[Cost]]</f>
        <v>445.34000000000003</v>
      </c>
      <c r="S769" s="22">
        <f>IFERROR(SalesData[[#This Row],[Profit]]/SalesData[[#This Row],[Sales]],0)</f>
        <v>0.33316376150220695</v>
      </c>
      <c r="T769" s="19">
        <f>YEAR(SalesData[[#This Row],[Order_Date]])</f>
        <v>2025</v>
      </c>
      <c r="U769" s="19" t="str">
        <f>TEXT(SalesData[[#This Row],[Order_Date]],"mmm")</f>
        <v>Aug</v>
      </c>
      <c r="V769" s="19" t="str">
        <f>"Q"&amp;ROUNDUP(MONTH(SalesData[[#This Row],[Order_Date]])/3,0)</f>
        <v>Q3</v>
      </c>
      <c r="W769" s="19" t="str">
        <f>IF(SalesData[[#This Row],[Sales]]&gt;=50000,"High",IF(AND(SalesData[[#This Row],[Sales]]&gt;= 20000, SalesData[[#This Row],[Sales]]&lt; 50000),"Medium","Low"))</f>
        <v>Low</v>
      </c>
      <c r="X769" s="19" t="str">
        <f>IF(SalesData[[#This Row],[Profit]]&gt;0,"Profit","Loss")</f>
        <v>Profit</v>
      </c>
      <c r="Y769" s="19" t="str">
        <f>IF(AND(SalesData[[#This Row],[Sales]]&gt;= 50000, SalesData[[#This Row],[Quantity]]&gt;=2),"Yes","No")</f>
        <v>No</v>
      </c>
      <c r="Z769" s="19" t="str">
        <f>UPPER(SalesData[[#This Row],[Customer_Name]])</f>
        <v>DEEPAK SONI</v>
      </c>
      <c r="AA769" s="19" t="str">
        <f>LOWER(SalesData[[#This Row],[Customer_Name]])</f>
        <v>deepak soni</v>
      </c>
      <c r="AB769" s="19">
        <f>LEN(SalesData[[#This Row],[Customer_Name]])</f>
        <v>11</v>
      </c>
      <c r="AC769" s="19" t="str">
        <f>LEFT(SalesData[[#This Row],[Order_ID]],3)</f>
        <v>ORD</v>
      </c>
      <c r="AD769" s="19" t="str">
        <f>RIGHT(SalesData[[#This Row],[Order_ID]],4)</f>
        <v>0128</v>
      </c>
      <c r="AE769" s="19" t="str">
        <f>_xlfn.CONCAT(SalesData[[#This Row],[Clean_Customer_Name]],"-",SalesData[[#This Row],[Region]])</f>
        <v>Deepak Soni-West</v>
      </c>
      <c r="AF769" s="19" t="str">
        <f>MID(SalesData[[#This Row],[Order_ID]],4,4)</f>
        <v>0128</v>
      </c>
      <c r="AG769" s="19" t="e">
        <f ca="1">_xlfn.SINGLE(_xlfn.XLOOKUP(SalesData[[#This Row],[Product]],Product_Master!A:A,Product_Master!B:B,"Not Found"))</f>
        <v>#NAME?</v>
      </c>
      <c r="AH769" s="19" t="str">
        <f>VLOOKUP(SalesData[[#This Row],[Product]],Product_Master!$A$1:$B$21,2,FALSE)</f>
        <v>Pooja</v>
      </c>
      <c r="AI769" s="16"/>
    </row>
    <row r="770" spans="1:35" ht="13.8">
      <c r="A770" s="16" t="s">
        <v>319</v>
      </c>
      <c r="B770" s="17">
        <v>45832</v>
      </c>
      <c r="C770" s="16" t="s">
        <v>79</v>
      </c>
      <c r="D770" s="16" t="s">
        <v>80</v>
      </c>
      <c r="E770" s="16" t="s">
        <v>106</v>
      </c>
      <c r="F770" s="16" t="s">
        <v>107</v>
      </c>
      <c r="G770" s="16" t="s">
        <v>40</v>
      </c>
      <c r="H770" s="16" t="s">
        <v>108</v>
      </c>
      <c r="I770" s="16" t="s">
        <v>56</v>
      </c>
      <c r="J770" s="16" t="s">
        <v>57</v>
      </c>
      <c r="K770" s="18">
        <v>8310.91</v>
      </c>
      <c r="L770" s="18">
        <v>3061.12</v>
      </c>
      <c r="M770" s="19">
        <v>4</v>
      </c>
      <c r="N770" s="20">
        <v>0.2</v>
      </c>
      <c r="O770" s="19" t="s">
        <v>76</v>
      </c>
      <c r="P770" s="19" t="s">
        <v>45</v>
      </c>
      <c r="Q770" s="19" t="str">
        <f>TRIM(SalesData[[#This Row],[Customer_Name]])</f>
        <v>Deepak Soni</v>
      </c>
      <c r="R770" s="21">
        <f>SalesData[[#This Row],[Sales]]-SalesData[[#This Row],[Cost]]</f>
        <v>5249.79</v>
      </c>
      <c r="S770" s="22">
        <f>IFERROR(SalesData[[#This Row],[Profit]]/SalesData[[#This Row],[Sales]],0)</f>
        <v>0.63167450977089157</v>
      </c>
      <c r="T770" s="19">
        <f>YEAR(SalesData[[#This Row],[Order_Date]])</f>
        <v>2025</v>
      </c>
      <c r="U770" s="19" t="str">
        <f>TEXT(SalesData[[#This Row],[Order_Date]],"mmm")</f>
        <v>Jun</v>
      </c>
      <c r="V770" s="19" t="str">
        <f>"Q"&amp;ROUNDUP(MONTH(SalesData[[#This Row],[Order_Date]])/3,0)</f>
        <v>Q2</v>
      </c>
      <c r="W770" s="19" t="str">
        <f>IF(SalesData[[#This Row],[Sales]]&gt;=50000,"High",IF(AND(SalesData[[#This Row],[Sales]]&gt;= 20000, SalesData[[#This Row],[Sales]]&lt; 50000),"Medium","Low"))</f>
        <v>Low</v>
      </c>
      <c r="X770" s="19" t="str">
        <f>IF(SalesData[[#This Row],[Profit]]&gt;0,"Profit","Loss")</f>
        <v>Profit</v>
      </c>
      <c r="Y770" s="19" t="str">
        <f>IF(AND(SalesData[[#This Row],[Sales]]&gt;= 50000, SalesData[[#This Row],[Quantity]]&gt;=2),"Yes","No")</f>
        <v>No</v>
      </c>
      <c r="Z770" s="19" t="str">
        <f>UPPER(SalesData[[#This Row],[Customer_Name]])</f>
        <v>DEEPAK SONI</v>
      </c>
      <c r="AA770" s="19" t="str">
        <f>LOWER(SalesData[[#This Row],[Customer_Name]])</f>
        <v>deepak soni</v>
      </c>
      <c r="AB770" s="19">
        <f>LEN(SalesData[[#This Row],[Customer_Name]])</f>
        <v>11</v>
      </c>
      <c r="AC770" s="19" t="str">
        <f>LEFT(SalesData[[#This Row],[Order_ID]],3)</f>
        <v>ORD</v>
      </c>
      <c r="AD770" s="19" t="str">
        <f>RIGHT(SalesData[[#This Row],[Order_ID]],4)</f>
        <v>0166</v>
      </c>
      <c r="AE770" s="19" t="str">
        <f>_xlfn.CONCAT(SalesData[[#This Row],[Clean_Customer_Name]],"-",SalesData[[#This Row],[Region]])</f>
        <v>Deepak Soni-West</v>
      </c>
      <c r="AF770" s="19" t="str">
        <f>MID(SalesData[[#This Row],[Order_ID]],4,4)</f>
        <v>0166</v>
      </c>
      <c r="AG770" s="19" t="e">
        <f ca="1">_xlfn.SINGLE(_xlfn.XLOOKUP(SalesData[[#This Row],[Product]],Product_Master!A:A,Product_Master!B:B,"Not Found"))</f>
        <v>#NAME?</v>
      </c>
      <c r="AH770" s="19" t="str">
        <f>VLOOKUP(SalesData[[#This Row],[Product]],Product_Master!$A$1:$B$21,2,FALSE)</f>
        <v>Aditya</v>
      </c>
      <c r="AI770" s="16"/>
    </row>
    <row r="771" spans="1:35" ht="13.8">
      <c r="A771" s="16" t="s">
        <v>461</v>
      </c>
      <c r="B771" s="17">
        <v>45437</v>
      </c>
      <c r="C771" s="16" t="s">
        <v>79</v>
      </c>
      <c r="D771" s="16" t="s">
        <v>80</v>
      </c>
      <c r="E771" s="16" t="s">
        <v>106</v>
      </c>
      <c r="F771" s="16" t="s">
        <v>107</v>
      </c>
      <c r="G771" s="16" t="s">
        <v>40</v>
      </c>
      <c r="H771" s="16" t="s">
        <v>108</v>
      </c>
      <c r="I771" s="16" t="s">
        <v>56</v>
      </c>
      <c r="J771" s="16" t="s">
        <v>191</v>
      </c>
      <c r="K771" s="18">
        <v>9270.06</v>
      </c>
      <c r="L771" s="18">
        <v>3592.7</v>
      </c>
      <c r="M771" s="19">
        <v>5</v>
      </c>
      <c r="N771" s="20">
        <v>0.15</v>
      </c>
      <c r="O771" s="19" t="s">
        <v>136</v>
      </c>
      <c r="P771" s="19" t="s">
        <v>58</v>
      </c>
      <c r="Q771" s="19" t="str">
        <f>TRIM(SalesData[[#This Row],[Customer_Name]])</f>
        <v>Deepak Soni</v>
      </c>
      <c r="R771" s="21">
        <f>SalesData[[#This Row],[Sales]]-SalesData[[#This Row],[Cost]]</f>
        <v>5677.36</v>
      </c>
      <c r="S771" s="22">
        <f>IFERROR(SalesData[[#This Row],[Profit]]/SalesData[[#This Row],[Sales]],0)</f>
        <v>0.61244048042838994</v>
      </c>
      <c r="T771" s="19">
        <f>YEAR(SalesData[[#This Row],[Order_Date]])</f>
        <v>2024</v>
      </c>
      <c r="U771" s="19" t="str">
        <f>TEXT(SalesData[[#This Row],[Order_Date]],"mmm")</f>
        <v>May</v>
      </c>
      <c r="V771" s="19" t="str">
        <f>"Q"&amp;ROUNDUP(MONTH(SalesData[[#This Row],[Order_Date]])/3,0)</f>
        <v>Q2</v>
      </c>
      <c r="W771" s="19" t="str">
        <f>IF(SalesData[[#This Row],[Sales]]&gt;=50000,"High",IF(AND(SalesData[[#This Row],[Sales]]&gt;= 20000, SalesData[[#This Row],[Sales]]&lt; 50000),"Medium","Low"))</f>
        <v>Low</v>
      </c>
      <c r="X771" s="19" t="str">
        <f>IF(SalesData[[#This Row],[Profit]]&gt;0,"Profit","Loss")</f>
        <v>Profit</v>
      </c>
      <c r="Y771" s="19" t="str">
        <f>IF(AND(SalesData[[#This Row],[Sales]]&gt;= 50000, SalesData[[#This Row],[Quantity]]&gt;=2),"Yes","No")</f>
        <v>No</v>
      </c>
      <c r="Z771" s="19" t="str">
        <f>UPPER(SalesData[[#This Row],[Customer_Name]])</f>
        <v>DEEPAK SONI</v>
      </c>
      <c r="AA771" s="19" t="str">
        <f>LOWER(SalesData[[#This Row],[Customer_Name]])</f>
        <v>deepak soni</v>
      </c>
      <c r="AB771" s="19">
        <f>LEN(SalesData[[#This Row],[Customer_Name]])</f>
        <v>11</v>
      </c>
      <c r="AC771" s="19" t="str">
        <f>LEFT(SalesData[[#This Row],[Order_ID]],3)</f>
        <v>ORD</v>
      </c>
      <c r="AD771" s="19" t="str">
        <f>RIGHT(SalesData[[#This Row],[Order_ID]],4)</f>
        <v>0308</v>
      </c>
      <c r="AE771" s="19" t="str">
        <f>_xlfn.CONCAT(SalesData[[#This Row],[Clean_Customer_Name]],"-",SalesData[[#This Row],[Region]])</f>
        <v>Deepak Soni-West</v>
      </c>
      <c r="AF771" s="19" t="str">
        <f>MID(SalesData[[#This Row],[Order_ID]],4,4)</f>
        <v>0308</v>
      </c>
      <c r="AG771" s="19" t="e">
        <f ca="1">_xlfn.SINGLE(_xlfn.XLOOKUP(SalesData[[#This Row],[Product]],Product_Master!A:A,Product_Master!B:B,"Not Found"))</f>
        <v>#NAME?</v>
      </c>
      <c r="AH771" s="19" t="str">
        <f>VLOOKUP(SalesData[[#This Row],[Product]],Product_Master!$A$1:$B$21,2,FALSE)</f>
        <v>Aditya</v>
      </c>
      <c r="AI771" s="16"/>
    </row>
    <row r="772" spans="1:35" ht="13.8">
      <c r="A772" s="16" t="s">
        <v>493</v>
      </c>
      <c r="B772" s="17">
        <v>45606</v>
      </c>
      <c r="C772" s="16" t="s">
        <v>79</v>
      </c>
      <c r="D772" s="16" t="s">
        <v>80</v>
      </c>
      <c r="E772" s="16" t="s">
        <v>106</v>
      </c>
      <c r="F772" s="16" t="s">
        <v>107</v>
      </c>
      <c r="G772" s="16" t="s">
        <v>40</v>
      </c>
      <c r="H772" s="16" t="s">
        <v>108</v>
      </c>
      <c r="I772" s="16" t="s">
        <v>53</v>
      </c>
      <c r="J772" s="16" t="s">
        <v>102</v>
      </c>
      <c r="K772" s="18">
        <v>2518.42</v>
      </c>
      <c r="L772" s="18">
        <v>658.73</v>
      </c>
      <c r="M772" s="19">
        <v>1</v>
      </c>
      <c r="N772" s="20">
        <v>0.15</v>
      </c>
      <c r="O772" s="19" t="s">
        <v>136</v>
      </c>
      <c r="P772" s="19" t="s">
        <v>58</v>
      </c>
      <c r="Q772" s="19" t="str">
        <f>TRIM(SalesData[[#This Row],[Customer_Name]])</f>
        <v>Deepak Soni</v>
      </c>
      <c r="R772" s="21">
        <f>SalesData[[#This Row],[Sales]]-SalesData[[#This Row],[Cost]]</f>
        <v>1859.69</v>
      </c>
      <c r="S772" s="22">
        <f>IFERROR(SalesData[[#This Row],[Profit]]/SalesData[[#This Row],[Sales]],0)</f>
        <v>0.738435209377308</v>
      </c>
      <c r="T772" s="19">
        <f>YEAR(SalesData[[#This Row],[Order_Date]])</f>
        <v>2024</v>
      </c>
      <c r="U772" s="19" t="str">
        <f>TEXT(SalesData[[#This Row],[Order_Date]],"mmm")</f>
        <v>Nov</v>
      </c>
      <c r="V772" s="19" t="str">
        <f>"Q"&amp;ROUNDUP(MONTH(SalesData[[#This Row],[Order_Date]])/3,0)</f>
        <v>Q4</v>
      </c>
      <c r="W772" s="19" t="str">
        <f>IF(SalesData[[#This Row],[Sales]]&gt;=50000,"High",IF(AND(SalesData[[#This Row],[Sales]]&gt;= 20000, SalesData[[#This Row],[Sales]]&lt; 50000),"Medium","Low"))</f>
        <v>Low</v>
      </c>
      <c r="X772" s="19" t="str">
        <f>IF(SalesData[[#This Row],[Profit]]&gt;0,"Profit","Loss")</f>
        <v>Profit</v>
      </c>
      <c r="Y772" s="19" t="str">
        <f>IF(AND(SalesData[[#This Row],[Sales]]&gt;= 50000, SalesData[[#This Row],[Quantity]]&gt;=2),"Yes","No")</f>
        <v>No</v>
      </c>
      <c r="Z772" s="19" t="str">
        <f>UPPER(SalesData[[#This Row],[Customer_Name]])</f>
        <v>DEEPAK SONI</v>
      </c>
      <c r="AA772" s="19" t="str">
        <f>LOWER(SalesData[[#This Row],[Customer_Name]])</f>
        <v>deepak soni</v>
      </c>
      <c r="AB772" s="19">
        <f>LEN(SalesData[[#This Row],[Customer_Name]])</f>
        <v>11</v>
      </c>
      <c r="AC772" s="19" t="str">
        <f>LEFT(SalesData[[#This Row],[Order_ID]],3)</f>
        <v>ORD</v>
      </c>
      <c r="AD772" s="19" t="str">
        <f>RIGHT(SalesData[[#This Row],[Order_ID]],4)</f>
        <v>0340</v>
      </c>
      <c r="AE772" s="19" t="str">
        <f>_xlfn.CONCAT(SalesData[[#This Row],[Clean_Customer_Name]],"-",SalesData[[#This Row],[Region]])</f>
        <v>Deepak Soni-Central</v>
      </c>
      <c r="AF772" s="19" t="str">
        <f>MID(SalesData[[#This Row],[Order_ID]],4,4)</f>
        <v>0340</v>
      </c>
      <c r="AG772" s="19" t="e">
        <f ca="1">_xlfn.SINGLE(_xlfn.XLOOKUP(SalesData[[#This Row],[Product]],Product_Master!A:A,Product_Master!B:B,"Not Found"))</f>
        <v>#NAME?</v>
      </c>
      <c r="AH772" s="19" t="str">
        <f>VLOOKUP(SalesData[[#This Row],[Product]],Product_Master!$A$1:$B$21,2,FALSE)</f>
        <v>Aditya</v>
      </c>
      <c r="AI772" s="16"/>
    </row>
    <row r="773" spans="1:35" ht="13.8">
      <c r="A773" s="16" t="s">
        <v>645</v>
      </c>
      <c r="B773" s="17">
        <v>45895</v>
      </c>
      <c r="C773" s="16" t="s">
        <v>79</v>
      </c>
      <c r="D773" s="16" t="s">
        <v>80</v>
      </c>
      <c r="E773" s="16" t="s">
        <v>106</v>
      </c>
      <c r="F773" s="16" t="s">
        <v>107</v>
      </c>
      <c r="G773" s="16" t="s">
        <v>40</v>
      </c>
      <c r="H773" s="16" t="s">
        <v>108</v>
      </c>
      <c r="I773" s="16" t="s">
        <v>84</v>
      </c>
      <c r="J773" s="16" t="s">
        <v>134</v>
      </c>
      <c r="K773" s="18">
        <v>4651.8</v>
      </c>
      <c r="L773" s="18">
        <v>3218.4</v>
      </c>
      <c r="M773" s="19">
        <v>5</v>
      </c>
      <c r="N773" s="20">
        <v>0.15</v>
      </c>
      <c r="O773" s="19" t="s">
        <v>76</v>
      </c>
      <c r="P773" s="19" t="s">
        <v>58</v>
      </c>
      <c r="Q773" s="19" t="str">
        <f>TRIM(SalesData[[#This Row],[Customer_Name]])</f>
        <v>Deepak Soni</v>
      </c>
      <c r="R773" s="21">
        <f>SalesData[[#This Row],[Sales]]-SalesData[[#This Row],[Cost]]</f>
        <v>1433.4</v>
      </c>
      <c r="S773" s="22">
        <f>IFERROR(SalesData[[#This Row],[Profit]]/SalesData[[#This Row],[Sales]],0)</f>
        <v>0.30813878498645686</v>
      </c>
      <c r="T773" s="19">
        <f>YEAR(SalesData[[#This Row],[Order_Date]])</f>
        <v>2025</v>
      </c>
      <c r="U773" s="19" t="str">
        <f>TEXT(SalesData[[#This Row],[Order_Date]],"mmm")</f>
        <v>Aug</v>
      </c>
      <c r="V773" s="19" t="str">
        <f>"Q"&amp;ROUNDUP(MONTH(SalesData[[#This Row],[Order_Date]])/3,0)</f>
        <v>Q3</v>
      </c>
      <c r="W773" s="19" t="str">
        <f>IF(SalesData[[#This Row],[Sales]]&gt;=50000,"High",IF(AND(SalesData[[#This Row],[Sales]]&gt;= 20000, SalesData[[#This Row],[Sales]]&lt; 50000),"Medium","Low"))</f>
        <v>Low</v>
      </c>
      <c r="X773" s="19" t="str">
        <f>IF(SalesData[[#This Row],[Profit]]&gt;0,"Profit","Loss")</f>
        <v>Profit</v>
      </c>
      <c r="Y773" s="19" t="str">
        <f>IF(AND(SalesData[[#This Row],[Sales]]&gt;= 50000, SalesData[[#This Row],[Quantity]]&gt;=2),"Yes","No")</f>
        <v>No</v>
      </c>
      <c r="Z773" s="19" t="str">
        <f>UPPER(SalesData[[#This Row],[Customer_Name]])</f>
        <v>DEEPAK SONI</v>
      </c>
      <c r="AA773" s="19" t="str">
        <f>LOWER(SalesData[[#This Row],[Customer_Name]])</f>
        <v>deepak soni</v>
      </c>
      <c r="AB773" s="19">
        <f>LEN(SalesData[[#This Row],[Customer_Name]])</f>
        <v>11</v>
      </c>
      <c r="AC773" s="19" t="str">
        <f>LEFT(SalesData[[#This Row],[Order_ID]],3)</f>
        <v>ORD</v>
      </c>
      <c r="AD773" s="19" t="str">
        <f>RIGHT(SalesData[[#This Row],[Order_ID]],4)</f>
        <v>0492</v>
      </c>
      <c r="AE773" s="19" t="str">
        <f>_xlfn.CONCAT(SalesData[[#This Row],[Clean_Customer_Name]],"-",SalesData[[#This Row],[Region]])</f>
        <v>Deepak Soni-South</v>
      </c>
      <c r="AF773" s="19" t="str">
        <f>MID(SalesData[[#This Row],[Order_ID]],4,4)</f>
        <v>0492</v>
      </c>
      <c r="AG773" s="19" t="e">
        <f ca="1">_xlfn.SINGLE(_xlfn.XLOOKUP(SalesData[[#This Row],[Product]],Product_Master!A:A,Product_Master!B:B,"Not Found"))</f>
        <v>#NAME?</v>
      </c>
      <c r="AH773" s="19" t="str">
        <f>VLOOKUP(SalesData[[#This Row],[Product]],Product_Master!$A$1:$B$21,2,FALSE)</f>
        <v>Aditya</v>
      </c>
      <c r="AI773" s="16"/>
    </row>
    <row r="774" spans="1:35" ht="13.8">
      <c r="A774" s="16" t="s">
        <v>1126</v>
      </c>
      <c r="B774" s="17">
        <v>45377</v>
      </c>
      <c r="C774" s="16" t="s">
        <v>79</v>
      </c>
      <c r="D774" s="16" t="s">
        <v>80</v>
      </c>
      <c r="E774" s="16" t="s">
        <v>106</v>
      </c>
      <c r="F774" s="16" t="s">
        <v>107</v>
      </c>
      <c r="G774" s="16" t="s">
        <v>40</v>
      </c>
      <c r="H774" s="16" t="s">
        <v>108</v>
      </c>
      <c r="I774" s="16" t="s">
        <v>56</v>
      </c>
      <c r="J774" s="16" t="s">
        <v>91</v>
      </c>
      <c r="K774" s="18">
        <v>3238.06</v>
      </c>
      <c r="L774" s="18">
        <v>2139.9899999999998</v>
      </c>
      <c r="M774" s="19">
        <v>3</v>
      </c>
      <c r="N774" s="20">
        <v>0.05</v>
      </c>
      <c r="O774" s="19" t="s">
        <v>44</v>
      </c>
      <c r="P774" s="19" t="s">
        <v>26</v>
      </c>
      <c r="Q774" s="19" t="str">
        <f>TRIM(SalesData[[#This Row],[Customer_Name]])</f>
        <v>Deepak Soni</v>
      </c>
      <c r="R774" s="21">
        <f>SalesData[[#This Row],[Sales]]-SalesData[[#This Row],[Cost]]</f>
        <v>1098.0700000000002</v>
      </c>
      <c r="S774" s="22">
        <f>IFERROR(SalesData[[#This Row],[Profit]]/SalesData[[#This Row],[Sales]],0)</f>
        <v>0.33911354329444177</v>
      </c>
      <c r="T774" s="19">
        <f>YEAR(SalesData[[#This Row],[Order_Date]])</f>
        <v>2024</v>
      </c>
      <c r="U774" s="19" t="str">
        <f>TEXT(SalesData[[#This Row],[Order_Date]],"mmm")</f>
        <v>Mar</v>
      </c>
      <c r="V774" s="19" t="str">
        <f>"Q"&amp;ROUNDUP(MONTH(SalesData[[#This Row],[Order_Date]])/3,0)</f>
        <v>Q1</v>
      </c>
      <c r="W774" s="19" t="str">
        <f>IF(SalesData[[#This Row],[Sales]]&gt;=50000,"High",IF(AND(SalesData[[#This Row],[Sales]]&gt;= 20000, SalesData[[#This Row],[Sales]]&lt; 50000),"Medium","Low"))</f>
        <v>Low</v>
      </c>
      <c r="X774" s="19" t="str">
        <f>IF(SalesData[[#This Row],[Profit]]&gt;0,"Profit","Loss")</f>
        <v>Profit</v>
      </c>
      <c r="Y774" s="19" t="str">
        <f>IF(AND(SalesData[[#This Row],[Sales]]&gt;= 50000, SalesData[[#This Row],[Quantity]]&gt;=2),"Yes","No")</f>
        <v>No</v>
      </c>
      <c r="Z774" s="19" t="str">
        <f>UPPER(SalesData[[#This Row],[Customer_Name]])</f>
        <v>DEEPAK SONI</v>
      </c>
      <c r="AA774" s="19" t="str">
        <f>LOWER(SalesData[[#This Row],[Customer_Name]])</f>
        <v>deepak soni</v>
      </c>
      <c r="AB774" s="19">
        <f>LEN(SalesData[[#This Row],[Customer_Name]])</f>
        <v>11</v>
      </c>
      <c r="AC774" s="19" t="str">
        <f>LEFT(SalesData[[#This Row],[Order_ID]],3)</f>
        <v>ORD</v>
      </c>
      <c r="AD774" s="19" t="str">
        <f>RIGHT(SalesData[[#This Row],[Order_ID]],4)</f>
        <v>0973</v>
      </c>
      <c r="AE774" s="19" t="str">
        <f>_xlfn.CONCAT(SalesData[[#This Row],[Clean_Customer_Name]],"-",SalesData[[#This Row],[Region]])</f>
        <v>Deepak Soni-West</v>
      </c>
      <c r="AF774" s="19" t="str">
        <f>MID(SalesData[[#This Row],[Order_ID]],4,4)</f>
        <v>0973</v>
      </c>
      <c r="AG774" s="19" t="e">
        <f ca="1">_xlfn.SINGLE(_xlfn.XLOOKUP(SalesData[[#This Row],[Product]],Product_Master!A:A,Product_Master!B:B,"Not Found"))</f>
        <v>#NAME?</v>
      </c>
      <c r="AH774" s="19" t="str">
        <f>VLOOKUP(SalesData[[#This Row],[Product]],Product_Master!$A$1:$B$21,2,FALSE)</f>
        <v>Aditya</v>
      </c>
      <c r="AI774" s="16"/>
    </row>
    <row r="775" spans="1:35" ht="13.8">
      <c r="A775" s="16" t="s">
        <v>213</v>
      </c>
      <c r="B775" s="17">
        <v>45375</v>
      </c>
      <c r="C775" s="16" t="s">
        <v>79</v>
      </c>
      <c r="D775" s="16" t="s">
        <v>80</v>
      </c>
      <c r="E775" s="16" t="s">
        <v>132</v>
      </c>
      <c r="F775" s="16" t="s">
        <v>133</v>
      </c>
      <c r="G775" s="16" t="s">
        <v>40</v>
      </c>
      <c r="H775" s="16" t="s">
        <v>41</v>
      </c>
      <c r="I775" s="16" t="s">
        <v>84</v>
      </c>
      <c r="J775" s="16" t="s">
        <v>142</v>
      </c>
      <c r="K775" s="18">
        <v>2910.64</v>
      </c>
      <c r="L775" s="18">
        <v>903.88</v>
      </c>
      <c r="M775" s="19">
        <v>4</v>
      </c>
      <c r="N775" s="20">
        <v>0.1</v>
      </c>
      <c r="O775" s="19" t="s">
        <v>76</v>
      </c>
      <c r="P775" s="19" t="s">
        <v>58</v>
      </c>
      <c r="Q775" s="19" t="str">
        <f>TRIM(SalesData[[#This Row],[Customer_Name]])</f>
        <v>Deepak Soni</v>
      </c>
      <c r="R775" s="21">
        <f>SalesData[[#This Row],[Sales]]-SalesData[[#This Row],[Cost]]</f>
        <v>2006.7599999999998</v>
      </c>
      <c r="S775" s="22">
        <f>IFERROR(SalesData[[#This Row],[Profit]]/SalesData[[#This Row],[Sales]],0)</f>
        <v>0.6894566143528571</v>
      </c>
      <c r="T775" s="19">
        <f>YEAR(SalesData[[#This Row],[Order_Date]])</f>
        <v>2024</v>
      </c>
      <c r="U775" s="19" t="str">
        <f>TEXT(SalesData[[#This Row],[Order_Date]],"mmm")</f>
        <v>Mar</v>
      </c>
      <c r="V775" s="19" t="str">
        <f>"Q"&amp;ROUNDUP(MONTH(SalesData[[#This Row],[Order_Date]])/3,0)</f>
        <v>Q1</v>
      </c>
      <c r="W775" s="19" t="str">
        <f>IF(SalesData[[#This Row],[Sales]]&gt;=50000,"High",IF(AND(SalesData[[#This Row],[Sales]]&gt;= 20000, SalesData[[#This Row],[Sales]]&lt; 50000),"Medium","Low"))</f>
        <v>Low</v>
      </c>
      <c r="X775" s="19" t="str">
        <f>IF(SalesData[[#This Row],[Profit]]&gt;0,"Profit","Loss")</f>
        <v>Profit</v>
      </c>
      <c r="Y775" s="19" t="str">
        <f>IF(AND(SalesData[[#This Row],[Sales]]&gt;= 50000, SalesData[[#This Row],[Quantity]]&gt;=2),"Yes","No")</f>
        <v>No</v>
      </c>
      <c r="Z775" s="19" t="str">
        <f>UPPER(SalesData[[#This Row],[Customer_Name]])</f>
        <v>DEEPAK SONI</v>
      </c>
      <c r="AA775" s="19" t="str">
        <f>LOWER(SalesData[[#This Row],[Customer_Name]])</f>
        <v>deepak soni</v>
      </c>
      <c r="AB775" s="19">
        <f>LEN(SalesData[[#This Row],[Customer_Name]])</f>
        <v>11</v>
      </c>
      <c r="AC775" s="19" t="str">
        <f>LEFT(SalesData[[#This Row],[Order_ID]],3)</f>
        <v>ORD</v>
      </c>
      <c r="AD775" s="19" t="str">
        <f>RIGHT(SalesData[[#This Row],[Order_ID]],4)</f>
        <v>0064</v>
      </c>
      <c r="AE775" s="19" t="str">
        <f>_xlfn.CONCAT(SalesData[[#This Row],[Clean_Customer_Name]],"-",SalesData[[#This Row],[Region]])</f>
        <v>Deepak Soni-South</v>
      </c>
      <c r="AF775" s="19" t="str">
        <f>MID(SalesData[[#This Row],[Order_ID]],4,4)</f>
        <v>0064</v>
      </c>
      <c r="AG775" s="19" t="e">
        <f ca="1">_xlfn.SINGLE(_xlfn.XLOOKUP(SalesData[[#This Row],[Product]],Product_Master!A:A,Product_Master!B:B,"Not Found"))</f>
        <v>#NAME?</v>
      </c>
      <c r="AH775" s="19" t="str">
        <f>VLOOKUP(SalesData[[#This Row],[Product]],Product_Master!$A$1:$B$21,2,FALSE)</f>
        <v>Kavya</v>
      </c>
      <c r="AI775" s="16"/>
    </row>
    <row r="776" spans="1:35" ht="13.8">
      <c r="A776" s="16" t="s">
        <v>250</v>
      </c>
      <c r="B776" s="17">
        <v>45811</v>
      </c>
      <c r="C776" s="16" t="s">
        <v>79</v>
      </c>
      <c r="D776" s="16" t="s">
        <v>80</v>
      </c>
      <c r="E776" s="16" t="s">
        <v>132</v>
      </c>
      <c r="F776" s="16" t="s">
        <v>133</v>
      </c>
      <c r="G776" s="16" t="s">
        <v>40</v>
      </c>
      <c r="H776" s="16" t="s">
        <v>41</v>
      </c>
      <c r="I776" s="16" t="s">
        <v>84</v>
      </c>
      <c r="J776" s="16" t="s">
        <v>134</v>
      </c>
      <c r="K776" s="18">
        <v>1594.11</v>
      </c>
      <c r="L776" s="18">
        <v>798.09</v>
      </c>
      <c r="M776" s="19">
        <v>3</v>
      </c>
      <c r="N776" s="20">
        <v>0.1</v>
      </c>
      <c r="O776" s="19" t="s">
        <v>34</v>
      </c>
      <c r="P776" s="19" t="s">
        <v>98</v>
      </c>
      <c r="Q776" s="19" t="str">
        <f>TRIM(SalesData[[#This Row],[Customer_Name]])</f>
        <v>Deepak Soni</v>
      </c>
      <c r="R776" s="21">
        <f>SalesData[[#This Row],[Sales]]-SalesData[[#This Row],[Cost]]</f>
        <v>796.01999999999987</v>
      </c>
      <c r="S776" s="22">
        <f>IFERROR(SalesData[[#This Row],[Profit]]/SalesData[[#This Row],[Sales]],0)</f>
        <v>0.49935073489282417</v>
      </c>
      <c r="T776" s="19">
        <f>YEAR(SalesData[[#This Row],[Order_Date]])</f>
        <v>2025</v>
      </c>
      <c r="U776" s="19" t="str">
        <f>TEXT(SalesData[[#This Row],[Order_Date]],"mmm")</f>
        <v>Jun</v>
      </c>
      <c r="V776" s="19" t="str">
        <f>"Q"&amp;ROUNDUP(MONTH(SalesData[[#This Row],[Order_Date]])/3,0)</f>
        <v>Q2</v>
      </c>
      <c r="W776" s="19" t="str">
        <f>IF(SalesData[[#This Row],[Sales]]&gt;=50000,"High",IF(AND(SalesData[[#This Row],[Sales]]&gt;= 20000, SalesData[[#This Row],[Sales]]&lt; 50000),"Medium","Low"))</f>
        <v>Low</v>
      </c>
      <c r="X776" s="19" t="str">
        <f>IF(SalesData[[#This Row],[Profit]]&gt;0,"Profit","Loss")</f>
        <v>Profit</v>
      </c>
      <c r="Y776" s="19" t="str">
        <f>IF(AND(SalesData[[#This Row],[Sales]]&gt;= 50000, SalesData[[#This Row],[Quantity]]&gt;=2),"Yes","No")</f>
        <v>No</v>
      </c>
      <c r="Z776" s="19" t="str">
        <f>UPPER(SalesData[[#This Row],[Customer_Name]])</f>
        <v>DEEPAK SONI</v>
      </c>
      <c r="AA776" s="19" t="str">
        <f>LOWER(SalesData[[#This Row],[Customer_Name]])</f>
        <v>deepak soni</v>
      </c>
      <c r="AB776" s="19">
        <f>LEN(SalesData[[#This Row],[Customer_Name]])</f>
        <v>11</v>
      </c>
      <c r="AC776" s="19" t="str">
        <f>LEFT(SalesData[[#This Row],[Order_ID]],3)</f>
        <v>ORD</v>
      </c>
      <c r="AD776" s="19" t="str">
        <f>RIGHT(SalesData[[#This Row],[Order_ID]],4)</f>
        <v>0099</v>
      </c>
      <c r="AE776" s="19" t="str">
        <f>_xlfn.CONCAT(SalesData[[#This Row],[Clean_Customer_Name]],"-",SalesData[[#This Row],[Region]])</f>
        <v>Deepak Soni-South</v>
      </c>
      <c r="AF776" s="19" t="str">
        <f>MID(SalesData[[#This Row],[Order_ID]],4,4)</f>
        <v>0099</v>
      </c>
      <c r="AG776" s="19" t="e">
        <f ca="1">_xlfn.SINGLE(_xlfn.XLOOKUP(SalesData[[#This Row],[Product]],Product_Master!A:A,Product_Master!B:B,"Not Found"))</f>
        <v>#NAME?</v>
      </c>
      <c r="AH776" s="19" t="str">
        <f>VLOOKUP(SalesData[[#This Row],[Product]],Product_Master!$A$1:$B$21,2,FALSE)</f>
        <v>Kavya</v>
      </c>
      <c r="AI776" s="16"/>
    </row>
    <row r="777" spans="1:35" ht="13.8">
      <c r="A777" s="16" t="s">
        <v>346</v>
      </c>
      <c r="B777" s="17">
        <v>45880</v>
      </c>
      <c r="C777" s="16" t="s">
        <v>79</v>
      </c>
      <c r="D777" s="16" t="s">
        <v>80</v>
      </c>
      <c r="E777" s="16" t="s">
        <v>132</v>
      </c>
      <c r="F777" s="16" t="s">
        <v>133</v>
      </c>
      <c r="G777" s="16" t="s">
        <v>40</v>
      </c>
      <c r="H777" s="16" t="s">
        <v>41</v>
      </c>
      <c r="I777" s="16" t="s">
        <v>53</v>
      </c>
      <c r="J777" s="16" t="s">
        <v>102</v>
      </c>
      <c r="K777" s="18">
        <v>619.47</v>
      </c>
      <c r="L777" s="18">
        <v>231.27</v>
      </c>
      <c r="M777" s="19">
        <v>1</v>
      </c>
      <c r="N777" s="20">
        <v>0</v>
      </c>
      <c r="O777" s="19" t="s">
        <v>136</v>
      </c>
      <c r="P777" s="19" t="s">
        <v>98</v>
      </c>
      <c r="Q777" s="19" t="str">
        <f>TRIM(SalesData[[#This Row],[Customer_Name]])</f>
        <v>Deepak Soni</v>
      </c>
      <c r="R777" s="21">
        <f>SalesData[[#This Row],[Sales]]-SalesData[[#This Row],[Cost]]</f>
        <v>388.20000000000005</v>
      </c>
      <c r="S777" s="22">
        <f>IFERROR(SalesData[[#This Row],[Profit]]/SalesData[[#This Row],[Sales]],0)</f>
        <v>0.62666472952685359</v>
      </c>
      <c r="T777" s="19">
        <f>YEAR(SalesData[[#This Row],[Order_Date]])</f>
        <v>2025</v>
      </c>
      <c r="U777" s="19" t="str">
        <f>TEXT(SalesData[[#This Row],[Order_Date]],"mmm")</f>
        <v>Aug</v>
      </c>
      <c r="V777" s="19" t="str">
        <f>"Q"&amp;ROUNDUP(MONTH(SalesData[[#This Row],[Order_Date]])/3,0)</f>
        <v>Q3</v>
      </c>
      <c r="W777" s="19" t="str">
        <f>IF(SalesData[[#This Row],[Sales]]&gt;=50000,"High",IF(AND(SalesData[[#This Row],[Sales]]&gt;= 20000, SalesData[[#This Row],[Sales]]&lt; 50000),"Medium","Low"))</f>
        <v>Low</v>
      </c>
      <c r="X777" s="19" t="str">
        <f>IF(SalesData[[#This Row],[Profit]]&gt;0,"Profit","Loss")</f>
        <v>Profit</v>
      </c>
      <c r="Y777" s="19" t="str">
        <f>IF(AND(SalesData[[#This Row],[Sales]]&gt;= 50000, SalesData[[#This Row],[Quantity]]&gt;=2),"Yes","No")</f>
        <v>No</v>
      </c>
      <c r="Z777" s="19" t="str">
        <f>UPPER(SalesData[[#This Row],[Customer_Name]])</f>
        <v>DEEPAK SONI</v>
      </c>
      <c r="AA777" s="19" t="str">
        <f>LOWER(SalesData[[#This Row],[Customer_Name]])</f>
        <v>deepak soni</v>
      </c>
      <c r="AB777" s="19">
        <f>LEN(SalesData[[#This Row],[Customer_Name]])</f>
        <v>11</v>
      </c>
      <c r="AC777" s="19" t="str">
        <f>LEFT(SalesData[[#This Row],[Order_ID]],3)</f>
        <v>ORD</v>
      </c>
      <c r="AD777" s="19" t="str">
        <f>RIGHT(SalesData[[#This Row],[Order_ID]],4)</f>
        <v>0193</v>
      </c>
      <c r="AE777" s="19" t="str">
        <f>_xlfn.CONCAT(SalesData[[#This Row],[Clean_Customer_Name]],"-",SalesData[[#This Row],[Region]])</f>
        <v>Deepak Soni-Central</v>
      </c>
      <c r="AF777" s="19" t="str">
        <f>MID(SalesData[[#This Row],[Order_ID]],4,4)</f>
        <v>0193</v>
      </c>
      <c r="AG777" s="19" t="e">
        <f ca="1">_xlfn.SINGLE(_xlfn.XLOOKUP(SalesData[[#This Row],[Product]],Product_Master!A:A,Product_Master!B:B,"Not Found"))</f>
        <v>#NAME?</v>
      </c>
      <c r="AH777" s="19" t="str">
        <f>VLOOKUP(SalesData[[#This Row],[Product]],Product_Master!$A$1:$B$21,2,FALSE)</f>
        <v>Kavya</v>
      </c>
      <c r="AI777" s="16"/>
    </row>
    <row r="778" spans="1:35" ht="13.8">
      <c r="A778" s="16" t="s">
        <v>591</v>
      </c>
      <c r="B778" s="17">
        <v>45940</v>
      </c>
      <c r="C778" s="16" t="s">
        <v>79</v>
      </c>
      <c r="D778" s="16" t="s">
        <v>80</v>
      </c>
      <c r="E778" s="16" t="s">
        <v>132</v>
      </c>
      <c r="F778" s="16" t="s">
        <v>133</v>
      </c>
      <c r="G778" s="16" t="s">
        <v>40</v>
      </c>
      <c r="H778" s="16" t="s">
        <v>41</v>
      </c>
      <c r="I778" s="16" t="s">
        <v>23</v>
      </c>
      <c r="J778" s="16" t="s">
        <v>24</v>
      </c>
      <c r="K778" s="18">
        <v>4708.96</v>
      </c>
      <c r="L778" s="18">
        <v>1155.8</v>
      </c>
      <c r="M778" s="19">
        <v>5</v>
      </c>
      <c r="N778" s="20">
        <v>0.15</v>
      </c>
      <c r="O778" s="19" t="s">
        <v>34</v>
      </c>
      <c r="P778" s="19" t="s">
        <v>58</v>
      </c>
      <c r="Q778" s="19" t="str">
        <f>TRIM(SalesData[[#This Row],[Customer_Name]])</f>
        <v>Deepak Soni</v>
      </c>
      <c r="R778" s="21">
        <f>SalesData[[#This Row],[Sales]]-SalesData[[#This Row],[Cost]]</f>
        <v>3553.16</v>
      </c>
      <c r="S778" s="22">
        <f>IFERROR(SalesData[[#This Row],[Profit]]/SalesData[[#This Row],[Sales]],0)</f>
        <v>0.75455302232340049</v>
      </c>
      <c r="T778" s="19">
        <f>YEAR(SalesData[[#This Row],[Order_Date]])</f>
        <v>2025</v>
      </c>
      <c r="U778" s="19" t="str">
        <f>TEXT(SalesData[[#This Row],[Order_Date]],"mmm")</f>
        <v>Oct</v>
      </c>
      <c r="V778" s="19" t="str">
        <f>"Q"&amp;ROUNDUP(MONTH(SalesData[[#This Row],[Order_Date]])/3,0)</f>
        <v>Q4</v>
      </c>
      <c r="W778" s="19" t="str">
        <f>IF(SalesData[[#This Row],[Sales]]&gt;=50000,"High",IF(AND(SalesData[[#This Row],[Sales]]&gt;= 20000, SalesData[[#This Row],[Sales]]&lt; 50000),"Medium","Low"))</f>
        <v>Low</v>
      </c>
      <c r="X778" s="19" t="str">
        <f>IF(SalesData[[#This Row],[Profit]]&gt;0,"Profit","Loss")</f>
        <v>Profit</v>
      </c>
      <c r="Y778" s="19" t="str">
        <f>IF(AND(SalesData[[#This Row],[Sales]]&gt;= 50000, SalesData[[#This Row],[Quantity]]&gt;=2),"Yes","No")</f>
        <v>No</v>
      </c>
      <c r="Z778" s="19" t="str">
        <f>UPPER(SalesData[[#This Row],[Customer_Name]])</f>
        <v>DEEPAK SONI</v>
      </c>
      <c r="AA778" s="19" t="str">
        <f>LOWER(SalesData[[#This Row],[Customer_Name]])</f>
        <v>deepak soni</v>
      </c>
      <c r="AB778" s="19">
        <f>LEN(SalesData[[#This Row],[Customer_Name]])</f>
        <v>11</v>
      </c>
      <c r="AC778" s="19" t="str">
        <f>LEFT(SalesData[[#This Row],[Order_ID]],3)</f>
        <v>ORD</v>
      </c>
      <c r="AD778" s="19" t="str">
        <f>RIGHT(SalesData[[#This Row],[Order_ID]],4)</f>
        <v>0438</v>
      </c>
      <c r="AE778" s="19" t="str">
        <f>_xlfn.CONCAT(SalesData[[#This Row],[Clean_Customer_Name]],"-",SalesData[[#This Row],[Region]])</f>
        <v>Deepak Soni-North</v>
      </c>
      <c r="AF778" s="19" t="str">
        <f>MID(SalesData[[#This Row],[Order_ID]],4,4)</f>
        <v>0438</v>
      </c>
      <c r="AG778" s="19" t="e">
        <f ca="1">_xlfn.SINGLE(_xlfn.XLOOKUP(SalesData[[#This Row],[Product]],Product_Master!A:A,Product_Master!B:B,"Not Found"))</f>
        <v>#NAME?</v>
      </c>
      <c r="AH778" s="19" t="str">
        <f>VLOOKUP(SalesData[[#This Row],[Product]],Product_Master!$A$1:$B$21,2,FALSE)</f>
        <v>Kavya</v>
      </c>
      <c r="AI778" s="16"/>
    </row>
    <row r="779" spans="1:35" ht="13.8">
      <c r="A779" s="16" t="s">
        <v>644</v>
      </c>
      <c r="B779" s="17">
        <v>45722</v>
      </c>
      <c r="C779" s="16" t="s">
        <v>79</v>
      </c>
      <c r="D779" s="16" t="s">
        <v>80</v>
      </c>
      <c r="E779" s="16" t="s">
        <v>132</v>
      </c>
      <c r="F779" s="16" t="s">
        <v>133</v>
      </c>
      <c r="G779" s="16" t="s">
        <v>40</v>
      </c>
      <c r="H779" s="16" t="s">
        <v>41</v>
      </c>
      <c r="I779" s="16" t="s">
        <v>56</v>
      </c>
      <c r="J779" s="16" t="s">
        <v>57</v>
      </c>
      <c r="K779" s="18">
        <v>2404.65</v>
      </c>
      <c r="L779" s="18">
        <v>806.22</v>
      </c>
      <c r="M779" s="19">
        <v>3</v>
      </c>
      <c r="N779" s="20">
        <v>0.15</v>
      </c>
      <c r="O779" s="19" t="s">
        <v>76</v>
      </c>
      <c r="P779" s="19" t="s">
        <v>98</v>
      </c>
      <c r="Q779" s="19" t="str">
        <f>TRIM(SalesData[[#This Row],[Customer_Name]])</f>
        <v>Deepak Soni</v>
      </c>
      <c r="R779" s="21">
        <f>SalesData[[#This Row],[Sales]]-SalesData[[#This Row],[Cost]]</f>
        <v>1598.43</v>
      </c>
      <c r="S779" s="22">
        <f>IFERROR(SalesData[[#This Row],[Profit]]/SalesData[[#This Row],[Sales]],0)</f>
        <v>0.66472459609506584</v>
      </c>
      <c r="T779" s="19">
        <f>YEAR(SalesData[[#This Row],[Order_Date]])</f>
        <v>2025</v>
      </c>
      <c r="U779" s="19" t="str">
        <f>TEXT(SalesData[[#This Row],[Order_Date]],"mmm")</f>
        <v>Mar</v>
      </c>
      <c r="V779" s="19" t="str">
        <f>"Q"&amp;ROUNDUP(MONTH(SalesData[[#This Row],[Order_Date]])/3,0)</f>
        <v>Q1</v>
      </c>
      <c r="W779" s="19" t="str">
        <f>IF(SalesData[[#This Row],[Sales]]&gt;=50000,"High",IF(AND(SalesData[[#This Row],[Sales]]&gt;= 20000, SalesData[[#This Row],[Sales]]&lt; 50000),"Medium","Low"))</f>
        <v>Low</v>
      </c>
      <c r="X779" s="19" t="str">
        <f>IF(SalesData[[#This Row],[Profit]]&gt;0,"Profit","Loss")</f>
        <v>Profit</v>
      </c>
      <c r="Y779" s="19" t="str">
        <f>IF(AND(SalesData[[#This Row],[Sales]]&gt;= 50000, SalesData[[#This Row],[Quantity]]&gt;=2),"Yes","No")</f>
        <v>No</v>
      </c>
      <c r="Z779" s="19" t="str">
        <f>UPPER(SalesData[[#This Row],[Customer_Name]])</f>
        <v>DEEPAK SONI</v>
      </c>
      <c r="AA779" s="19" t="str">
        <f>LOWER(SalesData[[#This Row],[Customer_Name]])</f>
        <v>deepak soni</v>
      </c>
      <c r="AB779" s="19">
        <f>LEN(SalesData[[#This Row],[Customer_Name]])</f>
        <v>11</v>
      </c>
      <c r="AC779" s="19" t="str">
        <f>LEFT(SalesData[[#This Row],[Order_ID]],3)</f>
        <v>ORD</v>
      </c>
      <c r="AD779" s="19" t="str">
        <f>RIGHT(SalesData[[#This Row],[Order_ID]],4)</f>
        <v>0491</v>
      </c>
      <c r="AE779" s="19" t="str">
        <f>_xlfn.CONCAT(SalesData[[#This Row],[Clean_Customer_Name]],"-",SalesData[[#This Row],[Region]])</f>
        <v>Deepak Soni-West</v>
      </c>
      <c r="AF779" s="19" t="str">
        <f>MID(SalesData[[#This Row],[Order_ID]],4,4)</f>
        <v>0491</v>
      </c>
      <c r="AG779" s="19" t="e">
        <f ca="1">_xlfn.SINGLE(_xlfn.XLOOKUP(SalesData[[#This Row],[Product]],Product_Master!A:A,Product_Master!B:B,"Not Found"))</f>
        <v>#NAME?</v>
      </c>
      <c r="AH779" s="19" t="str">
        <f>VLOOKUP(SalesData[[#This Row],[Product]],Product_Master!$A$1:$B$21,2,FALSE)</f>
        <v>Kavya</v>
      </c>
      <c r="AI779" s="16"/>
    </row>
    <row r="780" spans="1:35" ht="13.8">
      <c r="A780" s="16" t="s">
        <v>784</v>
      </c>
      <c r="B780" s="17">
        <v>45412</v>
      </c>
      <c r="C780" s="16" t="s">
        <v>79</v>
      </c>
      <c r="D780" s="16" t="s">
        <v>80</v>
      </c>
      <c r="E780" s="16" t="s">
        <v>38</v>
      </c>
      <c r="F780" s="16" t="s">
        <v>39</v>
      </c>
      <c r="G780" s="16" t="s">
        <v>40</v>
      </c>
      <c r="H780" s="16" t="s">
        <v>41</v>
      </c>
      <c r="I780" s="16" t="s">
        <v>42</v>
      </c>
      <c r="J780" s="16" t="s">
        <v>68</v>
      </c>
      <c r="K780" s="18">
        <v>3113.46</v>
      </c>
      <c r="L780" s="18">
        <v>1394.79</v>
      </c>
      <c r="M780" s="19">
        <v>3</v>
      </c>
      <c r="N780" s="20">
        <v>0</v>
      </c>
      <c r="O780" s="19" t="s">
        <v>34</v>
      </c>
      <c r="P780" s="19" t="s">
        <v>58</v>
      </c>
      <c r="Q780" s="19" t="str">
        <f>TRIM(SalesData[[#This Row],[Customer_Name]])</f>
        <v>Deepak Soni</v>
      </c>
      <c r="R780" s="21">
        <f>SalesData[[#This Row],[Sales]]-SalesData[[#This Row],[Cost]]</f>
        <v>1718.67</v>
      </c>
      <c r="S780" s="22">
        <f>IFERROR(SalesData[[#This Row],[Profit]]/SalesData[[#This Row],[Sales]],0)</f>
        <v>0.55201287313792369</v>
      </c>
      <c r="T780" s="19">
        <f>YEAR(SalesData[[#This Row],[Order_Date]])</f>
        <v>2024</v>
      </c>
      <c r="U780" s="19" t="str">
        <f>TEXT(SalesData[[#This Row],[Order_Date]],"mmm")</f>
        <v>Apr</v>
      </c>
      <c r="V780" s="19" t="str">
        <f>"Q"&amp;ROUNDUP(MONTH(SalesData[[#This Row],[Order_Date]])/3,0)</f>
        <v>Q2</v>
      </c>
      <c r="W780" s="19" t="str">
        <f>IF(SalesData[[#This Row],[Sales]]&gt;=50000,"High",IF(AND(SalesData[[#This Row],[Sales]]&gt;= 20000, SalesData[[#This Row],[Sales]]&lt; 50000),"Medium","Low"))</f>
        <v>Low</v>
      </c>
      <c r="X780" s="19" t="str">
        <f>IF(SalesData[[#This Row],[Profit]]&gt;0,"Profit","Loss")</f>
        <v>Profit</v>
      </c>
      <c r="Y780" s="19" t="str">
        <f>IF(AND(SalesData[[#This Row],[Sales]]&gt;= 50000, SalesData[[#This Row],[Quantity]]&gt;=2),"Yes","No")</f>
        <v>No</v>
      </c>
      <c r="Z780" s="19" t="str">
        <f>UPPER(SalesData[[#This Row],[Customer_Name]])</f>
        <v>DEEPAK SONI</v>
      </c>
      <c r="AA780" s="19" t="str">
        <f>LOWER(SalesData[[#This Row],[Customer_Name]])</f>
        <v>deepak soni</v>
      </c>
      <c r="AB780" s="19">
        <f>LEN(SalesData[[#This Row],[Customer_Name]])</f>
        <v>11</v>
      </c>
      <c r="AC780" s="19" t="str">
        <f>LEFT(SalesData[[#This Row],[Order_ID]],3)</f>
        <v>ORD</v>
      </c>
      <c r="AD780" s="19" t="str">
        <f>RIGHT(SalesData[[#This Row],[Order_ID]],4)</f>
        <v>0631</v>
      </c>
      <c r="AE780" s="19" t="str">
        <f>_xlfn.CONCAT(SalesData[[#This Row],[Clean_Customer_Name]],"-",SalesData[[#This Row],[Region]])</f>
        <v>Deepak Soni-East</v>
      </c>
      <c r="AF780" s="19" t="str">
        <f>MID(SalesData[[#This Row],[Order_ID]],4,4)</f>
        <v>0631</v>
      </c>
      <c r="AG780" s="19" t="e">
        <f ca="1">_xlfn.SINGLE(_xlfn.XLOOKUP(SalesData[[#This Row],[Product]],Product_Master!A:A,Product_Master!B:B,"Not Found"))</f>
        <v>#NAME?</v>
      </c>
      <c r="AH780" s="19" t="str">
        <f>VLOOKUP(SalesData[[#This Row],[Product]],Product_Master!$A$1:$B$21,2,FALSE)</f>
        <v>Manish</v>
      </c>
      <c r="AI780" s="16"/>
    </row>
    <row r="781" spans="1:35" ht="13.8">
      <c r="A781" s="16" t="s">
        <v>829</v>
      </c>
      <c r="B781" s="17">
        <v>45801</v>
      </c>
      <c r="C781" s="16" t="s">
        <v>79</v>
      </c>
      <c r="D781" s="16" t="s">
        <v>80</v>
      </c>
      <c r="E781" s="16" t="s">
        <v>38</v>
      </c>
      <c r="F781" s="16" t="s">
        <v>39</v>
      </c>
      <c r="G781" s="16" t="s">
        <v>40</v>
      </c>
      <c r="H781" s="16" t="s">
        <v>41</v>
      </c>
      <c r="I781" s="16" t="s">
        <v>23</v>
      </c>
      <c r="J781" s="16" t="s">
        <v>24</v>
      </c>
      <c r="K781" s="18">
        <v>1202.78</v>
      </c>
      <c r="L781" s="18">
        <v>1030.58</v>
      </c>
      <c r="M781" s="19">
        <v>2</v>
      </c>
      <c r="N781" s="20">
        <v>0</v>
      </c>
      <c r="O781" s="19" t="s">
        <v>136</v>
      </c>
      <c r="P781" s="19" t="s">
        <v>45</v>
      </c>
      <c r="Q781" s="19" t="str">
        <f>TRIM(SalesData[[#This Row],[Customer_Name]])</f>
        <v>Deepak Soni</v>
      </c>
      <c r="R781" s="21">
        <f>SalesData[[#This Row],[Sales]]-SalesData[[#This Row],[Cost]]</f>
        <v>172.20000000000005</v>
      </c>
      <c r="S781" s="22">
        <f>IFERROR(SalesData[[#This Row],[Profit]]/SalesData[[#This Row],[Sales]],0)</f>
        <v>0.14316832670978902</v>
      </c>
      <c r="T781" s="19">
        <f>YEAR(SalesData[[#This Row],[Order_Date]])</f>
        <v>2025</v>
      </c>
      <c r="U781" s="19" t="str">
        <f>TEXT(SalesData[[#This Row],[Order_Date]],"mmm")</f>
        <v>May</v>
      </c>
      <c r="V781" s="19" t="str">
        <f>"Q"&amp;ROUNDUP(MONTH(SalesData[[#This Row],[Order_Date]])/3,0)</f>
        <v>Q2</v>
      </c>
      <c r="W781" s="19" t="str">
        <f>IF(SalesData[[#This Row],[Sales]]&gt;=50000,"High",IF(AND(SalesData[[#This Row],[Sales]]&gt;= 20000, SalesData[[#This Row],[Sales]]&lt; 50000),"Medium","Low"))</f>
        <v>Low</v>
      </c>
      <c r="X781" s="19" t="str">
        <f>IF(SalesData[[#This Row],[Profit]]&gt;0,"Profit","Loss")</f>
        <v>Profit</v>
      </c>
      <c r="Y781" s="19" t="str">
        <f>IF(AND(SalesData[[#This Row],[Sales]]&gt;= 50000, SalesData[[#This Row],[Quantity]]&gt;=2),"Yes","No")</f>
        <v>No</v>
      </c>
      <c r="Z781" s="19" t="str">
        <f>UPPER(SalesData[[#This Row],[Customer_Name]])</f>
        <v>DEEPAK SONI</v>
      </c>
      <c r="AA781" s="19" t="str">
        <f>LOWER(SalesData[[#This Row],[Customer_Name]])</f>
        <v>deepak soni</v>
      </c>
      <c r="AB781" s="19">
        <f>LEN(SalesData[[#This Row],[Customer_Name]])</f>
        <v>11</v>
      </c>
      <c r="AC781" s="19" t="str">
        <f>LEFT(SalesData[[#This Row],[Order_ID]],3)</f>
        <v>ORD</v>
      </c>
      <c r="AD781" s="19" t="str">
        <f>RIGHT(SalesData[[#This Row],[Order_ID]],4)</f>
        <v>0676</v>
      </c>
      <c r="AE781" s="19" t="str">
        <f>_xlfn.CONCAT(SalesData[[#This Row],[Clean_Customer_Name]],"-",SalesData[[#This Row],[Region]])</f>
        <v>Deepak Soni-North</v>
      </c>
      <c r="AF781" s="19" t="str">
        <f>MID(SalesData[[#This Row],[Order_ID]],4,4)</f>
        <v>0676</v>
      </c>
      <c r="AG781" s="19" t="e">
        <f ca="1">_xlfn.SINGLE(_xlfn.XLOOKUP(SalesData[[#This Row],[Product]],Product_Master!A:A,Product_Master!B:B,"Not Found"))</f>
        <v>#NAME?</v>
      </c>
      <c r="AH781" s="19" t="str">
        <f>VLOOKUP(SalesData[[#This Row],[Product]],Product_Master!$A$1:$B$21,2,FALSE)</f>
        <v>Manish</v>
      </c>
      <c r="AI781" s="16"/>
    </row>
    <row r="782" spans="1:35" ht="13.8">
      <c r="A782" s="16" t="s">
        <v>981</v>
      </c>
      <c r="B782" s="17">
        <v>45563</v>
      </c>
      <c r="C782" s="16" t="s">
        <v>79</v>
      </c>
      <c r="D782" s="16" t="s">
        <v>80</v>
      </c>
      <c r="E782" s="16" t="s">
        <v>38</v>
      </c>
      <c r="F782" s="16" t="s">
        <v>39</v>
      </c>
      <c r="G782" s="16" t="s">
        <v>40</v>
      </c>
      <c r="H782" s="16" t="s">
        <v>41</v>
      </c>
      <c r="I782" s="16" t="s">
        <v>42</v>
      </c>
      <c r="J782" s="16" t="s">
        <v>43</v>
      </c>
      <c r="K782" s="18">
        <v>5683.33</v>
      </c>
      <c r="L782" s="18">
        <v>1640.01</v>
      </c>
      <c r="M782" s="19">
        <v>3</v>
      </c>
      <c r="N782" s="20">
        <v>0.05</v>
      </c>
      <c r="O782" s="19" t="s">
        <v>76</v>
      </c>
      <c r="P782" s="19" t="s">
        <v>58</v>
      </c>
      <c r="Q782" s="19" t="str">
        <f>TRIM(SalesData[[#This Row],[Customer_Name]])</f>
        <v>Deepak Soni</v>
      </c>
      <c r="R782" s="21">
        <f>SalesData[[#This Row],[Sales]]-SalesData[[#This Row],[Cost]]</f>
        <v>4043.3199999999997</v>
      </c>
      <c r="S782" s="22">
        <f>IFERROR(SalesData[[#This Row],[Profit]]/SalesData[[#This Row],[Sales]],0)</f>
        <v>0.71143502136951398</v>
      </c>
      <c r="T782" s="19">
        <f>YEAR(SalesData[[#This Row],[Order_Date]])</f>
        <v>2024</v>
      </c>
      <c r="U782" s="19" t="str">
        <f>TEXT(SalesData[[#This Row],[Order_Date]],"mmm")</f>
        <v>Sept</v>
      </c>
      <c r="V782" s="19" t="str">
        <f>"Q"&amp;ROUNDUP(MONTH(SalesData[[#This Row],[Order_Date]])/3,0)</f>
        <v>Q3</v>
      </c>
      <c r="W782" s="19" t="str">
        <f>IF(SalesData[[#This Row],[Sales]]&gt;=50000,"High",IF(AND(SalesData[[#This Row],[Sales]]&gt;= 20000, SalesData[[#This Row],[Sales]]&lt; 50000),"Medium","Low"))</f>
        <v>Low</v>
      </c>
      <c r="X782" s="19" t="str">
        <f>IF(SalesData[[#This Row],[Profit]]&gt;0,"Profit","Loss")</f>
        <v>Profit</v>
      </c>
      <c r="Y782" s="19" t="str">
        <f>IF(AND(SalesData[[#This Row],[Sales]]&gt;= 50000, SalesData[[#This Row],[Quantity]]&gt;=2),"Yes","No")</f>
        <v>No</v>
      </c>
      <c r="Z782" s="19" t="str">
        <f>UPPER(SalesData[[#This Row],[Customer_Name]])</f>
        <v>DEEPAK SONI</v>
      </c>
      <c r="AA782" s="19" t="str">
        <f>LOWER(SalesData[[#This Row],[Customer_Name]])</f>
        <v>deepak soni</v>
      </c>
      <c r="AB782" s="19">
        <f>LEN(SalesData[[#This Row],[Customer_Name]])</f>
        <v>11</v>
      </c>
      <c r="AC782" s="19" t="str">
        <f>LEFT(SalesData[[#This Row],[Order_ID]],3)</f>
        <v>ORD</v>
      </c>
      <c r="AD782" s="19" t="str">
        <f>RIGHT(SalesData[[#This Row],[Order_ID]],4)</f>
        <v>0828</v>
      </c>
      <c r="AE782" s="19" t="str">
        <f>_xlfn.CONCAT(SalesData[[#This Row],[Clean_Customer_Name]],"-",SalesData[[#This Row],[Region]])</f>
        <v>Deepak Soni-East</v>
      </c>
      <c r="AF782" s="19" t="str">
        <f>MID(SalesData[[#This Row],[Order_ID]],4,4)</f>
        <v>0828</v>
      </c>
      <c r="AG782" s="19" t="e">
        <f ca="1">_xlfn.SINGLE(_xlfn.XLOOKUP(SalesData[[#This Row],[Product]],Product_Master!A:A,Product_Master!B:B,"Not Found"))</f>
        <v>#NAME?</v>
      </c>
      <c r="AH782" s="19" t="str">
        <f>VLOOKUP(SalesData[[#This Row],[Product]],Product_Master!$A$1:$B$21,2,FALSE)</f>
        <v>Manish</v>
      </c>
      <c r="AI782" s="16"/>
    </row>
    <row r="783" spans="1:35" ht="13.8">
      <c r="A783" s="16" t="s">
        <v>1023</v>
      </c>
      <c r="B783" s="17">
        <v>45751</v>
      </c>
      <c r="C783" s="16" t="s">
        <v>79</v>
      </c>
      <c r="D783" s="16" t="s">
        <v>80</v>
      </c>
      <c r="E783" s="16" t="s">
        <v>38</v>
      </c>
      <c r="F783" s="16" t="s">
        <v>39</v>
      </c>
      <c r="G783" s="16" t="s">
        <v>40</v>
      </c>
      <c r="H783" s="16" t="s">
        <v>41</v>
      </c>
      <c r="I783" s="16" t="s">
        <v>42</v>
      </c>
      <c r="J783" s="16" t="s">
        <v>68</v>
      </c>
      <c r="K783" s="18">
        <v>1792.56</v>
      </c>
      <c r="L783" s="18">
        <v>1073.26</v>
      </c>
      <c r="M783" s="19">
        <v>2</v>
      </c>
      <c r="N783" s="20">
        <v>0.2</v>
      </c>
      <c r="O783" s="19" t="s">
        <v>34</v>
      </c>
      <c r="P783" s="19" t="s">
        <v>26</v>
      </c>
      <c r="Q783" s="19" t="str">
        <f>TRIM(SalesData[[#This Row],[Customer_Name]])</f>
        <v>Deepak Soni</v>
      </c>
      <c r="R783" s="21">
        <f>SalesData[[#This Row],[Sales]]-SalesData[[#This Row],[Cost]]</f>
        <v>719.3</v>
      </c>
      <c r="S783" s="22">
        <f>IFERROR(SalesData[[#This Row],[Profit]]/SalesData[[#This Row],[Sales]],0)</f>
        <v>0.40126969250680589</v>
      </c>
      <c r="T783" s="19">
        <f>YEAR(SalesData[[#This Row],[Order_Date]])</f>
        <v>2025</v>
      </c>
      <c r="U783" s="19" t="str">
        <f>TEXT(SalesData[[#This Row],[Order_Date]],"mmm")</f>
        <v>Apr</v>
      </c>
      <c r="V783" s="19" t="str">
        <f>"Q"&amp;ROUNDUP(MONTH(SalesData[[#This Row],[Order_Date]])/3,0)</f>
        <v>Q2</v>
      </c>
      <c r="W783" s="19" t="str">
        <f>IF(SalesData[[#This Row],[Sales]]&gt;=50000,"High",IF(AND(SalesData[[#This Row],[Sales]]&gt;= 20000, SalesData[[#This Row],[Sales]]&lt; 50000),"Medium","Low"))</f>
        <v>Low</v>
      </c>
      <c r="X783" s="19" t="str">
        <f>IF(SalesData[[#This Row],[Profit]]&gt;0,"Profit","Loss")</f>
        <v>Profit</v>
      </c>
      <c r="Y783" s="19" t="str">
        <f>IF(AND(SalesData[[#This Row],[Sales]]&gt;= 50000, SalesData[[#This Row],[Quantity]]&gt;=2),"Yes","No")</f>
        <v>No</v>
      </c>
      <c r="Z783" s="19" t="str">
        <f>UPPER(SalesData[[#This Row],[Customer_Name]])</f>
        <v>DEEPAK SONI</v>
      </c>
      <c r="AA783" s="19" t="str">
        <f>LOWER(SalesData[[#This Row],[Customer_Name]])</f>
        <v>deepak soni</v>
      </c>
      <c r="AB783" s="19">
        <f>LEN(SalesData[[#This Row],[Customer_Name]])</f>
        <v>11</v>
      </c>
      <c r="AC783" s="19" t="str">
        <f>LEFT(SalesData[[#This Row],[Order_ID]],3)</f>
        <v>ORD</v>
      </c>
      <c r="AD783" s="19" t="str">
        <f>RIGHT(SalesData[[#This Row],[Order_ID]],4)</f>
        <v>0870</v>
      </c>
      <c r="AE783" s="19" t="str">
        <f>_xlfn.CONCAT(SalesData[[#This Row],[Clean_Customer_Name]],"-",SalesData[[#This Row],[Region]])</f>
        <v>Deepak Soni-East</v>
      </c>
      <c r="AF783" s="19" t="str">
        <f>MID(SalesData[[#This Row],[Order_ID]],4,4)</f>
        <v>0870</v>
      </c>
      <c r="AG783" s="19" t="e">
        <f ca="1">_xlfn.SINGLE(_xlfn.XLOOKUP(SalesData[[#This Row],[Product]],Product_Master!A:A,Product_Master!B:B,"Not Found"))</f>
        <v>#NAME?</v>
      </c>
      <c r="AH783" s="19" t="str">
        <f>VLOOKUP(SalesData[[#This Row],[Product]],Product_Master!$A$1:$B$21,2,FALSE)</f>
        <v>Manish</v>
      </c>
      <c r="AI783" s="16"/>
    </row>
    <row r="784" spans="1:35" ht="13.8">
      <c r="A784" s="16" t="s">
        <v>324</v>
      </c>
      <c r="B784" s="17">
        <v>45922</v>
      </c>
      <c r="C784" s="16" t="s">
        <v>79</v>
      </c>
      <c r="D784" s="16" t="s">
        <v>80</v>
      </c>
      <c r="E784" s="16" t="s">
        <v>87</v>
      </c>
      <c r="F784" s="16" t="s">
        <v>88</v>
      </c>
      <c r="G784" s="16" t="s">
        <v>89</v>
      </c>
      <c r="H784" s="16" t="s">
        <v>90</v>
      </c>
      <c r="I784" s="16" t="s">
        <v>56</v>
      </c>
      <c r="J784" s="16" t="s">
        <v>191</v>
      </c>
      <c r="K784" s="18">
        <v>1978.1</v>
      </c>
      <c r="L784" s="18">
        <v>1946.11</v>
      </c>
      <c r="M784" s="19">
        <v>1</v>
      </c>
      <c r="N784" s="20">
        <v>0.05</v>
      </c>
      <c r="O784" s="19" t="s">
        <v>76</v>
      </c>
      <c r="P784" s="19" t="s">
        <v>26</v>
      </c>
      <c r="Q784" s="19" t="str">
        <f>TRIM(SalesData[[#This Row],[Customer_Name]])</f>
        <v>Deepak Soni</v>
      </c>
      <c r="R784" s="21">
        <f>SalesData[[#This Row],[Sales]]-SalesData[[#This Row],[Cost]]</f>
        <v>31.990000000000009</v>
      </c>
      <c r="S784" s="22">
        <f>IFERROR(SalesData[[#This Row],[Profit]]/SalesData[[#This Row],[Sales]],0)</f>
        <v>1.6172084323340583E-2</v>
      </c>
      <c r="T784" s="19">
        <f>YEAR(SalesData[[#This Row],[Order_Date]])</f>
        <v>2025</v>
      </c>
      <c r="U784" s="19" t="str">
        <f>TEXT(SalesData[[#This Row],[Order_Date]],"mmm")</f>
        <v>Sept</v>
      </c>
      <c r="V784" s="19" t="str">
        <f>"Q"&amp;ROUNDUP(MONTH(SalesData[[#This Row],[Order_Date]])/3,0)</f>
        <v>Q3</v>
      </c>
      <c r="W784" s="19" t="str">
        <f>IF(SalesData[[#This Row],[Sales]]&gt;=50000,"High",IF(AND(SalesData[[#This Row],[Sales]]&gt;= 20000, SalesData[[#This Row],[Sales]]&lt; 50000),"Medium","Low"))</f>
        <v>Low</v>
      </c>
      <c r="X784" s="19" t="str">
        <f>IF(SalesData[[#This Row],[Profit]]&gt;0,"Profit","Loss")</f>
        <v>Profit</v>
      </c>
      <c r="Y784" s="19" t="str">
        <f>IF(AND(SalesData[[#This Row],[Sales]]&gt;= 50000, SalesData[[#This Row],[Quantity]]&gt;=2),"Yes","No")</f>
        <v>No</v>
      </c>
      <c r="Z784" s="19" t="str">
        <f>UPPER(SalesData[[#This Row],[Customer_Name]])</f>
        <v>DEEPAK SONI</v>
      </c>
      <c r="AA784" s="19" t="str">
        <f>LOWER(SalesData[[#This Row],[Customer_Name]])</f>
        <v>deepak soni</v>
      </c>
      <c r="AB784" s="19">
        <f>LEN(SalesData[[#This Row],[Customer_Name]])</f>
        <v>11</v>
      </c>
      <c r="AC784" s="19" t="str">
        <f>LEFT(SalesData[[#This Row],[Order_ID]],3)</f>
        <v>ORD</v>
      </c>
      <c r="AD784" s="19" t="str">
        <f>RIGHT(SalesData[[#This Row],[Order_ID]],4)</f>
        <v>0171</v>
      </c>
      <c r="AE784" s="19" t="str">
        <f>_xlfn.CONCAT(SalesData[[#This Row],[Clean_Customer_Name]],"-",SalesData[[#This Row],[Region]])</f>
        <v>Deepak Soni-West</v>
      </c>
      <c r="AF784" s="19" t="str">
        <f>MID(SalesData[[#This Row],[Order_ID]],4,4)</f>
        <v>0171</v>
      </c>
      <c r="AG784" s="19" t="e">
        <f ca="1">_xlfn.SINGLE(_xlfn.XLOOKUP(SalesData[[#This Row],[Product]],Product_Master!A:A,Product_Master!B:B,"Not Found"))</f>
        <v>#NAME?</v>
      </c>
      <c r="AH784" s="19" t="str">
        <f>VLOOKUP(SalesData[[#This Row],[Product]],Product_Master!$A$1:$B$21,2,FALSE)</f>
        <v>Rahul</v>
      </c>
      <c r="AI784" s="16"/>
    </row>
    <row r="785" spans="1:35" ht="13.8">
      <c r="A785" s="16" t="s">
        <v>234</v>
      </c>
      <c r="B785" s="17">
        <v>45753</v>
      </c>
      <c r="C785" s="16" t="s">
        <v>79</v>
      </c>
      <c r="D785" s="16" t="s">
        <v>80</v>
      </c>
      <c r="E785" s="16" t="s">
        <v>182</v>
      </c>
      <c r="F785" s="16" t="s">
        <v>183</v>
      </c>
      <c r="G785" s="16" t="s">
        <v>89</v>
      </c>
      <c r="H785" s="16" t="s">
        <v>90</v>
      </c>
      <c r="I785" s="16" t="s">
        <v>56</v>
      </c>
      <c r="J785" s="16" t="s">
        <v>91</v>
      </c>
      <c r="K785" s="18">
        <v>37415.160000000003</v>
      </c>
      <c r="L785" s="18">
        <v>23027.279999999999</v>
      </c>
      <c r="M785" s="19">
        <v>4</v>
      </c>
      <c r="N785" s="20">
        <v>0.15</v>
      </c>
      <c r="O785" s="19" t="s">
        <v>44</v>
      </c>
      <c r="P785" s="19" t="s">
        <v>58</v>
      </c>
      <c r="Q785" s="19" t="str">
        <f>TRIM(SalesData[[#This Row],[Customer_Name]])</f>
        <v>Deepak Soni</v>
      </c>
      <c r="R785" s="21">
        <f>SalesData[[#This Row],[Sales]]-SalesData[[#This Row],[Cost]]</f>
        <v>14387.880000000005</v>
      </c>
      <c r="S785" s="22">
        <f>IFERROR(SalesData[[#This Row],[Profit]]/SalesData[[#This Row],[Sales]],0)</f>
        <v>0.38454679867732766</v>
      </c>
      <c r="T785" s="19">
        <f>YEAR(SalesData[[#This Row],[Order_Date]])</f>
        <v>2025</v>
      </c>
      <c r="U785" s="19" t="str">
        <f>TEXT(SalesData[[#This Row],[Order_Date]],"mmm")</f>
        <v>Apr</v>
      </c>
      <c r="V785" s="19" t="str">
        <f>"Q"&amp;ROUNDUP(MONTH(SalesData[[#This Row],[Order_Date]])/3,0)</f>
        <v>Q2</v>
      </c>
      <c r="W785" s="19" t="str">
        <f>IF(SalesData[[#This Row],[Sales]]&gt;=50000,"High",IF(AND(SalesData[[#This Row],[Sales]]&gt;= 20000, SalesData[[#This Row],[Sales]]&lt; 50000),"Medium","Low"))</f>
        <v>Medium</v>
      </c>
      <c r="X785" s="19" t="str">
        <f>IF(SalesData[[#This Row],[Profit]]&gt;0,"Profit","Loss")</f>
        <v>Profit</v>
      </c>
      <c r="Y785" s="19" t="str">
        <f>IF(AND(SalesData[[#This Row],[Sales]]&gt;= 50000, SalesData[[#This Row],[Quantity]]&gt;=2),"Yes","No")</f>
        <v>No</v>
      </c>
      <c r="Z785" s="19" t="str">
        <f>UPPER(SalesData[[#This Row],[Customer_Name]])</f>
        <v>DEEPAK SONI</v>
      </c>
      <c r="AA785" s="19" t="str">
        <f>LOWER(SalesData[[#This Row],[Customer_Name]])</f>
        <v>deepak soni</v>
      </c>
      <c r="AB785" s="19">
        <f>LEN(SalesData[[#This Row],[Customer_Name]])</f>
        <v>11</v>
      </c>
      <c r="AC785" s="19" t="str">
        <f>LEFT(SalesData[[#This Row],[Order_ID]],3)</f>
        <v>ORD</v>
      </c>
      <c r="AD785" s="19" t="str">
        <f>RIGHT(SalesData[[#This Row],[Order_ID]],4)</f>
        <v>0083</v>
      </c>
      <c r="AE785" s="19" t="str">
        <f>_xlfn.CONCAT(SalesData[[#This Row],[Clean_Customer_Name]],"-",SalesData[[#This Row],[Region]])</f>
        <v>Deepak Soni-West</v>
      </c>
      <c r="AF785" s="19" t="str">
        <f>MID(SalesData[[#This Row],[Order_ID]],4,4)</f>
        <v>0083</v>
      </c>
      <c r="AG785" s="19" t="e">
        <f ca="1">_xlfn.SINGLE(_xlfn.XLOOKUP(SalesData[[#This Row],[Product]],Product_Master!A:A,Product_Master!B:B,"Not Found"))</f>
        <v>#NAME?</v>
      </c>
      <c r="AH785" s="19" t="str">
        <f>VLOOKUP(SalesData[[#This Row],[Product]],Product_Master!$A$1:$B$21,2,FALSE)</f>
        <v>Priya</v>
      </c>
      <c r="AI785" s="16"/>
    </row>
    <row r="786" spans="1:35" ht="13.8">
      <c r="A786" s="16" t="s">
        <v>630</v>
      </c>
      <c r="B786" s="17">
        <v>45748</v>
      </c>
      <c r="C786" s="16" t="s">
        <v>79</v>
      </c>
      <c r="D786" s="16" t="s">
        <v>80</v>
      </c>
      <c r="E786" s="16" t="s">
        <v>182</v>
      </c>
      <c r="F786" s="16" t="s">
        <v>183</v>
      </c>
      <c r="G786" s="16" t="s">
        <v>89</v>
      </c>
      <c r="H786" s="16" t="s">
        <v>90</v>
      </c>
      <c r="I786" s="16" t="s">
        <v>23</v>
      </c>
      <c r="J786" s="16" t="s">
        <v>75</v>
      </c>
      <c r="K786" s="18">
        <v>25890.58</v>
      </c>
      <c r="L786" s="18">
        <v>11229.94</v>
      </c>
      <c r="M786" s="19">
        <v>2</v>
      </c>
      <c r="N786" s="20">
        <v>0.05</v>
      </c>
      <c r="O786" s="19" t="s">
        <v>136</v>
      </c>
      <c r="P786" s="19" t="s">
        <v>77</v>
      </c>
      <c r="Q786" s="19" t="str">
        <f>TRIM(SalesData[[#This Row],[Customer_Name]])</f>
        <v>Deepak Soni</v>
      </c>
      <c r="R786" s="21">
        <f>SalesData[[#This Row],[Sales]]-SalesData[[#This Row],[Cost]]</f>
        <v>14660.640000000001</v>
      </c>
      <c r="S786" s="22">
        <f>IFERROR(SalesData[[#This Row],[Profit]]/SalesData[[#This Row],[Sales]],0)</f>
        <v>0.56625382668136448</v>
      </c>
      <c r="T786" s="19">
        <f>YEAR(SalesData[[#This Row],[Order_Date]])</f>
        <v>2025</v>
      </c>
      <c r="U786" s="19" t="str">
        <f>TEXT(SalesData[[#This Row],[Order_Date]],"mmm")</f>
        <v>Apr</v>
      </c>
      <c r="V786" s="19" t="str">
        <f>"Q"&amp;ROUNDUP(MONTH(SalesData[[#This Row],[Order_Date]])/3,0)</f>
        <v>Q2</v>
      </c>
      <c r="W786" s="19" t="str">
        <f>IF(SalesData[[#This Row],[Sales]]&gt;=50000,"High",IF(AND(SalesData[[#This Row],[Sales]]&gt;= 20000, SalesData[[#This Row],[Sales]]&lt; 50000),"Medium","Low"))</f>
        <v>Medium</v>
      </c>
      <c r="X786" s="19" t="str">
        <f>IF(SalesData[[#This Row],[Profit]]&gt;0,"Profit","Loss")</f>
        <v>Profit</v>
      </c>
      <c r="Y786" s="19" t="str">
        <f>IF(AND(SalesData[[#This Row],[Sales]]&gt;= 50000, SalesData[[#This Row],[Quantity]]&gt;=2),"Yes","No")</f>
        <v>No</v>
      </c>
      <c r="Z786" s="19" t="str">
        <f>UPPER(SalesData[[#This Row],[Customer_Name]])</f>
        <v>DEEPAK SONI</v>
      </c>
      <c r="AA786" s="19" t="str">
        <f>LOWER(SalesData[[#This Row],[Customer_Name]])</f>
        <v>deepak soni</v>
      </c>
      <c r="AB786" s="19">
        <f>LEN(SalesData[[#This Row],[Customer_Name]])</f>
        <v>11</v>
      </c>
      <c r="AC786" s="19" t="str">
        <f>LEFT(SalesData[[#This Row],[Order_ID]],3)</f>
        <v>ORD</v>
      </c>
      <c r="AD786" s="19" t="str">
        <f>RIGHT(SalesData[[#This Row],[Order_ID]],4)</f>
        <v>0477</v>
      </c>
      <c r="AE786" s="19" t="str">
        <f>_xlfn.CONCAT(SalesData[[#This Row],[Clean_Customer_Name]],"-",SalesData[[#This Row],[Region]])</f>
        <v>Deepak Soni-North</v>
      </c>
      <c r="AF786" s="19" t="str">
        <f>MID(SalesData[[#This Row],[Order_ID]],4,4)</f>
        <v>0477</v>
      </c>
      <c r="AG786" s="19" t="e">
        <f ca="1">_xlfn.SINGLE(_xlfn.XLOOKUP(SalesData[[#This Row],[Product]],Product_Master!A:A,Product_Master!B:B,"Not Found"))</f>
        <v>#NAME?</v>
      </c>
      <c r="AH786" s="19" t="str">
        <f>VLOOKUP(SalesData[[#This Row],[Product]],Product_Master!$A$1:$B$21,2,FALSE)</f>
        <v>Priya</v>
      </c>
      <c r="AI786" s="16"/>
    </row>
    <row r="787" spans="1:35" ht="13.8">
      <c r="A787" s="16" t="s">
        <v>1000</v>
      </c>
      <c r="B787" s="17">
        <v>45393</v>
      </c>
      <c r="C787" s="16" t="s">
        <v>79</v>
      </c>
      <c r="D787" s="16" t="s">
        <v>80</v>
      </c>
      <c r="E787" s="16" t="s">
        <v>182</v>
      </c>
      <c r="F787" s="16" t="s">
        <v>183</v>
      </c>
      <c r="G787" s="16" t="s">
        <v>89</v>
      </c>
      <c r="H787" s="16" t="s">
        <v>90</v>
      </c>
      <c r="I787" s="16" t="s">
        <v>56</v>
      </c>
      <c r="J787" s="16" t="s">
        <v>191</v>
      </c>
      <c r="K787" s="18">
        <v>17396.29</v>
      </c>
      <c r="L787" s="18">
        <v>12353.02</v>
      </c>
      <c r="M787" s="19">
        <v>2</v>
      </c>
      <c r="N787" s="20">
        <v>0.05</v>
      </c>
      <c r="O787" s="19" t="s">
        <v>25</v>
      </c>
      <c r="P787" s="19" t="s">
        <v>58</v>
      </c>
      <c r="Q787" s="19" t="str">
        <f>TRIM(SalesData[[#This Row],[Customer_Name]])</f>
        <v>Deepak Soni</v>
      </c>
      <c r="R787" s="21">
        <f>SalesData[[#This Row],[Sales]]-SalesData[[#This Row],[Cost]]</f>
        <v>5043.2700000000004</v>
      </c>
      <c r="S787" s="22">
        <f>IFERROR(SalesData[[#This Row],[Profit]]/SalesData[[#This Row],[Sales]],0)</f>
        <v>0.28990491650806005</v>
      </c>
      <c r="T787" s="19">
        <f>YEAR(SalesData[[#This Row],[Order_Date]])</f>
        <v>2024</v>
      </c>
      <c r="U787" s="19" t="str">
        <f>TEXT(SalesData[[#This Row],[Order_Date]],"mmm")</f>
        <v>Apr</v>
      </c>
      <c r="V787" s="19" t="str">
        <f>"Q"&amp;ROUNDUP(MONTH(SalesData[[#This Row],[Order_Date]])/3,0)</f>
        <v>Q2</v>
      </c>
      <c r="W787" s="19" t="str">
        <f>IF(SalesData[[#This Row],[Sales]]&gt;=50000,"High",IF(AND(SalesData[[#This Row],[Sales]]&gt;= 20000, SalesData[[#This Row],[Sales]]&lt; 50000),"Medium","Low"))</f>
        <v>Low</v>
      </c>
      <c r="X787" s="19" t="str">
        <f>IF(SalesData[[#This Row],[Profit]]&gt;0,"Profit","Loss")</f>
        <v>Profit</v>
      </c>
      <c r="Y787" s="19" t="str">
        <f>IF(AND(SalesData[[#This Row],[Sales]]&gt;= 50000, SalesData[[#This Row],[Quantity]]&gt;=2),"Yes","No")</f>
        <v>No</v>
      </c>
      <c r="Z787" s="19" t="str">
        <f>UPPER(SalesData[[#This Row],[Customer_Name]])</f>
        <v>DEEPAK SONI</v>
      </c>
      <c r="AA787" s="19" t="str">
        <f>LOWER(SalesData[[#This Row],[Customer_Name]])</f>
        <v>deepak soni</v>
      </c>
      <c r="AB787" s="19">
        <f>LEN(SalesData[[#This Row],[Customer_Name]])</f>
        <v>11</v>
      </c>
      <c r="AC787" s="19" t="str">
        <f>LEFT(SalesData[[#This Row],[Order_ID]],3)</f>
        <v>ORD</v>
      </c>
      <c r="AD787" s="19" t="str">
        <f>RIGHT(SalesData[[#This Row],[Order_ID]],4)</f>
        <v>0847</v>
      </c>
      <c r="AE787" s="19" t="str">
        <f>_xlfn.CONCAT(SalesData[[#This Row],[Clean_Customer_Name]],"-",SalesData[[#This Row],[Region]])</f>
        <v>Deepak Soni-West</v>
      </c>
      <c r="AF787" s="19" t="str">
        <f>MID(SalesData[[#This Row],[Order_ID]],4,4)</f>
        <v>0847</v>
      </c>
      <c r="AG787" s="19" t="e">
        <f ca="1">_xlfn.SINGLE(_xlfn.XLOOKUP(SalesData[[#This Row],[Product]],Product_Master!A:A,Product_Master!B:B,"Not Found"))</f>
        <v>#NAME?</v>
      </c>
      <c r="AH787" s="19" t="str">
        <f>VLOOKUP(SalesData[[#This Row],[Product]],Product_Master!$A$1:$B$21,2,FALSE)</f>
        <v>Priya</v>
      </c>
      <c r="AI787" s="16"/>
    </row>
    <row r="788" spans="1:35" ht="13.8">
      <c r="A788" s="16" t="s">
        <v>568</v>
      </c>
      <c r="B788" s="17">
        <v>45341</v>
      </c>
      <c r="C788" s="16" t="s">
        <v>79</v>
      </c>
      <c r="D788" s="16" t="s">
        <v>80</v>
      </c>
      <c r="E788" s="16" t="s">
        <v>187</v>
      </c>
      <c r="F788" s="16" t="s">
        <v>188</v>
      </c>
      <c r="G788" s="16" t="s">
        <v>89</v>
      </c>
      <c r="H788" s="16" t="s">
        <v>189</v>
      </c>
      <c r="I788" s="16" t="s">
        <v>42</v>
      </c>
      <c r="J788" s="16" t="s">
        <v>43</v>
      </c>
      <c r="K788" s="18">
        <v>53439.35</v>
      </c>
      <c r="L788" s="18">
        <v>30220.75</v>
      </c>
      <c r="M788" s="19">
        <v>5</v>
      </c>
      <c r="N788" s="20">
        <v>0</v>
      </c>
      <c r="O788" s="19" t="s">
        <v>25</v>
      </c>
      <c r="P788" s="19" t="s">
        <v>58</v>
      </c>
      <c r="Q788" s="19" t="str">
        <f>TRIM(SalesData[[#This Row],[Customer_Name]])</f>
        <v>Deepak Soni</v>
      </c>
      <c r="R788" s="21">
        <f>SalesData[[#This Row],[Sales]]-SalesData[[#This Row],[Cost]]</f>
        <v>23218.6</v>
      </c>
      <c r="S788" s="22">
        <f>IFERROR(SalesData[[#This Row],[Profit]]/SalesData[[#This Row],[Sales]],0)</f>
        <v>0.43448507513658008</v>
      </c>
      <c r="T788" s="19">
        <f>YEAR(SalesData[[#This Row],[Order_Date]])</f>
        <v>2024</v>
      </c>
      <c r="U788" s="19" t="str">
        <f>TEXT(SalesData[[#This Row],[Order_Date]],"mmm")</f>
        <v>Feb</v>
      </c>
      <c r="V788" s="19" t="str">
        <f>"Q"&amp;ROUNDUP(MONTH(SalesData[[#This Row],[Order_Date]])/3,0)</f>
        <v>Q1</v>
      </c>
      <c r="W788" s="19" t="str">
        <f>IF(SalesData[[#This Row],[Sales]]&gt;=50000,"High",IF(AND(SalesData[[#This Row],[Sales]]&gt;= 20000, SalesData[[#This Row],[Sales]]&lt; 50000),"Medium","Low"))</f>
        <v>High</v>
      </c>
      <c r="X788" s="19" t="str">
        <f>IF(SalesData[[#This Row],[Profit]]&gt;0,"Profit","Loss")</f>
        <v>Profit</v>
      </c>
      <c r="Y788" s="19" t="str">
        <f>IF(AND(SalesData[[#This Row],[Sales]]&gt;= 50000, SalesData[[#This Row],[Quantity]]&gt;=2),"Yes","No")</f>
        <v>Yes</v>
      </c>
      <c r="Z788" s="19" t="str">
        <f>UPPER(SalesData[[#This Row],[Customer_Name]])</f>
        <v>DEEPAK SONI</v>
      </c>
      <c r="AA788" s="19" t="str">
        <f>LOWER(SalesData[[#This Row],[Customer_Name]])</f>
        <v>deepak soni</v>
      </c>
      <c r="AB788" s="19">
        <f>LEN(SalesData[[#This Row],[Customer_Name]])</f>
        <v>11</v>
      </c>
      <c r="AC788" s="19" t="str">
        <f>LEFT(SalesData[[#This Row],[Order_ID]],3)</f>
        <v>ORD</v>
      </c>
      <c r="AD788" s="19" t="str">
        <f>RIGHT(SalesData[[#This Row],[Order_ID]],4)</f>
        <v>0415</v>
      </c>
      <c r="AE788" s="19" t="str">
        <f>_xlfn.CONCAT(SalesData[[#This Row],[Clean_Customer_Name]],"-",SalesData[[#This Row],[Region]])</f>
        <v>Deepak Soni-East</v>
      </c>
      <c r="AF788" s="19" t="str">
        <f>MID(SalesData[[#This Row],[Order_ID]],4,4)</f>
        <v>0415</v>
      </c>
      <c r="AG788" s="19" t="e">
        <f ca="1">_xlfn.SINGLE(_xlfn.XLOOKUP(SalesData[[#This Row],[Product]],Product_Master!A:A,Product_Master!B:B,"Not Found"))</f>
        <v>#NAME?</v>
      </c>
      <c r="AH788" s="19" t="str">
        <f>VLOOKUP(SalesData[[#This Row],[Product]],Product_Master!$A$1:$B$21,2,FALSE)</f>
        <v>Amit</v>
      </c>
      <c r="AI788" s="16"/>
    </row>
    <row r="789" spans="1:35" ht="13.8">
      <c r="A789" s="16" t="s">
        <v>708</v>
      </c>
      <c r="B789" s="17">
        <v>45919</v>
      </c>
      <c r="C789" s="16" t="s">
        <v>79</v>
      </c>
      <c r="D789" s="16" t="s">
        <v>80</v>
      </c>
      <c r="E789" s="16" t="s">
        <v>187</v>
      </c>
      <c r="F789" s="16" t="s">
        <v>188</v>
      </c>
      <c r="G789" s="16" t="s">
        <v>89</v>
      </c>
      <c r="H789" s="16" t="s">
        <v>189</v>
      </c>
      <c r="I789" s="16" t="s">
        <v>23</v>
      </c>
      <c r="J789" s="16" t="s">
        <v>75</v>
      </c>
      <c r="K789" s="18">
        <v>31631.34</v>
      </c>
      <c r="L789" s="18">
        <v>15914.58</v>
      </c>
      <c r="M789" s="19">
        <v>3</v>
      </c>
      <c r="N789" s="20">
        <v>0</v>
      </c>
      <c r="O789" s="19" t="s">
        <v>25</v>
      </c>
      <c r="P789" s="19" t="s">
        <v>58</v>
      </c>
      <c r="Q789" s="19" t="str">
        <f>TRIM(SalesData[[#This Row],[Customer_Name]])</f>
        <v>Deepak Soni</v>
      </c>
      <c r="R789" s="21">
        <f>SalesData[[#This Row],[Sales]]-SalesData[[#This Row],[Cost]]</f>
        <v>15716.76</v>
      </c>
      <c r="S789" s="22">
        <f>IFERROR(SalesData[[#This Row],[Profit]]/SalesData[[#This Row],[Sales]],0)</f>
        <v>0.49687303794274917</v>
      </c>
      <c r="T789" s="19">
        <f>YEAR(SalesData[[#This Row],[Order_Date]])</f>
        <v>2025</v>
      </c>
      <c r="U789" s="19" t="str">
        <f>TEXT(SalesData[[#This Row],[Order_Date]],"mmm")</f>
        <v>Sept</v>
      </c>
      <c r="V789" s="19" t="str">
        <f>"Q"&amp;ROUNDUP(MONTH(SalesData[[#This Row],[Order_Date]])/3,0)</f>
        <v>Q3</v>
      </c>
      <c r="W789" s="19" t="str">
        <f>IF(SalesData[[#This Row],[Sales]]&gt;=50000,"High",IF(AND(SalesData[[#This Row],[Sales]]&gt;= 20000, SalesData[[#This Row],[Sales]]&lt; 50000),"Medium","Low"))</f>
        <v>Medium</v>
      </c>
      <c r="X789" s="19" t="str">
        <f>IF(SalesData[[#This Row],[Profit]]&gt;0,"Profit","Loss")</f>
        <v>Profit</v>
      </c>
      <c r="Y789" s="19" t="str">
        <f>IF(AND(SalesData[[#This Row],[Sales]]&gt;= 50000, SalesData[[#This Row],[Quantity]]&gt;=2),"Yes","No")</f>
        <v>No</v>
      </c>
      <c r="Z789" s="19" t="str">
        <f>UPPER(SalesData[[#This Row],[Customer_Name]])</f>
        <v>DEEPAK SONI</v>
      </c>
      <c r="AA789" s="19" t="str">
        <f>LOWER(SalesData[[#This Row],[Customer_Name]])</f>
        <v>deepak soni</v>
      </c>
      <c r="AB789" s="19">
        <f>LEN(SalesData[[#This Row],[Customer_Name]])</f>
        <v>11</v>
      </c>
      <c r="AC789" s="19" t="str">
        <f>LEFT(SalesData[[#This Row],[Order_ID]],3)</f>
        <v>ORD</v>
      </c>
      <c r="AD789" s="19" t="str">
        <f>RIGHT(SalesData[[#This Row],[Order_ID]],4)</f>
        <v>0555</v>
      </c>
      <c r="AE789" s="19" t="str">
        <f>_xlfn.CONCAT(SalesData[[#This Row],[Clean_Customer_Name]],"-",SalesData[[#This Row],[Region]])</f>
        <v>Deepak Soni-North</v>
      </c>
      <c r="AF789" s="19" t="str">
        <f>MID(SalesData[[#This Row],[Order_ID]],4,4)</f>
        <v>0555</v>
      </c>
      <c r="AG789" s="19" t="e">
        <f ca="1">_xlfn.SINGLE(_xlfn.XLOOKUP(SalesData[[#This Row],[Product]],Product_Master!A:A,Product_Master!B:B,"Not Found"))</f>
        <v>#NAME?</v>
      </c>
      <c r="AH789" s="19" t="str">
        <f>VLOOKUP(SalesData[[#This Row],[Product]],Product_Master!$A$1:$B$21,2,FALSE)</f>
        <v>Amit</v>
      </c>
      <c r="AI789" s="16"/>
    </row>
    <row r="790" spans="1:35" ht="13.8">
      <c r="A790" s="16" t="s">
        <v>847</v>
      </c>
      <c r="B790" s="17">
        <v>45516</v>
      </c>
      <c r="C790" s="16" t="s">
        <v>79</v>
      </c>
      <c r="D790" s="16" t="s">
        <v>80</v>
      </c>
      <c r="E790" s="16" t="s">
        <v>187</v>
      </c>
      <c r="F790" s="16" t="s">
        <v>188</v>
      </c>
      <c r="G790" s="16" t="s">
        <v>89</v>
      </c>
      <c r="H790" s="16" t="s">
        <v>189</v>
      </c>
      <c r="I790" s="16" t="s">
        <v>56</v>
      </c>
      <c r="J790" s="16" t="s">
        <v>57</v>
      </c>
      <c r="K790" s="18">
        <v>38411.279999999999</v>
      </c>
      <c r="L790" s="18">
        <v>23189.439999999999</v>
      </c>
      <c r="M790" s="19">
        <v>4</v>
      </c>
      <c r="N790" s="20">
        <v>0.1</v>
      </c>
      <c r="O790" s="19" t="s">
        <v>25</v>
      </c>
      <c r="P790" s="19" t="s">
        <v>58</v>
      </c>
      <c r="Q790" s="19" t="str">
        <f>TRIM(SalesData[[#This Row],[Customer_Name]])</f>
        <v>Deepak Soni</v>
      </c>
      <c r="R790" s="21">
        <f>SalesData[[#This Row],[Sales]]-SalesData[[#This Row],[Cost]]</f>
        <v>15221.84</v>
      </c>
      <c r="S790" s="22">
        <f>IFERROR(SalesData[[#This Row],[Profit]]/SalesData[[#This Row],[Sales]],0)</f>
        <v>0.3962856744164735</v>
      </c>
      <c r="T790" s="19">
        <f>YEAR(SalesData[[#This Row],[Order_Date]])</f>
        <v>2024</v>
      </c>
      <c r="U790" s="19" t="str">
        <f>TEXT(SalesData[[#This Row],[Order_Date]],"mmm")</f>
        <v>Aug</v>
      </c>
      <c r="V790" s="19" t="str">
        <f>"Q"&amp;ROUNDUP(MONTH(SalesData[[#This Row],[Order_Date]])/3,0)</f>
        <v>Q3</v>
      </c>
      <c r="W790" s="19" t="str">
        <f>IF(SalesData[[#This Row],[Sales]]&gt;=50000,"High",IF(AND(SalesData[[#This Row],[Sales]]&gt;= 20000, SalesData[[#This Row],[Sales]]&lt; 50000),"Medium","Low"))</f>
        <v>Medium</v>
      </c>
      <c r="X790" s="19" t="str">
        <f>IF(SalesData[[#This Row],[Profit]]&gt;0,"Profit","Loss")</f>
        <v>Profit</v>
      </c>
      <c r="Y790" s="19" t="str">
        <f>IF(AND(SalesData[[#This Row],[Sales]]&gt;= 50000, SalesData[[#This Row],[Quantity]]&gt;=2),"Yes","No")</f>
        <v>No</v>
      </c>
      <c r="Z790" s="19" t="str">
        <f>UPPER(SalesData[[#This Row],[Customer_Name]])</f>
        <v>DEEPAK SONI</v>
      </c>
      <c r="AA790" s="19" t="str">
        <f>LOWER(SalesData[[#This Row],[Customer_Name]])</f>
        <v>deepak soni</v>
      </c>
      <c r="AB790" s="19">
        <f>LEN(SalesData[[#This Row],[Customer_Name]])</f>
        <v>11</v>
      </c>
      <c r="AC790" s="19" t="str">
        <f>LEFT(SalesData[[#This Row],[Order_ID]],3)</f>
        <v>ORD</v>
      </c>
      <c r="AD790" s="19" t="str">
        <f>RIGHT(SalesData[[#This Row],[Order_ID]],4)</f>
        <v>0694</v>
      </c>
      <c r="AE790" s="19" t="str">
        <f>_xlfn.CONCAT(SalesData[[#This Row],[Clean_Customer_Name]],"-",SalesData[[#This Row],[Region]])</f>
        <v>Deepak Soni-West</v>
      </c>
      <c r="AF790" s="19" t="str">
        <f>MID(SalesData[[#This Row],[Order_ID]],4,4)</f>
        <v>0694</v>
      </c>
      <c r="AG790" s="19" t="e">
        <f ca="1">_xlfn.SINGLE(_xlfn.XLOOKUP(SalesData[[#This Row],[Product]],Product_Master!A:A,Product_Master!B:B,"Not Found"))</f>
        <v>#NAME?</v>
      </c>
      <c r="AH790" s="19" t="str">
        <f>VLOOKUP(SalesData[[#This Row],[Product]],Product_Master!$A$1:$B$21,2,FALSE)</f>
        <v>Amit</v>
      </c>
      <c r="AI790" s="16"/>
    </row>
    <row r="791" spans="1:35" ht="13.8">
      <c r="A791" s="16" t="s">
        <v>1101</v>
      </c>
      <c r="B791" s="17">
        <v>45669</v>
      </c>
      <c r="C791" s="16" t="s">
        <v>79</v>
      </c>
      <c r="D791" s="16" t="s">
        <v>80</v>
      </c>
      <c r="E791" s="16" t="s">
        <v>187</v>
      </c>
      <c r="F791" s="16" t="s">
        <v>188</v>
      </c>
      <c r="G791" s="16" t="s">
        <v>89</v>
      </c>
      <c r="H791" s="16" t="s">
        <v>189</v>
      </c>
      <c r="I791" s="16" t="s">
        <v>23</v>
      </c>
      <c r="J791" s="16" t="s">
        <v>33</v>
      </c>
      <c r="K791" s="18">
        <v>8649.0499999999993</v>
      </c>
      <c r="L791" s="18">
        <v>5780.94</v>
      </c>
      <c r="M791" s="19">
        <v>1</v>
      </c>
      <c r="N791" s="20">
        <v>0.1</v>
      </c>
      <c r="O791" s="19" t="s">
        <v>136</v>
      </c>
      <c r="P791" s="19" t="s">
        <v>98</v>
      </c>
      <c r="Q791" s="19" t="str">
        <f>TRIM(SalesData[[#This Row],[Customer_Name]])</f>
        <v>Deepak Soni</v>
      </c>
      <c r="R791" s="21">
        <f>SalesData[[#This Row],[Sales]]-SalesData[[#This Row],[Cost]]</f>
        <v>2868.1099999999997</v>
      </c>
      <c r="S791" s="22">
        <f>IFERROR(SalesData[[#This Row],[Profit]]/SalesData[[#This Row],[Sales]],0)</f>
        <v>0.33160982998132743</v>
      </c>
      <c r="T791" s="19">
        <f>YEAR(SalesData[[#This Row],[Order_Date]])</f>
        <v>2025</v>
      </c>
      <c r="U791" s="19" t="str">
        <f>TEXT(SalesData[[#This Row],[Order_Date]],"mmm")</f>
        <v>Jan</v>
      </c>
      <c r="V791" s="19" t="str">
        <f>"Q"&amp;ROUNDUP(MONTH(SalesData[[#This Row],[Order_Date]])/3,0)</f>
        <v>Q1</v>
      </c>
      <c r="W791" s="19" t="str">
        <f>IF(SalesData[[#This Row],[Sales]]&gt;=50000,"High",IF(AND(SalesData[[#This Row],[Sales]]&gt;= 20000, SalesData[[#This Row],[Sales]]&lt; 50000),"Medium","Low"))</f>
        <v>Low</v>
      </c>
      <c r="X791" s="19" t="str">
        <f>IF(SalesData[[#This Row],[Profit]]&gt;0,"Profit","Loss")</f>
        <v>Profit</v>
      </c>
      <c r="Y791" s="19" t="str">
        <f>IF(AND(SalesData[[#This Row],[Sales]]&gt;= 50000, SalesData[[#This Row],[Quantity]]&gt;=2),"Yes","No")</f>
        <v>No</v>
      </c>
      <c r="Z791" s="19" t="str">
        <f>UPPER(SalesData[[#This Row],[Customer_Name]])</f>
        <v>DEEPAK SONI</v>
      </c>
      <c r="AA791" s="19" t="str">
        <f>LOWER(SalesData[[#This Row],[Customer_Name]])</f>
        <v>deepak soni</v>
      </c>
      <c r="AB791" s="19">
        <f>LEN(SalesData[[#This Row],[Customer_Name]])</f>
        <v>11</v>
      </c>
      <c r="AC791" s="19" t="str">
        <f>LEFT(SalesData[[#This Row],[Order_ID]],3)</f>
        <v>ORD</v>
      </c>
      <c r="AD791" s="19" t="str">
        <f>RIGHT(SalesData[[#This Row],[Order_ID]],4)</f>
        <v>0948</v>
      </c>
      <c r="AE791" s="19" t="str">
        <f>_xlfn.CONCAT(SalesData[[#This Row],[Clean_Customer_Name]],"-",SalesData[[#This Row],[Region]])</f>
        <v>Deepak Soni-North</v>
      </c>
      <c r="AF791" s="19" t="str">
        <f>MID(SalesData[[#This Row],[Order_ID]],4,4)</f>
        <v>0948</v>
      </c>
      <c r="AG791" s="19" t="e">
        <f ca="1">_xlfn.SINGLE(_xlfn.XLOOKUP(SalesData[[#This Row],[Product]],Product_Master!A:A,Product_Master!B:B,"Not Found"))</f>
        <v>#NAME?</v>
      </c>
      <c r="AH791" s="19" t="str">
        <f>VLOOKUP(SalesData[[#This Row],[Product]],Product_Master!$A$1:$B$21,2,FALSE)</f>
        <v>Amit</v>
      </c>
      <c r="AI791" s="16"/>
    </row>
    <row r="792" spans="1:35" ht="13.8">
      <c r="A792" s="16" t="s">
        <v>616</v>
      </c>
      <c r="B792" s="17">
        <v>46009</v>
      </c>
      <c r="C792" s="16" t="s">
        <v>79</v>
      </c>
      <c r="D792" s="16" t="s">
        <v>80</v>
      </c>
      <c r="E792" s="16" t="s">
        <v>95</v>
      </c>
      <c r="F792" s="16" t="s">
        <v>96</v>
      </c>
      <c r="G792" s="16" t="s">
        <v>89</v>
      </c>
      <c r="H792" s="16" t="s">
        <v>97</v>
      </c>
      <c r="I792" s="16" t="s">
        <v>23</v>
      </c>
      <c r="J792" s="16" t="s">
        <v>24</v>
      </c>
      <c r="K792" s="18">
        <v>5826.97</v>
      </c>
      <c r="L792" s="18">
        <v>3400.39</v>
      </c>
      <c r="M792" s="19">
        <v>1</v>
      </c>
      <c r="N792" s="20">
        <v>0.1</v>
      </c>
      <c r="O792" s="19" t="s">
        <v>44</v>
      </c>
      <c r="P792" s="19" t="s">
        <v>58</v>
      </c>
      <c r="Q792" s="19" t="str">
        <f>TRIM(SalesData[[#This Row],[Customer_Name]])</f>
        <v>Deepak Soni</v>
      </c>
      <c r="R792" s="21">
        <f>SalesData[[#This Row],[Sales]]-SalesData[[#This Row],[Cost]]</f>
        <v>2426.5800000000004</v>
      </c>
      <c r="S792" s="22">
        <f>IFERROR(SalesData[[#This Row],[Profit]]/SalesData[[#This Row],[Sales]],0)</f>
        <v>0.41643941877167728</v>
      </c>
      <c r="T792" s="19">
        <f>YEAR(SalesData[[#This Row],[Order_Date]])</f>
        <v>2025</v>
      </c>
      <c r="U792" s="19" t="str">
        <f>TEXT(SalesData[[#This Row],[Order_Date]],"mmm")</f>
        <v>Dec</v>
      </c>
      <c r="V792" s="19" t="str">
        <f>"Q"&amp;ROUNDUP(MONTH(SalesData[[#This Row],[Order_Date]])/3,0)</f>
        <v>Q4</v>
      </c>
      <c r="W792" s="19" t="str">
        <f>IF(SalesData[[#This Row],[Sales]]&gt;=50000,"High",IF(AND(SalesData[[#This Row],[Sales]]&gt;= 20000, SalesData[[#This Row],[Sales]]&lt; 50000),"Medium","Low"))</f>
        <v>Low</v>
      </c>
      <c r="X792" s="19" t="str">
        <f>IF(SalesData[[#This Row],[Profit]]&gt;0,"Profit","Loss")</f>
        <v>Profit</v>
      </c>
      <c r="Y792" s="19" t="str">
        <f>IF(AND(SalesData[[#This Row],[Sales]]&gt;= 50000, SalesData[[#This Row],[Quantity]]&gt;=2),"Yes","No")</f>
        <v>No</v>
      </c>
      <c r="Z792" s="19" t="str">
        <f>UPPER(SalesData[[#This Row],[Customer_Name]])</f>
        <v>DEEPAK SONI</v>
      </c>
      <c r="AA792" s="19" t="str">
        <f>LOWER(SalesData[[#This Row],[Customer_Name]])</f>
        <v>deepak soni</v>
      </c>
      <c r="AB792" s="19">
        <f>LEN(SalesData[[#This Row],[Customer_Name]])</f>
        <v>11</v>
      </c>
      <c r="AC792" s="19" t="str">
        <f>LEFT(SalesData[[#This Row],[Order_ID]],3)</f>
        <v>ORD</v>
      </c>
      <c r="AD792" s="19" t="str">
        <f>RIGHT(SalesData[[#This Row],[Order_ID]],4)</f>
        <v>0463</v>
      </c>
      <c r="AE792" s="19" t="str">
        <f>_xlfn.CONCAT(SalesData[[#This Row],[Clean_Customer_Name]],"-",SalesData[[#This Row],[Region]])</f>
        <v>Deepak Soni-North</v>
      </c>
      <c r="AF792" s="19" t="str">
        <f>MID(SalesData[[#This Row],[Order_ID]],4,4)</f>
        <v>0463</v>
      </c>
      <c r="AG792" s="19" t="e">
        <f ca="1">_xlfn.SINGLE(_xlfn.XLOOKUP(SalesData[[#This Row],[Product]],Product_Master!A:A,Product_Master!B:B,"Not Found"))</f>
        <v>#NAME?</v>
      </c>
      <c r="AH792" s="19" t="str">
        <f>VLOOKUP(SalesData[[#This Row],[Product]],Product_Master!$A$1:$B$21,2,FALSE)</f>
        <v>Neha</v>
      </c>
      <c r="AI792" s="16"/>
    </row>
    <row r="793" spans="1:35" ht="13.8">
      <c r="A793" s="16" t="s">
        <v>316</v>
      </c>
      <c r="B793" s="17">
        <v>45903</v>
      </c>
      <c r="C793" s="16" t="s">
        <v>79</v>
      </c>
      <c r="D793" s="16" t="s">
        <v>80</v>
      </c>
      <c r="E793" s="16" t="s">
        <v>193</v>
      </c>
      <c r="F793" s="16" t="s">
        <v>194</v>
      </c>
      <c r="G793" s="16" t="s">
        <v>89</v>
      </c>
      <c r="H793" s="16" t="s">
        <v>90</v>
      </c>
      <c r="I793" s="16" t="s">
        <v>23</v>
      </c>
      <c r="J793" s="16" t="s">
        <v>75</v>
      </c>
      <c r="K793" s="18">
        <v>2614.46</v>
      </c>
      <c r="L793" s="18">
        <v>1861.72</v>
      </c>
      <c r="M793" s="19">
        <v>4</v>
      </c>
      <c r="N793" s="20">
        <v>0.2</v>
      </c>
      <c r="O793" s="19" t="s">
        <v>76</v>
      </c>
      <c r="P793" s="19" t="s">
        <v>98</v>
      </c>
      <c r="Q793" s="19" t="str">
        <f>TRIM(SalesData[[#This Row],[Customer_Name]])</f>
        <v>Deepak Soni</v>
      </c>
      <c r="R793" s="21">
        <f>SalesData[[#This Row],[Sales]]-SalesData[[#This Row],[Cost]]</f>
        <v>752.74</v>
      </c>
      <c r="S793" s="22">
        <f>IFERROR(SalesData[[#This Row],[Profit]]/SalesData[[#This Row],[Sales]],0)</f>
        <v>0.28791413905739616</v>
      </c>
      <c r="T793" s="19">
        <f>YEAR(SalesData[[#This Row],[Order_Date]])</f>
        <v>2025</v>
      </c>
      <c r="U793" s="19" t="str">
        <f>TEXT(SalesData[[#This Row],[Order_Date]],"mmm")</f>
        <v>Sept</v>
      </c>
      <c r="V793" s="19" t="str">
        <f>"Q"&amp;ROUNDUP(MONTH(SalesData[[#This Row],[Order_Date]])/3,0)</f>
        <v>Q3</v>
      </c>
      <c r="W793" s="19" t="str">
        <f>IF(SalesData[[#This Row],[Sales]]&gt;=50000,"High",IF(AND(SalesData[[#This Row],[Sales]]&gt;= 20000, SalesData[[#This Row],[Sales]]&lt; 50000),"Medium","Low"))</f>
        <v>Low</v>
      </c>
      <c r="X793" s="19" t="str">
        <f>IF(SalesData[[#This Row],[Profit]]&gt;0,"Profit","Loss")</f>
        <v>Profit</v>
      </c>
      <c r="Y793" s="19" t="str">
        <f>IF(AND(SalesData[[#This Row],[Sales]]&gt;= 50000, SalesData[[#This Row],[Quantity]]&gt;=2),"Yes","No")</f>
        <v>No</v>
      </c>
      <c r="Z793" s="19" t="str">
        <f>UPPER(SalesData[[#This Row],[Customer_Name]])</f>
        <v>DEEPAK SONI</v>
      </c>
      <c r="AA793" s="19" t="str">
        <f>LOWER(SalesData[[#This Row],[Customer_Name]])</f>
        <v>deepak soni</v>
      </c>
      <c r="AB793" s="19">
        <f>LEN(SalesData[[#This Row],[Customer_Name]])</f>
        <v>11</v>
      </c>
      <c r="AC793" s="19" t="str">
        <f>LEFT(SalesData[[#This Row],[Order_ID]],3)</f>
        <v>ORD</v>
      </c>
      <c r="AD793" s="19" t="str">
        <f>RIGHT(SalesData[[#This Row],[Order_ID]],4)</f>
        <v>0163</v>
      </c>
      <c r="AE793" s="19" t="str">
        <f>_xlfn.CONCAT(SalesData[[#This Row],[Clean_Customer_Name]],"-",SalesData[[#This Row],[Region]])</f>
        <v>Deepak Soni-North</v>
      </c>
      <c r="AF793" s="19" t="str">
        <f>MID(SalesData[[#This Row],[Order_ID]],4,4)</f>
        <v>0163</v>
      </c>
      <c r="AG793" s="19" t="e">
        <f ca="1">_xlfn.SINGLE(_xlfn.XLOOKUP(SalesData[[#This Row],[Product]],Product_Master!A:A,Product_Master!B:B,"Not Found"))</f>
        <v>#NAME?</v>
      </c>
      <c r="AH793" s="19" t="str">
        <f>VLOOKUP(SalesData[[#This Row],[Product]],Product_Master!$A$1:$B$21,2,FALSE)</f>
        <v>Simran</v>
      </c>
      <c r="AI793" s="16"/>
    </row>
    <row r="794" spans="1:35" ht="13.8">
      <c r="A794" s="16" t="s">
        <v>707</v>
      </c>
      <c r="B794" s="17">
        <v>45620</v>
      </c>
      <c r="C794" s="16" t="s">
        <v>79</v>
      </c>
      <c r="D794" s="16" t="s">
        <v>80</v>
      </c>
      <c r="E794" s="16" t="s">
        <v>193</v>
      </c>
      <c r="F794" s="16" t="s">
        <v>194</v>
      </c>
      <c r="G794" s="16" t="s">
        <v>89</v>
      </c>
      <c r="H794" s="16" t="s">
        <v>90</v>
      </c>
      <c r="I794" s="16" t="s">
        <v>84</v>
      </c>
      <c r="J794" s="16" t="s">
        <v>85</v>
      </c>
      <c r="K794" s="18">
        <v>1059.74</v>
      </c>
      <c r="L794" s="18">
        <v>515.83000000000004</v>
      </c>
      <c r="M794" s="19">
        <v>1</v>
      </c>
      <c r="N794" s="20">
        <v>0.15</v>
      </c>
      <c r="O794" s="19" t="s">
        <v>76</v>
      </c>
      <c r="P794" s="19" t="s">
        <v>98</v>
      </c>
      <c r="Q794" s="19" t="str">
        <f>TRIM(SalesData[[#This Row],[Customer_Name]])</f>
        <v>Deepak Soni</v>
      </c>
      <c r="R794" s="21">
        <f>SalesData[[#This Row],[Sales]]-SalesData[[#This Row],[Cost]]</f>
        <v>543.91</v>
      </c>
      <c r="S794" s="22">
        <f>IFERROR(SalesData[[#This Row],[Profit]]/SalesData[[#This Row],[Sales]],0)</f>
        <v>0.51324853265895409</v>
      </c>
      <c r="T794" s="19">
        <f>YEAR(SalesData[[#This Row],[Order_Date]])</f>
        <v>2024</v>
      </c>
      <c r="U794" s="19" t="str">
        <f>TEXT(SalesData[[#This Row],[Order_Date]],"mmm")</f>
        <v>Nov</v>
      </c>
      <c r="V794" s="19" t="str">
        <f>"Q"&amp;ROUNDUP(MONTH(SalesData[[#This Row],[Order_Date]])/3,0)</f>
        <v>Q4</v>
      </c>
      <c r="W794" s="19" t="str">
        <f>IF(SalesData[[#This Row],[Sales]]&gt;=50000,"High",IF(AND(SalesData[[#This Row],[Sales]]&gt;= 20000, SalesData[[#This Row],[Sales]]&lt; 50000),"Medium","Low"))</f>
        <v>Low</v>
      </c>
      <c r="X794" s="19" t="str">
        <f>IF(SalesData[[#This Row],[Profit]]&gt;0,"Profit","Loss")</f>
        <v>Profit</v>
      </c>
      <c r="Y794" s="19" t="str">
        <f>IF(AND(SalesData[[#This Row],[Sales]]&gt;= 50000, SalesData[[#This Row],[Quantity]]&gt;=2),"Yes","No")</f>
        <v>No</v>
      </c>
      <c r="Z794" s="19" t="str">
        <f>UPPER(SalesData[[#This Row],[Customer_Name]])</f>
        <v>DEEPAK SONI</v>
      </c>
      <c r="AA794" s="19" t="str">
        <f>LOWER(SalesData[[#This Row],[Customer_Name]])</f>
        <v>deepak soni</v>
      </c>
      <c r="AB794" s="19">
        <f>LEN(SalesData[[#This Row],[Customer_Name]])</f>
        <v>11</v>
      </c>
      <c r="AC794" s="19" t="str">
        <f>LEFT(SalesData[[#This Row],[Order_ID]],3)</f>
        <v>ORD</v>
      </c>
      <c r="AD794" s="19" t="str">
        <f>RIGHT(SalesData[[#This Row],[Order_ID]],4)</f>
        <v>0554</v>
      </c>
      <c r="AE794" s="19" t="str">
        <f>_xlfn.CONCAT(SalesData[[#This Row],[Clean_Customer_Name]],"-",SalesData[[#This Row],[Region]])</f>
        <v>Deepak Soni-South</v>
      </c>
      <c r="AF794" s="19" t="str">
        <f>MID(SalesData[[#This Row],[Order_ID]],4,4)</f>
        <v>0554</v>
      </c>
      <c r="AG794" s="19" t="e">
        <f ca="1">_xlfn.SINGLE(_xlfn.XLOOKUP(SalesData[[#This Row],[Product]],Product_Master!A:A,Product_Master!B:B,"Not Found"))</f>
        <v>#NAME?</v>
      </c>
      <c r="AH794" s="19" t="str">
        <f>VLOOKUP(SalesData[[#This Row],[Product]],Product_Master!$A$1:$B$21,2,FALSE)</f>
        <v>Simran</v>
      </c>
      <c r="AI794" s="16"/>
    </row>
    <row r="795" spans="1:35" ht="13.8">
      <c r="A795" s="16" t="s">
        <v>746</v>
      </c>
      <c r="B795" s="17">
        <v>45565</v>
      </c>
      <c r="C795" s="16" t="s">
        <v>79</v>
      </c>
      <c r="D795" s="16" t="s">
        <v>80</v>
      </c>
      <c r="E795" s="16" t="s">
        <v>193</v>
      </c>
      <c r="F795" s="16" t="s">
        <v>194</v>
      </c>
      <c r="G795" s="16" t="s">
        <v>89</v>
      </c>
      <c r="H795" s="16" t="s">
        <v>90</v>
      </c>
      <c r="I795" s="16" t="s">
        <v>42</v>
      </c>
      <c r="J795" s="16" t="s">
        <v>43</v>
      </c>
      <c r="K795" s="18">
        <v>4166.18</v>
      </c>
      <c r="L795" s="18">
        <v>2533.5</v>
      </c>
      <c r="M795" s="19">
        <v>5</v>
      </c>
      <c r="N795" s="20">
        <v>0.05</v>
      </c>
      <c r="O795" s="19" t="s">
        <v>76</v>
      </c>
      <c r="P795" s="19" t="s">
        <v>58</v>
      </c>
      <c r="Q795" s="19" t="str">
        <f>TRIM(SalesData[[#This Row],[Customer_Name]])</f>
        <v>Deepak Soni</v>
      </c>
      <c r="R795" s="21">
        <f>SalesData[[#This Row],[Sales]]-SalesData[[#This Row],[Cost]]</f>
        <v>1632.6800000000003</v>
      </c>
      <c r="S795" s="22">
        <f>IFERROR(SalesData[[#This Row],[Profit]]/SalesData[[#This Row],[Sales]],0)</f>
        <v>0.39188897263200345</v>
      </c>
      <c r="T795" s="19">
        <f>YEAR(SalesData[[#This Row],[Order_Date]])</f>
        <v>2024</v>
      </c>
      <c r="U795" s="19" t="str">
        <f>TEXT(SalesData[[#This Row],[Order_Date]],"mmm")</f>
        <v>Sept</v>
      </c>
      <c r="V795" s="19" t="str">
        <f>"Q"&amp;ROUNDUP(MONTH(SalesData[[#This Row],[Order_Date]])/3,0)</f>
        <v>Q3</v>
      </c>
      <c r="W795" s="19" t="str">
        <f>IF(SalesData[[#This Row],[Sales]]&gt;=50000,"High",IF(AND(SalesData[[#This Row],[Sales]]&gt;= 20000, SalesData[[#This Row],[Sales]]&lt; 50000),"Medium","Low"))</f>
        <v>Low</v>
      </c>
      <c r="X795" s="19" t="str">
        <f>IF(SalesData[[#This Row],[Profit]]&gt;0,"Profit","Loss")</f>
        <v>Profit</v>
      </c>
      <c r="Y795" s="19" t="str">
        <f>IF(AND(SalesData[[#This Row],[Sales]]&gt;= 50000, SalesData[[#This Row],[Quantity]]&gt;=2),"Yes","No")</f>
        <v>No</v>
      </c>
      <c r="Z795" s="19" t="str">
        <f>UPPER(SalesData[[#This Row],[Customer_Name]])</f>
        <v>DEEPAK SONI</v>
      </c>
      <c r="AA795" s="19" t="str">
        <f>LOWER(SalesData[[#This Row],[Customer_Name]])</f>
        <v>deepak soni</v>
      </c>
      <c r="AB795" s="19">
        <f>LEN(SalesData[[#This Row],[Customer_Name]])</f>
        <v>11</v>
      </c>
      <c r="AC795" s="19" t="str">
        <f>LEFT(SalesData[[#This Row],[Order_ID]],3)</f>
        <v>ORD</v>
      </c>
      <c r="AD795" s="19" t="str">
        <f>RIGHT(SalesData[[#This Row],[Order_ID]],4)</f>
        <v>0593</v>
      </c>
      <c r="AE795" s="19" t="str">
        <f>_xlfn.CONCAT(SalesData[[#This Row],[Clean_Customer_Name]],"-",SalesData[[#This Row],[Region]])</f>
        <v>Deepak Soni-East</v>
      </c>
      <c r="AF795" s="19" t="str">
        <f>MID(SalesData[[#This Row],[Order_ID]],4,4)</f>
        <v>0593</v>
      </c>
      <c r="AG795" s="19" t="e">
        <f ca="1">_xlfn.SINGLE(_xlfn.XLOOKUP(SalesData[[#This Row],[Product]],Product_Master!A:A,Product_Master!B:B,"Not Found"))</f>
        <v>#NAME?</v>
      </c>
      <c r="AH795" s="19" t="str">
        <f>VLOOKUP(SalesData[[#This Row],[Product]],Product_Master!$A$1:$B$21,2,FALSE)</f>
        <v>Simran</v>
      </c>
      <c r="AI795" s="16"/>
    </row>
    <row r="796" spans="1:35" ht="13.8">
      <c r="A796" s="16" t="s">
        <v>925</v>
      </c>
      <c r="B796" s="17">
        <v>45772</v>
      </c>
      <c r="C796" s="16" t="s">
        <v>66</v>
      </c>
      <c r="D796" s="16" t="s">
        <v>67</v>
      </c>
      <c r="E796" s="16" t="s">
        <v>30</v>
      </c>
      <c r="F796" s="16" t="s">
        <v>31</v>
      </c>
      <c r="G796" s="16" t="s">
        <v>21</v>
      </c>
      <c r="H796" s="16" t="s">
        <v>32</v>
      </c>
      <c r="I796" s="16" t="s">
        <v>42</v>
      </c>
      <c r="J796" s="16" t="s">
        <v>162</v>
      </c>
      <c r="K796" s="18">
        <v>229270.48</v>
      </c>
      <c r="L796" s="18">
        <v>217067.35</v>
      </c>
      <c r="M796" s="19">
        <v>5</v>
      </c>
      <c r="N796" s="20">
        <v>0.2</v>
      </c>
      <c r="O796" s="19" t="s">
        <v>136</v>
      </c>
      <c r="P796" s="19" t="s">
        <v>77</v>
      </c>
      <c r="Q796" s="19" t="str">
        <f>TRIM(SalesData[[#This Row],[Customer_Name]])</f>
        <v>Arjun Rao</v>
      </c>
      <c r="R796" s="21">
        <f>SalesData[[#This Row],[Sales]]-SalesData[[#This Row],[Cost]]</f>
        <v>12203.130000000005</v>
      </c>
      <c r="S796" s="22">
        <f>IFERROR(SalesData[[#This Row],[Profit]]/SalesData[[#This Row],[Sales]],0)</f>
        <v>5.3225910287272936E-2</v>
      </c>
      <c r="T796" s="19">
        <f>YEAR(SalesData[[#This Row],[Order_Date]])</f>
        <v>2025</v>
      </c>
      <c r="U796" s="19" t="str">
        <f>TEXT(SalesData[[#This Row],[Order_Date]],"mmm")</f>
        <v>Apr</v>
      </c>
      <c r="V796" s="19" t="str">
        <f>"Q"&amp;ROUNDUP(MONTH(SalesData[[#This Row],[Order_Date]])/3,0)</f>
        <v>Q2</v>
      </c>
      <c r="W796" s="19" t="str">
        <f>IF(SalesData[[#This Row],[Sales]]&gt;=50000,"High",IF(AND(SalesData[[#This Row],[Sales]]&gt;= 20000, SalesData[[#This Row],[Sales]]&lt; 50000),"Medium","Low"))</f>
        <v>High</v>
      </c>
      <c r="X796" s="19" t="str">
        <f>IF(SalesData[[#This Row],[Profit]]&gt;0,"Profit","Loss")</f>
        <v>Profit</v>
      </c>
      <c r="Y796" s="19" t="str">
        <f>IF(AND(SalesData[[#This Row],[Sales]]&gt;= 50000, SalesData[[#This Row],[Quantity]]&gt;=2),"Yes","No")</f>
        <v>Yes</v>
      </c>
      <c r="Z796" s="19" t="str">
        <f>UPPER(SalesData[[#This Row],[Customer_Name]])</f>
        <v>ARJUN RAO</v>
      </c>
      <c r="AA796" s="19" t="str">
        <f>LOWER(SalesData[[#This Row],[Customer_Name]])</f>
        <v>arjun rao</v>
      </c>
      <c r="AB796" s="19">
        <f>LEN(SalesData[[#This Row],[Customer_Name]])</f>
        <v>9</v>
      </c>
      <c r="AC796" s="19" t="str">
        <f>LEFT(SalesData[[#This Row],[Order_ID]],3)</f>
        <v>ORD</v>
      </c>
      <c r="AD796" s="19" t="str">
        <f>RIGHT(SalesData[[#This Row],[Order_ID]],4)</f>
        <v>0772</v>
      </c>
      <c r="AE796" s="19" t="str">
        <f>_xlfn.CONCAT(SalesData[[#This Row],[Clean_Customer_Name]],"-",SalesData[[#This Row],[Region]])</f>
        <v>Arjun Rao-East</v>
      </c>
      <c r="AF796" s="19" t="str">
        <f>MID(SalesData[[#This Row],[Order_ID]],4,4)</f>
        <v>0772</v>
      </c>
      <c r="AG796" s="19" t="e">
        <f ca="1">_xlfn.SINGLE(_xlfn.XLOOKUP(SalesData[[#This Row],[Product]],Product_Master!A:A,Product_Master!B:B,"Not Found"))</f>
        <v>#NAME?</v>
      </c>
      <c r="AH796" s="19" t="str">
        <f>VLOOKUP(SalesData[[#This Row],[Product]],Product_Master!$A$1:$B$21,2,FALSE)</f>
        <v>Rahul</v>
      </c>
      <c r="AI796" s="16"/>
    </row>
    <row r="797" spans="1:35" ht="13.8">
      <c r="A797" s="16" t="s">
        <v>337</v>
      </c>
      <c r="B797" s="17">
        <v>45979</v>
      </c>
      <c r="C797" s="16" t="s">
        <v>66</v>
      </c>
      <c r="D797" s="16" t="s">
        <v>67</v>
      </c>
      <c r="E797" s="16" t="s">
        <v>81</v>
      </c>
      <c r="F797" s="16" t="s">
        <v>82</v>
      </c>
      <c r="G797" s="16" t="s">
        <v>21</v>
      </c>
      <c r="H797" s="16" t="s">
        <v>83</v>
      </c>
      <c r="I797" s="16" t="s">
        <v>23</v>
      </c>
      <c r="J797" s="16" t="s">
        <v>33</v>
      </c>
      <c r="K797" s="18">
        <v>121783.39</v>
      </c>
      <c r="L797" s="18">
        <v>70031.679999999993</v>
      </c>
      <c r="M797" s="19">
        <v>4</v>
      </c>
      <c r="N797" s="20">
        <v>0.05</v>
      </c>
      <c r="O797" s="19" t="s">
        <v>25</v>
      </c>
      <c r="P797" s="19" t="s">
        <v>58</v>
      </c>
      <c r="Q797" s="19" t="str">
        <f>TRIM(SalesData[[#This Row],[Customer_Name]])</f>
        <v>Arjun Rao</v>
      </c>
      <c r="R797" s="21">
        <f>SalesData[[#This Row],[Sales]]-SalesData[[#This Row],[Cost]]</f>
        <v>51751.710000000006</v>
      </c>
      <c r="S797" s="22">
        <f>IFERROR(SalesData[[#This Row],[Profit]]/SalesData[[#This Row],[Sales]],0)</f>
        <v>0.42494883743998263</v>
      </c>
      <c r="T797" s="19">
        <f>YEAR(SalesData[[#This Row],[Order_Date]])</f>
        <v>2025</v>
      </c>
      <c r="U797" s="19" t="str">
        <f>TEXT(SalesData[[#This Row],[Order_Date]],"mmm")</f>
        <v>Nov</v>
      </c>
      <c r="V797" s="19" t="str">
        <f>"Q"&amp;ROUNDUP(MONTH(SalesData[[#This Row],[Order_Date]])/3,0)</f>
        <v>Q4</v>
      </c>
      <c r="W797" s="19" t="str">
        <f>IF(SalesData[[#This Row],[Sales]]&gt;=50000,"High",IF(AND(SalesData[[#This Row],[Sales]]&gt;= 20000, SalesData[[#This Row],[Sales]]&lt; 50000),"Medium","Low"))</f>
        <v>High</v>
      </c>
      <c r="X797" s="19" t="str">
        <f>IF(SalesData[[#This Row],[Profit]]&gt;0,"Profit","Loss")</f>
        <v>Profit</v>
      </c>
      <c r="Y797" s="19" t="str">
        <f>IF(AND(SalesData[[#This Row],[Sales]]&gt;= 50000, SalesData[[#This Row],[Quantity]]&gt;=2),"Yes","No")</f>
        <v>Yes</v>
      </c>
      <c r="Z797" s="19" t="str">
        <f>UPPER(SalesData[[#This Row],[Customer_Name]])</f>
        <v>ARJUN RAO</v>
      </c>
      <c r="AA797" s="19" t="str">
        <f>LOWER(SalesData[[#This Row],[Customer_Name]])</f>
        <v>arjun rao</v>
      </c>
      <c r="AB797" s="19">
        <f>LEN(SalesData[[#This Row],[Customer_Name]])</f>
        <v>9</v>
      </c>
      <c r="AC797" s="19" t="str">
        <f>LEFT(SalesData[[#This Row],[Order_ID]],3)</f>
        <v>ORD</v>
      </c>
      <c r="AD797" s="19" t="str">
        <f>RIGHT(SalesData[[#This Row],[Order_ID]],4)</f>
        <v>0184</v>
      </c>
      <c r="AE797" s="19" t="str">
        <f>_xlfn.CONCAT(SalesData[[#This Row],[Clean_Customer_Name]],"-",SalesData[[#This Row],[Region]])</f>
        <v>Arjun Rao-North</v>
      </c>
      <c r="AF797" s="19" t="str">
        <f>MID(SalesData[[#This Row],[Order_ID]],4,4)</f>
        <v>0184</v>
      </c>
      <c r="AG797" s="19" t="e">
        <f ca="1">_xlfn.SINGLE(_xlfn.XLOOKUP(SalesData[[#This Row],[Product]],Product_Master!A:A,Product_Master!B:B,"Not Found"))</f>
        <v>#NAME?</v>
      </c>
      <c r="AH797" s="19" t="str">
        <f>VLOOKUP(SalesData[[#This Row],[Product]],Product_Master!$A$1:$B$21,2,FALSE)</f>
        <v>Priya</v>
      </c>
      <c r="AI797" s="16"/>
    </row>
    <row r="798" spans="1:35" ht="13.8">
      <c r="A798" s="16" t="s">
        <v>467</v>
      </c>
      <c r="B798" s="17">
        <v>45661</v>
      </c>
      <c r="C798" s="16" t="s">
        <v>66</v>
      </c>
      <c r="D798" s="16" t="s">
        <v>67</v>
      </c>
      <c r="E798" s="16" t="s">
        <v>62</v>
      </c>
      <c r="F798" s="16" t="s">
        <v>63</v>
      </c>
      <c r="G798" s="16" t="s">
        <v>21</v>
      </c>
      <c r="H798" s="16" t="s">
        <v>64</v>
      </c>
      <c r="I798" s="16" t="s">
        <v>42</v>
      </c>
      <c r="J798" s="16" t="s">
        <v>68</v>
      </c>
      <c r="K798" s="18">
        <v>14237.63</v>
      </c>
      <c r="L798" s="18">
        <v>4949.01</v>
      </c>
      <c r="M798" s="19">
        <v>3</v>
      </c>
      <c r="N798" s="20">
        <v>0.05</v>
      </c>
      <c r="O798" s="19" t="s">
        <v>25</v>
      </c>
      <c r="P798" s="19" t="s">
        <v>26</v>
      </c>
      <c r="Q798" s="19" t="str">
        <f>TRIM(SalesData[[#This Row],[Customer_Name]])</f>
        <v>Arjun Rao</v>
      </c>
      <c r="R798" s="21">
        <f>SalesData[[#This Row],[Sales]]-SalesData[[#This Row],[Cost]]</f>
        <v>9288.619999999999</v>
      </c>
      <c r="S798" s="22">
        <f>IFERROR(SalesData[[#This Row],[Profit]]/SalesData[[#This Row],[Sales]],0)</f>
        <v>0.65239931084035752</v>
      </c>
      <c r="T798" s="19">
        <f>YEAR(SalesData[[#This Row],[Order_Date]])</f>
        <v>2025</v>
      </c>
      <c r="U798" s="19" t="str">
        <f>TEXT(SalesData[[#This Row],[Order_Date]],"mmm")</f>
        <v>Jan</v>
      </c>
      <c r="V798" s="19" t="str">
        <f>"Q"&amp;ROUNDUP(MONTH(SalesData[[#This Row],[Order_Date]])/3,0)</f>
        <v>Q1</v>
      </c>
      <c r="W798" s="19" t="str">
        <f>IF(SalesData[[#This Row],[Sales]]&gt;=50000,"High",IF(AND(SalesData[[#This Row],[Sales]]&gt;= 20000, SalesData[[#This Row],[Sales]]&lt; 50000),"Medium","Low"))</f>
        <v>Low</v>
      </c>
      <c r="X798" s="19" t="str">
        <f>IF(SalesData[[#This Row],[Profit]]&gt;0,"Profit","Loss")</f>
        <v>Profit</v>
      </c>
      <c r="Y798" s="19" t="str">
        <f>IF(AND(SalesData[[#This Row],[Sales]]&gt;= 50000, SalesData[[#This Row],[Quantity]]&gt;=2),"Yes","No")</f>
        <v>No</v>
      </c>
      <c r="Z798" s="19" t="str">
        <f>UPPER(SalesData[[#This Row],[Customer_Name]])</f>
        <v>ARJUN RAO</v>
      </c>
      <c r="AA798" s="19" t="str">
        <f>LOWER(SalesData[[#This Row],[Customer_Name]])</f>
        <v>arjun rao</v>
      </c>
      <c r="AB798" s="19">
        <f>LEN(SalesData[[#This Row],[Customer_Name]])</f>
        <v>9</v>
      </c>
      <c r="AC798" s="19" t="str">
        <f>LEFT(SalesData[[#This Row],[Order_ID]],3)</f>
        <v>ORD</v>
      </c>
      <c r="AD798" s="19" t="str">
        <f>RIGHT(SalesData[[#This Row],[Order_ID]],4)</f>
        <v>0314</v>
      </c>
      <c r="AE798" s="19" t="str">
        <f>_xlfn.CONCAT(SalesData[[#This Row],[Clean_Customer_Name]],"-",SalesData[[#This Row],[Region]])</f>
        <v>Arjun Rao-East</v>
      </c>
      <c r="AF798" s="19" t="str">
        <f>MID(SalesData[[#This Row],[Order_ID]],4,4)</f>
        <v>0314</v>
      </c>
      <c r="AG798" s="19" t="e">
        <f ca="1">_xlfn.SINGLE(_xlfn.XLOOKUP(SalesData[[#This Row],[Product]],Product_Master!A:A,Product_Master!B:B,"Not Found"))</f>
        <v>#NAME?</v>
      </c>
      <c r="AH798" s="19" t="str">
        <f>VLOOKUP(SalesData[[#This Row],[Product]],Product_Master!$A$1:$B$21,2,FALSE)</f>
        <v>Amit</v>
      </c>
      <c r="AI798" s="16"/>
    </row>
    <row r="799" spans="1:35" ht="13.8">
      <c r="A799" s="16" t="s">
        <v>480</v>
      </c>
      <c r="B799" s="17">
        <v>45372</v>
      </c>
      <c r="C799" s="16" t="s">
        <v>66</v>
      </c>
      <c r="D799" s="16" t="s">
        <v>67</v>
      </c>
      <c r="E799" s="16" t="s">
        <v>62</v>
      </c>
      <c r="F799" s="16" t="s">
        <v>63</v>
      </c>
      <c r="G799" s="16" t="s">
        <v>21</v>
      </c>
      <c r="H799" s="16" t="s">
        <v>64</v>
      </c>
      <c r="I799" s="16" t="s">
        <v>84</v>
      </c>
      <c r="J799" s="16" t="s">
        <v>142</v>
      </c>
      <c r="K799" s="18">
        <v>30327.89</v>
      </c>
      <c r="L799" s="18">
        <v>9757.65</v>
      </c>
      <c r="M799" s="19">
        <v>5</v>
      </c>
      <c r="N799" s="20">
        <v>0.05</v>
      </c>
      <c r="O799" s="19" t="s">
        <v>34</v>
      </c>
      <c r="P799" s="19" t="s">
        <v>77</v>
      </c>
      <c r="Q799" s="19" t="str">
        <f>TRIM(SalesData[[#This Row],[Customer_Name]])</f>
        <v>Arjun Rao</v>
      </c>
      <c r="R799" s="21">
        <f>SalesData[[#This Row],[Sales]]-SalesData[[#This Row],[Cost]]</f>
        <v>20570.239999999998</v>
      </c>
      <c r="S799" s="22">
        <f>IFERROR(SalesData[[#This Row],[Profit]]/SalesData[[#This Row],[Sales]],0)</f>
        <v>0.6782614946176605</v>
      </c>
      <c r="T799" s="19">
        <f>YEAR(SalesData[[#This Row],[Order_Date]])</f>
        <v>2024</v>
      </c>
      <c r="U799" s="19" t="str">
        <f>TEXT(SalesData[[#This Row],[Order_Date]],"mmm")</f>
        <v>Mar</v>
      </c>
      <c r="V799" s="19" t="str">
        <f>"Q"&amp;ROUNDUP(MONTH(SalesData[[#This Row],[Order_Date]])/3,0)</f>
        <v>Q1</v>
      </c>
      <c r="W799" s="19" t="str">
        <f>IF(SalesData[[#This Row],[Sales]]&gt;=50000,"High",IF(AND(SalesData[[#This Row],[Sales]]&gt;= 20000, SalesData[[#This Row],[Sales]]&lt; 50000),"Medium","Low"))</f>
        <v>Medium</v>
      </c>
      <c r="X799" s="19" t="str">
        <f>IF(SalesData[[#This Row],[Profit]]&gt;0,"Profit","Loss")</f>
        <v>Profit</v>
      </c>
      <c r="Y799" s="19" t="str">
        <f>IF(AND(SalesData[[#This Row],[Sales]]&gt;= 50000, SalesData[[#This Row],[Quantity]]&gt;=2),"Yes","No")</f>
        <v>No</v>
      </c>
      <c r="Z799" s="19" t="str">
        <f>UPPER(SalesData[[#This Row],[Customer_Name]])</f>
        <v>ARJUN RAO</v>
      </c>
      <c r="AA799" s="19" t="str">
        <f>LOWER(SalesData[[#This Row],[Customer_Name]])</f>
        <v>arjun rao</v>
      </c>
      <c r="AB799" s="19">
        <f>LEN(SalesData[[#This Row],[Customer_Name]])</f>
        <v>9</v>
      </c>
      <c r="AC799" s="19" t="str">
        <f>LEFT(SalesData[[#This Row],[Order_ID]],3)</f>
        <v>ORD</v>
      </c>
      <c r="AD799" s="19" t="str">
        <f>RIGHT(SalesData[[#This Row],[Order_ID]],4)</f>
        <v>0327</v>
      </c>
      <c r="AE799" s="19" t="str">
        <f>_xlfn.CONCAT(SalesData[[#This Row],[Clean_Customer_Name]],"-",SalesData[[#This Row],[Region]])</f>
        <v>Arjun Rao-South</v>
      </c>
      <c r="AF799" s="19" t="str">
        <f>MID(SalesData[[#This Row],[Order_ID]],4,4)</f>
        <v>0327</v>
      </c>
      <c r="AG799" s="19" t="e">
        <f ca="1">_xlfn.SINGLE(_xlfn.XLOOKUP(SalesData[[#This Row],[Product]],Product_Master!A:A,Product_Master!B:B,"Not Found"))</f>
        <v>#NAME?</v>
      </c>
      <c r="AH799" s="19" t="str">
        <f>VLOOKUP(SalesData[[#This Row],[Product]],Product_Master!$A$1:$B$21,2,FALSE)</f>
        <v>Amit</v>
      </c>
      <c r="AI799" s="16"/>
    </row>
    <row r="800" spans="1:35" ht="13.8">
      <c r="A800" s="16" t="s">
        <v>727</v>
      </c>
      <c r="B800" s="17">
        <v>45805</v>
      </c>
      <c r="C800" s="16" t="s">
        <v>66</v>
      </c>
      <c r="D800" s="16" t="s">
        <v>67</v>
      </c>
      <c r="E800" s="16" t="s">
        <v>62</v>
      </c>
      <c r="F800" s="16" t="s">
        <v>63</v>
      </c>
      <c r="G800" s="16" t="s">
        <v>21</v>
      </c>
      <c r="H800" s="16" t="s">
        <v>64</v>
      </c>
      <c r="I800" s="16" t="s">
        <v>56</v>
      </c>
      <c r="J800" s="16" t="s">
        <v>91</v>
      </c>
      <c r="K800" s="18">
        <v>9882.2800000000007</v>
      </c>
      <c r="L800" s="18">
        <v>7594.32</v>
      </c>
      <c r="M800" s="19">
        <v>4</v>
      </c>
      <c r="N800" s="20">
        <v>0.05</v>
      </c>
      <c r="O800" s="19" t="s">
        <v>136</v>
      </c>
      <c r="P800" s="19" t="s">
        <v>58</v>
      </c>
      <c r="Q800" s="19" t="str">
        <f>TRIM(SalesData[[#This Row],[Customer_Name]])</f>
        <v>Arjun Rao</v>
      </c>
      <c r="R800" s="21">
        <f>SalesData[[#This Row],[Sales]]-SalesData[[#This Row],[Cost]]</f>
        <v>2287.9600000000009</v>
      </c>
      <c r="S800" s="22">
        <f>IFERROR(SalesData[[#This Row],[Profit]]/SalesData[[#This Row],[Sales]],0)</f>
        <v>0.23152147075371279</v>
      </c>
      <c r="T800" s="19">
        <f>YEAR(SalesData[[#This Row],[Order_Date]])</f>
        <v>2025</v>
      </c>
      <c r="U800" s="19" t="str">
        <f>TEXT(SalesData[[#This Row],[Order_Date]],"mmm")</f>
        <v>May</v>
      </c>
      <c r="V800" s="19" t="str">
        <f>"Q"&amp;ROUNDUP(MONTH(SalesData[[#This Row],[Order_Date]])/3,0)</f>
        <v>Q2</v>
      </c>
      <c r="W800" s="19" t="str">
        <f>IF(SalesData[[#This Row],[Sales]]&gt;=50000,"High",IF(AND(SalesData[[#This Row],[Sales]]&gt;= 20000, SalesData[[#This Row],[Sales]]&lt; 50000),"Medium","Low"))</f>
        <v>Low</v>
      </c>
      <c r="X800" s="19" t="str">
        <f>IF(SalesData[[#This Row],[Profit]]&gt;0,"Profit","Loss")</f>
        <v>Profit</v>
      </c>
      <c r="Y800" s="19" t="str">
        <f>IF(AND(SalesData[[#This Row],[Sales]]&gt;= 50000, SalesData[[#This Row],[Quantity]]&gt;=2),"Yes","No")</f>
        <v>No</v>
      </c>
      <c r="Z800" s="19" t="str">
        <f>UPPER(SalesData[[#This Row],[Customer_Name]])</f>
        <v>ARJUN RAO</v>
      </c>
      <c r="AA800" s="19" t="str">
        <f>LOWER(SalesData[[#This Row],[Customer_Name]])</f>
        <v>arjun rao</v>
      </c>
      <c r="AB800" s="19">
        <f>LEN(SalesData[[#This Row],[Customer_Name]])</f>
        <v>9</v>
      </c>
      <c r="AC800" s="19" t="str">
        <f>LEFT(SalesData[[#This Row],[Order_ID]],3)</f>
        <v>ORD</v>
      </c>
      <c r="AD800" s="19" t="str">
        <f>RIGHT(SalesData[[#This Row],[Order_ID]],4)</f>
        <v>0574</v>
      </c>
      <c r="AE800" s="19" t="str">
        <f>_xlfn.CONCAT(SalesData[[#This Row],[Clean_Customer_Name]],"-",SalesData[[#This Row],[Region]])</f>
        <v>Arjun Rao-West</v>
      </c>
      <c r="AF800" s="19" t="str">
        <f>MID(SalesData[[#This Row],[Order_ID]],4,4)</f>
        <v>0574</v>
      </c>
      <c r="AG800" s="19" t="e">
        <f ca="1">_xlfn.SINGLE(_xlfn.XLOOKUP(SalesData[[#This Row],[Product]],Product_Master!A:A,Product_Master!B:B,"Not Found"))</f>
        <v>#NAME?</v>
      </c>
      <c r="AH800" s="19" t="str">
        <f>VLOOKUP(SalesData[[#This Row],[Product]],Product_Master!$A$1:$B$21,2,FALSE)</f>
        <v>Amit</v>
      </c>
      <c r="AI800" s="16"/>
    </row>
    <row r="801" spans="1:35" ht="13.8">
      <c r="A801" s="16" t="s">
        <v>962</v>
      </c>
      <c r="B801" s="17">
        <v>45337</v>
      </c>
      <c r="C801" s="16" t="s">
        <v>66</v>
      </c>
      <c r="D801" s="16" t="s">
        <v>67</v>
      </c>
      <c r="E801" s="16" t="s">
        <v>19</v>
      </c>
      <c r="F801" s="16" t="s">
        <v>20</v>
      </c>
      <c r="G801" s="16" t="s">
        <v>21</v>
      </c>
      <c r="H801" s="16" t="s">
        <v>22</v>
      </c>
      <c r="I801" s="16" t="s">
        <v>84</v>
      </c>
      <c r="J801" s="16" t="s">
        <v>134</v>
      </c>
      <c r="K801" s="18">
        <v>15929.68</v>
      </c>
      <c r="L801" s="18">
        <v>5999.06</v>
      </c>
      <c r="M801" s="19">
        <v>2</v>
      </c>
      <c r="N801" s="20">
        <v>0.1</v>
      </c>
      <c r="O801" s="19" t="s">
        <v>44</v>
      </c>
      <c r="P801" s="19" t="s">
        <v>26</v>
      </c>
      <c r="Q801" s="19" t="str">
        <f>TRIM(SalesData[[#This Row],[Customer_Name]])</f>
        <v>Arjun Rao</v>
      </c>
      <c r="R801" s="21">
        <f>SalesData[[#This Row],[Sales]]-SalesData[[#This Row],[Cost]]</f>
        <v>9930.619999999999</v>
      </c>
      <c r="S801" s="22">
        <f>IFERROR(SalesData[[#This Row],[Profit]]/SalesData[[#This Row],[Sales]],0)</f>
        <v>0.62340360886094381</v>
      </c>
      <c r="T801" s="19">
        <f>YEAR(SalesData[[#This Row],[Order_Date]])</f>
        <v>2024</v>
      </c>
      <c r="U801" s="19" t="str">
        <f>TEXT(SalesData[[#This Row],[Order_Date]],"mmm")</f>
        <v>Feb</v>
      </c>
      <c r="V801" s="19" t="str">
        <f>"Q"&amp;ROUNDUP(MONTH(SalesData[[#This Row],[Order_Date]])/3,0)</f>
        <v>Q1</v>
      </c>
      <c r="W801" s="19" t="str">
        <f>IF(SalesData[[#This Row],[Sales]]&gt;=50000,"High",IF(AND(SalesData[[#This Row],[Sales]]&gt;= 20000, SalesData[[#This Row],[Sales]]&lt; 50000),"Medium","Low"))</f>
        <v>Low</v>
      </c>
      <c r="X801" s="19" t="str">
        <f>IF(SalesData[[#This Row],[Profit]]&gt;0,"Profit","Loss")</f>
        <v>Profit</v>
      </c>
      <c r="Y801" s="19" t="str">
        <f>IF(AND(SalesData[[#This Row],[Sales]]&gt;= 50000, SalesData[[#This Row],[Quantity]]&gt;=2),"Yes","No")</f>
        <v>No</v>
      </c>
      <c r="Z801" s="19" t="str">
        <f>UPPER(SalesData[[#This Row],[Customer_Name]])</f>
        <v>ARJUN RAO</v>
      </c>
      <c r="AA801" s="19" t="str">
        <f>LOWER(SalesData[[#This Row],[Customer_Name]])</f>
        <v>arjun rao</v>
      </c>
      <c r="AB801" s="19">
        <f>LEN(SalesData[[#This Row],[Customer_Name]])</f>
        <v>9</v>
      </c>
      <c r="AC801" s="19" t="str">
        <f>LEFT(SalesData[[#This Row],[Order_ID]],3)</f>
        <v>ORD</v>
      </c>
      <c r="AD801" s="19" t="str">
        <f>RIGHT(SalesData[[#This Row],[Order_ID]],4)</f>
        <v>0809</v>
      </c>
      <c r="AE801" s="19" t="str">
        <f>_xlfn.CONCAT(SalesData[[#This Row],[Clean_Customer_Name]],"-",SalesData[[#This Row],[Region]])</f>
        <v>Arjun Rao-South</v>
      </c>
      <c r="AF801" s="19" t="str">
        <f>MID(SalesData[[#This Row],[Order_ID]],4,4)</f>
        <v>0809</v>
      </c>
      <c r="AG801" s="19" t="e">
        <f ca="1">_xlfn.SINGLE(_xlfn.XLOOKUP(SalesData[[#This Row],[Product]],Product_Master!A:A,Product_Master!B:B,"Not Found"))</f>
        <v>#NAME?</v>
      </c>
      <c r="AH801" s="19" t="str">
        <f>VLOOKUP(SalesData[[#This Row],[Product]],Product_Master!$A$1:$B$21,2,FALSE)</f>
        <v>Neha</v>
      </c>
      <c r="AI801" s="16"/>
    </row>
    <row r="802" spans="1:35" ht="13.8">
      <c r="A802" s="16" t="s">
        <v>1114</v>
      </c>
      <c r="B802" s="17">
        <v>45624</v>
      </c>
      <c r="C802" s="16" t="s">
        <v>66</v>
      </c>
      <c r="D802" s="16" t="s">
        <v>67</v>
      </c>
      <c r="E802" s="16" t="s">
        <v>19</v>
      </c>
      <c r="F802" s="16" t="s">
        <v>20</v>
      </c>
      <c r="G802" s="16" t="s">
        <v>21</v>
      </c>
      <c r="H802" s="16" t="s">
        <v>22</v>
      </c>
      <c r="I802" s="16" t="s">
        <v>42</v>
      </c>
      <c r="J802" s="16" t="s">
        <v>43</v>
      </c>
      <c r="K802" s="18">
        <v>33607.769999999997</v>
      </c>
      <c r="L802" s="18">
        <v>12426.96</v>
      </c>
      <c r="M802" s="19">
        <v>4</v>
      </c>
      <c r="N802" s="20">
        <v>0.05</v>
      </c>
      <c r="O802" s="19" t="s">
        <v>44</v>
      </c>
      <c r="P802" s="19" t="s">
        <v>58</v>
      </c>
      <c r="Q802" s="19" t="str">
        <f>TRIM(SalesData[[#This Row],[Customer_Name]])</f>
        <v>Arjun Rao</v>
      </c>
      <c r="R802" s="21">
        <f>SalesData[[#This Row],[Sales]]-SalesData[[#This Row],[Cost]]</f>
        <v>21180.809999999998</v>
      </c>
      <c r="S802" s="22">
        <f>IFERROR(SalesData[[#This Row],[Profit]]/SalesData[[#This Row],[Sales]],0)</f>
        <v>0.63023550803876605</v>
      </c>
      <c r="T802" s="19">
        <f>YEAR(SalesData[[#This Row],[Order_Date]])</f>
        <v>2024</v>
      </c>
      <c r="U802" s="19" t="str">
        <f>TEXT(SalesData[[#This Row],[Order_Date]],"mmm")</f>
        <v>Nov</v>
      </c>
      <c r="V802" s="19" t="str">
        <f>"Q"&amp;ROUNDUP(MONTH(SalesData[[#This Row],[Order_Date]])/3,0)</f>
        <v>Q4</v>
      </c>
      <c r="W802" s="19" t="str">
        <f>IF(SalesData[[#This Row],[Sales]]&gt;=50000,"High",IF(AND(SalesData[[#This Row],[Sales]]&gt;= 20000, SalesData[[#This Row],[Sales]]&lt; 50000),"Medium","Low"))</f>
        <v>Medium</v>
      </c>
      <c r="X802" s="19" t="str">
        <f>IF(SalesData[[#This Row],[Profit]]&gt;0,"Profit","Loss")</f>
        <v>Profit</v>
      </c>
      <c r="Y802" s="19" t="str">
        <f>IF(AND(SalesData[[#This Row],[Sales]]&gt;= 50000, SalesData[[#This Row],[Quantity]]&gt;=2),"Yes","No")</f>
        <v>No</v>
      </c>
      <c r="Z802" s="19" t="str">
        <f>UPPER(SalesData[[#This Row],[Customer_Name]])</f>
        <v>ARJUN RAO</v>
      </c>
      <c r="AA802" s="19" t="str">
        <f>LOWER(SalesData[[#This Row],[Customer_Name]])</f>
        <v>arjun rao</v>
      </c>
      <c r="AB802" s="19">
        <f>LEN(SalesData[[#This Row],[Customer_Name]])</f>
        <v>9</v>
      </c>
      <c r="AC802" s="19" t="str">
        <f>LEFT(SalesData[[#This Row],[Order_ID]],3)</f>
        <v>ORD</v>
      </c>
      <c r="AD802" s="19" t="str">
        <f>RIGHT(SalesData[[#This Row],[Order_ID]],4)</f>
        <v>0961</v>
      </c>
      <c r="AE802" s="19" t="str">
        <f>_xlfn.CONCAT(SalesData[[#This Row],[Clean_Customer_Name]],"-",SalesData[[#This Row],[Region]])</f>
        <v>Arjun Rao-East</v>
      </c>
      <c r="AF802" s="19" t="str">
        <f>MID(SalesData[[#This Row],[Order_ID]],4,4)</f>
        <v>0961</v>
      </c>
      <c r="AG802" s="19" t="e">
        <f ca="1">_xlfn.SINGLE(_xlfn.XLOOKUP(SalesData[[#This Row],[Product]],Product_Master!A:A,Product_Master!B:B,"Not Found"))</f>
        <v>#NAME?</v>
      </c>
      <c r="AH802" s="19" t="str">
        <f>VLOOKUP(SalesData[[#This Row],[Product]],Product_Master!$A$1:$B$21,2,FALSE)</f>
        <v>Neha</v>
      </c>
      <c r="AI802" s="16"/>
    </row>
    <row r="803" spans="1:35" ht="13.8">
      <c r="A803" s="16" t="s">
        <v>426</v>
      </c>
      <c r="B803" s="17">
        <v>46020</v>
      </c>
      <c r="C803" s="16" t="s">
        <v>66</v>
      </c>
      <c r="D803" s="16" t="s">
        <v>67</v>
      </c>
      <c r="E803" s="16" t="s">
        <v>152</v>
      </c>
      <c r="F803" s="16" t="s">
        <v>153</v>
      </c>
      <c r="G803" s="16" t="s">
        <v>21</v>
      </c>
      <c r="H803" s="16" t="s">
        <v>32</v>
      </c>
      <c r="I803" s="16" t="s">
        <v>56</v>
      </c>
      <c r="J803" s="16" t="s">
        <v>91</v>
      </c>
      <c r="K803" s="18">
        <v>22378.82</v>
      </c>
      <c r="L803" s="18">
        <v>16766.900000000001</v>
      </c>
      <c r="M803" s="19">
        <v>2</v>
      </c>
      <c r="N803" s="20">
        <v>0</v>
      </c>
      <c r="O803" s="19" t="s">
        <v>25</v>
      </c>
      <c r="P803" s="19" t="s">
        <v>58</v>
      </c>
      <c r="Q803" s="19" t="str">
        <f>TRIM(SalesData[[#This Row],[Customer_Name]])</f>
        <v>Arjun Rao</v>
      </c>
      <c r="R803" s="21">
        <f>SalesData[[#This Row],[Sales]]-SalesData[[#This Row],[Cost]]</f>
        <v>5611.9199999999983</v>
      </c>
      <c r="S803" s="22">
        <f>IFERROR(SalesData[[#This Row],[Profit]]/SalesData[[#This Row],[Sales]],0)</f>
        <v>0.25076925414297974</v>
      </c>
      <c r="T803" s="19">
        <f>YEAR(SalesData[[#This Row],[Order_Date]])</f>
        <v>2025</v>
      </c>
      <c r="U803" s="19" t="str">
        <f>TEXT(SalesData[[#This Row],[Order_Date]],"mmm")</f>
        <v>Dec</v>
      </c>
      <c r="V803" s="19" t="str">
        <f>"Q"&amp;ROUNDUP(MONTH(SalesData[[#This Row],[Order_Date]])/3,0)</f>
        <v>Q4</v>
      </c>
      <c r="W803" s="19" t="str">
        <f>IF(SalesData[[#This Row],[Sales]]&gt;=50000,"High",IF(AND(SalesData[[#This Row],[Sales]]&gt;= 20000, SalesData[[#This Row],[Sales]]&lt; 50000),"Medium","Low"))</f>
        <v>Medium</v>
      </c>
      <c r="X803" s="19" t="str">
        <f>IF(SalesData[[#This Row],[Profit]]&gt;0,"Profit","Loss")</f>
        <v>Profit</v>
      </c>
      <c r="Y803" s="19" t="str">
        <f>IF(AND(SalesData[[#This Row],[Sales]]&gt;= 50000, SalesData[[#This Row],[Quantity]]&gt;=2),"Yes","No")</f>
        <v>No</v>
      </c>
      <c r="Z803" s="19" t="str">
        <f>UPPER(SalesData[[#This Row],[Customer_Name]])</f>
        <v>ARJUN RAO</v>
      </c>
      <c r="AA803" s="19" t="str">
        <f>LOWER(SalesData[[#This Row],[Customer_Name]])</f>
        <v>arjun rao</v>
      </c>
      <c r="AB803" s="19">
        <f>LEN(SalesData[[#This Row],[Customer_Name]])</f>
        <v>9</v>
      </c>
      <c r="AC803" s="19" t="str">
        <f>LEFT(SalesData[[#This Row],[Order_ID]],3)</f>
        <v>ORD</v>
      </c>
      <c r="AD803" s="19" t="str">
        <f>RIGHT(SalesData[[#This Row],[Order_ID]],4)</f>
        <v>0273</v>
      </c>
      <c r="AE803" s="19" t="str">
        <f>_xlfn.CONCAT(SalesData[[#This Row],[Clean_Customer_Name]],"-",SalesData[[#This Row],[Region]])</f>
        <v>Arjun Rao-West</v>
      </c>
      <c r="AF803" s="19" t="str">
        <f>MID(SalesData[[#This Row],[Order_ID]],4,4)</f>
        <v>0273</v>
      </c>
      <c r="AG803" s="19" t="e">
        <f ca="1">_xlfn.SINGLE(_xlfn.XLOOKUP(SalesData[[#This Row],[Product]],Product_Master!A:A,Product_Master!B:B,"Not Found"))</f>
        <v>#NAME?</v>
      </c>
      <c r="AH803" s="19" t="str">
        <f>VLOOKUP(SalesData[[#This Row],[Product]],Product_Master!$A$1:$B$21,2,FALSE)</f>
        <v>Simran</v>
      </c>
      <c r="AI803" s="16"/>
    </row>
    <row r="804" spans="1:35" ht="13.8">
      <c r="A804" s="16" t="s">
        <v>813</v>
      </c>
      <c r="B804" s="17">
        <v>45579</v>
      </c>
      <c r="C804" s="16" t="s">
        <v>66</v>
      </c>
      <c r="D804" s="16" t="s">
        <v>67</v>
      </c>
      <c r="E804" s="16" t="s">
        <v>152</v>
      </c>
      <c r="F804" s="16" t="s">
        <v>153</v>
      </c>
      <c r="G804" s="16" t="s">
        <v>21</v>
      </c>
      <c r="H804" s="16" t="s">
        <v>32</v>
      </c>
      <c r="I804" s="16" t="s">
        <v>42</v>
      </c>
      <c r="J804" s="16" t="s">
        <v>43</v>
      </c>
      <c r="K804" s="18">
        <v>27179.97</v>
      </c>
      <c r="L804" s="18">
        <v>25717.71</v>
      </c>
      <c r="M804" s="19">
        <v>3</v>
      </c>
      <c r="N804" s="20">
        <v>0</v>
      </c>
      <c r="O804" s="19" t="s">
        <v>34</v>
      </c>
      <c r="P804" s="19" t="s">
        <v>58</v>
      </c>
      <c r="Q804" s="19" t="str">
        <f>TRIM(SalesData[[#This Row],[Customer_Name]])</f>
        <v>Arjun Rao</v>
      </c>
      <c r="R804" s="21">
        <f>SalesData[[#This Row],[Sales]]-SalesData[[#This Row],[Cost]]</f>
        <v>1462.260000000002</v>
      </c>
      <c r="S804" s="22">
        <f>IFERROR(SalesData[[#This Row],[Profit]]/SalesData[[#This Row],[Sales]],0)</f>
        <v>5.3799176378781947E-2</v>
      </c>
      <c r="T804" s="19">
        <f>YEAR(SalesData[[#This Row],[Order_Date]])</f>
        <v>2024</v>
      </c>
      <c r="U804" s="19" t="str">
        <f>TEXT(SalesData[[#This Row],[Order_Date]],"mmm")</f>
        <v>Oct</v>
      </c>
      <c r="V804" s="19" t="str">
        <f>"Q"&amp;ROUNDUP(MONTH(SalesData[[#This Row],[Order_Date]])/3,0)</f>
        <v>Q4</v>
      </c>
      <c r="W804" s="19" t="str">
        <f>IF(SalesData[[#This Row],[Sales]]&gt;=50000,"High",IF(AND(SalesData[[#This Row],[Sales]]&gt;= 20000, SalesData[[#This Row],[Sales]]&lt; 50000),"Medium","Low"))</f>
        <v>Medium</v>
      </c>
      <c r="X804" s="19" t="str">
        <f>IF(SalesData[[#This Row],[Profit]]&gt;0,"Profit","Loss")</f>
        <v>Profit</v>
      </c>
      <c r="Y804" s="19" t="str">
        <f>IF(AND(SalesData[[#This Row],[Sales]]&gt;= 50000, SalesData[[#This Row],[Quantity]]&gt;=2),"Yes","No")</f>
        <v>No</v>
      </c>
      <c r="Z804" s="19" t="str">
        <f>UPPER(SalesData[[#This Row],[Customer_Name]])</f>
        <v>ARJUN RAO</v>
      </c>
      <c r="AA804" s="19" t="str">
        <f>LOWER(SalesData[[#This Row],[Customer_Name]])</f>
        <v>arjun rao</v>
      </c>
      <c r="AB804" s="19">
        <f>LEN(SalesData[[#This Row],[Customer_Name]])</f>
        <v>9</v>
      </c>
      <c r="AC804" s="19" t="str">
        <f>LEFT(SalesData[[#This Row],[Order_ID]],3)</f>
        <v>ORD</v>
      </c>
      <c r="AD804" s="19" t="str">
        <f>RIGHT(SalesData[[#This Row],[Order_ID]],4)</f>
        <v>0660</v>
      </c>
      <c r="AE804" s="19" t="str">
        <f>_xlfn.CONCAT(SalesData[[#This Row],[Clean_Customer_Name]],"-",SalesData[[#This Row],[Region]])</f>
        <v>Arjun Rao-East</v>
      </c>
      <c r="AF804" s="19" t="str">
        <f>MID(SalesData[[#This Row],[Order_ID]],4,4)</f>
        <v>0660</v>
      </c>
      <c r="AG804" s="19" t="e">
        <f ca="1">_xlfn.SINGLE(_xlfn.XLOOKUP(SalesData[[#This Row],[Product]],Product_Master!A:A,Product_Master!B:B,"Not Found"))</f>
        <v>#NAME?</v>
      </c>
      <c r="AH804" s="19" t="str">
        <f>VLOOKUP(SalesData[[#This Row],[Product]],Product_Master!$A$1:$B$21,2,FALSE)</f>
        <v>Simran</v>
      </c>
      <c r="AI804" s="16"/>
    </row>
    <row r="805" spans="1:35" ht="13.8">
      <c r="A805" s="16" t="s">
        <v>855</v>
      </c>
      <c r="B805" s="17">
        <v>45768</v>
      </c>
      <c r="C805" s="16" t="s">
        <v>66</v>
      </c>
      <c r="D805" s="16" t="s">
        <v>67</v>
      </c>
      <c r="E805" s="16" t="s">
        <v>152</v>
      </c>
      <c r="F805" s="16" t="s">
        <v>153</v>
      </c>
      <c r="G805" s="16" t="s">
        <v>21</v>
      </c>
      <c r="H805" s="16" t="s">
        <v>32</v>
      </c>
      <c r="I805" s="16" t="s">
        <v>23</v>
      </c>
      <c r="J805" s="16" t="s">
        <v>33</v>
      </c>
      <c r="K805" s="18">
        <v>54388.6</v>
      </c>
      <c r="L805" s="18">
        <v>31476.639999999999</v>
      </c>
      <c r="M805" s="19">
        <v>4</v>
      </c>
      <c r="N805" s="20">
        <v>0.05</v>
      </c>
      <c r="O805" s="19" t="s">
        <v>44</v>
      </c>
      <c r="P805" s="19" t="s">
        <v>58</v>
      </c>
      <c r="Q805" s="19" t="str">
        <f>TRIM(SalesData[[#This Row],[Customer_Name]])</f>
        <v>Arjun Rao</v>
      </c>
      <c r="R805" s="21">
        <f>SalesData[[#This Row],[Sales]]-SalesData[[#This Row],[Cost]]</f>
        <v>22911.96</v>
      </c>
      <c r="S805" s="22">
        <f>IFERROR(SalesData[[#This Row],[Profit]]/SalesData[[#This Row],[Sales]],0)</f>
        <v>0.42126401488547233</v>
      </c>
      <c r="T805" s="19">
        <f>YEAR(SalesData[[#This Row],[Order_Date]])</f>
        <v>2025</v>
      </c>
      <c r="U805" s="19" t="str">
        <f>TEXT(SalesData[[#This Row],[Order_Date]],"mmm")</f>
        <v>Apr</v>
      </c>
      <c r="V805" s="19" t="str">
        <f>"Q"&amp;ROUNDUP(MONTH(SalesData[[#This Row],[Order_Date]])/3,0)</f>
        <v>Q2</v>
      </c>
      <c r="W805" s="19" t="str">
        <f>IF(SalesData[[#This Row],[Sales]]&gt;=50000,"High",IF(AND(SalesData[[#This Row],[Sales]]&gt;= 20000, SalesData[[#This Row],[Sales]]&lt; 50000),"Medium","Low"))</f>
        <v>High</v>
      </c>
      <c r="X805" s="19" t="str">
        <f>IF(SalesData[[#This Row],[Profit]]&gt;0,"Profit","Loss")</f>
        <v>Profit</v>
      </c>
      <c r="Y805" s="19" t="str">
        <f>IF(AND(SalesData[[#This Row],[Sales]]&gt;= 50000, SalesData[[#This Row],[Quantity]]&gt;=2),"Yes","No")</f>
        <v>Yes</v>
      </c>
      <c r="Z805" s="19" t="str">
        <f>UPPER(SalesData[[#This Row],[Customer_Name]])</f>
        <v>ARJUN RAO</v>
      </c>
      <c r="AA805" s="19" t="str">
        <f>LOWER(SalesData[[#This Row],[Customer_Name]])</f>
        <v>arjun rao</v>
      </c>
      <c r="AB805" s="19">
        <f>LEN(SalesData[[#This Row],[Customer_Name]])</f>
        <v>9</v>
      </c>
      <c r="AC805" s="19" t="str">
        <f>LEFT(SalesData[[#This Row],[Order_ID]],3)</f>
        <v>ORD</v>
      </c>
      <c r="AD805" s="19" t="str">
        <f>RIGHT(SalesData[[#This Row],[Order_ID]],4)</f>
        <v>0702</v>
      </c>
      <c r="AE805" s="19" t="str">
        <f>_xlfn.CONCAT(SalesData[[#This Row],[Clean_Customer_Name]],"-",SalesData[[#This Row],[Region]])</f>
        <v>Arjun Rao-North</v>
      </c>
      <c r="AF805" s="19" t="str">
        <f>MID(SalesData[[#This Row],[Order_ID]],4,4)</f>
        <v>0702</v>
      </c>
      <c r="AG805" s="19" t="e">
        <f ca="1">_xlfn.SINGLE(_xlfn.XLOOKUP(SalesData[[#This Row],[Product]],Product_Master!A:A,Product_Master!B:B,"Not Found"))</f>
        <v>#NAME?</v>
      </c>
      <c r="AH805" s="19" t="str">
        <f>VLOOKUP(SalesData[[#This Row],[Product]],Product_Master!$A$1:$B$21,2,FALSE)</f>
        <v>Simran</v>
      </c>
      <c r="AI805" s="16"/>
    </row>
    <row r="806" spans="1:35" ht="13.8">
      <c r="A806" s="16" t="s">
        <v>168</v>
      </c>
      <c r="B806" s="17">
        <v>46010</v>
      </c>
      <c r="C806" s="16" t="s">
        <v>66</v>
      </c>
      <c r="D806" s="16" t="s">
        <v>67</v>
      </c>
      <c r="E806" s="16" t="s">
        <v>117</v>
      </c>
      <c r="F806" s="16" t="s">
        <v>118</v>
      </c>
      <c r="G806" s="16" t="s">
        <v>51</v>
      </c>
      <c r="H806" s="16" t="s">
        <v>119</v>
      </c>
      <c r="I806" s="16" t="s">
        <v>53</v>
      </c>
      <c r="J806" s="16" t="s">
        <v>54</v>
      </c>
      <c r="K806" s="18">
        <v>4480.18</v>
      </c>
      <c r="L806" s="18">
        <v>4394.29</v>
      </c>
      <c r="M806" s="19">
        <v>1</v>
      </c>
      <c r="N806" s="20">
        <v>0.15</v>
      </c>
      <c r="O806" s="19" t="s">
        <v>76</v>
      </c>
      <c r="P806" s="19" t="s">
        <v>58</v>
      </c>
      <c r="Q806" s="19" t="str">
        <f>TRIM(SalesData[[#This Row],[Customer_Name]])</f>
        <v>Arjun Rao</v>
      </c>
      <c r="R806" s="21">
        <f>SalesData[[#This Row],[Sales]]-SalesData[[#This Row],[Cost]]</f>
        <v>85.890000000000327</v>
      </c>
      <c r="S806" s="22">
        <f>IFERROR(SalesData[[#This Row],[Profit]]/SalesData[[#This Row],[Sales]],0)</f>
        <v>1.9171104732399216E-2</v>
      </c>
      <c r="T806" s="19">
        <f>YEAR(SalesData[[#This Row],[Order_Date]])</f>
        <v>2025</v>
      </c>
      <c r="U806" s="19" t="str">
        <f>TEXT(SalesData[[#This Row],[Order_Date]],"mmm")</f>
        <v>Dec</v>
      </c>
      <c r="V806" s="19" t="str">
        <f>"Q"&amp;ROUNDUP(MONTH(SalesData[[#This Row],[Order_Date]])/3,0)</f>
        <v>Q4</v>
      </c>
      <c r="W806" s="19" t="str">
        <f>IF(SalesData[[#This Row],[Sales]]&gt;=50000,"High",IF(AND(SalesData[[#This Row],[Sales]]&gt;= 20000, SalesData[[#This Row],[Sales]]&lt; 50000),"Medium","Low"))</f>
        <v>Low</v>
      </c>
      <c r="X806" s="19" t="str">
        <f>IF(SalesData[[#This Row],[Profit]]&gt;0,"Profit","Loss")</f>
        <v>Profit</v>
      </c>
      <c r="Y806" s="19" t="str">
        <f>IF(AND(SalesData[[#This Row],[Sales]]&gt;= 50000, SalesData[[#This Row],[Quantity]]&gt;=2),"Yes","No")</f>
        <v>No</v>
      </c>
      <c r="Z806" s="19" t="str">
        <f>UPPER(SalesData[[#This Row],[Customer_Name]])</f>
        <v>ARJUN RAO</v>
      </c>
      <c r="AA806" s="19" t="str">
        <f>LOWER(SalesData[[#This Row],[Customer_Name]])</f>
        <v>arjun rao</v>
      </c>
      <c r="AB806" s="19">
        <f>LEN(SalesData[[#This Row],[Customer_Name]])</f>
        <v>9</v>
      </c>
      <c r="AC806" s="19" t="str">
        <f>LEFT(SalesData[[#This Row],[Order_ID]],3)</f>
        <v>ORD</v>
      </c>
      <c r="AD806" s="19" t="str">
        <f>RIGHT(SalesData[[#This Row],[Order_ID]],4)</f>
        <v>0042</v>
      </c>
      <c r="AE806" s="19" t="str">
        <f>_xlfn.CONCAT(SalesData[[#This Row],[Clean_Customer_Name]],"-",SalesData[[#This Row],[Region]])</f>
        <v>Arjun Rao-Central</v>
      </c>
      <c r="AF806" s="19" t="str">
        <f>MID(SalesData[[#This Row],[Order_ID]],4,4)</f>
        <v>0042</v>
      </c>
      <c r="AG806" s="19" t="e">
        <f ca="1">_xlfn.SINGLE(_xlfn.XLOOKUP(SalesData[[#This Row],[Product]],Product_Master!A:A,Product_Master!B:B,"Not Found"))</f>
        <v>#NAME?</v>
      </c>
      <c r="AH806" s="19" t="str">
        <f>VLOOKUP(SalesData[[#This Row],[Product]],Product_Master!$A$1:$B$21,2,FALSE)</f>
        <v>Karan</v>
      </c>
      <c r="AI806" s="16"/>
    </row>
    <row r="807" spans="1:35" ht="13.8">
      <c r="A807" s="16" t="s">
        <v>242</v>
      </c>
      <c r="B807" s="17">
        <v>45738</v>
      </c>
      <c r="C807" s="16" t="s">
        <v>66</v>
      </c>
      <c r="D807" s="16" t="s">
        <v>67</v>
      </c>
      <c r="E807" s="16" t="s">
        <v>117</v>
      </c>
      <c r="F807" s="16" t="s">
        <v>118</v>
      </c>
      <c r="G807" s="16" t="s">
        <v>51</v>
      </c>
      <c r="H807" s="16" t="s">
        <v>119</v>
      </c>
      <c r="I807" s="16" t="s">
        <v>42</v>
      </c>
      <c r="J807" s="16" t="s">
        <v>43</v>
      </c>
      <c r="K807" s="18">
        <v>26660.28</v>
      </c>
      <c r="L807" s="18">
        <v>19688.599999999999</v>
      </c>
      <c r="M807" s="19">
        <v>4</v>
      </c>
      <c r="N807" s="20">
        <v>0.15</v>
      </c>
      <c r="O807" s="19" t="s">
        <v>44</v>
      </c>
      <c r="P807" s="19" t="s">
        <v>77</v>
      </c>
      <c r="Q807" s="19" t="str">
        <f>TRIM(SalesData[[#This Row],[Customer_Name]])</f>
        <v>Arjun Rao</v>
      </c>
      <c r="R807" s="21">
        <f>SalesData[[#This Row],[Sales]]-SalesData[[#This Row],[Cost]]</f>
        <v>6971.68</v>
      </c>
      <c r="S807" s="22">
        <f>IFERROR(SalesData[[#This Row],[Profit]]/SalesData[[#This Row],[Sales]],0)</f>
        <v>0.26150062940074148</v>
      </c>
      <c r="T807" s="19">
        <f>YEAR(SalesData[[#This Row],[Order_Date]])</f>
        <v>2025</v>
      </c>
      <c r="U807" s="19" t="str">
        <f>TEXT(SalesData[[#This Row],[Order_Date]],"mmm")</f>
        <v>Mar</v>
      </c>
      <c r="V807" s="19" t="str">
        <f>"Q"&amp;ROUNDUP(MONTH(SalesData[[#This Row],[Order_Date]])/3,0)</f>
        <v>Q1</v>
      </c>
      <c r="W807" s="19" t="str">
        <f>IF(SalesData[[#This Row],[Sales]]&gt;=50000,"High",IF(AND(SalesData[[#This Row],[Sales]]&gt;= 20000, SalesData[[#This Row],[Sales]]&lt; 50000),"Medium","Low"))</f>
        <v>Medium</v>
      </c>
      <c r="X807" s="19" t="str">
        <f>IF(SalesData[[#This Row],[Profit]]&gt;0,"Profit","Loss")</f>
        <v>Profit</v>
      </c>
      <c r="Y807" s="19" t="str">
        <f>IF(AND(SalesData[[#This Row],[Sales]]&gt;= 50000, SalesData[[#This Row],[Quantity]]&gt;=2),"Yes","No")</f>
        <v>No</v>
      </c>
      <c r="Z807" s="19" t="str">
        <f>UPPER(SalesData[[#This Row],[Customer_Name]])</f>
        <v>ARJUN RAO</v>
      </c>
      <c r="AA807" s="19" t="str">
        <f>LOWER(SalesData[[#This Row],[Customer_Name]])</f>
        <v>arjun rao</v>
      </c>
      <c r="AB807" s="19">
        <f>LEN(SalesData[[#This Row],[Customer_Name]])</f>
        <v>9</v>
      </c>
      <c r="AC807" s="19" t="str">
        <f>LEFT(SalesData[[#This Row],[Order_ID]],3)</f>
        <v>ORD</v>
      </c>
      <c r="AD807" s="19" t="str">
        <f>RIGHT(SalesData[[#This Row],[Order_ID]],4)</f>
        <v>0091</v>
      </c>
      <c r="AE807" s="19" t="str">
        <f>_xlfn.CONCAT(SalesData[[#This Row],[Clean_Customer_Name]],"-",SalesData[[#This Row],[Region]])</f>
        <v>Arjun Rao-East</v>
      </c>
      <c r="AF807" s="19" t="str">
        <f>MID(SalesData[[#This Row],[Order_ID]],4,4)</f>
        <v>0091</v>
      </c>
      <c r="AG807" s="19" t="e">
        <f ca="1">_xlfn.SINGLE(_xlfn.XLOOKUP(SalesData[[#This Row],[Product]],Product_Master!A:A,Product_Master!B:B,"Not Found"))</f>
        <v>#NAME?</v>
      </c>
      <c r="AH807" s="19" t="str">
        <f>VLOOKUP(SalesData[[#This Row],[Product]],Product_Master!$A$1:$B$21,2,FALSE)</f>
        <v>Karan</v>
      </c>
      <c r="AI807" s="16"/>
    </row>
    <row r="808" spans="1:35" ht="13.8">
      <c r="A808" s="16" t="s">
        <v>892</v>
      </c>
      <c r="B808" s="17">
        <v>45351</v>
      </c>
      <c r="C808" s="16" t="s">
        <v>66</v>
      </c>
      <c r="D808" s="16" t="s">
        <v>67</v>
      </c>
      <c r="E808" s="16" t="s">
        <v>117</v>
      </c>
      <c r="F808" s="16" t="s">
        <v>118</v>
      </c>
      <c r="G808" s="16" t="s">
        <v>51</v>
      </c>
      <c r="H808" s="16" t="s">
        <v>119</v>
      </c>
      <c r="I808" s="16" t="s">
        <v>42</v>
      </c>
      <c r="J808" s="16" t="s">
        <v>43</v>
      </c>
      <c r="K808" s="18">
        <v>19522.060000000001</v>
      </c>
      <c r="L808" s="18">
        <v>8675.42</v>
      </c>
      <c r="M808" s="19">
        <v>2</v>
      </c>
      <c r="N808" s="20">
        <v>0.05</v>
      </c>
      <c r="O808" s="19" t="s">
        <v>44</v>
      </c>
      <c r="P808" s="19" t="s">
        <v>58</v>
      </c>
      <c r="Q808" s="19" t="str">
        <f>TRIM(SalesData[[#This Row],[Customer_Name]])</f>
        <v>Arjun Rao</v>
      </c>
      <c r="R808" s="21">
        <f>SalesData[[#This Row],[Sales]]-SalesData[[#This Row],[Cost]]</f>
        <v>10846.640000000001</v>
      </c>
      <c r="S808" s="22">
        <f>IFERROR(SalesData[[#This Row],[Profit]]/SalesData[[#This Row],[Sales]],0)</f>
        <v>0.55560939777871809</v>
      </c>
      <c r="T808" s="19">
        <f>YEAR(SalesData[[#This Row],[Order_Date]])</f>
        <v>2024</v>
      </c>
      <c r="U808" s="19" t="str">
        <f>TEXT(SalesData[[#This Row],[Order_Date]],"mmm")</f>
        <v>Feb</v>
      </c>
      <c r="V808" s="19" t="str">
        <f>"Q"&amp;ROUNDUP(MONTH(SalesData[[#This Row],[Order_Date]])/3,0)</f>
        <v>Q1</v>
      </c>
      <c r="W808" s="19" t="str">
        <f>IF(SalesData[[#This Row],[Sales]]&gt;=50000,"High",IF(AND(SalesData[[#This Row],[Sales]]&gt;= 20000, SalesData[[#This Row],[Sales]]&lt; 50000),"Medium","Low"))</f>
        <v>Low</v>
      </c>
      <c r="X808" s="19" t="str">
        <f>IF(SalesData[[#This Row],[Profit]]&gt;0,"Profit","Loss")</f>
        <v>Profit</v>
      </c>
      <c r="Y808" s="19" t="str">
        <f>IF(AND(SalesData[[#This Row],[Sales]]&gt;= 50000, SalesData[[#This Row],[Quantity]]&gt;=2),"Yes","No")</f>
        <v>No</v>
      </c>
      <c r="Z808" s="19" t="str">
        <f>UPPER(SalesData[[#This Row],[Customer_Name]])</f>
        <v>ARJUN RAO</v>
      </c>
      <c r="AA808" s="19" t="str">
        <f>LOWER(SalesData[[#This Row],[Customer_Name]])</f>
        <v>arjun rao</v>
      </c>
      <c r="AB808" s="19">
        <f>LEN(SalesData[[#This Row],[Customer_Name]])</f>
        <v>9</v>
      </c>
      <c r="AC808" s="19" t="str">
        <f>LEFT(SalesData[[#This Row],[Order_ID]],3)</f>
        <v>ORD</v>
      </c>
      <c r="AD808" s="19" t="str">
        <f>RIGHT(SalesData[[#This Row],[Order_ID]],4)</f>
        <v>0739</v>
      </c>
      <c r="AE808" s="19" t="str">
        <f>_xlfn.CONCAT(SalesData[[#This Row],[Clean_Customer_Name]],"-",SalesData[[#This Row],[Region]])</f>
        <v>Arjun Rao-East</v>
      </c>
      <c r="AF808" s="19" t="str">
        <f>MID(SalesData[[#This Row],[Order_ID]],4,4)</f>
        <v>0739</v>
      </c>
      <c r="AG808" s="19" t="e">
        <f ca="1">_xlfn.SINGLE(_xlfn.XLOOKUP(SalesData[[#This Row],[Product]],Product_Master!A:A,Product_Master!B:B,"Not Found"))</f>
        <v>#NAME?</v>
      </c>
      <c r="AH808" s="19" t="str">
        <f>VLOOKUP(SalesData[[#This Row],[Product]],Product_Master!$A$1:$B$21,2,FALSE)</f>
        <v>Karan</v>
      </c>
      <c r="AI808" s="16"/>
    </row>
    <row r="809" spans="1:35" ht="13.8">
      <c r="A809" s="16" t="s">
        <v>1105</v>
      </c>
      <c r="B809" s="17">
        <v>45310</v>
      </c>
      <c r="C809" s="16" t="s">
        <v>66</v>
      </c>
      <c r="D809" s="16" t="s">
        <v>67</v>
      </c>
      <c r="E809" s="16" t="s">
        <v>117</v>
      </c>
      <c r="F809" s="16" t="s">
        <v>118</v>
      </c>
      <c r="G809" s="16" t="s">
        <v>51</v>
      </c>
      <c r="H809" s="16" t="s">
        <v>119</v>
      </c>
      <c r="I809" s="16" t="s">
        <v>23</v>
      </c>
      <c r="J809" s="16" t="s">
        <v>75</v>
      </c>
      <c r="K809" s="18">
        <v>27172.400000000001</v>
      </c>
      <c r="L809" s="18">
        <v>20702.3</v>
      </c>
      <c r="M809" s="19">
        <v>5</v>
      </c>
      <c r="N809" s="20">
        <v>0.2</v>
      </c>
      <c r="O809" s="19" t="s">
        <v>136</v>
      </c>
      <c r="P809" s="19" t="s">
        <v>58</v>
      </c>
      <c r="Q809" s="19" t="str">
        <f>TRIM(SalesData[[#This Row],[Customer_Name]])</f>
        <v>Arjun Rao</v>
      </c>
      <c r="R809" s="21">
        <f>SalesData[[#This Row],[Sales]]-SalesData[[#This Row],[Cost]]</f>
        <v>6470.1000000000022</v>
      </c>
      <c r="S809" s="22">
        <f>IFERROR(SalesData[[#This Row],[Profit]]/SalesData[[#This Row],[Sales]],0)</f>
        <v>0.23811293812839507</v>
      </c>
      <c r="T809" s="19">
        <f>YEAR(SalesData[[#This Row],[Order_Date]])</f>
        <v>2024</v>
      </c>
      <c r="U809" s="19" t="str">
        <f>TEXT(SalesData[[#This Row],[Order_Date]],"mmm")</f>
        <v>Jan</v>
      </c>
      <c r="V809" s="19" t="str">
        <f>"Q"&amp;ROUNDUP(MONTH(SalesData[[#This Row],[Order_Date]])/3,0)</f>
        <v>Q1</v>
      </c>
      <c r="W809" s="19" t="str">
        <f>IF(SalesData[[#This Row],[Sales]]&gt;=50000,"High",IF(AND(SalesData[[#This Row],[Sales]]&gt;= 20000, SalesData[[#This Row],[Sales]]&lt; 50000),"Medium","Low"))</f>
        <v>Medium</v>
      </c>
      <c r="X809" s="19" t="str">
        <f>IF(SalesData[[#This Row],[Profit]]&gt;0,"Profit","Loss")</f>
        <v>Profit</v>
      </c>
      <c r="Y809" s="19" t="str">
        <f>IF(AND(SalesData[[#This Row],[Sales]]&gt;= 50000, SalesData[[#This Row],[Quantity]]&gt;=2),"Yes","No")</f>
        <v>No</v>
      </c>
      <c r="Z809" s="19" t="str">
        <f>UPPER(SalesData[[#This Row],[Customer_Name]])</f>
        <v>ARJUN RAO</v>
      </c>
      <c r="AA809" s="19" t="str">
        <f>LOWER(SalesData[[#This Row],[Customer_Name]])</f>
        <v>arjun rao</v>
      </c>
      <c r="AB809" s="19">
        <f>LEN(SalesData[[#This Row],[Customer_Name]])</f>
        <v>9</v>
      </c>
      <c r="AC809" s="19" t="str">
        <f>LEFT(SalesData[[#This Row],[Order_ID]],3)</f>
        <v>ORD</v>
      </c>
      <c r="AD809" s="19" t="str">
        <f>RIGHT(SalesData[[#This Row],[Order_ID]],4)</f>
        <v>0952</v>
      </c>
      <c r="AE809" s="19" t="str">
        <f>_xlfn.CONCAT(SalesData[[#This Row],[Clean_Customer_Name]],"-",SalesData[[#This Row],[Region]])</f>
        <v>Arjun Rao-North</v>
      </c>
      <c r="AF809" s="19" t="str">
        <f>MID(SalesData[[#This Row],[Order_ID]],4,4)</f>
        <v>0952</v>
      </c>
      <c r="AG809" s="19" t="e">
        <f ca="1">_xlfn.SINGLE(_xlfn.XLOOKUP(SalesData[[#This Row],[Product]],Product_Master!A:A,Product_Master!B:B,"Not Found"))</f>
        <v>#NAME?</v>
      </c>
      <c r="AH809" s="19" t="str">
        <f>VLOOKUP(SalesData[[#This Row],[Product]],Product_Master!$A$1:$B$21,2,FALSE)</f>
        <v>Karan</v>
      </c>
      <c r="AI809" s="16"/>
    </row>
    <row r="810" spans="1:35" ht="13.8">
      <c r="A810" s="16" t="s">
        <v>276</v>
      </c>
      <c r="B810" s="17">
        <v>45757</v>
      </c>
      <c r="C810" s="16" t="s">
        <v>66</v>
      </c>
      <c r="D810" s="16" t="s">
        <v>67</v>
      </c>
      <c r="E810" s="16" t="s">
        <v>49</v>
      </c>
      <c r="F810" s="16" t="s">
        <v>50</v>
      </c>
      <c r="G810" s="16" t="s">
        <v>51</v>
      </c>
      <c r="H810" s="16" t="s">
        <v>52</v>
      </c>
      <c r="I810" s="16" t="s">
        <v>23</v>
      </c>
      <c r="J810" s="16" t="s">
        <v>33</v>
      </c>
      <c r="K810" s="18">
        <v>11487.78</v>
      </c>
      <c r="L810" s="18">
        <v>7227.88</v>
      </c>
      <c r="M810" s="19">
        <v>1</v>
      </c>
      <c r="N810" s="20">
        <v>0.2</v>
      </c>
      <c r="O810" s="19" t="s">
        <v>25</v>
      </c>
      <c r="P810" s="19" t="s">
        <v>58</v>
      </c>
      <c r="Q810" s="19" t="str">
        <f>TRIM(SalesData[[#This Row],[Customer_Name]])</f>
        <v>Arjun Rao</v>
      </c>
      <c r="R810" s="21">
        <f>SalesData[[#This Row],[Sales]]-SalesData[[#This Row],[Cost]]</f>
        <v>4259.9000000000005</v>
      </c>
      <c r="S810" s="22">
        <f>IFERROR(SalesData[[#This Row],[Profit]]/SalesData[[#This Row],[Sales]],0)</f>
        <v>0.37082012364442912</v>
      </c>
      <c r="T810" s="19">
        <f>YEAR(SalesData[[#This Row],[Order_Date]])</f>
        <v>2025</v>
      </c>
      <c r="U810" s="19" t="str">
        <f>TEXT(SalesData[[#This Row],[Order_Date]],"mmm")</f>
        <v>Apr</v>
      </c>
      <c r="V810" s="19" t="str">
        <f>"Q"&amp;ROUNDUP(MONTH(SalesData[[#This Row],[Order_Date]])/3,0)</f>
        <v>Q2</v>
      </c>
      <c r="W810" s="19" t="str">
        <f>IF(SalesData[[#This Row],[Sales]]&gt;=50000,"High",IF(AND(SalesData[[#This Row],[Sales]]&gt;= 20000, SalesData[[#This Row],[Sales]]&lt; 50000),"Medium","Low"))</f>
        <v>Low</v>
      </c>
      <c r="X810" s="19" t="str">
        <f>IF(SalesData[[#This Row],[Profit]]&gt;0,"Profit","Loss")</f>
        <v>Profit</v>
      </c>
      <c r="Y810" s="19" t="str">
        <f>IF(AND(SalesData[[#This Row],[Sales]]&gt;= 50000, SalesData[[#This Row],[Quantity]]&gt;=2),"Yes","No")</f>
        <v>No</v>
      </c>
      <c r="Z810" s="19" t="str">
        <f>UPPER(SalesData[[#This Row],[Customer_Name]])</f>
        <v>ARJUN RAO</v>
      </c>
      <c r="AA810" s="19" t="str">
        <f>LOWER(SalesData[[#This Row],[Customer_Name]])</f>
        <v>arjun rao</v>
      </c>
      <c r="AB810" s="19">
        <f>LEN(SalesData[[#This Row],[Customer_Name]])</f>
        <v>9</v>
      </c>
      <c r="AC810" s="19" t="str">
        <f>LEFT(SalesData[[#This Row],[Order_ID]],3)</f>
        <v>ORD</v>
      </c>
      <c r="AD810" s="19" t="str">
        <f>RIGHT(SalesData[[#This Row],[Order_ID]],4)</f>
        <v>0123</v>
      </c>
      <c r="AE810" s="19" t="str">
        <f>_xlfn.CONCAT(SalesData[[#This Row],[Clean_Customer_Name]],"-",SalesData[[#This Row],[Region]])</f>
        <v>Arjun Rao-North</v>
      </c>
      <c r="AF810" s="19" t="str">
        <f>MID(SalesData[[#This Row],[Order_ID]],4,4)</f>
        <v>0123</v>
      </c>
      <c r="AG810" s="19" t="e">
        <f ca="1">_xlfn.SINGLE(_xlfn.XLOOKUP(SalesData[[#This Row],[Product]],Product_Master!A:A,Product_Master!B:B,"Not Found"))</f>
        <v>#NAME?</v>
      </c>
      <c r="AH810" s="19" t="str">
        <f>VLOOKUP(SalesData[[#This Row],[Product]],Product_Master!$A$1:$B$21,2,FALSE)</f>
        <v>Rohan</v>
      </c>
      <c r="AI810" s="16"/>
    </row>
    <row r="811" spans="1:35" ht="13.8">
      <c r="A811" s="16" t="s">
        <v>658</v>
      </c>
      <c r="B811" s="17">
        <v>45491</v>
      </c>
      <c r="C811" s="16" t="s">
        <v>66</v>
      </c>
      <c r="D811" s="16" t="s">
        <v>67</v>
      </c>
      <c r="E811" s="16" t="s">
        <v>72</v>
      </c>
      <c r="F811" s="16" t="s">
        <v>73</v>
      </c>
      <c r="G811" s="16" t="s">
        <v>51</v>
      </c>
      <c r="H811" s="16" t="s">
        <v>74</v>
      </c>
      <c r="I811" s="16" t="s">
        <v>42</v>
      </c>
      <c r="J811" s="16" t="s">
        <v>43</v>
      </c>
      <c r="K811" s="18">
        <v>27552.560000000001</v>
      </c>
      <c r="L811" s="18">
        <v>17375.080000000002</v>
      </c>
      <c r="M811" s="19">
        <v>4</v>
      </c>
      <c r="N811" s="20">
        <v>0.1</v>
      </c>
      <c r="O811" s="19" t="s">
        <v>76</v>
      </c>
      <c r="P811" s="19" t="s">
        <v>26</v>
      </c>
      <c r="Q811" s="19" t="str">
        <f>TRIM(SalesData[[#This Row],[Customer_Name]])</f>
        <v>Arjun Rao</v>
      </c>
      <c r="R811" s="21">
        <f>SalesData[[#This Row],[Sales]]-SalesData[[#This Row],[Cost]]</f>
        <v>10177.48</v>
      </c>
      <c r="S811" s="22">
        <f>IFERROR(SalesData[[#This Row],[Profit]]/SalesData[[#This Row],[Sales]],0)</f>
        <v>0.36938418789397426</v>
      </c>
      <c r="T811" s="19">
        <f>YEAR(SalesData[[#This Row],[Order_Date]])</f>
        <v>2024</v>
      </c>
      <c r="U811" s="19" t="str">
        <f>TEXT(SalesData[[#This Row],[Order_Date]],"mmm")</f>
        <v>Jul</v>
      </c>
      <c r="V811" s="19" t="str">
        <f>"Q"&amp;ROUNDUP(MONTH(SalesData[[#This Row],[Order_Date]])/3,0)</f>
        <v>Q3</v>
      </c>
      <c r="W811" s="19" t="str">
        <f>IF(SalesData[[#This Row],[Sales]]&gt;=50000,"High",IF(AND(SalesData[[#This Row],[Sales]]&gt;= 20000, SalesData[[#This Row],[Sales]]&lt; 50000),"Medium","Low"))</f>
        <v>Medium</v>
      </c>
      <c r="X811" s="19" t="str">
        <f>IF(SalesData[[#This Row],[Profit]]&gt;0,"Profit","Loss")</f>
        <v>Profit</v>
      </c>
      <c r="Y811" s="19" t="str">
        <f>IF(AND(SalesData[[#This Row],[Sales]]&gt;= 50000, SalesData[[#This Row],[Quantity]]&gt;=2),"Yes","No")</f>
        <v>No</v>
      </c>
      <c r="Z811" s="19" t="str">
        <f>UPPER(SalesData[[#This Row],[Customer_Name]])</f>
        <v>ARJUN RAO</v>
      </c>
      <c r="AA811" s="19" t="str">
        <f>LOWER(SalesData[[#This Row],[Customer_Name]])</f>
        <v>arjun rao</v>
      </c>
      <c r="AB811" s="19">
        <f>LEN(SalesData[[#This Row],[Customer_Name]])</f>
        <v>9</v>
      </c>
      <c r="AC811" s="19" t="str">
        <f>LEFT(SalesData[[#This Row],[Order_ID]],3)</f>
        <v>ORD</v>
      </c>
      <c r="AD811" s="19" t="str">
        <f>RIGHT(SalesData[[#This Row],[Order_ID]],4)</f>
        <v>0505</v>
      </c>
      <c r="AE811" s="19" t="str">
        <f>_xlfn.CONCAT(SalesData[[#This Row],[Clean_Customer_Name]],"-",SalesData[[#This Row],[Region]])</f>
        <v>Arjun Rao-East</v>
      </c>
      <c r="AF811" s="19" t="str">
        <f>MID(SalesData[[#This Row],[Order_ID]],4,4)</f>
        <v>0505</v>
      </c>
      <c r="AG811" s="19" t="e">
        <f ca="1">_xlfn.SINGLE(_xlfn.XLOOKUP(SalesData[[#This Row],[Product]],Product_Master!A:A,Product_Master!B:B,"Not Found"))</f>
        <v>#NAME?</v>
      </c>
      <c r="AH811" s="19" t="str">
        <f>VLOOKUP(SalesData[[#This Row],[Product]],Product_Master!$A$1:$B$21,2,FALSE)</f>
        <v>Anjali</v>
      </c>
      <c r="AI811" s="16"/>
    </row>
    <row r="812" spans="1:35" ht="13.8">
      <c r="A812" s="16" t="s">
        <v>1082</v>
      </c>
      <c r="B812" s="17">
        <v>45413</v>
      </c>
      <c r="C812" s="16" t="s">
        <v>66</v>
      </c>
      <c r="D812" s="16" t="s">
        <v>67</v>
      </c>
      <c r="E812" s="16" t="s">
        <v>72</v>
      </c>
      <c r="F812" s="16" t="s">
        <v>73</v>
      </c>
      <c r="G812" s="16" t="s">
        <v>51</v>
      </c>
      <c r="H812" s="16" t="s">
        <v>74</v>
      </c>
      <c r="I812" s="16" t="s">
        <v>23</v>
      </c>
      <c r="J812" s="16" t="s">
        <v>33</v>
      </c>
      <c r="K812" s="18">
        <v>6744.65</v>
      </c>
      <c r="L812" s="18">
        <v>3888.19</v>
      </c>
      <c r="M812" s="19">
        <v>1</v>
      </c>
      <c r="N812" s="20">
        <v>0.1</v>
      </c>
      <c r="O812" s="19" t="s">
        <v>76</v>
      </c>
      <c r="P812" s="19" t="s">
        <v>77</v>
      </c>
      <c r="Q812" s="19" t="str">
        <f>TRIM(SalesData[[#This Row],[Customer_Name]])</f>
        <v>Arjun Rao</v>
      </c>
      <c r="R812" s="21">
        <f>SalesData[[#This Row],[Sales]]-SalesData[[#This Row],[Cost]]</f>
        <v>2856.4599999999996</v>
      </c>
      <c r="S812" s="22">
        <f>IFERROR(SalesData[[#This Row],[Profit]]/SalesData[[#This Row],[Sales]],0)</f>
        <v>0.4235149340588466</v>
      </c>
      <c r="T812" s="19">
        <f>YEAR(SalesData[[#This Row],[Order_Date]])</f>
        <v>2024</v>
      </c>
      <c r="U812" s="19" t="str">
        <f>TEXT(SalesData[[#This Row],[Order_Date]],"mmm")</f>
        <v>May</v>
      </c>
      <c r="V812" s="19" t="str">
        <f>"Q"&amp;ROUNDUP(MONTH(SalesData[[#This Row],[Order_Date]])/3,0)</f>
        <v>Q2</v>
      </c>
      <c r="W812" s="19" t="str">
        <f>IF(SalesData[[#This Row],[Sales]]&gt;=50000,"High",IF(AND(SalesData[[#This Row],[Sales]]&gt;= 20000, SalesData[[#This Row],[Sales]]&lt; 50000),"Medium","Low"))</f>
        <v>Low</v>
      </c>
      <c r="X812" s="19" t="str">
        <f>IF(SalesData[[#This Row],[Profit]]&gt;0,"Profit","Loss")</f>
        <v>Profit</v>
      </c>
      <c r="Y812" s="19" t="str">
        <f>IF(AND(SalesData[[#This Row],[Sales]]&gt;= 50000, SalesData[[#This Row],[Quantity]]&gt;=2),"Yes","No")</f>
        <v>No</v>
      </c>
      <c r="Z812" s="19" t="str">
        <f>UPPER(SalesData[[#This Row],[Customer_Name]])</f>
        <v>ARJUN RAO</v>
      </c>
      <c r="AA812" s="19" t="str">
        <f>LOWER(SalesData[[#This Row],[Customer_Name]])</f>
        <v>arjun rao</v>
      </c>
      <c r="AB812" s="19">
        <f>LEN(SalesData[[#This Row],[Customer_Name]])</f>
        <v>9</v>
      </c>
      <c r="AC812" s="19" t="str">
        <f>LEFT(SalesData[[#This Row],[Order_ID]],3)</f>
        <v>ORD</v>
      </c>
      <c r="AD812" s="19" t="str">
        <f>RIGHT(SalesData[[#This Row],[Order_ID]],4)</f>
        <v>0929</v>
      </c>
      <c r="AE812" s="19" t="str">
        <f>_xlfn.CONCAT(SalesData[[#This Row],[Clean_Customer_Name]],"-",SalesData[[#This Row],[Region]])</f>
        <v>Arjun Rao-North</v>
      </c>
      <c r="AF812" s="19" t="str">
        <f>MID(SalesData[[#This Row],[Order_ID]],4,4)</f>
        <v>0929</v>
      </c>
      <c r="AG812" s="19" t="e">
        <f ca="1">_xlfn.SINGLE(_xlfn.XLOOKUP(SalesData[[#This Row],[Product]],Product_Master!A:A,Product_Master!B:B,"Not Found"))</f>
        <v>#NAME?</v>
      </c>
      <c r="AH812" s="19" t="str">
        <f>VLOOKUP(SalesData[[#This Row],[Product]],Product_Master!$A$1:$B$21,2,FALSE)</f>
        <v>Anjali</v>
      </c>
      <c r="AI812" s="16"/>
    </row>
    <row r="813" spans="1:35" ht="13.8">
      <c r="A813" s="16" t="s">
        <v>552</v>
      </c>
      <c r="B813" s="17">
        <v>46020</v>
      </c>
      <c r="C813" s="16" t="s">
        <v>66</v>
      </c>
      <c r="D813" s="16" t="s">
        <v>67</v>
      </c>
      <c r="E813" s="16" t="s">
        <v>175</v>
      </c>
      <c r="F813" s="16" t="s">
        <v>176</v>
      </c>
      <c r="G813" s="16" t="s">
        <v>51</v>
      </c>
      <c r="H813" s="16" t="s">
        <v>177</v>
      </c>
      <c r="I813" s="16" t="s">
        <v>42</v>
      </c>
      <c r="J813" s="16" t="s">
        <v>68</v>
      </c>
      <c r="K813" s="18">
        <v>71829.95</v>
      </c>
      <c r="L813" s="18">
        <v>45008.25</v>
      </c>
      <c r="M813" s="19">
        <v>3</v>
      </c>
      <c r="N813" s="20">
        <v>0.05</v>
      </c>
      <c r="O813" s="19" t="s">
        <v>25</v>
      </c>
      <c r="P813" s="19" t="s">
        <v>26</v>
      </c>
      <c r="Q813" s="19" t="str">
        <f>TRIM(SalesData[[#This Row],[Customer_Name]])</f>
        <v>Arjun Rao</v>
      </c>
      <c r="R813" s="21">
        <f>SalesData[[#This Row],[Sales]]-SalesData[[#This Row],[Cost]]</f>
        <v>26821.699999999997</v>
      </c>
      <c r="S813" s="22">
        <f>IFERROR(SalesData[[#This Row],[Profit]]/SalesData[[#This Row],[Sales]],0)</f>
        <v>0.37340552234826835</v>
      </c>
      <c r="T813" s="19">
        <f>YEAR(SalesData[[#This Row],[Order_Date]])</f>
        <v>2025</v>
      </c>
      <c r="U813" s="19" t="str">
        <f>TEXT(SalesData[[#This Row],[Order_Date]],"mmm")</f>
        <v>Dec</v>
      </c>
      <c r="V813" s="19" t="str">
        <f>"Q"&amp;ROUNDUP(MONTH(SalesData[[#This Row],[Order_Date]])/3,0)</f>
        <v>Q4</v>
      </c>
      <c r="W813" s="19" t="str">
        <f>IF(SalesData[[#This Row],[Sales]]&gt;=50000,"High",IF(AND(SalesData[[#This Row],[Sales]]&gt;= 20000, SalesData[[#This Row],[Sales]]&lt; 50000),"Medium","Low"))</f>
        <v>High</v>
      </c>
      <c r="X813" s="19" t="str">
        <f>IF(SalesData[[#This Row],[Profit]]&gt;0,"Profit","Loss")</f>
        <v>Profit</v>
      </c>
      <c r="Y813" s="19" t="str">
        <f>IF(AND(SalesData[[#This Row],[Sales]]&gt;= 50000, SalesData[[#This Row],[Quantity]]&gt;=2),"Yes","No")</f>
        <v>Yes</v>
      </c>
      <c r="Z813" s="19" t="str">
        <f>UPPER(SalesData[[#This Row],[Customer_Name]])</f>
        <v>ARJUN RAO</v>
      </c>
      <c r="AA813" s="19" t="str">
        <f>LOWER(SalesData[[#This Row],[Customer_Name]])</f>
        <v>arjun rao</v>
      </c>
      <c r="AB813" s="19">
        <f>LEN(SalesData[[#This Row],[Customer_Name]])</f>
        <v>9</v>
      </c>
      <c r="AC813" s="19" t="str">
        <f>LEFT(SalesData[[#This Row],[Order_ID]],3)</f>
        <v>ORD</v>
      </c>
      <c r="AD813" s="19" t="str">
        <f>RIGHT(SalesData[[#This Row],[Order_ID]],4)</f>
        <v>0399</v>
      </c>
      <c r="AE813" s="19" t="str">
        <f>_xlfn.CONCAT(SalesData[[#This Row],[Clean_Customer_Name]],"-",SalesData[[#This Row],[Region]])</f>
        <v>Arjun Rao-East</v>
      </c>
      <c r="AF813" s="19" t="str">
        <f>MID(SalesData[[#This Row],[Order_ID]],4,4)</f>
        <v>0399</v>
      </c>
      <c r="AG813" s="19" t="e">
        <f ca="1">_xlfn.SINGLE(_xlfn.XLOOKUP(SalesData[[#This Row],[Product]],Product_Master!A:A,Product_Master!B:B,"Not Found"))</f>
        <v>#NAME?</v>
      </c>
      <c r="AH813" s="19" t="str">
        <f>VLOOKUP(SalesData[[#This Row],[Product]],Product_Master!$A$1:$B$21,2,FALSE)</f>
        <v>Arjun</v>
      </c>
      <c r="AI813" s="16"/>
    </row>
    <row r="814" spans="1:35" ht="13.8">
      <c r="A814" s="16" t="s">
        <v>721</v>
      </c>
      <c r="B814" s="17">
        <v>45876</v>
      </c>
      <c r="C814" s="16" t="s">
        <v>66</v>
      </c>
      <c r="D814" s="16" t="s">
        <v>67</v>
      </c>
      <c r="E814" s="16" t="s">
        <v>123</v>
      </c>
      <c r="F814" s="16" t="s">
        <v>124</v>
      </c>
      <c r="G814" s="16" t="s">
        <v>51</v>
      </c>
      <c r="H814" s="16" t="s">
        <v>125</v>
      </c>
      <c r="I814" s="16" t="s">
        <v>23</v>
      </c>
      <c r="J814" s="16" t="s">
        <v>33</v>
      </c>
      <c r="K814" s="18">
        <v>96156.32</v>
      </c>
      <c r="L814" s="18">
        <v>72994.52</v>
      </c>
      <c r="M814" s="19">
        <v>4</v>
      </c>
      <c r="N814" s="20">
        <v>0</v>
      </c>
      <c r="O814" s="19" t="s">
        <v>44</v>
      </c>
      <c r="P814" s="19" t="s">
        <v>98</v>
      </c>
      <c r="Q814" s="19" t="str">
        <f>TRIM(SalesData[[#This Row],[Customer_Name]])</f>
        <v>Arjun Rao</v>
      </c>
      <c r="R814" s="21">
        <f>SalesData[[#This Row],[Sales]]-SalesData[[#This Row],[Cost]]</f>
        <v>23161.800000000003</v>
      </c>
      <c r="S814" s="22">
        <f>IFERROR(SalesData[[#This Row],[Profit]]/SalesData[[#This Row],[Sales]],0)</f>
        <v>0.24087652272882323</v>
      </c>
      <c r="T814" s="19">
        <f>YEAR(SalesData[[#This Row],[Order_Date]])</f>
        <v>2025</v>
      </c>
      <c r="U814" s="19" t="str">
        <f>TEXT(SalesData[[#This Row],[Order_Date]],"mmm")</f>
        <v>Aug</v>
      </c>
      <c r="V814" s="19" t="str">
        <f>"Q"&amp;ROUNDUP(MONTH(SalesData[[#This Row],[Order_Date]])/3,0)</f>
        <v>Q3</v>
      </c>
      <c r="W814" s="19" t="str">
        <f>IF(SalesData[[#This Row],[Sales]]&gt;=50000,"High",IF(AND(SalesData[[#This Row],[Sales]]&gt;= 20000, SalesData[[#This Row],[Sales]]&lt; 50000),"Medium","Low"))</f>
        <v>High</v>
      </c>
      <c r="X814" s="19" t="str">
        <f>IF(SalesData[[#This Row],[Profit]]&gt;0,"Profit","Loss")</f>
        <v>Profit</v>
      </c>
      <c r="Y814" s="19" t="str">
        <f>IF(AND(SalesData[[#This Row],[Sales]]&gt;= 50000, SalesData[[#This Row],[Quantity]]&gt;=2),"Yes","No")</f>
        <v>Yes</v>
      </c>
      <c r="Z814" s="19" t="str">
        <f>UPPER(SalesData[[#This Row],[Customer_Name]])</f>
        <v>ARJUN RAO</v>
      </c>
      <c r="AA814" s="19" t="str">
        <f>LOWER(SalesData[[#This Row],[Customer_Name]])</f>
        <v>arjun rao</v>
      </c>
      <c r="AB814" s="19">
        <f>LEN(SalesData[[#This Row],[Customer_Name]])</f>
        <v>9</v>
      </c>
      <c r="AC814" s="19" t="str">
        <f>LEFT(SalesData[[#This Row],[Order_ID]],3)</f>
        <v>ORD</v>
      </c>
      <c r="AD814" s="19" t="str">
        <f>RIGHT(SalesData[[#This Row],[Order_ID]],4)</f>
        <v>0568</v>
      </c>
      <c r="AE814" s="19" t="str">
        <f>_xlfn.CONCAT(SalesData[[#This Row],[Clean_Customer_Name]],"-",SalesData[[#This Row],[Region]])</f>
        <v>Arjun Rao-North</v>
      </c>
      <c r="AF814" s="19" t="str">
        <f>MID(SalesData[[#This Row],[Order_ID]],4,4)</f>
        <v>0568</v>
      </c>
      <c r="AG814" s="19" t="e">
        <f ca="1">_xlfn.SINGLE(_xlfn.XLOOKUP(SalesData[[#This Row],[Product]],Product_Master!A:A,Product_Master!B:B,"Not Found"))</f>
        <v>#NAME?</v>
      </c>
      <c r="AH814" s="19" t="str">
        <f>VLOOKUP(SalesData[[#This Row],[Product]],Product_Master!$A$1:$B$21,2,FALSE)</f>
        <v>Sneha</v>
      </c>
      <c r="AI814" s="16"/>
    </row>
    <row r="815" spans="1:35" ht="13.8">
      <c r="A815" s="16" t="s">
        <v>1083</v>
      </c>
      <c r="B815" s="17">
        <v>45991</v>
      </c>
      <c r="C815" s="16" t="s">
        <v>66</v>
      </c>
      <c r="D815" s="16" t="s">
        <v>67</v>
      </c>
      <c r="E815" s="16" t="s">
        <v>123</v>
      </c>
      <c r="F815" s="16" t="s">
        <v>124</v>
      </c>
      <c r="G815" s="16" t="s">
        <v>51</v>
      </c>
      <c r="H815" s="16" t="s">
        <v>125</v>
      </c>
      <c r="I815" s="16" t="s">
        <v>42</v>
      </c>
      <c r="J815" s="16" t="s">
        <v>162</v>
      </c>
      <c r="K815" s="18">
        <v>88167.51</v>
      </c>
      <c r="L815" s="18">
        <v>50658.93</v>
      </c>
      <c r="M815" s="19">
        <v>3</v>
      </c>
      <c r="N815" s="20">
        <v>0.05</v>
      </c>
      <c r="O815" s="19" t="s">
        <v>34</v>
      </c>
      <c r="P815" s="19" t="s">
        <v>45</v>
      </c>
      <c r="Q815" s="19" t="str">
        <f>TRIM(SalesData[[#This Row],[Customer_Name]])</f>
        <v>Arjun Rao</v>
      </c>
      <c r="R815" s="21">
        <f>SalesData[[#This Row],[Sales]]-SalesData[[#This Row],[Cost]]</f>
        <v>37508.579999999994</v>
      </c>
      <c r="S815" s="22">
        <f>IFERROR(SalesData[[#This Row],[Profit]]/SalesData[[#This Row],[Sales]],0)</f>
        <v>0.425424059270813</v>
      </c>
      <c r="T815" s="19">
        <f>YEAR(SalesData[[#This Row],[Order_Date]])</f>
        <v>2025</v>
      </c>
      <c r="U815" s="19" t="str">
        <f>TEXT(SalesData[[#This Row],[Order_Date]],"mmm")</f>
        <v>Nov</v>
      </c>
      <c r="V815" s="19" t="str">
        <f>"Q"&amp;ROUNDUP(MONTH(SalesData[[#This Row],[Order_Date]])/3,0)</f>
        <v>Q4</v>
      </c>
      <c r="W815" s="19" t="str">
        <f>IF(SalesData[[#This Row],[Sales]]&gt;=50000,"High",IF(AND(SalesData[[#This Row],[Sales]]&gt;= 20000, SalesData[[#This Row],[Sales]]&lt; 50000),"Medium","Low"))</f>
        <v>High</v>
      </c>
      <c r="X815" s="19" t="str">
        <f>IF(SalesData[[#This Row],[Profit]]&gt;0,"Profit","Loss")</f>
        <v>Profit</v>
      </c>
      <c r="Y815" s="19" t="str">
        <f>IF(AND(SalesData[[#This Row],[Sales]]&gt;= 50000, SalesData[[#This Row],[Quantity]]&gt;=2),"Yes","No")</f>
        <v>Yes</v>
      </c>
      <c r="Z815" s="19" t="str">
        <f>UPPER(SalesData[[#This Row],[Customer_Name]])</f>
        <v>ARJUN RAO</v>
      </c>
      <c r="AA815" s="19" t="str">
        <f>LOWER(SalesData[[#This Row],[Customer_Name]])</f>
        <v>arjun rao</v>
      </c>
      <c r="AB815" s="19">
        <f>LEN(SalesData[[#This Row],[Customer_Name]])</f>
        <v>9</v>
      </c>
      <c r="AC815" s="19" t="str">
        <f>LEFT(SalesData[[#This Row],[Order_ID]],3)</f>
        <v>ORD</v>
      </c>
      <c r="AD815" s="19" t="str">
        <f>RIGHT(SalesData[[#This Row],[Order_ID]],4)</f>
        <v>0930</v>
      </c>
      <c r="AE815" s="19" t="str">
        <f>_xlfn.CONCAT(SalesData[[#This Row],[Clean_Customer_Name]],"-",SalesData[[#This Row],[Region]])</f>
        <v>Arjun Rao-East</v>
      </c>
      <c r="AF815" s="19" t="str">
        <f>MID(SalesData[[#This Row],[Order_ID]],4,4)</f>
        <v>0930</v>
      </c>
      <c r="AG815" s="19" t="e">
        <f ca="1">_xlfn.SINGLE(_xlfn.XLOOKUP(SalesData[[#This Row],[Product]],Product_Master!A:A,Product_Master!B:B,"Not Found"))</f>
        <v>#NAME?</v>
      </c>
      <c r="AH815" s="19" t="str">
        <f>VLOOKUP(SalesData[[#This Row],[Product]],Product_Master!$A$1:$B$21,2,FALSE)</f>
        <v>Sneha</v>
      </c>
      <c r="AI815" s="16"/>
    </row>
    <row r="816" spans="1:35" ht="13.8">
      <c r="A816" s="16" t="s">
        <v>1119</v>
      </c>
      <c r="B816" s="17">
        <v>45332</v>
      </c>
      <c r="C816" s="16" t="s">
        <v>66</v>
      </c>
      <c r="D816" s="16" t="s">
        <v>67</v>
      </c>
      <c r="E816" s="16" t="s">
        <v>110</v>
      </c>
      <c r="F816" s="16" t="s">
        <v>111</v>
      </c>
      <c r="G816" s="16" t="s">
        <v>40</v>
      </c>
      <c r="H816" s="16" t="s">
        <v>112</v>
      </c>
      <c r="I816" s="16" t="s">
        <v>42</v>
      </c>
      <c r="J816" s="16" t="s">
        <v>68</v>
      </c>
      <c r="K816" s="18">
        <v>12873.83</v>
      </c>
      <c r="L816" s="18">
        <v>6350.15</v>
      </c>
      <c r="M816" s="19">
        <v>5</v>
      </c>
      <c r="N816" s="20">
        <v>0.1</v>
      </c>
      <c r="O816" s="19" t="s">
        <v>25</v>
      </c>
      <c r="P816" s="19" t="s">
        <v>58</v>
      </c>
      <c r="Q816" s="19" t="str">
        <f>TRIM(SalesData[[#This Row],[Customer_Name]])</f>
        <v>Arjun Rao</v>
      </c>
      <c r="R816" s="21">
        <f>SalesData[[#This Row],[Sales]]-SalesData[[#This Row],[Cost]]</f>
        <v>6523.68</v>
      </c>
      <c r="S816" s="22">
        <f>IFERROR(SalesData[[#This Row],[Profit]]/SalesData[[#This Row],[Sales]],0)</f>
        <v>0.50673964158296325</v>
      </c>
      <c r="T816" s="19">
        <f>YEAR(SalesData[[#This Row],[Order_Date]])</f>
        <v>2024</v>
      </c>
      <c r="U816" s="19" t="str">
        <f>TEXT(SalesData[[#This Row],[Order_Date]],"mmm")</f>
        <v>Feb</v>
      </c>
      <c r="V816" s="19" t="str">
        <f>"Q"&amp;ROUNDUP(MONTH(SalesData[[#This Row],[Order_Date]])/3,0)</f>
        <v>Q1</v>
      </c>
      <c r="W816" s="19" t="str">
        <f>IF(SalesData[[#This Row],[Sales]]&gt;=50000,"High",IF(AND(SalesData[[#This Row],[Sales]]&gt;= 20000, SalesData[[#This Row],[Sales]]&lt; 50000),"Medium","Low"))</f>
        <v>Low</v>
      </c>
      <c r="X816" s="19" t="str">
        <f>IF(SalesData[[#This Row],[Profit]]&gt;0,"Profit","Loss")</f>
        <v>Profit</v>
      </c>
      <c r="Y816" s="19" t="str">
        <f>IF(AND(SalesData[[#This Row],[Sales]]&gt;= 50000, SalesData[[#This Row],[Quantity]]&gt;=2),"Yes","No")</f>
        <v>No</v>
      </c>
      <c r="Z816" s="19" t="str">
        <f>UPPER(SalesData[[#This Row],[Customer_Name]])</f>
        <v>ARJUN RAO</v>
      </c>
      <c r="AA816" s="19" t="str">
        <f>LOWER(SalesData[[#This Row],[Customer_Name]])</f>
        <v>arjun rao</v>
      </c>
      <c r="AB816" s="19">
        <f>LEN(SalesData[[#This Row],[Customer_Name]])</f>
        <v>9</v>
      </c>
      <c r="AC816" s="19" t="str">
        <f>LEFT(SalesData[[#This Row],[Order_ID]],3)</f>
        <v>ORD</v>
      </c>
      <c r="AD816" s="19" t="str">
        <f>RIGHT(SalesData[[#This Row],[Order_ID]],4)</f>
        <v>0966</v>
      </c>
      <c r="AE816" s="19" t="str">
        <f>_xlfn.CONCAT(SalesData[[#This Row],[Clean_Customer_Name]],"-",SalesData[[#This Row],[Region]])</f>
        <v>Arjun Rao-East</v>
      </c>
      <c r="AF816" s="19" t="str">
        <f>MID(SalesData[[#This Row],[Order_ID]],4,4)</f>
        <v>0966</v>
      </c>
      <c r="AG816" s="19" t="e">
        <f ca="1">_xlfn.SINGLE(_xlfn.XLOOKUP(SalesData[[#This Row],[Product]],Product_Master!A:A,Product_Master!B:B,"Not Found"))</f>
        <v>#NAME?</v>
      </c>
      <c r="AH816" s="19" t="str">
        <f>VLOOKUP(SalesData[[#This Row],[Product]],Product_Master!$A$1:$B$21,2,FALSE)</f>
        <v>Vikas</v>
      </c>
      <c r="AI816" s="16"/>
    </row>
    <row r="817" spans="1:35" ht="13.8">
      <c r="A817" s="16" t="s">
        <v>383</v>
      </c>
      <c r="B817" s="17">
        <v>45749</v>
      </c>
      <c r="C817" s="16" t="s">
        <v>66</v>
      </c>
      <c r="D817" s="16" t="s">
        <v>67</v>
      </c>
      <c r="E817" s="16" t="s">
        <v>106</v>
      </c>
      <c r="F817" s="16" t="s">
        <v>107</v>
      </c>
      <c r="G817" s="16" t="s">
        <v>40</v>
      </c>
      <c r="H817" s="16" t="s">
        <v>108</v>
      </c>
      <c r="I817" s="16" t="s">
        <v>84</v>
      </c>
      <c r="J817" s="16" t="s">
        <v>85</v>
      </c>
      <c r="K817" s="18">
        <v>3514.27</v>
      </c>
      <c r="L817" s="18">
        <v>2290.6799999999998</v>
      </c>
      <c r="M817" s="19">
        <v>3</v>
      </c>
      <c r="N817" s="20">
        <v>0.2</v>
      </c>
      <c r="O817" s="19" t="s">
        <v>25</v>
      </c>
      <c r="P817" s="19" t="s">
        <v>45</v>
      </c>
      <c r="Q817" s="19" t="str">
        <f>TRIM(SalesData[[#This Row],[Customer_Name]])</f>
        <v>Arjun Rao</v>
      </c>
      <c r="R817" s="21">
        <f>SalesData[[#This Row],[Sales]]-SalesData[[#This Row],[Cost]]</f>
        <v>1223.5900000000001</v>
      </c>
      <c r="S817" s="22">
        <f>IFERROR(SalesData[[#This Row],[Profit]]/SalesData[[#This Row],[Sales]],0)</f>
        <v>0.34817757315174991</v>
      </c>
      <c r="T817" s="19">
        <f>YEAR(SalesData[[#This Row],[Order_Date]])</f>
        <v>2025</v>
      </c>
      <c r="U817" s="19" t="str">
        <f>TEXT(SalesData[[#This Row],[Order_Date]],"mmm")</f>
        <v>Apr</v>
      </c>
      <c r="V817" s="19" t="str">
        <f>"Q"&amp;ROUNDUP(MONTH(SalesData[[#This Row],[Order_Date]])/3,0)</f>
        <v>Q2</v>
      </c>
      <c r="W817" s="19" t="str">
        <f>IF(SalesData[[#This Row],[Sales]]&gt;=50000,"High",IF(AND(SalesData[[#This Row],[Sales]]&gt;= 20000, SalesData[[#This Row],[Sales]]&lt; 50000),"Medium","Low"))</f>
        <v>Low</v>
      </c>
      <c r="X817" s="19" t="str">
        <f>IF(SalesData[[#This Row],[Profit]]&gt;0,"Profit","Loss")</f>
        <v>Profit</v>
      </c>
      <c r="Y817" s="19" t="str">
        <f>IF(AND(SalesData[[#This Row],[Sales]]&gt;= 50000, SalesData[[#This Row],[Quantity]]&gt;=2),"Yes","No")</f>
        <v>No</v>
      </c>
      <c r="Z817" s="19" t="str">
        <f>UPPER(SalesData[[#This Row],[Customer_Name]])</f>
        <v>ARJUN RAO</v>
      </c>
      <c r="AA817" s="19" t="str">
        <f>LOWER(SalesData[[#This Row],[Customer_Name]])</f>
        <v>arjun rao</v>
      </c>
      <c r="AB817" s="19">
        <f>LEN(SalesData[[#This Row],[Customer_Name]])</f>
        <v>9</v>
      </c>
      <c r="AC817" s="19" t="str">
        <f>LEFT(SalesData[[#This Row],[Order_ID]],3)</f>
        <v>ORD</v>
      </c>
      <c r="AD817" s="19" t="str">
        <f>RIGHT(SalesData[[#This Row],[Order_ID]],4)</f>
        <v>0230</v>
      </c>
      <c r="AE817" s="19" t="str">
        <f>_xlfn.CONCAT(SalesData[[#This Row],[Clean_Customer_Name]],"-",SalesData[[#This Row],[Region]])</f>
        <v>Arjun Rao-South</v>
      </c>
      <c r="AF817" s="19" t="str">
        <f>MID(SalesData[[#This Row],[Order_ID]],4,4)</f>
        <v>0230</v>
      </c>
      <c r="AG817" s="19" t="e">
        <f ca="1">_xlfn.SINGLE(_xlfn.XLOOKUP(SalesData[[#This Row],[Product]],Product_Master!A:A,Product_Master!B:B,"Not Found"))</f>
        <v>#NAME?</v>
      </c>
      <c r="AH817" s="19" t="str">
        <f>VLOOKUP(SalesData[[#This Row],[Product]],Product_Master!$A$1:$B$21,2,FALSE)</f>
        <v>Aditya</v>
      </c>
      <c r="AI817" s="16"/>
    </row>
    <row r="818" spans="1:35" ht="13.8">
      <c r="A818" s="16" t="s">
        <v>431</v>
      </c>
      <c r="B818" s="17">
        <v>45787</v>
      </c>
      <c r="C818" s="16" t="s">
        <v>66</v>
      </c>
      <c r="D818" s="16" t="s">
        <v>67</v>
      </c>
      <c r="E818" s="16" t="s">
        <v>132</v>
      </c>
      <c r="F818" s="16" t="s">
        <v>133</v>
      </c>
      <c r="G818" s="16" t="s">
        <v>40</v>
      </c>
      <c r="H818" s="16" t="s">
        <v>41</v>
      </c>
      <c r="I818" s="16" t="s">
        <v>84</v>
      </c>
      <c r="J818" s="16" t="s">
        <v>142</v>
      </c>
      <c r="K818" s="18">
        <v>979.7</v>
      </c>
      <c r="L818" s="18">
        <v>243.06</v>
      </c>
      <c r="M818" s="19">
        <v>1</v>
      </c>
      <c r="N818" s="20">
        <v>0.15</v>
      </c>
      <c r="O818" s="19" t="s">
        <v>34</v>
      </c>
      <c r="P818" s="19" t="s">
        <v>58</v>
      </c>
      <c r="Q818" s="19" t="str">
        <f>TRIM(SalesData[[#This Row],[Customer_Name]])</f>
        <v>Arjun Rao</v>
      </c>
      <c r="R818" s="21">
        <f>SalesData[[#This Row],[Sales]]-SalesData[[#This Row],[Cost]]</f>
        <v>736.6400000000001</v>
      </c>
      <c r="S818" s="22">
        <f>IFERROR(SalesData[[#This Row],[Profit]]/SalesData[[#This Row],[Sales]],0)</f>
        <v>0.75190364397264475</v>
      </c>
      <c r="T818" s="19">
        <f>YEAR(SalesData[[#This Row],[Order_Date]])</f>
        <v>2025</v>
      </c>
      <c r="U818" s="19" t="str">
        <f>TEXT(SalesData[[#This Row],[Order_Date]],"mmm")</f>
        <v>May</v>
      </c>
      <c r="V818" s="19" t="str">
        <f>"Q"&amp;ROUNDUP(MONTH(SalesData[[#This Row],[Order_Date]])/3,0)</f>
        <v>Q2</v>
      </c>
      <c r="W818" s="19" t="str">
        <f>IF(SalesData[[#This Row],[Sales]]&gt;=50000,"High",IF(AND(SalesData[[#This Row],[Sales]]&gt;= 20000, SalesData[[#This Row],[Sales]]&lt; 50000),"Medium","Low"))</f>
        <v>Low</v>
      </c>
      <c r="X818" s="19" t="str">
        <f>IF(SalesData[[#This Row],[Profit]]&gt;0,"Profit","Loss")</f>
        <v>Profit</v>
      </c>
      <c r="Y818" s="19" t="str">
        <f>IF(AND(SalesData[[#This Row],[Sales]]&gt;= 50000, SalesData[[#This Row],[Quantity]]&gt;=2),"Yes","No")</f>
        <v>No</v>
      </c>
      <c r="Z818" s="19" t="str">
        <f>UPPER(SalesData[[#This Row],[Customer_Name]])</f>
        <v>ARJUN RAO</v>
      </c>
      <c r="AA818" s="19" t="str">
        <f>LOWER(SalesData[[#This Row],[Customer_Name]])</f>
        <v>arjun rao</v>
      </c>
      <c r="AB818" s="19">
        <f>LEN(SalesData[[#This Row],[Customer_Name]])</f>
        <v>9</v>
      </c>
      <c r="AC818" s="19" t="str">
        <f>LEFT(SalesData[[#This Row],[Order_ID]],3)</f>
        <v>ORD</v>
      </c>
      <c r="AD818" s="19" t="str">
        <f>RIGHT(SalesData[[#This Row],[Order_ID]],4)</f>
        <v>0278</v>
      </c>
      <c r="AE818" s="19" t="str">
        <f>_xlfn.CONCAT(SalesData[[#This Row],[Clean_Customer_Name]],"-",SalesData[[#This Row],[Region]])</f>
        <v>Arjun Rao-South</v>
      </c>
      <c r="AF818" s="19" t="str">
        <f>MID(SalesData[[#This Row],[Order_ID]],4,4)</f>
        <v>0278</v>
      </c>
      <c r="AG818" s="19" t="e">
        <f ca="1">_xlfn.SINGLE(_xlfn.XLOOKUP(SalesData[[#This Row],[Product]],Product_Master!A:A,Product_Master!B:B,"Not Found"))</f>
        <v>#NAME?</v>
      </c>
      <c r="AH818" s="19" t="str">
        <f>VLOOKUP(SalesData[[#This Row],[Product]],Product_Master!$A$1:$B$21,2,FALSE)</f>
        <v>Kavya</v>
      </c>
      <c r="AI818" s="16"/>
    </row>
    <row r="819" spans="1:35" ht="13.8">
      <c r="A819" s="16" t="s">
        <v>548</v>
      </c>
      <c r="B819" s="17">
        <v>45312</v>
      </c>
      <c r="C819" s="16" t="s">
        <v>66</v>
      </c>
      <c r="D819" s="16" t="s">
        <v>67</v>
      </c>
      <c r="E819" s="16" t="s">
        <v>132</v>
      </c>
      <c r="F819" s="16" t="s">
        <v>133</v>
      </c>
      <c r="G819" s="16" t="s">
        <v>40</v>
      </c>
      <c r="H819" s="16" t="s">
        <v>41</v>
      </c>
      <c r="I819" s="16" t="s">
        <v>56</v>
      </c>
      <c r="J819" s="16" t="s">
        <v>57</v>
      </c>
      <c r="K819" s="18">
        <v>439.35</v>
      </c>
      <c r="L819" s="18">
        <v>248.7</v>
      </c>
      <c r="M819" s="19">
        <v>1</v>
      </c>
      <c r="N819" s="20">
        <v>0.05</v>
      </c>
      <c r="O819" s="19" t="s">
        <v>34</v>
      </c>
      <c r="P819" s="19" t="s">
        <v>58</v>
      </c>
      <c r="Q819" s="19" t="str">
        <f>TRIM(SalesData[[#This Row],[Customer_Name]])</f>
        <v>Arjun Rao</v>
      </c>
      <c r="R819" s="21">
        <f>SalesData[[#This Row],[Sales]]-SalesData[[#This Row],[Cost]]</f>
        <v>190.65000000000003</v>
      </c>
      <c r="S819" s="22">
        <f>IFERROR(SalesData[[#This Row],[Profit]]/SalesData[[#This Row],[Sales]],0)</f>
        <v>0.43393649709798571</v>
      </c>
      <c r="T819" s="19">
        <f>YEAR(SalesData[[#This Row],[Order_Date]])</f>
        <v>2024</v>
      </c>
      <c r="U819" s="19" t="str">
        <f>TEXT(SalesData[[#This Row],[Order_Date]],"mmm")</f>
        <v>Jan</v>
      </c>
      <c r="V819" s="19" t="str">
        <f>"Q"&amp;ROUNDUP(MONTH(SalesData[[#This Row],[Order_Date]])/3,0)</f>
        <v>Q1</v>
      </c>
      <c r="W819" s="19" t="str">
        <f>IF(SalesData[[#This Row],[Sales]]&gt;=50000,"High",IF(AND(SalesData[[#This Row],[Sales]]&gt;= 20000, SalesData[[#This Row],[Sales]]&lt; 50000),"Medium","Low"))</f>
        <v>Low</v>
      </c>
      <c r="X819" s="19" t="str">
        <f>IF(SalesData[[#This Row],[Profit]]&gt;0,"Profit","Loss")</f>
        <v>Profit</v>
      </c>
      <c r="Y819" s="19" t="str">
        <f>IF(AND(SalesData[[#This Row],[Sales]]&gt;= 50000, SalesData[[#This Row],[Quantity]]&gt;=2),"Yes","No")</f>
        <v>No</v>
      </c>
      <c r="Z819" s="19" t="str">
        <f>UPPER(SalesData[[#This Row],[Customer_Name]])</f>
        <v>ARJUN RAO</v>
      </c>
      <c r="AA819" s="19" t="str">
        <f>LOWER(SalesData[[#This Row],[Customer_Name]])</f>
        <v>arjun rao</v>
      </c>
      <c r="AB819" s="19">
        <f>LEN(SalesData[[#This Row],[Customer_Name]])</f>
        <v>9</v>
      </c>
      <c r="AC819" s="19" t="str">
        <f>LEFT(SalesData[[#This Row],[Order_ID]],3)</f>
        <v>ORD</v>
      </c>
      <c r="AD819" s="19" t="str">
        <f>RIGHT(SalesData[[#This Row],[Order_ID]],4)</f>
        <v>0395</v>
      </c>
      <c r="AE819" s="19" t="str">
        <f>_xlfn.CONCAT(SalesData[[#This Row],[Clean_Customer_Name]],"-",SalesData[[#This Row],[Region]])</f>
        <v>Arjun Rao-West</v>
      </c>
      <c r="AF819" s="19" t="str">
        <f>MID(SalesData[[#This Row],[Order_ID]],4,4)</f>
        <v>0395</v>
      </c>
      <c r="AG819" s="19" t="e">
        <f ca="1">_xlfn.SINGLE(_xlfn.XLOOKUP(SalesData[[#This Row],[Product]],Product_Master!A:A,Product_Master!B:B,"Not Found"))</f>
        <v>#NAME?</v>
      </c>
      <c r="AH819" s="19" t="str">
        <f>VLOOKUP(SalesData[[#This Row],[Product]],Product_Master!$A$1:$B$21,2,FALSE)</f>
        <v>Kavya</v>
      </c>
      <c r="AI819" s="16"/>
    </row>
    <row r="820" spans="1:35" ht="13.8">
      <c r="A820" s="16" t="s">
        <v>65</v>
      </c>
      <c r="B820" s="17">
        <v>45665</v>
      </c>
      <c r="C820" s="16" t="s">
        <v>66</v>
      </c>
      <c r="D820" s="16" t="s">
        <v>67</v>
      </c>
      <c r="E820" s="16" t="s">
        <v>38</v>
      </c>
      <c r="F820" s="16" t="s">
        <v>39</v>
      </c>
      <c r="G820" s="16" t="s">
        <v>40</v>
      </c>
      <c r="H820" s="16" t="s">
        <v>41</v>
      </c>
      <c r="I820" s="16" t="s">
        <v>42</v>
      </c>
      <c r="J820" s="16" t="s">
        <v>68</v>
      </c>
      <c r="K820" s="18">
        <v>1683.38</v>
      </c>
      <c r="L820" s="18">
        <v>974.04</v>
      </c>
      <c r="M820" s="19">
        <v>2</v>
      </c>
      <c r="N820" s="20">
        <v>0.1</v>
      </c>
      <c r="O820" s="19" t="s">
        <v>25</v>
      </c>
      <c r="P820" s="19" t="s">
        <v>58</v>
      </c>
      <c r="Q820" s="19" t="str">
        <f>TRIM(SalesData[[#This Row],[Customer_Name]])</f>
        <v>Arjun Rao</v>
      </c>
      <c r="R820" s="21">
        <f>SalesData[[#This Row],[Sales]]-SalesData[[#This Row],[Cost]]</f>
        <v>709.34000000000015</v>
      </c>
      <c r="S820" s="22">
        <f>IFERROR(SalesData[[#This Row],[Profit]]/SalesData[[#This Row],[Sales]],0)</f>
        <v>0.42137841723199759</v>
      </c>
      <c r="T820" s="19">
        <f>YEAR(SalesData[[#This Row],[Order_Date]])</f>
        <v>2025</v>
      </c>
      <c r="U820" s="19" t="str">
        <f>TEXT(SalesData[[#This Row],[Order_Date]],"mmm")</f>
        <v>Jan</v>
      </c>
      <c r="V820" s="19" t="str">
        <f>"Q"&amp;ROUNDUP(MONTH(SalesData[[#This Row],[Order_Date]])/3,0)</f>
        <v>Q1</v>
      </c>
      <c r="W820" s="19" t="str">
        <f>IF(SalesData[[#This Row],[Sales]]&gt;=50000,"High",IF(AND(SalesData[[#This Row],[Sales]]&gt;= 20000, SalesData[[#This Row],[Sales]]&lt; 50000),"Medium","Low"))</f>
        <v>Low</v>
      </c>
      <c r="X820" s="19" t="str">
        <f>IF(SalesData[[#This Row],[Profit]]&gt;0,"Profit","Loss")</f>
        <v>Profit</v>
      </c>
      <c r="Y820" s="19" t="str">
        <f>IF(AND(SalesData[[#This Row],[Sales]]&gt;= 50000, SalesData[[#This Row],[Quantity]]&gt;=2),"Yes","No")</f>
        <v>No</v>
      </c>
      <c r="Z820" s="19" t="str">
        <f>UPPER(SalesData[[#This Row],[Customer_Name]])</f>
        <v>ARJUN RAO</v>
      </c>
      <c r="AA820" s="19" t="str">
        <f>LOWER(SalesData[[#This Row],[Customer_Name]])</f>
        <v>arjun rao</v>
      </c>
      <c r="AB820" s="19">
        <f>LEN(SalesData[[#This Row],[Customer_Name]])</f>
        <v>9</v>
      </c>
      <c r="AC820" s="19" t="str">
        <f>LEFT(SalesData[[#This Row],[Order_ID]],3)</f>
        <v>ORD</v>
      </c>
      <c r="AD820" s="19" t="str">
        <f>RIGHT(SalesData[[#This Row],[Order_ID]],4)</f>
        <v>0007</v>
      </c>
      <c r="AE820" s="19" t="str">
        <f>_xlfn.CONCAT(SalesData[[#This Row],[Clean_Customer_Name]],"-",SalesData[[#This Row],[Region]])</f>
        <v>Arjun Rao-East</v>
      </c>
      <c r="AF820" s="19" t="str">
        <f>MID(SalesData[[#This Row],[Order_ID]],4,4)</f>
        <v>0007</v>
      </c>
      <c r="AG820" s="19" t="e">
        <f ca="1">_xlfn.SINGLE(_xlfn.XLOOKUP(SalesData[[#This Row],[Product]],Product_Master!A:A,Product_Master!B:B,"Not Found"))</f>
        <v>#NAME?</v>
      </c>
      <c r="AH820" s="19" t="str">
        <f>VLOOKUP(SalesData[[#This Row],[Product]],Product_Master!$A$1:$B$21,2,FALSE)</f>
        <v>Manish</v>
      </c>
      <c r="AI820" s="16"/>
    </row>
    <row r="821" spans="1:35" ht="13.8">
      <c r="A821" s="16" t="s">
        <v>137</v>
      </c>
      <c r="B821" s="17">
        <v>45369</v>
      </c>
      <c r="C821" s="16" t="s">
        <v>66</v>
      </c>
      <c r="D821" s="16" t="s">
        <v>67</v>
      </c>
      <c r="E821" s="16" t="s">
        <v>38</v>
      </c>
      <c r="F821" s="16" t="s">
        <v>39</v>
      </c>
      <c r="G821" s="16" t="s">
        <v>40</v>
      </c>
      <c r="H821" s="16" t="s">
        <v>41</v>
      </c>
      <c r="I821" s="16" t="s">
        <v>84</v>
      </c>
      <c r="J821" s="16" t="s">
        <v>85</v>
      </c>
      <c r="K821" s="18">
        <v>7878.2</v>
      </c>
      <c r="L821" s="18">
        <v>2123.1999999999998</v>
      </c>
      <c r="M821" s="19">
        <v>4</v>
      </c>
      <c r="N821" s="20">
        <v>0</v>
      </c>
      <c r="O821" s="19" t="s">
        <v>25</v>
      </c>
      <c r="P821" s="19" t="s">
        <v>58</v>
      </c>
      <c r="Q821" s="19" t="str">
        <f>TRIM(SalesData[[#This Row],[Customer_Name]])</f>
        <v>Arjun Rao</v>
      </c>
      <c r="R821" s="21">
        <f>SalesData[[#This Row],[Sales]]-SalesData[[#This Row],[Cost]]</f>
        <v>5755</v>
      </c>
      <c r="S821" s="22">
        <f>IFERROR(SalesData[[#This Row],[Profit]]/SalesData[[#This Row],[Sales]],0)</f>
        <v>0.73049681399304411</v>
      </c>
      <c r="T821" s="19">
        <f>YEAR(SalesData[[#This Row],[Order_Date]])</f>
        <v>2024</v>
      </c>
      <c r="U821" s="19" t="str">
        <f>TEXT(SalesData[[#This Row],[Order_Date]],"mmm")</f>
        <v>Mar</v>
      </c>
      <c r="V821" s="19" t="str">
        <f>"Q"&amp;ROUNDUP(MONTH(SalesData[[#This Row],[Order_Date]])/3,0)</f>
        <v>Q1</v>
      </c>
      <c r="W821" s="19" t="str">
        <f>IF(SalesData[[#This Row],[Sales]]&gt;=50000,"High",IF(AND(SalesData[[#This Row],[Sales]]&gt;= 20000, SalesData[[#This Row],[Sales]]&lt; 50000),"Medium","Low"))</f>
        <v>Low</v>
      </c>
      <c r="X821" s="19" t="str">
        <f>IF(SalesData[[#This Row],[Profit]]&gt;0,"Profit","Loss")</f>
        <v>Profit</v>
      </c>
      <c r="Y821" s="19" t="str">
        <f>IF(AND(SalesData[[#This Row],[Sales]]&gt;= 50000, SalesData[[#This Row],[Quantity]]&gt;=2),"Yes","No")</f>
        <v>No</v>
      </c>
      <c r="Z821" s="19" t="str">
        <f>UPPER(SalesData[[#This Row],[Customer_Name]])</f>
        <v>ARJUN RAO</v>
      </c>
      <c r="AA821" s="19" t="str">
        <f>LOWER(SalesData[[#This Row],[Customer_Name]])</f>
        <v>arjun rao</v>
      </c>
      <c r="AB821" s="19">
        <f>LEN(SalesData[[#This Row],[Customer_Name]])</f>
        <v>9</v>
      </c>
      <c r="AC821" s="19" t="str">
        <f>LEFT(SalesData[[#This Row],[Order_ID]],3)</f>
        <v>ORD</v>
      </c>
      <c r="AD821" s="19" t="str">
        <f>RIGHT(SalesData[[#This Row],[Order_ID]],4)</f>
        <v>0025</v>
      </c>
      <c r="AE821" s="19" t="str">
        <f>_xlfn.CONCAT(SalesData[[#This Row],[Clean_Customer_Name]],"-",SalesData[[#This Row],[Region]])</f>
        <v>Arjun Rao-South</v>
      </c>
      <c r="AF821" s="19" t="str">
        <f>MID(SalesData[[#This Row],[Order_ID]],4,4)</f>
        <v>0025</v>
      </c>
      <c r="AG821" s="19" t="e">
        <f ca="1">_xlfn.SINGLE(_xlfn.XLOOKUP(SalesData[[#This Row],[Product]],Product_Master!A:A,Product_Master!B:B,"Not Found"))</f>
        <v>#NAME?</v>
      </c>
      <c r="AH821" s="19" t="str">
        <f>VLOOKUP(SalesData[[#This Row],[Product]],Product_Master!$A$1:$B$21,2,FALSE)</f>
        <v>Manish</v>
      </c>
      <c r="AI821" s="16"/>
    </row>
    <row r="822" spans="1:35" ht="13.8">
      <c r="A822" s="16" t="s">
        <v>671</v>
      </c>
      <c r="B822" s="17">
        <v>45877</v>
      </c>
      <c r="C822" s="16" t="s">
        <v>66</v>
      </c>
      <c r="D822" s="16" t="s">
        <v>67</v>
      </c>
      <c r="E822" s="16" t="s">
        <v>38</v>
      </c>
      <c r="F822" s="16" t="s">
        <v>39</v>
      </c>
      <c r="G822" s="16" t="s">
        <v>40</v>
      </c>
      <c r="H822" s="16" t="s">
        <v>41</v>
      </c>
      <c r="I822" s="16" t="s">
        <v>23</v>
      </c>
      <c r="J822" s="16" t="s">
        <v>75</v>
      </c>
      <c r="K822" s="18">
        <v>3395.24</v>
      </c>
      <c r="L822" s="18">
        <v>1095.8599999999999</v>
      </c>
      <c r="M822" s="19">
        <v>2</v>
      </c>
      <c r="N822" s="20">
        <v>0</v>
      </c>
      <c r="O822" s="19" t="s">
        <v>44</v>
      </c>
      <c r="P822" s="19" t="s">
        <v>58</v>
      </c>
      <c r="Q822" s="19" t="str">
        <f>TRIM(SalesData[[#This Row],[Customer_Name]])</f>
        <v>Arjun Rao</v>
      </c>
      <c r="R822" s="21">
        <f>SalesData[[#This Row],[Sales]]-SalesData[[#This Row],[Cost]]</f>
        <v>2299.38</v>
      </c>
      <c r="S822" s="22">
        <f>IFERROR(SalesData[[#This Row],[Profit]]/SalesData[[#This Row],[Sales]],0)</f>
        <v>0.67723636620680727</v>
      </c>
      <c r="T822" s="19">
        <f>YEAR(SalesData[[#This Row],[Order_Date]])</f>
        <v>2025</v>
      </c>
      <c r="U822" s="19" t="str">
        <f>TEXT(SalesData[[#This Row],[Order_Date]],"mmm")</f>
        <v>Aug</v>
      </c>
      <c r="V822" s="19" t="str">
        <f>"Q"&amp;ROUNDUP(MONTH(SalesData[[#This Row],[Order_Date]])/3,0)</f>
        <v>Q3</v>
      </c>
      <c r="W822" s="19" t="str">
        <f>IF(SalesData[[#This Row],[Sales]]&gt;=50000,"High",IF(AND(SalesData[[#This Row],[Sales]]&gt;= 20000, SalesData[[#This Row],[Sales]]&lt; 50000),"Medium","Low"))</f>
        <v>Low</v>
      </c>
      <c r="X822" s="19" t="str">
        <f>IF(SalesData[[#This Row],[Profit]]&gt;0,"Profit","Loss")</f>
        <v>Profit</v>
      </c>
      <c r="Y822" s="19" t="str">
        <f>IF(AND(SalesData[[#This Row],[Sales]]&gt;= 50000, SalesData[[#This Row],[Quantity]]&gt;=2),"Yes","No")</f>
        <v>No</v>
      </c>
      <c r="Z822" s="19" t="str">
        <f>UPPER(SalesData[[#This Row],[Customer_Name]])</f>
        <v>ARJUN RAO</v>
      </c>
      <c r="AA822" s="19" t="str">
        <f>LOWER(SalesData[[#This Row],[Customer_Name]])</f>
        <v>arjun rao</v>
      </c>
      <c r="AB822" s="19">
        <f>LEN(SalesData[[#This Row],[Customer_Name]])</f>
        <v>9</v>
      </c>
      <c r="AC822" s="19" t="str">
        <f>LEFT(SalesData[[#This Row],[Order_ID]],3)</f>
        <v>ORD</v>
      </c>
      <c r="AD822" s="19" t="str">
        <f>RIGHT(SalesData[[#This Row],[Order_ID]],4)</f>
        <v>0518</v>
      </c>
      <c r="AE822" s="19" t="str">
        <f>_xlfn.CONCAT(SalesData[[#This Row],[Clean_Customer_Name]],"-",SalesData[[#This Row],[Region]])</f>
        <v>Arjun Rao-North</v>
      </c>
      <c r="AF822" s="19" t="str">
        <f>MID(SalesData[[#This Row],[Order_ID]],4,4)</f>
        <v>0518</v>
      </c>
      <c r="AG822" s="19" t="e">
        <f ca="1">_xlfn.SINGLE(_xlfn.XLOOKUP(SalesData[[#This Row],[Product]],Product_Master!A:A,Product_Master!B:B,"Not Found"))</f>
        <v>#NAME?</v>
      </c>
      <c r="AH822" s="19" t="str">
        <f>VLOOKUP(SalesData[[#This Row],[Product]],Product_Master!$A$1:$B$21,2,FALSE)</f>
        <v>Manish</v>
      </c>
      <c r="AI822" s="16"/>
    </row>
    <row r="823" spans="1:35" ht="13.8">
      <c r="A823" s="16" t="s">
        <v>410</v>
      </c>
      <c r="B823" s="17">
        <v>45949</v>
      </c>
      <c r="C823" s="16" t="s">
        <v>66</v>
      </c>
      <c r="D823" s="16" t="s">
        <v>67</v>
      </c>
      <c r="E823" s="16" t="s">
        <v>87</v>
      </c>
      <c r="F823" s="16" t="s">
        <v>88</v>
      </c>
      <c r="G823" s="16" t="s">
        <v>89</v>
      </c>
      <c r="H823" s="16" t="s">
        <v>90</v>
      </c>
      <c r="I823" s="16" t="s">
        <v>42</v>
      </c>
      <c r="J823" s="16" t="s">
        <v>162</v>
      </c>
      <c r="K823" s="18">
        <v>16448.330000000002</v>
      </c>
      <c r="L823" s="18">
        <v>7143.6</v>
      </c>
      <c r="M823" s="19">
        <v>4</v>
      </c>
      <c r="N823" s="20">
        <v>0.1</v>
      </c>
      <c r="O823" s="19" t="s">
        <v>76</v>
      </c>
      <c r="P823" s="19" t="s">
        <v>58</v>
      </c>
      <c r="Q823" s="19" t="str">
        <f>TRIM(SalesData[[#This Row],[Customer_Name]])</f>
        <v>Arjun Rao</v>
      </c>
      <c r="R823" s="21">
        <f>SalesData[[#This Row],[Sales]]-SalesData[[#This Row],[Cost]]</f>
        <v>9304.7300000000014</v>
      </c>
      <c r="S823" s="22">
        <f>IFERROR(SalesData[[#This Row],[Profit]]/SalesData[[#This Row],[Sales]],0)</f>
        <v>0.56569451123609515</v>
      </c>
      <c r="T823" s="19">
        <f>YEAR(SalesData[[#This Row],[Order_Date]])</f>
        <v>2025</v>
      </c>
      <c r="U823" s="19" t="str">
        <f>TEXT(SalesData[[#This Row],[Order_Date]],"mmm")</f>
        <v>Oct</v>
      </c>
      <c r="V823" s="19" t="str">
        <f>"Q"&amp;ROUNDUP(MONTH(SalesData[[#This Row],[Order_Date]])/3,0)</f>
        <v>Q4</v>
      </c>
      <c r="W823" s="19" t="str">
        <f>IF(SalesData[[#This Row],[Sales]]&gt;=50000,"High",IF(AND(SalesData[[#This Row],[Sales]]&gt;= 20000, SalesData[[#This Row],[Sales]]&lt; 50000),"Medium","Low"))</f>
        <v>Low</v>
      </c>
      <c r="X823" s="19" t="str">
        <f>IF(SalesData[[#This Row],[Profit]]&gt;0,"Profit","Loss")</f>
        <v>Profit</v>
      </c>
      <c r="Y823" s="19" t="str">
        <f>IF(AND(SalesData[[#This Row],[Sales]]&gt;= 50000, SalesData[[#This Row],[Quantity]]&gt;=2),"Yes","No")</f>
        <v>No</v>
      </c>
      <c r="Z823" s="19" t="str">
        <f>UPPER(SalesData[[#This Row],[Customer_Name]])</f>
        <v>ARJUN RAO</v>
      </c>
      <c r="AA823" s="19" t="str">
        <f>LOWER(SalesData[[#This Row],[Customer_Name]])</f>
        <v>arjun rao</v>
      </c>
      <c r="AB823" s="19">
        <f>LEN(SalesData[[#This Row],[Customer_Name]])</f>
        <v>9</v>
      </c>
      <c r="AC823" s="19" t="str">
        <f>LEFT(SalesData[[#This Row],[Order_ID]],3)</f>
        <v>ORD</v>
      </c>
      <c r="AD823" s="19" t="str">
        <f>RIGHT(SalesData[[#This Row],[Order_ID]],4)</f>
        <v>0257</v>
      </c>
      <c r="AE823" s="19" t="str">
        <f>_xlfn.CONCAT(SalesData[[#This Row],[Clean_Customer_Name]],"-",SalesData[[#This Row],[Region]])</f>
        <v>Arjun Rao-East</v>
      </c>
      <c r="AF823" s="19" t="str">
        <f>MID(SalesData[[#This Row],[Order_ID]],4,4)</f>
        <v>0257</v>
      </c>
      <c r="AG823" s="19" t="e">
        <f ca="1">_xlfn.SINGLE(_xlfn.XLOOKUP(SalesData[[#This Row],[Product]],Product_Master!A:A,Product_Master!B:B,"Not Found"))</f>
        <v>#NAME?</v>
      </c>
      <c r="AH823" s="19" t="str">
        <f>VLOOKUP(SalesData[[#This Row],[Product]],Product_Master!$A$1:$B$21,2,FALSE)</f>
        <v>Rahul</v>
      </c>
      <c r="AI823" s="16"/>
    </row>
    <row r="824" spans="1:35" ht="13.8">
      <c r="A824" s="16" t="s">
        <v>1011</v>
      </c>
      <c r="B824" s="17">
        <v>45418</v>
      </c>
      <c r="C824" s="16" t="s">
        <v>66</v>
      </c>
      <c r="D824" s="16" t="s">
        <v>67</v>
      </c>
      <c r="E824" s="16" t="s">
        <v>182</v>
      </c>
      <c r="F824" s="16" t="s">
        <v>183</v>
      </c>
      <c r="G824" s="16" t="s">
        <v>89</v>
      </c>
      <c r="H824" s="16" t="s">
        <v>90</v>
      </c>
      <c r="I824" s="16" t="s">
        <v>84</v>
      </c>
      <c r="J824" s="16" t="s">
        <v>134</v>
      </c>
      <c r="K824" s="18">
        <v>11537.03</v>
      </c>
      <c r="L824" s="18">
        <v>6307.87</v>
      </c>
      <c r="M824" s="19">
        <v>1</v>
      </c>
      <c r="N824" s="20">
        <v>0.15</v>
      </c>
      <c r="O824" s="19" t="s">
        <v>44</v>
      </c>
      <c r="P824" s="19" t="s">
        <v>58</v>
      </c>
      <c r="Q824" s="19" t="str">
        <f>TRIM(SalesData[[#This Row],[Customer_Name]])</f>
        <v>Arjun Rao</v>
      </c>
      <c r="R824" s="21">
        <f>SalesData[[#This Row],[Sales]]-SalesData[[#This Row],[Cost]]</f>
        <v>5229.1600000000008</v>
      </c>
      <c r="S824" s="22">
        <f>IFERROR(SalesData[[#This Row],[Profit]]/SalesData[[#This Row],[Sales]],0)</f>
        <v>0.45325009989572712</v>
      </c>
      <c r="T824" s="19">
        <f>YEAR(SalesData[[#This Row],[Order_Date]])</f>
        <v>2024</v>
      </c>
      <c r="U824" s="19" t="str">
        <f>TEXT(SalesData[[#This Row],[Order_Date]],"mmm")</f>
        <v>May</v>
      </c>
      <c r="V824" s="19" t="str">
        <f>"Q"&amp;ROUNDUP(MONTH(SalesData[[#This Row],[Order_Date]])/3,0)</f>
        <v>Q2</v>
      </c>
      <c r="W824" s="19" t="str">
        <f>IF(SalesData[[#This Row],[Sales]]&gt;=50000,"High",IF(AND(SalesData[[#This Row],[Sales]]&gt;= 20000, SalesData[[#This Row],[Sales]]&lt; 50000),"Medium","Low"))</f>
        <v>Low</v>
      </c>
      <c r="X824" s="19" t="str">
        <f>IF(SalesData[[#This Row],[Profit]]&gt;0,"Profit","Loss")</f>
        <v>Profit</v>
      </c>
      <c r="Y824" s="19" t="str">
        <f>IF(AND(SalesData[[#This Row],[Sales]]&gt;= 50000, SalesData[[#This Row],[Quantity]]&gt;=2),"Yes","No")</f>
        <v>No</v>
      </c>
      <c r="Z824" s="19" t="str">
        <f>UPPER(SalesData[[#This Row],[Customer_Name]])</f>
        <v>ARJUN RAO</v>
      </c>
      <c r="AA824" s="19" t="str">
        <f>LOWER(SalesData[[#This Row],[Customer_Name]])</f>
        <v>arjun rao</v>
      </c>
      <c r="AB824" s="19">
        <f>LEN(SalesData[[#This Row],[Customer_Name]])</f>
        <v>9</v>
      </c>
      <c r="AC824" s="19" t="str">
        <f>LEFT(SalesData[[#This Row],[Order_ID]],3)</f>
        <v>ORD</v>
      </c>
      <c r="AD824" s="19" t="str">
        <f>RIGHT(SalesData[[#This Row],[Order_ID]],4)</f>
        <v>0858</v>
      </c>
      <c r="AE824" s="19" t="str">
        <f>_xlfn.CONCAT(SalesData[[#This Row],[Clean_Customer_Name]],"-",SalesData[[#This Row],[Region]])</f>
        <v>Arjun Rao-South</v>
      </c>
      <c r="AF824" s="19" t="str">
        <f>MID(SalesData[[#This Row],[Order_ID]],4,4)</f>
        <v>0858</v>
      </c>
      <c r="AG824" s="19" t="e">
        <f ca="1">_xlfn.SINGLE(_xlfn.XLOOKUP(SalesData[[#This Row],[Product]],Product_Master!A:A,Product_Master!B:B,"Not Found"))</f>
        <v>#NAME?</v>
      </c>
      <c r="AH824" s="19" t="str">
        <f>VLOOKUP(SalesData[[#This Row],[Product]],Product_Master!$A$1:$B$21,2,FALSE)</f>
        <v>Priya</v>
      </c>
      <c r="AI824" s="16"/>
    </row>
    <row r="825" spans="1:35" ht="13.8">
      <c r="A825" s="16" t="s">
        <v>246</v>
      </c>
      <c r="B825" s="17">
        <v>45586</v>
      </c>
      <c r="C825" s="16" t="s">
        <v>66</v>
      </c>
      <c r="D825" s="16" t="s">
        <v>67</v>
      </c>
      <c r="E825" s="16" t="s">
        <v>187</v>
      </c>
      <c r="F825" s="16" t="s">
        <v>188</v>
      </c>
      <c r="G825" s="16" t="s">
        <v>89</v>
      </c>
      <c r="H825" s="16" t="s">
        <v>189</v>
      </c>
      <c r="I825" s="16" t="s">
        <v>23</v>
      </c>
      <c r="J825" s="16" t="s">
        <v>75</v>
      </c>
      <c r="K825" s="18">
        <v>37901.72</v>
      </c>
      <c r="L825" s="18">
        <v>23675.72</v>
      </c>
      <c r="M825" s="19">
        <v>4</v>
      </c>
      <c r="N825" s="20">
        <v>0</v>
      </c>
      <c r="O825" s="19" t="s">
        <v>34</v>
      </c>
      <c r="P825" s="19" t="s">
        <v>58</v>
      </c>
      <c r="Q825" s="19" t="str">
        <f>TRIM(SalesData[[#This Row],[Customer_Name]])</f>
        <v>Arjun Rao</v>
      </c>
      <c r="R825" s="21">
        <f>SalesData[[#This Row],[Sales]]-SalesData[[#This Row],[Cost]]</f>
        <v>14226</v>
      </c>
      <c r="S825" s="22">
        <f>IFERROR(SalesData[[#This Row],[Profit]]/SalesData[[#This Row],[Sales]],0)</f>
        <v>0.37533916666578721</v>
      </c>
      <c r="T825" s="19">
        <f>YEAR(SalesData[[#This Row],[Order_Date]])</f>
        <v>2024</v>
      </c>
      <c r="U825" s="19" t="str">
        <f>TEXT(SalesData[[#This Row],[Order_Date]],"mmm")</f>
        <v>Oct</v>
      </c>
      <c r="V825" s="19" t="str">
        <f>"Q"&amp;ROUNDUP(MONTH(SalesData[[#This Row],[Order_Date]])/3,0)</f>
        <v>Q4</v>
      </c>
      <c r="W825" s="19" t="str">
        <f>IF(SalesData[[#This Row],[Sales]]&gt;=50000,"High",IF(AND(SalesData[[#This Row],[Sales]]&gt;= 20000, SalesData[[#This Row],[Sales]]&lt; 50000),"Medium","Low"))</f>
        <v>Medium</v>
      </c>
      <c r="X825" s="19" t="str">
        <f>IF(SalesData[[#This Row],[Profit]]&gt;0,"Profit","Loss")</f>
        <v>Profit</v>
      </c>
      <c r="Y825" s="19" t="str">
        <f>IF(AND(SalesData[[#This Row],[Sales]]&gt;= 50000, SalesData[[#This Row],[Quantity]]&gt;=2),"Yes","No")</f>
        <v>No</v>
      </c>
      <c r="Z825" s="19" t="str">
        <f>UPPER(SalesData[[#This Row],[Customer_Name]])</f>
        <v>ARJUN RAO</v>
      </c>
      <c r="AA825" s="19" t="str">
        <f>LOWER(SalesData[[#This Row],[Customer_Name]])</f>
        <v>arjun rao</v>
      </c>
      <c r="AB825" s="19">
        <f>LEN(SalesData[[#This Row],[Customer_Name]])</f>
        <v>9</v>
      </c>
      <c r="AC825" s="19" t="str">
        <f>LEFT(SalesData[[#This Row],[Order_ID]],3)</f>
        <v>ORD</v>
      </c>
      <c r="AD825" s="19" t="str">
        <f>RIGHT(SalesData[[#This Row],[Order_ID]],4)</f>
        <v>0095</v>
      </c>
      <c r="AE825" s="19" t="str">
        <f>_xlfn.CONCAT(SalesData[[#This Row],[Clean_Customer_Name]],"-",SalesData[[#This Row],[Region]])</f>
        <v>Arjun Rao-North</v>
      </c>
      <c r="AF825" s="19" t="str">
        <f>MID(SalesData[[#This Row],[Order_ID]],4,4)</f>
        <v>0095</v>
      </c>
      <c r="AG825" s="19" t="e">
        <f ca="1">_xlfn.SINGLE(_xlfn.XLOOKUP(SalesData[[#This Row],[Product]],Product_Master!A:A,Product_Master!B:B,"Not Found"))</f>
        <v>#NAME?</v>
      </c>
      <c r="AH825" s="19" t="str">
        <f>VLOOKUP(SalesData[[#This Row],[Product]],Product_Master!$A$1:$B$21,2,FALSE)</f>
        <v>Amit</v>
      </c>
      <c r="AI825" s="16"/>
    </row>
    <row r="826" spans="1:35" ht="13.8">
      <c r="A826" s="16" t="s">
        <v>485</v>
      </c>
      <c r="B826" s="17">
        <v>45370</v>
      </c>
      <c r="C826" s="16" t="s">
        <v>66</v>
      </c>
      <c r="D826" s="16" t="s">
        <v>67</v>
      </c>
      <c r="E826" s="16" t="s">
        <v>95</v>
      </c>
      <c r="F826" s="16" t="s">
        <v>96</v>
      </c>
      <c r="G826" s="16" t="s">
        <v>89</v>
      </c>
      <c r="H826" s="16" t="s">
        <v>97</v>
      </c>
      <c r="I826" s="16" t="s">
        <v>42</v>
      </c>
      <c r="J826" s="16" t="s">
        <v>68</v>
      </c>
      <c r="K826" s="18">
        <v>19548.060000000001</v>
      </c>
      <c r="L826" s="18">
        <v>13874.56</v>
      </c>
      <c r="M826" s="19">
        <v>4</v>
      </c>
      <c r="N826" s="20">
        <v>0.15</v>
      </c>
      <c r="O826" s="19" t="s">
        <v>34</v>
      </c>
      <c r="P826" s="19" t="s">
        <v>58</v>
      </c>
      <c r="Q826" s="19" t="str">
        <f>TRIM(SalesData[[#This Row],[Customer_Name]])</f>
        <v>Arjun Rao</v>
      </c>
      <c r="R826" s="21">
        <f>SalesData[[#This Row],[Sales]]-SalesData[[#This Row],[Cost]]</f>
        <v>5673.5000000000018</v>
      </c>
      <c r="S826" s="22">
        <f>IFERROR(SalesData[[#This Row],[Profit]]/SalesData[[#This Row],[Sales]],0)</f>
        <v>0.29023340423550986</v>
      </c>
      <c r="T826" s="19">
        <f>YEAR(SalesData[[#This Row],[Order_Date]])</f>
        <v>2024</v>
      </c>
      <c r="U826" s="19" t="str">
        <f>TEXT(SalesData[[#This Row],[Order_Date]],"mmm")</f>
        <v>Mar</v>
      </c>
      <c r="V826" s="19" t="str">
        <f>"Q"&amp;ROUNDUP(MONTH(SalesData[[#This Row],[Order_Date]])/3,0)</f>
        <v>Q1</v>
      </c>
      <c r="W826" s="19" t="str">
        <f>IF(SalesData[[#This Row],[Sales]]&gt;=50000,"High",IF(AND(SalesData[[#This Row],[Sales]]&gt;= 20000, SalesData[[#This Row],[Sales]]&lt; 50000),"Medium","Low"))</f>
        <v>Low</v>
      </c>
      <c r="X826" s="19" t="str">
        <f>IF(SalesData[[#This Row],[Profit]]&gt;0,"Profit","Loss")</f>
        <v>Profit</v>
      </c>
      <c r="Y826" s="19" t="str">
        <f>IF(AND(SalesData[[#This Row],[Sales]]&gt;= 50000, SalesData[[#This Row],[Quantity]]&gt;=2),"Yes","No")</f>
        <v>No</v>
      </c>
      <c r="Z826" s="19" t="str">
        <f>UPPER(SalesData[[#This Row],[Customer_Name]])</f>
        <v>ARJUN RAO</v>
      </c>
      <c r="AA826" s="19" t="str">
        <f>LOWER(SalesData[[#This Row],[Customer_Name]])</f>
        <v>arjun rao</v>
      </c>
      <c r="AB826" s="19">
        <f>LEN(SalesData[[#This Row],[Customer_Name]])</f>
        <v>9</v>
      </c>
      <c r="AC826" s="19" t="str">
        <f>LEFT(SalesData[[#This Row],[Order_ID]],3)</f>
        <v>ORD</v>
      </c>
      <c r="AD826" s="19" t="str">
        <f>RIGHT(SalesData[[#This Row],[Order_ID]],4)</f>
        <v>0332</v>
      </c>
      <c r="AE826" s="19" t="str">
        <f>_xlfn.CONCAT(SalesData[[#This Row],[Clean_Customer_Name]],"-",SalesData[[#This Row],[Region]])</f>
        <v>Arjun Rao-East</v>
      </c>
      <c r="AF826" s="19" t="str">
        <f>MID(SalesData[[#This Row],[Order_ID]],4,4)</f>
        <v>0332</v>
      </c>
      <c r="AG826" s="19" t="e">
        <f ca="1">_xlfn.SINGLE(_xlfn.XLOOKUP(SalesData[[#This Row],[Product]],Product_Master!A:A,Product_Master!B:B,"Not Found"))</f>
        <v>#NAME?</v>
      </c>
      <c r="AH826" s="19" t="str">
        <f>VLOOKUP(SalesData[[#This Row],[Product]],Product_Master!$A$1:$B$21,2,FALSE)</f>
        <v>Neha</v>
      </c>
      <c r="AI826" s="16"/>
    </row>
    <row r="827" spans="1:35" ht="13.8">
      <c r="A827" s="16" t="s">
        <v>531</v>
      </c>
      <c r="B827" s="17">
        <v>45446</v>
      </c>
      <c r="C827" s="16" t="s">
        <v>66</v>
      </c>
      <c r="D827" s="16" t="s">
        <v>67</v>
      </c>
      <c r="E827" s="16" t="s">
        <v>95</v>
      </c>
      <c r="F827" s="16" t="s">
        <v>96</v>
      </c>
      <c r="G827" s="16" t="s">
        <v>89</v>
      </c>
      <c r="H827" s="16" t="s">
        <v>97</v>
      </c>
      <c r="I827" s="16" t="s">
        <v>23</v>
      </c>
      <c r="J827" s="16" t="s">
        <v>24</v>
      </c>
      <c r="K827" s="18">
        <v>4533.17</v>
      </c>
      <c r="L827" s="18">
        <v>3210</v>
      </c>
      <c r="M827" s="19">
        <v>1</v>
      </c>
      <c r="N827" s="20">
        <v>0.2</v>
      </c>
      <c r="O827" s="19" t="s">
        <v>136</v>
      </c>
      <c r="P827" s="19" t="s">
        <v>58</v>
      </c>
      <c r="Q827" s="19" t="str">
        <f>TRIM(SalesData[[#This Row],[Customer_Name]])</f>
        <v>Arjun Rao</v>
      </c>
      <c r="R827" s="21">
        <f>SalesData[[#This Row],[Sales]]-SalesData[[#This Row],[Cost]]</f>
        <v>1323.17</v>
      </c>
      <c r="S827" s="22">
        <f>IFERROR(SalesData[[#This Row],[Profit]]/SalesData[[#This Row],[Sales]],0)</f>
        <v>0.29188625178407163</v>
      </c>
      <c r="T827" s="19">
        <f>YEAR(SalesData[[#This Row],[Order_Date]])</f>
        <v>2024</v>
      </c>
      <c r="U827" s="19" t="str">
        <f>TEXT(SalesData[[#This Row],[Order_Date]],"mmm")</f>
        <v>Jun</v>
      </c>
      <c r="V827" s="19" t="str">
        <f>"Q"&amp;ROUNDUP(MONTH(SalesData[[#This Row],[Order_Date]])/3,0)</f>
        <v>Q2</v>
      </c>
      <c r="W827" s="19" t="str">
        <f>IF(SalesData[[#This Row],[Sales]]&gt;=50000,"High",IF(AND(SalesData[[#This Row],[Sales]]&gt;= 20000, SalesData[[#This Row],[Sales]]&lt; 50000),"Medium","Low"))</f>
        <v>Low</v>
      </c>
      <c r="X827" s="19" t="str">
        <f>IF(SalesData[[#This Row],[Profit]]&gt;0,"Profit","Loss")</f>
        <v>Profit</v>
      </c>
      <c r="Y827" s="19" t="str">
        <f>IF(AND(SalesData[[#This Row],[Sales]]&gt;= 50000, SalesData[[#This Row],[Quantity]]&gt;=2),"Yes","No")</f>
        <v>No</v>
      </c>
      <c r="Z827" s="19" t="str">
        <f>UPPER(SalesData[[#This Row],[Customer_Name]])</f>
        <v>ARJUN RAO</v>
      </c>
      <c r="AA827" s="19" t="str">
        <f>LOWER(SalesData[[#This Row],[Customer_Name]])</f>
        <v>arjun rao</v>
      </c>
      <c r="AB827" s="19">
        <f>LEN(SalesData[[#This Row],[Customer_Name]])</f>
        <v>9</v>
      </c>
      <c r="AC827" s="19" t="str">
        <f>LEFT(SalesData[[#This Row],[Order_ID]],3)</f>
        <v>ORD</v>
      </c>
      <c r="AD827" s="19" t="str">
        <f>RIGHT(SalesData[[#This Row],[Order_ID]],4)</f>
        <v>0378</v>
      </c>
      <c r="AE827" s="19" t="str">
        <f>_xlfn.CONCAT(SalesData[[#This Row],[Clean_Customer_Name]],"-",SalesData[[#This Row],[Region]])</f>
        <v>Arjun Rao-North</v>
      </c>
      <c r="AF827" s="19" t="str">
        <f>MID(SalesData[[#This Row],[Order_ID]],4,4)</f>
        <v>0378</v>
      </c>
      <c r="AG827" s="19" t="e">
        <f ca="1">_xlfn.SINGLE(_xlfn.XLOOKUP(SalesData[[#This Row],[Product]],Product_Master!A:A,Product_Master!B:B,"Not Found"))</f>
        <v>#NAME?</v>
      </c>
      <c r="AH827" s="19" t="str">
        <f>VLOOKUP(SalesData[[#This Row],[Product]],Product_Master!$A$1:$B$21,2,FALSE)</f>
        <v>Neha</v>
      </c>
      <c r="AI827" s="16"/>
    </row>
    <row r="828" spans="1:35" ht="13.8">
      <c r="A828" s="16" t="s">
        <v>1016</v>
      </c>
      <c r="B828" s="17">
        <v>45943</v>
      </c>
      <c r="C828" s="16" t="s">
        <v>66</v>
      </c>
      <c r="D828" s="16" t="s">
        <v>67</v>
      </c>
      <c r="E828" s="16" t="s">
        <v>95</v>
      </c>
      <c r="F828" s="16" t="s">
        <v>96</v>
      </c>
      <c r="G828" s="16" t="s">
        <v>89</v>
      </c>
      <c r="H828" s="16" t="s">
        <v>97</v>
      </c>
      <c r="I828" s="16" t="s">
        <v>56</v>
      </c>
      <c r="J828" s="16" t="s">
        <v>191</v>
      </c>
      <c r="K828" s="18">
        <v>25228.71</v>
      </c>
      <c r="L828" s="18">
        <v>15390.24</v>
      </c>
      <c r="M828" s="19">
        <v>4</v>
      </c>
      <c r="N828" s="20">
        <v>0.15</v>
      </c>
      <c r="O828" s="19" t="s">
        <v>136</v>
      </c>
      <c r="P828" s="19" t="s">
        <v>58</v>
      </c>
      <c r="Q828" s="19" t="str">
        <f>TRIM(SalesData[[#This Row],[Customer_Name]])</f>
        <v>Arjun Rao</v>
      </c>
      <c r="R828" s="21">
        <f>SalesData[[#This Row],[Sales]]-SalesData[[#This Row],[Cost]]</f>
        <v>9838.4699999999993</v>
      </c>
      <c r="S828" s="22">
        <f>IFERROR(SalesData[[#This Row],[Profit]]/SalesData[[#This Row],[Sales]],0)</f>
        <v>0.38997118758747473</v>
      </c>
      <c r="T828" s="19">
        <f>YEAR(SalesData[[#This Row],[Order_Date]])</f>
        <v>2025</v>
      </c>
      <c r="U828" s="19" t="str">
        <f>TEXT(SalesData[[#This Row],[Order_Date]],"mmm")</f>
        <v>Oct</v>
      </c>
      <c r="V828" s="19" t="str">
        <f>"Q"&amp;ROUNDUP(MONTH(SalesData[[#This Row],[Order_Date]])/3,0)</f>
        <v>Q4</v>
      </c>
      <c r="W828" s="19" t="str">
        <f>IF(SalesData[[#This Row],[Sales]]&gt;=50000,"High",IF(AND(SalesData[[#This Row],[Sales]]&gt;= 20000, SalesData[[#This Row],[Sales]]&lt; 50000),"Medium","Low"))</f>
        <v>Medium</v>
      </c>
      <c r="X828" s="19" t="str">
        <f>IF(SalesData[[#This Row],[Profit]]&gt;0,"Profit","Loss")</f>
        <v>Profit</v>
      </c>
      <c r="Y828" s="19" t="str">
        <f>IF(AND(SalesData[[#This Row],[Sales]]&gt;= 50000, SalesData[[#This Row],[Quantity]]&gt;=2),"Yes","No")</f>
        <v>No</v>
      </c>
      <c r="Z828" s="19" t="str">
        <f>UPPER(SalesData[[#This Row],[Customer_Name]])</f>
        <v>ARJUN RAO</v>
      </c>
      <c r="AA828" s="19" t="str">
        <f>LOWER(SalesData[[#This Row],[Customer_Name]])</f>
        <v>arjun rao</v>
      </c>
      <c r="AB828" s="19">
        <f>LEN(SalesData[[#This Row],[Customer_Name]])</f>
        <v>9</v>
      </c>
      <c r="AC828" s="19" t="str">
        <f>LEFT(SalesData[[#This Row],[Order_ID]],3)</f>
        <v>ORD</v>
      </c>
      <c r="AD828" s="19" t="str">
        <f>RIGHT(SalesData[[#This Row],[Order_ID]],4)</f>
        <v>0863</v>
      </c>
      <c r="AE828" s="19" t="str">
        <f>_xlfn.CONCAT(SalesData[[#This Row],[Clean_Customer_Name]],"-",SalesData[[#This Row],[Region]])</f>
        <v>Arjun Rao-West</v>
      </c>
      <c r="AF828" s="19" t="str">
        <f>MID(SalesData[[#This Row],[Order_ID]],4,4)</f>
        <v>0863</v>
      </c>
      <c r="AG828" s="19" t="e">
        <f ca="1">_xlfn.SINGLE(_xlfn.XLOOKUP(SalesData[[#This Row],[Product]],Product_Master!A:A,Product_Master!B:B,"Not Found"))</f>
        <v>#NAME?</v>
      </c>
      <c r="AH828" s="19" t="str">
        <f>VLOOKUP(SalesData[[#This Row],[Product]],Product_Master!$A$1:$B$21,2,FALSE)</f>
        <v>Neha</v>
      </c>
      <c r="AI828" s="16"/>
    </row>
    <row r="829" spans="1:35" ht="13.8">
      <c r="A829" s="16" t="s">
        <v>692</v>
      </c>
      <c r="B829" s="17">
        <v>45484</v>
      </c>
      <c r="C829" s="16" t="s">
        <v>66</v>
      </c>
      <c r="D829" s="16" t="s">
        <v>67</v>
      </c>
      <c r="E829" s="16" t="s">
        <v>193</v>
      </c>
      <c r="F829" s="16" t="s">
        <v>194</v>
      </c>
      <c r="G829" s="16" t="s">
        <v>89</v>
      </c>
      <c r="H829" s="16" t="s">
        <v>90</v>
      </c>
      <c r="I829" s="16" t="s">
        <v>56</v>
      </c>
      <c r="J829" s="16" t="s">
        <v>191</v>
      </c>
      <c r="K829" s="18">
        <v>1582.94</v>
      </c>
      <c r="L829" s="18">
        <v>1355.82</v>
      </c>
      <c r="M829" s="19">
        <v>3</v>
      </c>
      <c r="N829" s="20">
        <v>0.2</v>
      </c>
      <c r="O829" s="19" t="s">
        <v>25</v>
      </c>
      <c r="P829" s="19" t="s">
        <v>58</v>
      </c>
      <c r="Q829" s="19" t="str">
        <f>TRIM(SalesData[[#This Row],[Customer_Name]])</f>
        <v>Arjun Rao</v>
      </c>
      <c r="R829" s="21">
        <f>SalesData[[#This Row],[Sales]]-SalesData[[#This Row],[Cost]]</f>
        <v>227.12000000000012</v>
      </c>
      <c r="S829" s="22">
        <f>IFERROR(SalesData[[#This Row],[Profit]]/SalesData[[#This Row],[Sales]],0)</f>
        <v>0.14347985394266372</v>
      </c>
      <c r="T829" s="19">
        <f>YEAR(SalesData[[#This Row],[Order_Date]])</f>
        <v>2024</v>
      </c>
      <c r="U829" s="19" t="str">
        <f>TEXT(SalesData[[#This Row],[Order_Date]],"mmm")</f>
        <v>Jul</v>
      </c>
      <c r="V829" s="19" t="str">
        <f>"Q"&amp;ROUNDUP(MONTH(SalesData[[#This Row],[Order_Date]])/3,0)</f>
        <v>Q3</v>
      </c>
      <c r="W829" s="19" t="str">
        <f>IF(SalesData[[#This Row],[Sales]]&gt;=50000,"High",IF(AND(SalesData[[#This Row],[Sales]]&gt;= 20000, SalesData[[#This Row],[Sales]]&lt; 50000),"Medium","Low"))</f>
        <v>Low</v>
      </c>
      <c r="X829" s="19" t="str">
        <f>IF(SalesData[[#This Row],[Profit]]&gt;0,"Profit","Loss")</f>
        <v>Profit</v>
      </c>
      <c r="Y829" s="19" t="str">
        <f>IF(AND(SalesData[[#This Row],[Sales]]&gt;= 50000, SalesData[[#This Row],[Quantity]]&gt;=2),"Yes","No")</f>
        <v>No</v>
      </c>
      <c r="Z829" s="19" t="str">
        <f>UPPER(SalesData[[#This Row],[Customer_Name]])</f>
        <v>ARJUN RAO</v>
      </c>
      <c r="AA829" s="19" t="str">
        <f>LOWER(SalesData[[#This Row],[Customer_Name]])</f>
        <v>arjun rao</v>
      </c>
      <c r="AB829" s="19">
        <f>LEN(SalesData[[#This Row],[Customer_Name]])</f>
        <v>9</v>
      </c>
      <c r="AC829" s="19" t="str">
        <f>LEFT(SalesData[[#This Row],[Order_ID]],3)</f>
        <v>ORD</v>
      </c>
      <c r="AD829" s="19" t="str">
        <f>RIGHT(SalesData[[#This Row],[Order_ID]],4)</f>
        <v>0539</v>
      </c>
      <c r="AE829" s="19" t="str">
        <f>_xlfn.CONCAT(SalesData[[#This Row],[Clean_Customer_Name]],"-",SalesData[[#This Row],[Region]])</f>
        <v>Arjun Rao-West</v>
      </c>
      <c r="AF829" s="19" t="str">
        <f>MID(SalesData[[#This Row],[Order_ID]],4,4)</f>
        <v>0539</v>
      </c>
      <c r="AG829" s="19" t="e">
        <f ca="1">_xlfn.SINGLE(_xlfn.XLOOKUP(SalesData[[#This Row],[Product]],Product_Master!A:A,Product_Master!B:B,"Not Found"))</f>
        <v>#NAME?</v>
      </c>
      <c r="AH829" s="19" t="str">
        <f>VLOOKUP(SalesData[[#This Row],[Product]],Product_Master!$A$1:$B$21,2,FALSE)</f>
        <v>Simran</v>
      </c>
      <c r="AI829" s="16"/>
    </row>
    <row r="830" spans="1:35" ht="13.8">
      <c r="A830" s="16" t="s">
        <v>705</v>
      </c>
      <c r="B830" s="17">
        <v>45859</v>
      </c>
      <c r="C830" s="16" t="s">
        <v>66</v>
      </c>
      <c r="D830" s="16" t="s">
        <v>67</v>
      </c>
      <c r="E830" s="16" t="s">
        <v>193</v>
      </c>
      <c r="F830" s="16" t="s">
        <v>194</v>
      </c>
      <c r="G830" s="16" t="s">
        <v>89</v>
      </c>
      <c r="H830" s="16" t="s">
        <v>90</v>
      </c>
      <c r="I830" s="16" t="s">
        <v>53</v>
      </c>
      <c r="J830" s="16" t="s">
        <v>102</v>
      </c>
      <c r="K830" s="18">
        <v>1414.85</v>
      </c>
      <c r="L830" s="18">
        <v>913.78</v>
      </c>
      <c r="M830" s="19">
        <v>2</v>
      </c>
      <c r="N830" s="20">
        <v>0.1</v>
      </c>
      <c r="O830" s="19" t="s">
        <v>44</v>
      </c>
      <c r="P830" s="19" t="s">
        <v>77</v>
      </c>
      <c r="Q830" s="19" t="str">
        <f>TRIM(SalesData[[#This Row],[Customer_Name]])</f>
        <v>Arjun Rao</v>
      </c>
      <c r="R830" s="21">
        <f>SalesData[[#This Row],[Sales]]-SalesData[[#This Row],[Cost]]</f>
        <v>501.06999999999994</v>
      </c>
      <c r="S830" s="22">
        <f>IFERROR(SalesData[[#This Row],[Profit]]/SalesData[[#This Row],[Sales]],0)</f>
        <v>0.35415061667314557</v>
      </c>
      <c r="T830" s="19">
        <f>YEAR(SalesData[[#This Row],[Order_Date]])</f>
        <v>2025</v>
      </c>
      <c r="U830" s="19" t="str">
        <f>TEXT(SalesData[[#This Row],[Order_Date]],"mmm")</f>
        <v>Jul</v>
      </c>
      <c r="V830" s="19" t="str">
        <f>"Q"&amp;ROUNDUP(MONTH(SalesData[[#This Row],[Order_Date]])/3,0)</f>
        <v>Q3</v>
      </c>
      <c r="W830" s="19" t="str">
        <f>IF(SalesData[[#This Row],[Sales]]&gt;=50000,"High",IF(AND(SalesData[[#This Row],[Sales]]&gt;= 20000, SalesData[[#This Row],[Sales]]&lt; 50000),"Medium","Low"))</f>
        <v>Low</v>
      </c>
      <c r="X830" s="19" t="str">
        <f>IF(SalesData[[#This Row],[Profit]]&gt;0,"Profit","Loss")</f>
        <v>Profit</v>
      </c>
      <c r="Y830" s="19" t="str">
        <f>IF(AND(SalesData[[#This Row],[Sales]]&gt;= 50000, SalesData[[#This Row],[Quantity]]&gt;=2),"Yes","No")</f>
        <v>No</v>
      </c>
      <c r="Z830" s="19" t="str">
        <f>UPPER(SalesData[[#This Row],[Customer_Name]])</f>
        <v>ARJUN RAO</v>
      </c>
      <c r="AA830" s="19" t="str">
        <f>LOWER(SalesData[[#This Row],[Customer_Name]])</f>
        <v>arjun rao</v>
      </c>
      <c r="AB830" s="19">
        <f>LEN(SalesData[[#This Row],[Customer_Name]])</f>
        <v>9</v>
      </c>
      <c r="AC830" s="19" t="str">
        <f>LEFT(SalesData[[#This Row],[Order_ID]],3)</f>
        <v>ORD</v>
      </c>
      <c r="AD830" s="19" t="str">
        <f>RIGHT(SalesData[[#This Row],[Order_ID]],4)</f>
        <v>0552</v>
      </c>
      <c r="AE830" s="19" t="str">
        <f>_xlfn.CONCAT(SalesData[[#This Row],[Clean_Customer_Name]],"-",SalesData[[#This Row],[Region]])</f>
        <v>Arjun Rao-Central</v>
      </c>
      <c r="AF830" s="19" t="str">
        <f>MID(SalesData[[#This Row],[Order_ID]],4,4)</f>
        <v>0552</v>
      </c>
      <c r="AG830" s="19" t="e">
        <f ca="1">_xlfn.SINGLE(_xlfn.XLOOKUP(SalesData[[#This Row],[Product]],Product_Master!A:A,Product_Master!B:B,"Not Found"))</f>
        <v>#NAME?</v>
      </c>
      <c r="AH830" s="19" t="str">
        <f>VLOOKUP(SalesData[[#This Row],[Product]],Product_Master!$A$1:$B$21,2,FALSE)</f>
        <v>Simran</v>
      </c>
      <c r="AI830" s="16"/>
    </row>
    <row r="831" spans="1:35" ht="13.8">
      <c r="A831" s="16" t="s">
        <v>1044</v>
      </c>
      <c r="B831" s="17">
        <v>45579</v>
      </c>
      <c r="C831" s="16" t="s">
        <v>36</v>
      </c>
      <c r="D831" s="16" t="s">
        <v>37</v>
      </c>
      <c r="E831" s="16" t="s">
        <v>30</v>
      </c>
      <c r="F831" s="16" t="s">
        <v>31</v>
      </c>
      <c r="G831" s="16" t="s">
        <v>21</v>
      </c>
      <c r="H831" s="16" t="s">
        <v>32</v>
      </c>
      <c r="I831" s="16" t="s">
        <v>53</v>
      </c>
      <c r="J831" s="16" t="s">
        <v>54</v>
      </c>
      <c r="K831" s="18">
        <v>169924.5</v>
      </c>
      <c r="L831" s="18">
        <v>135115.53</v>
      </c>
      <c r="M831" s="19">
        <v>3</v>
      </c>
      <c r="N831" s="20">
        <v>0.1</v>
      </c>
      <c r="O831" s="19" t="s">
        <v>76</v>
      </c>
      <c r="P831" s="19" t="s">
        <v>58</v>
      </c>
      <c r="Q831" s="19" t="str">
        <f>TRIM(SalesData[[#This Row],[Customer_Name]])</f>
        <v>Anjali Patel</v>
      </c>
      <c r="R831" s="21">
        <f>SalesData[[#This Row],[Sales]]-SalesData[[#This Row],[Cost]]</f>
        <v>34808.97</v>
      </c>
      <c r="S831" s="22">
        <f>IFERROR(SalesData[[#This Row],[Profit]]/SalesData[[#This Row],[Sales]],0)</f>
        <v>0.20484962439200941</v>
      </c>
      <c r="T831" s="19">
        <f>YEAR(SalesData[[#This Row],[Order_Date]])</f>
        <v>2024</v>
      </c>
      <c r="U831" s="19" t="str">
        <f>TEXT(SalesData[[#This Row],[Order_Date]],"mmm")</f>
        <v>Oct</v>
      </c>
      <c r="V831" s="19" t="str">
        <f>"Q"&amp;ROUNDUP(MONTH(SalesData[[#This Row],[Order_Date]])/3,0)</f>
        <v>Q4</v>
      </c>
      <c r="W831" s="19" t="str">
        <f>IF(SalesData[[#This Row],[Sales]]&gt;=50000,"High",IF(AND(SalesData[[#This Row],[Sales]]&gt;= 20000, SalesData[[#This Row],[Sales]]&lt; 50000),"Medium","Low"))</f>
        <v>High</v>
      </c>
      <c r="X831" s="19" t="str">
        <f>IF(SalesData[[#This Row],[Profit]]&gt;0,"Profit","Loss")</f>
        <v>Profit</v>
      </c>
      <c r="Y831" s="19" t="str">
        <f>IF(AND(SalesData[[#This Row],[Sales]]&gt;= 50000, SalesData[[#This Row],[Quantity]]&gt;=2),"Yes","No")</f>
        <v>Yes</v>
      </c>
      <c r="Z831" s="19" t="str">
        <f>UPPER(SalesData[[#This Row],[Customer_Name]])</f>
        <v>ANJALI PATEL</v>
      </c>
      <c r="AA831" s="19" t="str">
        <f>LOWER(SalesData[[#This Row],[Customer_Name]])</f>
        <v>anjali patel</v>
      </c>
      <c r="AB831" s="19">
        <f>LEN(SalesData[[#This Row],[Customer_Name]])</f>
        <v>12</v>
      </c>
      <c r="AC831" s="19" t="str">
        <f>LEFT(SalesData[[#This Row],[Order_ID]],3)</f>
        <v>ORD</v>
      </c>
      <c r="AD831" s="19" t="str">
        <f>RIGHT(SalesData[[#This Row],[Order_ID]],4)</f>
        <v>0891</v>
      </c>
      <c r="AE831" s="19" t="str">
        <f>_xlfn.CONCAT(SalesData[[#This Row],[Clean_Customer_Name]],"-",SalesData[[#This Row],[Region]])</f>
        <v>Anjali Patel-Central</v>
      </c>
      <c r="AF831" s="19" t="str">
        <f>MID(SalesData[[#This Row],[Order_ID]],4,4)</f>
        <v>0891</v>
      </c>
      <c r="AG831" s="19" t="e">
        <f ca="1">_xlfn.SINGLE(_xlfn.XLOOKUP(SalesData[[#This Row],[Product]],Product_Master!A:A,Product_Master!B:B,"Not Found"))</f>
        <v>#NAME?</v>
      </c>
      <c r="AH831" s="19" t="str">
        <f>VLOOKUP(SalesData[[#This Row],[Product]],Product_Master!$A$1:$B$21,2,FALSE)</f>
        <v>Rahul</v>
      </c>
      <c r="AI831" s="16"/>
    </row>
    <row r="832" spans="1:35" ht="13.8">
      <c r="A832" s="16" t="s">
        <v>120</v>
      </c>
      <c r="B832" s="17">
        <v>45872</v>
      </c>
      <c r="C832" s="16" t="s">
        <v>36</v>
      </c>
      <c r="D832" s="16" t="s">
        <v>37</v>
      </c>
      <c r="E832" s="16" t="s">
        <v>81</v>
      </c>
      <c r="F832" s="16" t="s">
        <v>82</v>
      </c>
      <c r="G832" s="16" t="s">
        <v>21</v>
      </c>
      <c r="H832" s="16" t="s">
        <v>83</v>
      </c>
      <c r="I832" s="16" t="s">
        <v>84</v>
      </c>
      <c r="J832" s="16" t="s">
        <v>85</v>
      </c>
      <c r="K832" s="18">
        <v>27372.1</v>
      </c>
      <c r="L832" s="18">
        <v>16508.349999999999</v>
      </c>
      <c r="M832" s="19">
        <v>1</v>
      </c>
      <c r="N832" s="20">
        <v>0</v>
      </c>
      <c r="O832" s="19" t="s">
        <v>34</v>
      </c>
      <c r="P832" s="19" t="s">
        <v>58</v>
      </c>
      <c r="Q832" s="19" t="str">
        <f>TRIM(SalesData[[#This Row],[Customer_Name]])</f>
        <v>Anjali Patel</v>
      </c>
      <c r="R832" s="21">
        <f>SalesData[[#This Row],[Sales]]-SalesData[[#This Row],[Cost]]</f>
        <v>10863.75</v>
      </c>
      <c r="S832" s="22">
        <f>IFERROR(SalesData[[#This Row],[Profit]]/SalesData[[#This Row],[Sales]],0)</f>
        <v>0.39689136018062188</v>
      </c>
      <c r="T832" s="19">
        <f>YEAR(SalesData[[#This Row],[Order_Date]])</f>
        <v>2025</v>
      </c>
      <c r="U832" s="19" t="str">
        <f>TEXT(SalesData[[#This Row],[Order_Date]],"mmm")</f>
        <v>Aug</v>
      </c>
      <c r="V832" s="19" t="str">
        <f>"Q"&amp;ROUNDUP(MONTH(SalesData[[#This Row],[Order_Date]])/3,0)</f>
        <v>Q3</v>
      </c>
      <c r="W832" s="19" t="str">
        <f>IF(SalesData[[#This Row],[Sales]]&gt;=50000,"High",IF(AND(SalesData[[#This Row],[Sales]]&gt;= 20000, SalesData[[#This Row],[Sales]]&lt; 50000),"Medium","Low"))</f>
        <v>Medium</v>
      </c>
      <c r="X832" s="19" t="str">
        <f>IF(SalesData[[#This Row],[Profit]]&gt;0,"Profit","Loss")</f>
        <v>Profit</v>
      </c>
      <c r="Y832" s="19" t="str">
        <f>IF(AND(SalesData[[#This Row],[Sales]]&gt;= 50000, SalesData[[#This Row],[Quantity]]&gt;=2),"Yes","No")</f>
        <v>No</v>
      </c>
      <c r="Z832" s="19" t="str">
        <f>UPPER(SalesData[[#This Row],[Customer_Name]])</f>
        <v>ANJALI PATEL</v>
      </c>
      <c r="AA832" s="19" t="str">
        <f>LOWER(SalesData[[#This Row],[Customer_Name]])</f>
        <v>anjali patel</v>
      </c>
      <c r="AB832" s="19">
        <f>LEN(SalesData[[#This Row],[Customer_Name]])</f>
        <v>12</v>
      </c>
      <c r="AC832" s="19" t="str">
        <f>LEFT(SalesData[[#This Row],[Order_ID]],3)</f>
        <v>ORD</v>
      </c>
      <c r="AD832" s="19" t="str">
        <f>RIGHT(SalesData[[#This Row],[Order_ID]],4)</f>
        <v>0017</v>
      </c>
      <c r="AE832" s="19" t="str">
        <f>_xlfn.CONCAT(SalesData[[#This Row],[Clean_Customer_Name]],"-",SalesData[[#This Row],[Region]])</f>
        <v>Anjali Patel-South</v>
      </c>
      <c r="AF832" s="19" t="str">
        <f>MID(SalesData[[#This Row],[Order_ID]],4,4)</f>
        <v>0017</v>
      </c>
      <c r="AG832" s="19" t="e">
        <f ca="1">_xlfn.SINGLE(_xlfn.XLOOKUP(SalesData[[#This Row],[Product]],Product_Master!A:A,Product_Master!B:B,"Not Found"))</f>
        <v>#NAME?</v>
      </c>
      <c r="AH832" s="19" t="str">
        <f>VLOOKUP(SalesData[[#This Row],[Product]],Product_Master!$A$1:$B$21,2,FALSE)</f>
        <v>Priya</v>
      </c>
      <c r="AI832" s="16"/>
    </row>
    <row r="833" spans="1:35" ht="13.8">
      <c r="A833" s="16" t="s">
        <v>497</v>
      </c>
      <c r="B833" s="17">
        <v>45431</v>
      </c>
      <c r="C833" s="16" t="s">
        <v>36</v>
      </c>
      <c r="D833" s="16" t="s">
        <v>37</v>
      </c>
      <c r="E833" s="16" t="s">
        <v>62</v>
      </c>
      <c r="F833" s="16" t="s">
        <v>63</v>
      </c>
      <c r="G833" s="16" t="s">
        <v>21</v>
      </c>
      <c r="H833" s="16" t="s">
        <v>64</v>
      </c>
      <c r="I833" s="16" t="s">
        <v>84</v>
      </c>
      <c r="J833" s="16" t="s">
        <v>85</v>
      </c>
      <c r="K833" s="18">
        <v>10581.52</v>
      </c>
      <c r="L833" s="18">
        <v>8296.15</v>
      </c>
      <c r="M833" s="19">
        <v>5</v>
      </c>
      <c r="N833" s="20">
        <v>0.15</v>
      </c>
      <c r="O833" s="19" t="s">
        <v>136</v>
      </c>
      <c r="P833" s="19" t="s">
        <v>77</v>
      </c>
      <c r="Q833" s="19" t="str">
        <f>TRIM(SalesData[[#This Row],[Customer_Name]])</f>
        <v>Anjali Patel</v>
      </c>
      <c r="R833" s="21">
        <f>SalesData[[#This Row],[Sales]]-SalesData[[#This Row],[Cost]]</f>
        <v>2285.3700000000008</v>
      </c>
      <c r="S833" s="22">
        <f>IFERROR(SalesData[[#This Row],[Profit]]/SalesData[[#This Row],[Sales]],0)</f>
        <v>0.21597747771586698</v>
      </c>
      <c r="T833" s="19">
        <f>YEAR(SalesData[[#This Row],[Order_Date]])</f>
        <v>2024</v>
      </c>
      <c r="U833" s="19" t="str">
        <f>TEXT(SalesData[[#This Row],[Order_Date]],"mmm")</f>
        <v>May</v>
      </c>
      <c r="V833" s="19" t="str">
        <f>"Q"&amp;ROUNDUP(MONTH(SalesData[[#This Row],[Order_Date]])/3,0)</f>
        <v>Q2</v>
      </c>
      <c r="W833" s="19" t="str">
        <f>IF(SalesData[[#This Row],[Sales]]&gt;=50000,"High",IF(AND(SalesData[[#This Row],[Sales]]&gt;= 20000, SalesData[[#This Row],[Sales]]&lt; 50000),"Medium","Low"))</f>
        <v>Low</v>
      </c>
      <c r="X833" s="19" t="str">
        <f>IF(SalesData[[#This Row],[Profit]]&gt;0,"Profit","Loss")</f>
        <v>Profit</v>
      </c>
      <c r="Y833" s="19" t="str">
        <f>IF(AND(SalesData[[#This Row],[Sales]]&gt;= 50000, SalesData[[#This Row],[Quantity]]&gt;=2),"Yes","No")</f>
        <v>No</v>
      </c>
      <c r="Z833" s="19" t="str">
        <f>UPPER(SalesData[[#This Row],[Customer_Name]])</f>
        <v>ANJALI PATEL</v>
      </c>
      <c r="AA833" s="19" t="str">
        <f>LOWER(SalesData[[#This Row],[Customer_Name]])</f>
        <v>anjali patel</v>
      </c>
      <c r="AB833" s="19">
        <f>LEN(SalesData[[#This Row],[Customer_Name]])</f>
        <v>12</v>
      </c>
      <c r="AC833" s="19" t="str">
        <f>LEFT(SalesData[[#This Row],[Order_ID]],3)</f>
        <v>ORD</v>
      </c>
      <c r="AD833" s="19" t="str">
        <f>RIGHT(SalesData[[#This Row],[Order_ID]],4)</f>
        <v>0344</v>
      </c>
      <c r="AE833" s="19" t="str">
        <f>_xlfn.CONCAT(SalesData[[#This Row],[Clean_Customer_Name]],"-",SalesData[[#This Row],[Region]])</f>
        <v>Anjali Patel-South</v>
      </c>
      <c r="AF833" s="19" t="str">
        <f>MID(SalesData[[#This Row],[Order_ID]],4,4)</f>
        <v>0344</v>
      </c>
      <c r="AG833" s="19" t="e">
        <f ca="1">_xlfn.SINGLE(_xlfn.XLOOKUP(SalesData[[#This Row],[Product]],Product_Master!A:A,Product_Master!B:B,"Not Found"))</f>
        <v>#NAME?</v>
      </c>
      <c r="AH833" s="19" t="str">
        <f>VLOOKUP(SalesData[[#This Row],[Product]],Product_Master!$A$1:$B$21,2,FALSE)</f>
        <v>Amit</v>
      </c>
      <c r="AI833" s="16"/>
    </row>
    <row r="834" spans="1:35" ht="13.8">
      <c r="A834" s="16" t="s">
        <v>860</v>
      </c>
      <c r="B834" s="17">
        <v>45304</v>
      </c>
      <c r="C834" s="16" t="s">
        <v>36</v>
      </c>
      <c r="D834" s="16" t="s">
        <v>37</v>
      </c>
      <c r="E834" s="16" t="s">
        <v>62</v>
      </c>
      <c r="F834" s="16" t="s">
        <v>63</v>
      </c>
      <c r="G834" s="16" t="s">
        <v>21</v>
      </c>
      <c r="H834" s="16" t="s">
        <v>64</v>
      </c>
      <c r="I834" s="16" t="s">
        <v>56</v>
      </c>
      <c r="J834" s="16" t="s">
        <v>57</v>
      </c>
      <c r="K834" s="18">
        <v>9399.89</v>
      </c>
      <c r="L834" s="18">
        <v>7847.92</v>
      </c>
      <c r="M834" s="19">
        <v>4</v>
      </c>
      <c r="N834" s="20">
        <v>0.1</v>
      </c>
      <c r="O834" s="19" t="s">
        <v>76</v>
      </c>
      <c r="P834" s="19" t="s">
        <v>58</v>
      </c>
      <c r="Q834" s="19" t="str">
        <f>TRIM(SalesData[[#This Row],[Customer_Name]])</f>
        <v>Anjali Patel</v>
      </c>
      <c r="R834" s="21">
        <f>SalesData[[#This Row],[Sales]]-SalesData[[#This Row],[Cost]]</f>
        <v>1551.9699999999993</v>
      </c>
      <c r="S834" s="22">
        <f>IFERROR(SalesData[[#This Row],[Profit]]/SalesData[[#This Row],[Sales]],0)</f>
        <v>0.16510512357059492</v>
      </c>
      <c r="T834" s="19">
        <f>YEAR(SalesData[[#This Row],[Order_Date]])</f>
        <v>2024</v>
      </c>
      <c r="U834" s="19" t="str">
        <f>TEXT(SalesData[[#This Row],[Order_Date]],"mmm")</f>
        <v>Jan</v>
      </c>
      <c r="V834" s="19" t="str">
        <f>"Q"&amp;ROUNDUP(MONTH(SalesData[[#This Row],[Order_Date]])/3,0)</f>
        <v>Q1</v>
      </c>
      <c r="W834" s="19" t="str">
        <f>IF(SalesData[[#This Row],[Sales]]&gt;=50000,"High",IF(AND(SalesData[[#This Row],[Sales]]&gt;= 20000, SalesData[[#This Row],[Sales]]&lt; 50000),"Medium","Low"))</f>
        <v>Low</v>
      </c>
      <c r="X834" s="19" t="str">
        <f>IF(SalesData[[#This Row],[Profit]]&gt;0,"Profit","Loss")</f>
        <v>Profit</v>
      </c>
      <c r="Y834" s="19" t="str">
        <f>IF(AND(SalesData[[#This Row],[Sales]]&gt;= 50000, SalesData[[#This Row],[Quantity]]&gt;=2),"Yes","No")</f>
        <v>No</v>
      </c>
      <c r="Z834" s="19" t="str">
        <f>UPPER(SalesData[[#This Row],[Customer_Name]])</f>
        <v>ANJALI PATEL</v>
      </c>
      <c r="AA834" s="19" t="str">
        <f>LOWER(SalesData[[#This Row],[Customer_Name]])</f>
        <v>anjali patel</v>
      </c>
      <c r="AB834" s="19">
        <f>LEN(SalesData[[#This Row],[Customer_Name]])</f>
        <v>12</v>
      </c>
      <c r="AC834" s="19" t="str">
        <f>LEFT(SalesData[[#This Row],[Order_ID]],3)</f>
        <v>ORD</v>
      </c>
      <c r="AD834" s="19" t="str">
        <f>RIGHT(SalesData[[#This Row],[Order_ID]],4)</f>
        <v>0707</v>
      </c>
      <c r="AE834" s="19" t="str">
        <f>_xlfn.CONCAT(SalesData[[#This Row],[Clean_Customer_Name]],"-",SalesData[[#This Row],[Region]])</f>
        <v>Anjali Patel-West</v>
      </c>
      <c r="AF834" s="19" t="str">
        <f>MID(SalesData[[#This Row],[Order_ID]],4,4)</f>
        <v>0707</v>
      </c>
      <c r="AG834" s="19" t="e">
        <f ca="1">_xlfn.SINGLE(_xlfn.XLOOKUP(SalesData[[#This Row],[Product]],Product_Master!A:A,Product_Master!B:B,"Not Found"))</f>
        <v>#NAME?</v>
      </c>
      <c r="AH834" s="19" t="str">
        <f>VLOOKUP(SalesData[[#This Row],[Product]],Product_Master!$A$1:$B$21,2,FALSE)</f>
        <v>Amit</v>
      </c>
      <c r="AI834" s="16"/>
    </row>
    <row r="835" spans="1:35" ht="13.8">
      <c r="A835" s="16" t="s">
        <v>226</v>
      </c>
      <c r="B835" s="17">
        <v>45489</v>
      </c>
      <c r="C835" s="16" t="s">
        <v>36</v>
      </c>
      <c r="D835" s="16" t="s">
        <v>37</v>
      </c>
      <c r="E835" s="16" t="s">
        <v>19</v>
      </c>
      <c r="F835" s="16" t="s">
        <v>20</v>
      </c>
      <c r="G835" s="16" t="s">
        <v>21</v>
      </c>
      <c r="H835" s="16" t="s">
        <v>22</v>
      </c>
      <c r="I835" s="16" t="s">
        <v>42</v>
      </c>
      <c r="J835" s="16" t="s">
        <v>162</v>
      </c>
      <c r="K835" s="18">
        <v>18189.47</v>
      </c>
      <c r="L835" s="18">
        <v>8315.19</v>
      </c>
      <c r="M835" s="19">
        <v>3</v>
      </c>
      <c r="N835" s="20">
        <v>0.05</v>
      </c>
      <c r="O835" s="19" t="s">
        <v>76</v>
      </c>
      <c r="P835" s="19" t="s">
        <v>58</v>
      </c>
      <c r="Q835" s="19" t="str">
        <f>TRIM(SalesData[[#This Row],[Customer_Name]])</f>
        <v>Anjali Patel</v>
      </c>
      <c r="R835" s="21">
        <f>SalesData[[#This Row],[Sales]]-SalesData[[#This Row],[Cost]]</f>
        <v>9874.2800000000007</v>
      </c>
      <c r="S835" s="22">
        <f>IFERROR(SalesData[[#This Row],[Profit]]/SalesData[[#This Row],[Sales]],0)</f>
        <v>0.54285693865736606</v>
      </c>
      <c r="T835" s="19">
        <f>YEAR(SalesData[[#This Row],[Order_Date]])</f>
        <v>2024</v>
      </c>
      <c r="U835" s="19" t="str">
        <f>TEXT(SalesData[[#This Row],[Order_Date]],"mmm")</f>
        <v>Jul</v>
      </c>
      <c r="V835" s="19" t="str">
        <f>"Q"&amp;ROUNDUP(MONTH(SalesData[[#This Row],[Order_Date]])/3,0)</f>
        <v>Q3</v>
      </c>
      <c r="W835" s="19" t="str">
        <f>IF(SalesData[[#This Row],[Sales]]&gt;=50000,"High",IF(AND(SalesData[[#This Row],[Sales]]&gt;= 20000, SalesData[[#This Row],[Sales]]&lt; 50000),"Medium","Low"))</f>
        <v>Low</v>
      </c>
      <c r="X835" s="19" t="str">
        <f>IF(SalesData[[#This Row],[Profit]]&gt;0,"Profit","Loss")</f>
        <v>Profit</v>
      </c>
      <c r="Y835" s="19" t="str">
        <f>IF(AND(SalesData[[#This Row],[Sales]]&gt;= 50000, SalesData[[#This Row],[Quantity]]&gt;=2),"Yes","No")</f>
        <v>No</v>
      </c>
      <c r="Z835" s="19" t="str">
        <f>UPPER(SalesData[[#This Row],[Customer_Name]])</f>
        <v>ANJALI PATEL</v>
      </c>
      <c r="AA835" s="19" t="str">
        <f>LOWER(SalesData[[#This Row],[Customer_Name]])</f>
        <v>anjali patel</v>
      </c>
      <c r="AB835" s="19">
        <f>LEN(SalesData[[#This Row],[Customer_Name]])</f>
        <v>12</v>
      </c>
      <c r="AC835" s="19" t="str">
        <f>LEFT(SalesData[[#This Row],[Order_ID]],3)</f>
        <v>ORD</v>
      </c>
      <c r="AD835" s="19" t="str">
        <f>RIGHT(SalesData[[#This Row],[Order_ID]],4)</f>
        <v>0077</v>
      </c>
      <c r="AE835" s="19" t="str">
        <f>_xlfn.CONCAT(SalesData[[#This Row],[Clean_Customer_Name]],"-",SalesData[[#This Row],[Region]])</f>
        <v>Anjali Patel-East</v>
      </c>
      <c r="AF835" s="19" t="str">
        <f>MID(SalesData[[#This Row],[Order_ID]],4,4)</f>
        <v>0077</v>
      </c>
      <c r="AG835" s="19" t="e">
        <f ca="1">_xlfn.SINGLE(_xlfn.XLOOKUP(SalesData[[#This Row],[Product]],Product_Master!A:A,Product_Master!B:B,"Not Found"))</f>
        <v>#NAME?</v>
      </c>
      <c r="AH835" s="19" t="str">
        <f>VLOOKUP(SalesData[[#This Row],[Product]],Product_Master!$A$1:$B$21,2,FALSE)</f>
        <v>Neha</v>
      </c>
      <c r="AI835" s="16"/>
    </row>
    <row r="836" spans="1:35" ht="13.8">
      <c r="A836" s="16" t="s">
        <v>303</v>
      </c>
      <c r="B836" s="17">
        <v>45554</v>
      </c>
      <c r="C836" s="16" t="s">
        <v>36</v>
      </c>
      <c r="D836" s="16" t="s">
        <v>37</v>
      </c>
      <c r="E836" s="16" t="s">
        <v>19</v>
      </c>
      <c r="F836" s="16" t="s">
        <v>20</v>
      </c>
      <c r="G836" s="16" t="s">
        <v>21</v>
      </c>
      <c r="H836" s="16" t="s">
        <v>22</v>
      </c>
      <c r="I836" s="16" t="s">
        <v>23</v>
      </c>
      <c r="J836" s="16" t="s">
        <v>75</v>
      </c>
      <c r="K836" s="18">
        <v>8444.3799999999992</v>
      </c>
      <c r="L836" s="18">
        <v>5608.2</v>
      </c>
      <c r="M836" s="19">
        <v>2</v>
      </c>
      <c r="N836" s="20">
        <v>0</v>
      </c>
      <c r="O836" s="19" t="s">
        <v>76</v>
      </c>
      <c r="P836" s="19" t="s">
        <v>98</v>
      </c>
      <c r="Q836" s="19" t="str">
        <f>TRIM(SalesData[[#This Row],[Customer_Name]])</f>
        <v>Anjali Patel</v>
      </c>
      <c r="R836" s="21">
        <f>SalesData[[#This Row],[Sales]]-SalesData[[#This Row],[Cost]]</f>
        <v>2836.1799999999994</v>
      </c>
      <c r="S836" s="22">
        <f>IFERROR(SalesData[[#This Row],[Profit]]/SalesData[[#This Row],[Sales]],0)</f>
        <v>0.33586598424040598</v>
      </c>
      <c r="T836" s="19">
        <f>YEAR(SalesData[[#This Row],[Order_Date]])</f>
        <v>2024</v>
      </c>
      <c r="U836" s="19" t="str">
        <f>TEXT(SalesData[[#This Row],[Order_Date]],"mmm")</f>
        <v>Sept</v>
      </c>
      <c r="V836" s="19" t="str">
        <f>"Q"&amp;ROUNDUP(MONTH(SalesData[[#This Row],[Order_Date]])/3,0)</f>
        <v>Q3</v>
      </c>
      <c r="W836" s="19" t="str">
        <f>IF(SalesData[[#This Row],[Sales]]&gt;=50000,"High",IF(AND(SalesData[[#This Row],[Sales]]&gt;= 20000, SalesData[[#This Row],[Sales]]&lt; 50000),"Medium","Low"))</f>
        <v>Low</v>
      </c>
      <c r="X836" s="19" t="str">
        <f>IF(SalesData[[#This Row],[Profit]]&gt;0,"Profit","Loss")</f>
        <v>Profit</v>
      </c>
      <c r="Y836" s="19" t="str">
        <f>IF(AND(SalesData[[#This Row],[Sales]]&gt;= 50000, SalesData[[#This Row],[Quantity]]&gt;=2),"Yes","No")</f>
        <v>No</v>
      </c>
      <c r="Z836" s="19" t="str">
        <f>UPPER(SalesData[[#This Row],[Customer_Name]])</f>
        <v>ANJALI PATEL</v>
      </c>
      <c r="AA836" s="19" t="str">
        <f>LOWER(SalesData[[#This Row],[Customer_Name]])</f>
        <v>anjali patel</v>
      </c>
      <c r="AB836" s="19">
        <f>LEN(SalesData[[#This Row],[Customer_Name]])</f>
        <v>12</v>
      </c>
      <c r="AC836" s="19" t="str">
        <f>LEFT(SalesData[[#This Row],[Order_ID]],3)</f>
        <v>ORD</v>
      </c>
      <c r="AD836" s="19" t="str">
        <f>RIGHT(SalesData[[#This Row],[Order_ID]],4)</f>
        <v>0150</v>
      </c>
      <c r="AE836" s="19" t="str">
        <f>_xlfn.CONCAT(SalesData[[#This Row],[Clean_Customer_Name]],"-",SalesData[[#This Row],[Region]])</f>
        <v>Anjali Patel-North</v>
      </c>
      <c r="AF836" s="19" t="str">
        <f>MID(SalesData[[#This Row],[Order_ID]],4,4)</f>
        <v>0150</v>
      </c>
      <c r="AG836" s="19" t="e">
        <f ca="1">_xlfn.SINGLE(_xlfn.XLOOKUP(SalesData[[#This Row],[Product]],Product_Master!A:A,Product_Master!B:B,"Not Found"))</f>
        <v>#NAME?</v>
      </c>
      <c r="AH836" s="19" t="str">
        <f>VLOOKUP(SalesData[[#This Row],[Product]],Product_Master!$A$1:$B$21,2,FALSE)</f>
        <v>Neha</v>
      </c>
      <c r="AI836" s="16"/>
    </row>
    <row r="837" spans="1:35" ht="13.8">
      <c r="A837" s="16" t="s">
        <v>527</v>
      </c>
      <c r="B837" s="17">
        <v>45694</v>
      </c>
      <c r="C837" s="16" t="s">
        <v>36</v>
      </c>
      <c r="D837" s="16" t="s">
        <v>37</v>
      </c>
      <c r="E837" s="16" t="s">
        <v>19</v>
      </c>
      <c r="F837" s="16" t="s">
        <v>20</v>
      </c>
      <c r="G837" s="16" t="s">
        <v>21</v>
      </c>
      <c r="H837" s="16" t="s">
        <v>22</v>
      </c>
      <c r="I837" s="16" t="s">
        <v>23</v>
      </c>
      <c r="J837" s="16" t="s">
        <v>24</v>
      </c>
      <c r="K837" s="18">
        <v>30644.75</v>
      </c>
      <c r="L837" s="18">
        <v>15149</v>
      </c>
      <c r="M837" s="19">
        <v>5</v>
      </c>
      <c r="N837" s="20">
        <v>0</v>
      </c>
      <c r="O837" s="19" t="s">
        <v>44</v>
      </c>
      <c r="P837" s="19" t="s">
        <v>58</v>
      </c>
      <c r="Q837" s="19" t="str">
        <f>TRIM(SalesData[[#This Row],[Customer_Name]])</f>
        <v>Anjali Patel</v>
      </c>
      <c r="R837" s="21">
        <f>SalesData[[#This Row],[Sales]]-SalesData[[#This Row],[Cost]]</f>
        <v>15495.75</v>
      </c>
      <c r="S837" s="22">
        <f>IFERROR(SalesData[[#This Row],[Profit]]/SalesData[[#This Row],[Sales]],0)</f>
        <v>0.50565757593062433</v>
      </c>
      <c r="T837" s="19">
        <f>YEAR(SalesData[[#This Row],[Order_Date]])</f>
        <v>2025</v>
      </c>
      <c r="U837" s="19" t="str">
        <f>TEXT(SalesData[[#This Row],[Order_Date]],"mmm")</f>
        <v>Feb</v>
      </c>
      <c r="V837" s="19" t="str">
        <f>"Q"&amp;ROUNDUP(MONTH(SalesData[[#This Row],[Order_Date]])/3,0)</f>
        <v>Q1</v>
      </c>
      <c r="W837" s="19" t="str">
        <f>IF(SalesData[[#This Row],[Sales]]&gt;=50000,"High",IF(AND(SalesData[[#This Row],[Sales]]&gt;= 20000, SalesData[[#This Row],[Sales]]&lt; 50000),"Medium","Low"))</f>
        <v>Medium</v>
      </c>
      <c r="X837" s="19" t="str">
        <f>IF(SalesData[[#This Row],[Profit]]&gt;0,"Profit","Loss")</f>
        <v>Profit</v>
      </c>
      <c r="Y837" s="19" t="str">
        <f>IF(AND(SalesData[[#This Row],[Sales]]&gt;= 50000, SalesData[[#This Row],[Quantity]]&gt;=2),"Yes","No")</f>
        <v>No</v>
      </c>
      <c r="Z837" s="19" t="str">
        <f>UPPER(SalesData[[#This Row],[Customer_Name]])</f>
        <v>ANJALI PATEL</v>
      </c>
      <c r="AA837" s="19" t="str">
        <f>LOWER(SalesData[[#This Row],[Customer_Name]])</f>
        <v>anjali patel</v>
      </c>
      <c r="AB837" s="19">
        <f>LEN(SalesData[[#This Row],[Customer_Name]])</f>
        <v>12</v>
      </c>
      <c r="AC837" s="19" t="str">
        <f>LEFT(SalesData[[#This Row],[Order_ID]],3)</f>
        <v>ORD</v>
      </c>
      <c r="AD837" s="19" t="str">
        <f>RIGHT(SalesData[[#This Row],[Order_ID]],4)</f>
        <v>0374</v>
      </c>
      <c r="AE837" s="19" t="str">
        <f>_xlfn.CONCAT(SalesData[[#This Row],[Clean_Customer_Name]],"-",SalesData[[#This Row],[Region]])</f>
        <v>Anjali Patel-North</v>
      </c>
      <c r="AF837" s="19" t="str">
        <f>MID(SalesData[[#This Row],[Order_ID]],4,4)</f>
        <v>0374</v>
      </c>
      <c r="AG837" s="19" t="e">
        <f ca="1">_xlfn.SINGLE(_xlfn.XLOOKUP(SalesData[[#This Row],[Product]],Product_Master!A:A,Product_Master!B:B,"Not Found"))</f>
        <v>#NAME?</v>
      </c>
      <c r="AH837" s="19" t="str">
        <f>VLOOKUP(SalesData[[#This Row],[Product]],Product_Master!$A$1:$B$21,2,FALSE)</f>
        <v>Neha</v>
      </c>
      <c r="AI837" s="16"/>
    </row>
    <row r="838" spans="1:35" ht="13.8">
      <c r="A838" s="16" t="s">
        <v>876</v>
      </c>
      <c r="B838" s="17">
        <v>45616</v>
      </c>
      <c r="C838" s="16" t="s">
        <v>36</v>
      </c>
      <c r="D838" s="16" t="s">
        <v>37</v>
      </c>
      <c r="E838" s="16" t="s">
        <v>19</v>
      </c>
      <c r="F838" s="16" t="s">
        <v>20</v>
      </c>
      <c r="G838" s="16" t="s">
        <v>21</v>
      </c>
      <c r="H838" s="16" t="s">
        <v>22</v>
      </c>
      <c r="I838" s="16" t="s">
        <v>23</v>
      </c>
      <c r="J838" s="16" t="s">
        <v>24</v>
      </c>
      <c r="K838" s="18">
        <v>22936.33</v>
      </c>
      <c r="L838" s="18">
        <v>13879.4</v>
      </c>
      <c r="M838" s="19">
        <v>5</v>
      </c>
      <c r="N838" s="20">
        <v>0.05</v>
      </c>
      <c r="O838" s="19" t="s">
        <v>76</v>
      </c>
      <c r="P838" s="19" t="s">
        <v>58</v>
      </c>
      <c r="Q838" s="19" t="str">
        <f>TRIM(SalesData[[#This Row],[Customer_Name]])</f>
        <v>Anjali Patel</v>
      </c>
      <c r="R838" s="21">
        <f>SalesData[[#This Row],[Sales]]-SalesData[[#This Row],[Cost]]</f>
        <v>9056.9300000000021</v>
      </c>
      <c r="S838" s="22">
        <f>IFERROR(SalesData[[#This Row],[Profit]]/SalesData[[#This Row],[Sales]],0)</f>
        <v>0.39487267579425311</v>
      </c>
      <c r="T838" s="19">
        <f>YEAR(SalesData[[#This Row],[Order_Date]])</f>
        <v>2024</v>
      </c>
      <c r="U838" s="19" t="str">
        <f>TEXT(SalesData[[#This Row],[Order_Date]],"mmm")</f>
        <v>Nov</v>
      </c>
      <c r="V838" s="19" t="str">
        <f>"Q"&amp;ROUNDUP(MONTH(SalesData[[#This Row],[Order_Date]])/3,0)</f>
        <v>Q4</v>
      </c>
      <c r="W838" s="19" t="str">
        <f>IF(SalesData[[#This Row],[Sales]]&gt;=50000,"High",IF(AND(SalesData[[#This Row],[Sales]]&gt;= 20000, SalesData[[#This Row],[Sales]]&lt; 50000),"Medium","Low"))</f>
        <v>Medium</v>
      </c>
      <c r="X838" s="19" t="str">
        <f>IF(SalesData[[#This Row],[Profit]]&gt;0,"Profit","Loss")</f>
        <v>Profit</v>
      </c>
      <c r="Y838" s="19" t="str">
        <f>IF(AND(SalesData[[#This Row],[Sales]]&gt;= 50000, SalesData[[#This Row],[Quantity]]&gt;=2),"Yes","No")</f>
        <v>No</v>
      </c>
      <c r="Z838" s="19" t="str">
        <f>UPPER(SalesData[[#This Row],[Customer_Name]])</f>
        <v>ANJALI PATEL</v>
      </c>
      <c r="AA838" s="19" t="str">
        <f>LOWER(SalesData[[#This Row],[Customer_Name]])</f>
        <v>anjali patel</v>
      </c>
      <c r="AB838" s="19">
        <f>LEN(SalesData[[#This Row],[Customer_Name]])</f>
        <v>12</v>
      </c>
      <c r="AC838" s="19" t="str">
        <f>LEFT(SalesData[[#This Row],[Order_ID]],3)</f>
        <v>ORD</v>
      </c>
      <c r="AD838" s="19" t="str">
        <f>RIGHT(SalesData[[#This Row],[Order_ID]],4)</f>
        <v>0723</v>
      </c>
      <c r="AE838" s="19" t="str">
        <f>_xlfn.CONCAT(SalesData[[#This Row],[Clean_Customer_Name]],"-",SalesData[[#This Row],[Region]])</f>
        <v>Anjali Patel-North</v>
      </c>
      <c r="AF838" s="19" t="str">
        <f>MID(SalesData[[#This Row],[Order_ID]],4,4)</f>
        <v>0723</v>
      </c>
      <c r="AG838" s="19" t="e">
        <f ca="1">_xlfn.SINGLE(_xlfn.XLOOKUP(SalesData[[#This Row],[Product]],Product_Master!A:A,Product_Master!B:B,"Not Found"))</f>
        <v>#NAME?</v>
      </c>
      <c r="AH838" s="19" t="str">
        <f>VLOOKUP(SalesData[[#This Row],[Product]],Product_Master!$A$1:$B$21,2,FALSE)</f>
        <v>Neha</v>
      </c>
      <c r="AI838" s="16"/>
    </row>
    <row r="839" spans="1:35" ht="13.8">
      <c r="A839" s="16" t="s">
        <v>939</v>
      </c>
      <c r="B839" s="17">
        <v>45804</v>
      </c>
      <c r="C839" s="16" t="s">
        <v>36</v>
      </c>
      <c r="D839" s="16" t="s">
        <v>37</v>
      </c>
      <c r="E839" s="16" t="s">
        <v>19</v>
      </c>
      <c r="F839" s="16" t="s">
        <v>20</v>
      </c>
      <c r="G839" s="16" t="s">
        <v>21</v>
      </c>
      <c r="H839" s="16" t="s">
        <v>22</v>
      </c>
      <c r="I839" s="16" t="s">
        <v>42</v>
      </c>
      <c r="J839" s="16" t="s">
        <v>43</v>
      </c>
      <c r="K839" s="18">
        <v>6428.37</v>
      </c>
      <c r="L839" s="18">
        <v>3013.17</v>
      </c>
      <c r="M839" s="19">
        <v>1</v>
      </c>
      <c r="N839" s="20">
        <v>0.2</v>
      </c>
      <c r="O839" s="19" t="s">
        <v>44</v>
      </c>
      <c r="P839" s="19" t="s">
        <v>98</v>
      </c>
      <c r="Q839" s="19" t="str">
        <f>TRIM(SalesData[[#This Row],[Customer_Name]])</f>
        <v>Anjali Patel</v>
      </c>
      <c r="R839" s="21">
        <f>SalesData[[#This Row],[Sales]]-SalesData[[#This Row],[Cost]]</f>
        <v>3415.2</v>
      </c>
      <c r="S839" s="22">
        <f>IFERROR(SalesData[[#This Row],[Profit]]/SalesData[[#This Row],[Sales]],0)</f>
        <v>0.53126997979270019</v>
      </c>
      <c r="T839" s="19">
        <f>YEAR(SalesData[[#This Row],[Order_Date]])</f>
        <v>2025</v>
      </c>
      <c r="U839" s="19" t="str">
        <f>TEXT(SalesData[[#This Row],[Order_Date]],"mmm")</f>
        <v>May</v>
      </c>
      <c r="V839" s="19" t="str">
        <f>"Q"&amp;ROUNDUP(MONTH(SalesData[[#This Row],[Order_Date]])/3,0)</f>
        <v>Q2</v>
      </c>
      <c r="W839" s="19" t="str">
        <f>IF(SalesData[[#This Row],[Sales]]&gt;=50000,"High",IF(AND(SalesData[[#This Row],[Sales]]&gt;= 20000, SalesData[[#This Row],[Sales]]&lt; 50000),"Medium","Low"))</f>
        <v>Low</v>
      </c>
      <c r="X839" s="19" t="str">
        <f>IF(SalesData[[#This Row],[Profit]]&gt;0,"Profit","Loss")</f>
        <v>Profit</v>
      </c>
      <c r="Y839" s="19" t="str">
        <f>IF(AND(SalesData[[#This Row],[Sales]]&gt;= 50000, SalesData[[#This Row],[Quantity]]&gt;=2),"Yes","No")</f>
        <v>No</v>
      </c>
      <c r="Z839" s="19" t="str">
        <f>UPPER(SalesData[[#This Row],[Customer_Name]])</f>
        <v>ANJALI PATEL</v>
      </c>
      <c r="AA839" s="19" t="str">
        <f>LOWER(SalesData[[#This Row],[Customer_Name]])</f>
        <v>anjali patel</v>
      </c>
      <c r="AB839" s="19">
        <f>LEN(SalesData[[#This Row],[Customer_Name]])</f>
        <v>12</v>
      </c>
      <c r="AC839" s="19" t="str">
        <f>LEFT(SalesData[[#This Row],[Order_ID]],3)</f>
        <v>ORD</v>
      </c>
      <c r="AD839" s="19" t="str">
        <f>RIGHT(SalesData[[#This Row],[Order_ID]],4)</f>
        <v>0786</v>
      </c>
      <c r="AE839" s="19" t="str">
        <f>_xlfn.CONCAT(SalesData[[#This Row],[Clean_Customer_Name]],"-",SalesData[[#This Row],[Region]])</f>
        <v>Anjali Patel-East</v>
      </c>
      <c r="AF839" s="19" t="str">
        <f>MID(SalesData[[#This Row],[Order_ID]],4,4)</f>
        <v>0786</v>
      </c>
      <c r="AG839" s="19" t="e">
        <f ca="1">_xlfn.SINGLE(_xlfn.XLOOKUP(SalesData[[#This Row],[Product]],Product_Master!A:A,Product_Master!B:B,"Not Found"))</f>
        <v>#NAME?</v>
      </c>
      <c r="AH839" s="19" t="str">
        <f>VLOOKUP(SalesData[[#This Row],[Product]],Product_Master!$A$1:$B$21,2,FALSE)</f>
        <v>Neha</v>
      </c>
      <c r="AI839" s="16"/>
    </row>
    <row r="840" spans="1:35" ht="13.8">
      <c r="A840" s="16" t="s">
        <v>567</v>
      </c>
      <c r="B840" s="17">
        <v>45314</v>
      </c>
      <c r="C840" s="16" t="s">
        <v>36</v>
      </c>
      <c r="D840" s="16" t="s">
        <v>37</v>
      </c>
      <c r="E840" s="16" t="s">
        <v>152</v>
      </c>
      <c r="F840" s="16" t="s">
        <v>153</v>
      </c>
      <c r="G840" s="16" t="s">
        <v>21</v>
      </c>
      <c r="H840" s="16" t="s">
        <v>32</v>
      </c>
      <c r="I840" s="16" t="s">
        <v>84</v>
      </c>
      <c r="J840" s="16" t="s">
        <v>85</v>
      </c>
      <c r="K840" s="18">
        <v>49135.3</v>
      </c>
      <c r="L840" s="18">
        <v>40037.050000000003</v>
      </c>
      <c r="M840" s="19">
        <v>5</v>
      </c>
      <c r="N840" s="20">
        <v>0</v>
      </c>
      <c r="O840" s="19" t="s">
        <v>136</v>
      </c>
      <c r="P840" s="19" t="s">
        <v>45</v>
      </c>
      <c r="Q840" s="19" t="str">
        <f>TRIM(SalesData[[#This Row],[Customer_Name]])</f>
        <v>Anjali Patel</v>
      </c>
      <c r="R840" s="21">
        <f>SalesData[[#This Row],[Sales]]-SalesData[[#This Row],[Cost]]</f>
        <v>9098.25</v>
      </c>
      <c r="S840" s="22">
        <f>IFERROR(SalesData[[#This Row],[Profit]]/SalesData[[#This Row],[Sales]],0)</f>
        <v>0.18516728299206475</v>
      </c>
      <c r="T840" s="19">
        <f>YEAR(SalesData[[#This Row],[Order_Date]])</f>
        <v>2024</v>
      </c>
      <c r="U840" s="19" t="str">
        <f>TEXT(SalesData[[#This Row],[Order_Date]],"mmm")</f>
        <v>Jan</v>
      </c>
      <c r="V840" s="19" t="str">
        <f>"Q"&amp;ROUNDUP(MONTH(SalesData[[#This Row],[Order_Date]])/3,0)</f>
        <v>Q1</v>
      </c>
      <c r="W840" s="19" t="str">
        <f>IF(SalesData[[#This Row],[Sales]]&gt;=50000,"High",IF(AND(SalesData[[#This Row],[Sales]]&gt;= 20000, SalesData[[#This Row],[Sales]]&lt; 50000),"Medium","Low"))</f>
        <v>Medium</v>
      </c>
      <c r="X840" s="19" t="str">
        <f>IF(SalesData[[#This Row],[Profit]]&gt;0,"Profit","Loss")</f>
        <v>Profit</v>
      </c>
      <c r="Y840" s="19" t="str">
        <f>IF(AND(SalesData[[#This Row],[Sales]]&gt;= 50000, SalesData[[#This Row],[Quantity]]&gt;=2),"Yes","No")</f>
        <v>No</v>
      </c>
      <c r="Z840" s="19" t="str">
        <f>UPPER(SalesData[[#This Row],[Customer_Name]])</f>
        <v>ANJALI PATEL</v>
      </c>
      <c r="AA840" s="19" t="str">
        <f>LOWER(SalesData[[#This Row],[Customer_Name]])</f>
        <v>anjali patel</v>
      </c>
      <c r="AB840" s="19">
        <f>LEN(SalesData[[#This Row],[Customer_Name]])</f>
        <v>12</v>
      </c>
      <c r="AC840" s="19" t="str">
        <f>LEFT(SalesData[[#This Row],[Order_ID]],3)</f>
        <v>ORD</v>
      </c>
      <c r="AD840" s="19" t="str">
        <f>RIGHT(SalesData[[#This Row],[Order_ID]],4)</f>
        <v>0414</v>
      </c>
      <c r="AE840" s="19" t="str">
        <f>_xlfn.CONCAT(SalesData[[#This Row],[Clean_Customer_Name]],"-",SalesData[[#This Row],[Region]])</f>
        <v>Anjali Patel-South</v>
      </c>
      <c r="AF840" s="19" t="str">
        <f>MID(SalesData[[#This Row],[Order_ID]],4,4)</f>
        <v>0414</v>
      </c>
      <c r="AG840" s="19" t="e">
        <f ca="1">_xlfn.SINGLE(_xlfn.XLOOKUP(SalesData[[#This Row],[Product]],Product_Master!A:A,Product_Master!B:B,"Not Found"))</f>
        <v>#NAME?</v>
      </c>
      <c r="AH840" s="19" t="str">
        <f>VLOOKUP(SalesData[[#This Row],[Product]],Product_Master!$A$1:$B$21,2,FALSE)</f>
        <v>Simran</v>
      </c>
      <c r="AI840" s="16"/>
    </row>
    <row r="841" spans="1:35" ht="13.8">
      <c r="A841" s="16" t="s">
        <v>790</v>
      </c>
      <c r="B841" s="17">
        <v>45923</v>
      </c>
      <c r="C841" s="16" t="s">
        <v>36</v>
      </c>
      <c r="D841" s="16" t="s">
        <v>37</v>
      </c>
      <c r="E841" s="16" t="s">
        <v>152</v>
      </c>
      <c r="F841" s="16" t="s">
        <v>153</v>
      </c>
      <c r="G841" s="16" t="s">
        <v>21</v>
      </c>
      <c r="H841" s="16" t="s">
        <v>32</v>
      </c>
      <c r="I841" s="16" t="s">
        <v>53</v>
      </c>
      <c r="J841" s="16" t="s">
        <v>102</v>
      </c>
      <c r="K841" s="18">
        <v>31644.59</v>
      </c>
      <c r="L841" s="18">
        <v>25981.74</v>
      </c>
      <c r="M841" s="19">
        <v>3</v>
      </c>
      <c r="N841" s="20">
        <v>0.1</v>
      </c>
      <c r="O841" s="19" t="s">
        <v>44</v>
      </c>
      <c r="P841" s="19" t="s">
        <v>98</v>
      </c>
      <c r="Q841" s="19" t="str">
        <f>TRIM(SalesData[[#This Row],[Customer_Name]])</f>
        <v>Anjali Patel</v>
      </c>
      <c r="R841" s="21">
        <f>SalesData[[#This Row],[Sales]]-SalesData[[#This Row],[Cost]]</f>
        <v>5662.8499999999985</v>
      </c>
      <c r="S841" s="22">
        <f>IFERROR(SalesData[[#This Row],[Profit]]/SalesData[[#This Row],[Sales]],0)</f>
        <v>0.17895159962571797</v>
      </c>
      <c r="T841" s="19">
        <f>YEAR(SalesData[[#This Row],[Order_Date]])</f>
        <v>2025</v>
      </c>
      <c r="U841" s="19" t="str">
        <f>TEXT(SalesData[[#This Row],[Order_Date]],"mmm")</f>
        <v>Sept</v>
      </c>
      <c r="V841" s="19" t="str">
        <f>"Q"&amp;ROUNDUP(MONTH(SalesData[[#This Row],[Order_Date]])/3,0)</f>
        <v>Q3</v>
      </c>
      <c r="W841" s="19" t="str">
        <f>IF(SalesData[[#This Row],[Sales]]&gt;=50000,"High",IF(AND(SalesData[[#This Row],[Sales]]&gt;= 20000, SalesData[[#This Row],[Sales]]&lt; 50000),"Medium","Low"))</f>
        <v>Medium</v>
      </c>
      <c r="X841" s="19" t="str">
        <f>IF(SalesData[[#This Row],[Profit]]&gt;0,"Profit","Loss")</f>
        <v>Profit</v>
      </c>
      <c r="Y841" s="19" t="str">
        <f>IF(AND(SalesData[[#This Row],[Sales]]&gt;= 50000, SalesData[[#This Row],[Quantity]]&gt;=2),"Yes","No")</f>
        <v>No</v>
      </c>
      <c r="Z841" s="19" t="str">
        <f>UPPER(SalesData[[#This Row],[Customer_Name]])</f>
        <v>ANJALI PATEL</v>
      </c>
      <c r="AA841" s="19" t="str">
        <f>LOWER(SalesData[[#This Row],[Customer_Name]])</f>
        <v>anjali patel</v>
      </c>
      <c r="AB841" s="19">
        <f>LEN(SalesData[[#This Row],[Customer_Name]])</f>
        <v>12</v>
      </c>
      <c r="AC841" s="19" t="str">
        <f>LEFT(SalesData[[#This Row],[Order_ID]],3)</f>
        <v>ORD</v>
      </c>
      <c r="AD841" s="19" t="str">
        <f>RIGHT(SalesData[[#This Row],[Order_ID]],4)</f>
        <v>0637</v>
      </c>
      <c r="AE841" s="19" t="str">
        <f>_xlfn.CONCAT(SalesData[[#This Row],[Clean_Customer_Name]],"-",SalesData[[#This Row],[Region]])</f>
        <v>Anjali Patel-Central</v>
      </c>
      <c r="AF841" s="19" t="str">
        <f>MID(SalesData[[#This Row],[Order_ID]],4,4)</f>
        <v>0637</v>
      </c>
      <c r="AG841" s="19" t="e">
        <f ca="1">_xlfn.SINGLE(_xlfn.XLOOKUP(SalesData[[#This Row],[Product]],Product_Master!A:A,Product_Master!B:B,"Not Found"))</f>
        <v>#NAME?</v>
      </c>
      <c r="AH841" s="19" t="str">
        <f>VLOOKUP(SalesData[[#This Row],[Product]],Product_Master!$A$1:$B$21,2,FALSE)</f>
        <v>Simran</v>
      </c>
      <c r="AI841" s="16"/>
    </row>
    <row r="842" spans="1:35" ht="13.8">
      <c r="A842" s="16" t="s">
        <v>838</v>
      </c>
      <c r="B842" s="17">
        <v>45468</v>
      </c>
      <c r="C842" s="16" t="s">
        <v>36</v>
      </c>
      <c r="D842" s="16" t="s">
        <v>37</v>
      </c>
      <c r="E842" s="16" t="s">
        <v>152</v>
      </c>
      <c r="F842" s="16" t="s">
        <v>153</v>
      </c>
      <c r="G842" s="16" t="s">
        <v>21</v>
      </c>
      <c r="H842" s="16" t="s">
        <v>32</v>
      </c>
      <c r="I842" s="16" t="s">
        <v>23</v>
      </c>
      <c r="J842" s="16" t="s">
        <v>24</v>
      </c>
      <c r="K842" s="18">
        <v>14738</v>
      </c>
      <c r="L842" s="18">
        <v>8647.4599999999991</v>
      </c>
      <c r="M842" s="19">
        <v>1</v>
      </c>
      <c r="N842" s="20">
        <v>0</v>
      </c>
      <c r="O842" s="19" t="s">
        <v>136</v>
      </c>
      <c r="P842" s="19" t="s">
        <v>58</v>
      </c>
      <c r="Q842" s="19" t="str">
        <f>TRIM(SalesData[[#This Row],[Customer_Name]])</f>
        <v>Anjali Patel</v>
      </c>
      <c r="R842" s="21">
        <f>SalesData[[#This Row],[Sales]]-SalesData[[#This Row],[Cost]]</f>
        <v>6090.5400000000009</v>
      </c>
      <c r="S842" s="22">
        <f>IFERROR(SalesData[[#This Row],[Profit]]/SalesData[[#This Row],[Sales]],0)</f>
        <v>0.41325417288641614</v>
      </c>
      <c r="T842" s="19">
        <f>YEAR(SalesData[[#This Row],[Order_Date]])</f>
        <v>2024</v>
      </c>
      <c r="U842" s="19" t="str">
        <f>TEXT(SalesData[[#This Row],[Order_Date]],"mmm")</f>
        <v>Jun</v>
      </c>
      <c r="V842" s="19" t="str">
        <f>"Q"&amp;ROUNDUP(MONTH(SalesData[[#This Row],[Order_Date]])/3,0)</f>
        <v>Q2</v>
      </c>
      <c r="W842" s="19" t="str">
        <f>IF(SalesData[[#This Row],[Sales]]&gt;=50000,"High",IF(AND(SalesData[[#This Row],[Sales]]&gt;= 20000, SalesData[[#This Row],[Sales]]&lt; 50000),"Medium","Low"))</f>
        <v>Low</v>
      </c>
      <c r="X842" s="19" t="str">
        <f>IF(SalesData[[#This Row],[Profit]]&gt;0,"Profit","Loss")</f>
        <v>Profit</v>
      </c>
      <c r="Y842" s="19" t="str">
        <f>IF(AND(SalesData[[#This Row],[Sales]]&gt;= 50000, SalesData[[#This Row],[Quantity]]&gt;=2),"Yes","No")</f>
        <v>No</v>
      </c>
      <c r="Z842" s="19" t="str">
        <f>UPPER(SalesData[[#This Row],[Customer_Name]])</f>
        <v>ANJALI PATEL</v>
      </c>
      <c r="AA842" s="19" t="str">
        <f>LOWER(SalesData[[#This Row],[Customer_Name]])</f>
        <v>anjali patel</v>
      </c>
      <c r="AB842" s="19">
        <f>LEN(SalesData[[#This Row],[Customer_Name]])</f>
        <v>12</v>
      </c>
      <c r="AC842" s="19" t="str">
        <f>LEFT(SalesData[[#This Row],[Order_ID]],3)</f>
        <v>ORD</v>
      </c>
      <c r="AD842" s="19" t="str">
        <f>RIGHT(SalesData[[#This Row],[Order_ID]],4)</f>
        <v>0685</v>
      </c>
      <c r="AE842" s="19" t="str">
        <f>_xlfn.CONCAT(SalesData[[#This Row],[Clean_Customer_Name]],"-",SalesData[[#This Row],[Region]])</f>
        <v>Anjali Patel-North</v>
      </c>
      <c r="AF842" s="19" t="str">
        <f>MID(SalesData[[#This Row],[Order_ID]],4,4)</f>
        <v>0685</v>
      </c>
      <c r="AG842" s="19" t="e">
        <f ca="1">_xlfn.SINGLE(_xlfn.XLOOKUP(SalesData[[#This Row],[Product]],Product_Master!A:A,Product_Master!B:B,"Not Found"))</f>
        <v>#NAME?</v>
      </c>
      <c r="AH842" s="19" t="str">
        <f>VLOOKUP(SalesData[[#This Row],[Product]],Product_Master!$A$1:$B$21,2,FALSE)</f>
        <v>Simran</v>
      </c>
      <c r="AI842" s="16"/>
    </row>
    <row r="843" spans="1:35" ht="13.8">
      <c r="A843" s="16" t="s">
        <v>167</v>
      </c>
      <c r="B843" s="17">
        <v>45473</v>
      </c>
      <c r="C843" s="16" t="s">
        <v>36</v>
      </c>
      <c r="D843" s="16" t="s">
        <v>37</v>
      </c>
      <c r="E843" s="16" t="s">
        <v>117</v>
      </c>
      <c r="F843" s="16" t="s">
        <v>118</v>
      </c>
      <c r="G843" s="16" t="s">
        <v>51</v>
      </c>
      <c r="H843" s="16" t="s">
        <v>119</v>
      </c>
      <c r="I843" s="16" t="s">
        <v>53</v>
      </c>
      <c r="J843" s="16" t="s">
        <v>54</v>
      </c>
      <c r="K843" s="18">
        <v>33947.71</v>
      </c>
      <c r="L843" s="18">
        <v>16289.24</v>
      </c>
      <c r="M843" s="19">
        <v>4</v>
      </c>
      <c r="N843" s="20">
        <v>0.1</v>
      </c>
      <c r="O843" s="19" t="s">
        <v>136</v>
      </c>
      <c r="P843" s="19" t="s">
        <v>58</v>
      </c>
      <c r="Q843" s="19" t="str">
        <f>TRIM(SalesData[[#This Row],[Customer_Name]])</f>
        <v>Anjali Patel</v>
      </c>
      <c r="R843" s="21">
        <f>SalesData[[#This Row],[Sales]]-SalesData[[#This Row],[Cost]]</f>
        <v>17658.47</v>
      </c>
      <c r="S843" s="22">
        <f>IFERROR(SalesData[[#This Row],[Profit]]/SalesData[[#This Row],[Sales]],0)</f>
        <v>0.52016675057021522</v>
      </c>
      <c r="T843" s="19">
        <f>YEAR(SalesData[[#This Row],[Order_Date]])</f>
        <v>2024</v>
      </c>
      <c r="U843" s="19" t="str">
        <f>TEXT(SalesData[[#This Row],[Order_Date]],"mmm")</f>
        <v>Jun</v>
      </c>
      <c r="V843" s="19" t="str">
        <f>"Q"&amp;ROUNDUP(MONTH(SalesData[[#This Row],[Order_Date]])/3,0)</f>
        <v>Q2</v>
      </c>
      <c r="W843" s="19" t="str">
        <f>IF(SalesData[[#This Row],[Sales]]&gt;=50000,"High",IF(AND(SalesData[[#This Row],[Sales]]&gt;= 20000, SalesData[[#This Row],[Sales]]&lt; 50000),"Medium","Low"))</f>
        <v>Medium</v>
      </c>
      <c r="X843" s="19" t="str">
        <f>IF(SalesData[[#This Row],[Profit]]&gt;0,"Profit","Loss")</f>
        <v>Profit</v>
      </c>
      <c r="Y843" s="19" t="str">
        <f>IF(AND(SalesData[[#This Row],[Sales]]&gt;= 50000, SalesData[[#This Row],[Quantity]]&gt;=2),"Yes","No")</f>
        <v>No</v>
      </c>
      <c r="Z843" s="19" t="str">
        <f>UPPER(SalesData[[#This Row],[Customer_Name]])</f>
        <v>ANJALI PATEL</v>
      </c>
      <c r="AA843" s="19" t="str">
        <f>LOWER(SalesData[[#This Row],[Customer_Name]])</f>
        <v>anjali patel</v>
      </c>
      <c r="AB843" s="19">
        <f>LEN(SalesData[[#This Row],[Customer_Name]])</f>
        <v>12</v>
      </c>
      <c r="AC843" s="19" t="str">
        <f>LEFT(SalesData[[#This Row],[Order_ID]],3)</f>
        <v>ORD</v>
      </c>
      <c r="AD843" s="19" t="str">
        <f>RIGHT(SalesData[[#This Row],[Order_ID]],4)</f>
        <v>0041</v>
      </c>
      <c r="AE843" s="19" t="str">
        <f>_xlfn.CONCAT(SalesData[[#This Row],[Clean_Customer_Name]],"-",SalesData[[#This Row],[Region]])</f>
        <v>Anjali Patel-Central</v>
      </c>
      <c r="AF843" s="19" t="str">
        <f>MID(SalesData[[#This Row],[Order_ID]],4,4)</f>
        <v>0041</v>
      </c>
      <c r="AG843" s="19" t="e">
        <f ca="1">_xlfn.SINGLE(_xlfn.XLOOKUP(SalesData[[#This Row],[Product]],Product_Master!A:A,Product_Master!B:B,"Not Found"))</f>
        <v>#NAME?</v>
      </c>
      <c r="AH843" s="19" t="str">
        <f>VLOOKUP(SalesData[[#This Row],[Product]],Product_Master!$A$1:$B$21,2,FALSE)</f>
        <v>Karan</v>
      </c>
      <c r="AI843" s="16"/>
    </row>
    <row r="844" spans="1:35" ht="13.8">
      <c r="A844" s="16" t="s">
        <v>356</v>
      </c>
      <c r="B844" s="17">
        <v>45627</v>
      </c>
      <c r="C844" s="16" t="s">
        <v>36</v>
      </c>
      <c r="D844" s="16" t="s">
        <v>37</v>
      </c>
      <c r="E844" s="16" t="s">
        <v>117</v>
      </c>
      <c r="F844" s="16" t="s">
        <v>118</v>
      </c>
      <c r="G844" s="16" t="s">
        <v>51</v>
      </c>
      <c r="H844" s="16" t="s">
        <v>119</v>
      </c>
      <c r="I844" s="16" t="s">
        <v>53</v>
      </c>
      <c r="J844" s="16" t="s">
        <v>102</v>
      </c>
      <c r="K844" s="18">
        <v>29314.2</v>
      </c>
      <c r="L844" s="18">
        <v>23495.1</v>
      </c>
      <c r="M844" s="19">
        <v>5</v>
      </c>
      <c r="N844" s="20">
        <v>0.05</v>
      </c>
      <c r="O844" s="19" t="s">
        <v>136</v>
      </c>
      <c r="P844" s="19" t="s">
        <v>98</v>
      </c>
      <c r="Q844" s="19" t="str">
        <f>TRIM(SalesData[[#This Row],[Customer_Name]])</f>
        <v>Anjali Patel</v>
      </c>
      <c r="R844" s="21">
        <f>SalesData[[#This Row],[Sales]]-SalesData[[#This Row],[Cost]]</f>
        <v>5819.1000000000022</v>
      </c>
      <c r="S844" s="22">
        <f>IFERROR(SalesData[[#This Row],[Profit]]/SalesData[[#This Row],[Sales]],0)</f>
        <v>0.19850789037394853</v>
      </c>
      <c r="T844" s="19">
        <f>YEAR(SalesData[[#This Row],[Order_Date]])</f>
        <v>2024</v>
      </c>
      <c r="U844" s="19" t="str">
        <f>TEXT(SalesData[[#This Row],[Order_Date]],"mmm")</f>
        <v>Dec</v>
      </c>
      <c r="V844" s="19" t="str">
        <f>"Q"&amp;ROUNDUP(MONTH(SalesData[[#This Row],[Order_Date]])/3,0)</f>
        <v>Q4</v>
      </c>
      <c r="W844" s="19" t="str">
        <f>IF(SalesData[[#This Row],[Sales]]&gt;=50000,"High",IF(AND(SalesData[[#This Row],[Sales]]&gt;= 20000, SalesData[[#This Row],[Sales]]&lt; 50000),"Medium","Low"))</f>
        <v>Medium</v>
      </c>
      <c r="X844" s="19" t="str">
        <f>IF(SalesData[[#This Row],[Profit]]&gt;0,"Profit","Loss")</f>
        <v>Profit</v>
      </c>
      <c r="Y844" s="19" t="str">
        <f>IF(AND(SalesData[[#This Row],[Sales]]&gt;= 50000, SalesData[[#This Row],[Quantity]]&gt;=2),"Yes","No")</f>
        <v>No</v>
      </c>
      <c r="Z844" s="19" t="str">
        <f>UPPER(SalesData[[#This Row],[Customer_Name]])</f>
        <v>ANJALI PATEL</v>
      </c>
      <c r="AA844" s="19" t="str">
        <f>LOWER(SalesData[[#This Row],[Customer_Name]])</f>
        <v>anjali patel</v>
      </c>
      <c r="AB844" s="19">
        <f>LEN(SalesData[[#This Row],[Customer_Name]])</f>
        <v>12</v>
      </c>
      <c r="AC844" s="19" t="str">
        <f>LEFT(SalesData[[#This Row],[Order_ID]],3)</f>
        <v>ORD</v>
      </c>
      <c r="AD844" s="19" t="str">
        <f>RIGHT(SalesData[[#This Row],[Order_ID]],4)</f>
        <v>0203</v>
      </c>
      <c r="AE844" s="19" t="str">
        <f>_xlfn.CONCAT(SalesData[[#This Row],[Clean_Customer_Name]],"-",SalesData[[#This Row],[Region]])</f>
        <v>Anjali Patel-Central</v>
      </c>
      <c r="AF844" s="19" t="str">
        <f>MID(SalesData[[#This Row],[Order_ID]],4,4)</f>
        <v>0203</v>
      </c>
      <c r="AG844" s="19" t="e">
        <f ca="1">_xlfn.SINGLE(_xlfn.XLOOKUP(SalesData[[#This Row],[Product]],Product_Master!A:A,Product_Master!B:B,"Not Found"))</f>
        <v>#NAME?</v>
      </c>
      <c r="AH844" s="19" t="str">
        <f>VLOOKUP(SalesData[[#This Row],[Product]],Product_Master!$A$1:$B$21,2,FALSE)</f>
        <v>Karan</v>
      </c>
      <c r="AI844" s="16"/>
    </row>
    <row r="845" spans="1:35" ht="13.8">
      <c r="A845" s="16" t="s">
        <v>416</v>
      </c>
      <c r="B845" s="17">
        <v>45831</v>
      </c>
      <c r="C845" s="16" t="s">
        <v>36</v>
      </c>
      <c r="D845" s="16" t="s">
        <v>37</v>
      </c>
      <c r="E845" s="16" t="s">
        <v>49</v>
      </c>
      <c r="F845" s="16" t="s">
        <v>50</v>
      </c>
      <c r="G845" s="16" t="s">
        <v>51</v>
      </c>
      <c r="H845" s="16" t="s">
        <v>52</v>
      </c>
      <c r="I845" s="16" t="s">
        <v>42</v>
      </c>
      <c r="J845" s="16" t="s">
        <v>43</v>
      </c>
      <c r="K845" s="18">
        <v>26917.85</v>
      </c>
      <c r="L845" s="18">
        <v>22323.9</v>
      </c>
      <c r="M845" s="19">
        <v>3</v>
      </c>
      <c r="N845" s="20">
        <v>0.15</v>
      </c>
      <c r="O845" s="19" t="s">
        <v>25</v>
      </c>
      <c r="P845" s="19" t="s">
        <v>77</v>
      </c>
      <c r="Q845" s="19" t="str">
        <f>TRIM(SalesData[[#This Row],[Customer_Name]])</f>
        <v>Anjali Patel</v>
      </c>
      <c r="R845" s="21">
        <f>SalesData[[#This Row],[Sales]]-SalesData[[#This Row],[Cost]]</f>
        <v>4593.9499999999971</v>
      </c>
      <c r="S845" s="22">
        <f>IFERROR(SalesData[[#This Row],[Profit]]/SalesData[[#This Row],[Sales]],0)</f>
        <v>0.17066556207126488</v>
      </c>
      <c r="T845" s="19">
        <f>YEAR(SalesData[[#This Row],[Order_Date]])</f>
        <v>2025</v>
      </c>
      <c r="U845" s="19" t="str">
        <f>TEXT(SalesData[[#This Row],[Order_Date]],"mmm")</f>
        <v>Jun</v>
      </c>
      <c r="V845" s="19" t="str">
        <f>"Q"&amp;ROUNDUP(MONTH(SalesData[[#This Row],[Order_Date]])/3,0)</f>
        <v>Q2</v>
      </c>
      <c r="W845" s="19" t="str">
        <f>IF(SalesData[[#This Row],[Sales]]&gt;=50000,"High",IF(AND(SalesData[[#This Row],[Sales]]&gt;= 20000, SalesData[[#This Row],[Sales]]&lt; 50000),"Medium","Low"))</f>
        <v>Medium</v>
      </c>
      <c r="X845" s="19" t="str">
        <f>IF(SalesData[[#This Row],[Profit]]&gt;0,"Profit","Loss")</f>
        <v>Profit</v>
      </c>
      <c r="Y845" s="19" t="str">
        <f>IF(AND(SalesData[[#This Row],[Sales]]&gt;= 50000, SalesData[[#This Row],[Quantity]]&gt;=2),"Yes","No")</f>
        <v>No</v>
      </c>
      <c r="Z845" s="19" t="str">
        <f>UPPER(SalesData[[#This Row],[Customer_Name]])</f>
        <v>ANJALI PATEL</v>
      </c>
      <c r="AA845" s="19" t="str">
        <f>LOWER(SalesData[[#This Row],[Customer_Name]])</f>
        <v>anjali patel</v>
      </c>
      <c r="AB845" s="19">
        <f>LEN(SalesData[[#This Row],[Customer_Name]])</f>
        <v>12</v>
      </c>
      <c r="AC845" s="19" t="str">
        <f>LEFT(SalesData[[#This Row],[Order_ID]],3)</f>
        <v>ORD</v>
      </c>
      <c r="AD845" s="19" t="str">
        <f>RIGHT(SalesData[[#This Row],[Order_ID]],4)</f>
        <v>0263</v>
      </c>
      <c r="AE845" s="19" t="str">
        <f>_xlfn.CONCAT(SalesData[[#This Row],[Clean_Customer_Name]],"-",SalesData[[#This Row],[Region]])</f>
        <v>Anjali Patel-East</v>
      </c>
      <c r="AF845" s="19" t="str">
        <f>MID(SalesData[[#This Row],[Order_ID]],4,4)</f>
        <v>0263</v>
      </c>
      <c r="AG845" s="19" t="e">
        <f ca="1">_xlfn.SINGLE(_xlfn.XLOOKUP(SalesData[[#This Row],[Product]],Product_Master!A:A,Product_Master!B:B,"Not Found"))</f>
        <v>#NAME?</v>
      </c>
      <c r="AH845" s="19" t="str">
        <f>VLOOKUP(SalesData[[#This Row],[Product]],Product_Master!$A$1:$B$21,2,FALSE)</f>
        <v>Rohan</v>
      </c>
      <c r="AI845" s="16"/>
    </row>
    <row r="846" spans="1:35" ht="13.8">
      <c r="A846" s="16" t="s">
        <v>719</v>
      </c>
      <c r="B846" s="17">
        <v>45614</v>
      </c>
      <c r="C846" s="16" t="s">
        <v>36</v>
      </c>
      <c r="D846" s="16" t="s">
        <v>37</v>
      </c>
      <c r="E846" s="16" t="s">
        <v>49</v>
      </c>
      <c r="F846" s="16" t="s">
        <v>50</v>
      </c>
      <c r="G846" s="16" t="s">
        <v>51</v>
      </c>
      <c r="H846" s="16" t="s">
        <v>52</v>
      </c>
      <c r="I846" s="16" t="s">
        <v>53</v>
      </c>
      <c r="J846" s="16" t="s">
        <v>102</v>
      </c>
      <c r="K846" s="18">
        <v>15681.97</v>
      </c>
      <c r="L846" s="18">
        <v>7380.13</v>
      </c>
      <c r="M846" s="19">
        <v>1</v>
      </c>
      <c r="N846" s="20">
        <v>0.1</v>
      </c>
      <c r="O846" s="19" t="s">
        <v>34</v>
      </c>
      <c r="P846" s="19" t="s">
        <v>58</v>
      </c>
      <c r="Q846" s="19" t="str">
        <f>TRIM(SalesData[[#This Row],[Customer_Name]])</f>
        <v>Anjali Patel</v>
      </c>
      <c r="R846" s="21">
        <f>SalesData[[#This Row],[Sales]]-SalesData[[#This Row],[Cost]]</f>
        <v>8301.84</v>
      </c>
      <c r="S846" s="22">
        <f>IFERROR(SalesData[[#This Row],[Profit]]/SalesData[[#This Row],[Sales]],0)</f>
        <v>0.52938757056670815</v>
      </c>
      <c r="T846" s="19">
        <f>YEAR(SalesData[[#This Row],[Order_Date]])</f>
        <v>2024</v>
      </c>
      <c r="U846" s="19" t="str">
        <f>TEXT(SalesData[[#This Row],[Order_Date]],"mmm")</f>
        <v>Nov</v>
      </c>
      <c r="V846" s="19" t="str">
        <f>"Q"&amp;ROUNDUP(MONTH(SalesData[[#This Row],[Order_Date]])/3,0)</f>
        <v>Q4</v>
      </c>
      <c r="W846" s="19" t="str">
        <f>IF(SalesData[[#This Row],[Sales]]&gt;=50000,"High",IF(AND(SalesData[[#This Row],[Sales]]&gt;= 20000, SalesData[[#This Row],[Sales]]&lt; 50000),"Medium","Low"))</f>
        <v>Low</v>
      </c>
      <c r="X846" s="19" t="str">
        <f>IF(SalesData[[#This Row],[Profit]]&gt;0,"Profit","Loss")</f>
        <v>Profit</v>
      </c>
      <c r="Y846" s="19" t="str">
        <f>IF(AND(SalesData[[#This Row],[Sales]]&gt;= 50000, SalesData[[#This Row],[Quantity]]&gt;=2),"Yes","No")</f>
        <v>No</v>
      </c>
      <c r="Z846" s="19" t="str">
        <f>UPPER(SalesData[[#This Row],[Customer_Name]])</f>
        <v>ANJALI PATEL</v>
      </c>
      <c r="AA846" s="19" t="str">
        <f>LOWER(SalesData[[#This Row],[Customer_Name]])</f>
        <v>anjali patel</v>
      </c>
      <c r="AB846" s="19">
        <f>LEN(SalesData[[#This Row],[Customer_Name]])</f>
        <v>12</v>
      </c>
      <c r="AC846" s="19" t="str">
        <f>LEFT(SalesData[[#This Row],[Order_ID]],3)</f>
        <v>ORD</v>
      </c>
      <c r="AD846" s="19" t="str">
        <f>RIGHT(SalesData[[#This Row],[Order_ID]],4)</f>
        <v>0566</v>
      </c>
      <c r="AE846" s="19" t="str">
        <f>_xlfn.CONCAT(SalesData[[#This Row],[Clean_Customer_Name]],"-",SalesData[[#This Row],[Region]])</f>
        <v>Anjali Patel-Central</v>
      </c>
      <c r="AF846" s="19" t="str">
        <f>MID(SalesData[[#This Row],[Order_ID]],4,4)</f>
        <v>0566</v>
      </c>
      <c r="AG846" s="19" t="e">
        <f ca="1">_xlfn.SINGLE(_xlfn.XLOOKUP(SalesData[[#This Row],[Product]],Product_Master!A:A,Product_Master!B:B,"Not Found"))</f>
        <v>#NAME?</v>
      </c>
      <c r="AH846" s="19" t="str">
        <f>VLOOKUP(SalesData[[#This Row],[Product]],Product_Master!$A$1:$B$21,2,FALSE)</f>
        <v>Rohan</v>
      </c>
      <c r="AI846" s="16"/>
    </row>
    <row r="847" spans="1:35" ht="13.8">
      <c r="A847" s="16" t="s">
        <v>749</v>
      </c>
      <c r="B847" s="17">
        <v>45501</v>
      </c>
      <c r="C847" s="16" t="s">
        <v>36</v>
      </c>
      <c r="D847" s="16" t="s">
        <v>37</v>
      </c>
      <c r="E847" s="16" t="s">
        <v>49</v>
      </c>
      <c r="F847" s="16" t="s">
        <v>50</v>
      </c>
      <c r="G847" s="16" t="s">
        <v>51</v>
      </c>
      <c r="H847" s="16" t="s">
        <v>52</v>
      </c>
      <c r="I847" s="16" t="s">
        <v>53</v>
      </c>
      <c r="J847" s="16" t="s">
        <v>54</v>
      </c>
      <c r="K847" s="18">
        <v>14908.78</v>
      </c>
      <c r="L847" s="18">
        <v>6547.91</v>
      </c>
      <c r="M847" s="19">
        <v>1</v>
      </c>
      <c r="N847" s="20">
        <v>0.15</v>
      </c>
      <c r="O847" s="19" t="s">
        <v>34</v>
      </c>
      <c r="P847" s="19" t="s">
        <v>98</v>
      </c>
      <c r="Q847" s="19" t="str">
        <f>TRIM(SalesData[[#This Row],[Customer_Name]])</f>
        <v>Anjali Patel</v>
      </c>
      <c r="R847" s="21">
        <f>SalesData[[#This Row],[Sales]]-SalesData[[#This Row],[Cost]]</f>
        <v>8360.8700000000008</v>
      </c>
      <c r="S847" s="22">
        <f>IFERROR(SalesData[[#This Row],[Profit]]/SalesData[[#This Row],[Sales]],0)</f>
        <v>0.56080175574393076</v>
      </c>
      <c r="T847" s="19">
        <f>YEAR(SalesData[[#This Row],[Order_Date]])</f>
        <v>2024</v>
      </c>
      <c r="U847" s="19" t="str">
        <f>TEXT(SalesData[[#This Row],[Order_Date]],"mmm")</f>
        <v>Jul</v>
      </c>
      <c r="V847" s="19" t="str">
        <f>"Q"&amp;ROUNDUP(MONTH(SalesData[[#This Row],[Order_Date]])/3,0)</f>
        <v>Q3</v>
      </c>
      <c r="W847" s="19" t="str">
        <f>IF(SalesData[[#This Row],[Sales]]&gt;=50000,"High",IF(AND(SalesData[[#This Row],[Sales]]&gt;= 20000, SalesData[[#This Row],[Sales]]&lt; 50000),"Medium","Low"))</f>
        <v>Low</v>
      </c>
      <c r="X847" s="19" t="str">
        <f>IF(SalesData[[#This Row],[Profit]]&gt;0,"Profit","Loss")</f>
        <v>Profit</v>
      </c>
      <c r="Y847" s="19" t="str">
        <f>IF(AND(SalesData[[#This Row],[Sales]]&gt;= 50000, SalesData[[#This Row],[Quantity]]&gt;=2),"Yes","No")</f>
        <v>No</v>
      </c>
      <c r="Z847" s="19" t="str">
        <f>UPPER(SalesData[[#This Row],[Customer_Name]])</f>
        <v>ANJALI PATEL</v>
      </c>
      <c r="AA847" s="19" t="str">
        <f>LOWER(SalesData[[#This Row],[Customer_Name]])</f>
        <v>anjali patel</v>
      </c>
      <c r="AB847" s="19">
        <f>LEN(SalesData[[#This Row],[Customer_Name]])</f>
        <v>12</v>
      </c>
      <c r="AC847" s="19" t="str">
        <f>LEFT(SalesData[[#This Row],[Order_ID]],3)</f>
        <v>ORD</v>
      </c>
      <c r="AD847" s="19" t="str">
        <f>RIGHT(SalesData[[#This Row],[Order_ID]],4)</f>
        <v>0596</v>
      </c>
      <c r="AE847" s="19" t="str">
        <f>_xlfn.CONCAT(SalesData[[#This Row],[Clean_Customer_Name]],"-",SalesData[[#This Row],[Region]])</f>
        <v>Anjali Patel-Central</v>
      </c>
      <c r="AF847" s="19" t="str">
        <f>MID(SalesData[[#This Row],[Order_ID]],4,4)</f>
        <v>0596</v>
      </c>
      <c r="AG847" s="19" t="e">
        <f ca="1">_xlfn.SINGLE(_xlfn.XLOOKUP(SalesData[[#This Row],[Product]],Product_Master!A:A,Product_Master!B:B,"Not Found"))</f>
        <v>#NAME?</v>
      </c>
      <c r="AH847" s="19" t="str">
        <f>VLOOKUP(SalesData[[#This Row],[Product]],Product_Master!$A$1:$B$21,2,FALSE)</f>
        <v>Rohan</v>
      </c>
      <c r="AI847" s="16"/>
    </row>
    <row r="848" spans="1:35" ht="13.8">
      <c r="A848" s="16" t="s">
        <v>955</v>
      </c>
      <c r="B848" s="17">
        <v>45564</v>
      </c>
      <c r="C848" s="16" t="s">
        <v>36</v>
      </c>
      <c r="D848" s="16" t="s">
        <v>37</v>
      </c>
      <c r="E848" s="16" t="s">
        <v>49</v>
      </c>
      <c r="F848" s="16" t="s">
        <v>50</v>
      </c>
      <c r="G848" s="16" t="s">
        <v>51</v>
      </c>
      <c r="H848" s="16" t="s">
        <v>52</v>
      </c>
      <c r="I848" s="16" t="s">
        <v>84</v>
      </c>
      <c r="J848" s="16" t="s">
        <v>85</v>
      </c>
      <c r="K848" s="18">
        <v>29890.77</v>
      </c>
      <c r="L848" s="18">
        <v>22035.06</v>
      </c>
      <c r="M848" s="19">
        <v>3</v>
      </c>
      <c r="N848" s="20">
        <v>0.15</v>
      </c>
      <c r="O848" s="19" t="s">
        <v>76</v>
      </c>
      <c r="P848" s="19" t="s">
        <v>58</v>
      </c>
      <c r="Q848" s="19" t="str">
        <f>TRIM(SalesData[[#This Row],[Customer_Name]])</f>
        <v>Anjali Patel</v>
      </c>
      <c r="R848" s="21">
        <f>SalesData[[#This Row],[Sales]]-SalesData[[#This Row],[Cost]]</f>
        <v>7855.7099999999991</v>
      </c>
      <c r="S848" s="22">
        <f>IFERROR(SalesData[[#This Row],[Profit]]/SalesData[[#This Row],[Sales]],0)</f>
        <v>0.26281390542966937</v>
      </c>
      <c r="T848" s="19">
        <f>YEAR(SalesData[[#This Row],[Order_Date]])</f>
        <v>2024</v>
      </c>
      <c r="U848" s="19" t="str">
        <f>TEXT(SalesData[[#This Row],[Order_Date]],"mmm")</f>
        <v>Sept</v>
      </c>
      <c r="V848" s="19" t="str">
        <f>"Q"&amp;ROUNDUP(MONTH(SalesData[[#This Row],[Order_Date]])/3,0)</f>
        <v>Q3</v>
      </c>
      <c r="W848" s="19" t="str">
        <f>IF(SalesData[[#This Row],[Sales]]&gt;=50000,"High",IF(AND(SalesData[[#This Row],[Sales]]&gt;= 20000, SalesData[[#This Row],[Sales]]&lt; 50000),"Medium","Low"))</f>
        <v>Medium</v>
      </c>
      <c r="X848" s="19" t="str">
        <f>IF(SalesData[[#This Row],[Profit]]&gt;0,"Profit","Loss")</f>
        <v>Profit</v>
      </c>
      <c r="Y848" s="19" t="str">
        <f>IF(AND(SalesData[[#This Row],[Sales]]&gt;= 50000, SalesData[[#This Row],[Quantity]]&gt;=2),"Yes","No")</f>
        <v>No</v>
      </c>
      <c r="Z848" s="19" t="str">
        <f>UPPER(SalesData[[#This Row],[Customer_Name]])</f>
        <v>ANJALI PATEL</v>
      </c>
      <c r="AA848" s="19" t="str">
        <f>LOWER(SalesData[[#This Row],[Customer_Name]])</f>
        <v>anjali patel</v>
      </c>
      <c r="AB848" s="19">
        <f>LEN(SalesData[[#This Row],[Customer_Name]])</f>
        <v>12</v>
      </c>
      <c r="AC848" s="19" t="str">
        <f>LEFT(SalesData[[#This Row],[Order_ID]],3)</f>
        <v>ORD</v>
      </c>
      <c r="AD848" s="19" t="str">
        <f>RIGHT(SalesData[[#This Row],[Order_ID]],4)</f>
        <v>0802</v>
      </c>
      <c r="AE848" s="19" t="str">
        <f>_xlfn.CONCAT(SalesData[[#This Row],[Clean_Customer_Name]],"-",SalesData[[#This Row],[Region]])</f>
        <v>Anjali Patel-South</v>
      </c>
      <c r="AF848" s="19" t="str">
        <f>MID(SalesData[[#This Row],[Order_ID]],4,4)</f>
        <v>0802</v>
      </c>
      <c r="AG848" s="19" t="e">
        <f ca="1">_xlfn.SINGLE(_xlfn.XLOOKUP(SalesData[[#This Row],[Product]],Product_Master!A:A,Product_Master!B:B,"Not Found"))</f>
        <v>#NAME?</v>
      </c>
      <c r="AH848" s="19" t="str">
        <f>VLOOKUP(SalesData[[#This Row],[Product]],Product_Master!$A$1:$B$21,2,FALSE)</f>
        <v>Rohan</v>
      </c>
      <c r="AI848" s="16"/>
    </row>
    <row r="849" spans="1:35" ht="13.8">
      <c r="A849" s="16" t="s">
        <v>1052</v>
      </c>
      <c r="B849" s="17">
        <v>45629</v>
      </c>
      <c r="C849" s="16" t="s">
        <v>36</v>
      </c>
      <c r="D849" s="16" t="s">
        <v>37</v>
      </c>
      <c r="E849" s="16" t="s">
        <v>49</v>
      </c>
      <c r="F849" s="16" t="s">
        <v>50</v>
      </c>
      <c r="G849" s="16" t="s">
        <v>51</v>
      </c>
      <c r="H849" s="16" t="s">
        <v>52</v>
      </c>
      <c r="I849" s="16" t="s">
        <v>23</v>
      </c>
      <c r="J849" s="16" t="s">
        <v>75</v>
      </c>
      <c r="K849" s="18">
        <v>42578.97</v>
      </c>
      <c r="L849" s="18">
        <v>19163.939999999999</v>
      </c>
      <c r="M849" s="19">
        <v>3</v>
      </c>
      <c r="N849" s="20">
        <v>0</v>
      </c>
      <c r="O849" s="19" t="s">
        <v>136</v>
      </c>
      <c r="P849" s="19" t="s">
        <v>26</v>
      </c>
      <c r="Q849" s="19" t="str">
        <f>TRIM(SalesData[[#This Row],[Customer_Name]])</f>
        <v>Anjali Patel</v>
      </c>
      <c r="R849" s="21">
        <f>SalesData[[#This Row],[Sales]]-SalesData[[#This Row],[Cost]]</f>
        <v>23415.030000000002</v>
      </c>
      <c r="S849" s="22">
        <f>IFERROR(SalesData[[#This Row],[Profit]]/SalesData[[#This Row],[Sales]],0)</f>
        <v>0.54992006617351241</v>
      </c>
      <c r="T849" s="19">
        <f>YEAR(SalesData[[#This Row],[Order_Date]])</f>
        <v>2024</v>
      </c>
      <c r="U849" s="19" t="str">
        <f>TEXT(SalesData[[#This Row],[Order_Date]],"mmm")</f>
        <v>Dec</v>
      </c>
      <c r="V849" s="19" t="str">
        <f>"Q"&amp;ROUNDUP(MONTH(SalesData[[#This Row],[Order_Date]])/3,0)</f>
        <v>Q4</v>
      </c>
      <c r="W849" s="19" t="str">
        <f>IF(SalesData[[#This Row],[Sales]]&gt;=50000,"High",IF(AND(SalesData[[#This Row],[Sales]]&gt;= 20000, SalesData[[#This Row],[Sales]]&lt; 50000),"Medium","Low"))</f>
        <v>Medium</v>
      </c>
      <c r="X849" s="19" t="str">
        <f>IF(SalesData[[#This Row],[Profit]]&gt;0,"Profit","Loss")</f>
        <v>Profit</v>
      </c>
      <c r="Y849" s="19" t="str">
        <f>IF(AND(SalesData[[#This Row],[Sales]]&gt;= 50000, SalesData[[#This Row],[Quantity]]&gt;=2),"Yes","No")</f>
        <v>No</v>
      </c>
      <c r="Z849" s="19" t="str">
        <f>UPPER(SalesData[[#This Row],[Customer_Name]])</f>
        <v>ANJALI PATEL</v>
      </c>
      <c r="AA849" s="19" t="str">
        <f>LOWER(SalesData[[#This Row],[Customer_Name]])</f>
        <v>anjali patel</v>
      </c>
      <c r="AB849" s="19">
        <f>LEN(SalesData[[#This Row],[Customer_Name]])</f>
        <v>12</v>
      </c>
      <c r="AC849" s="19" t="str">
        <f>LEFT(SalesData[[#This Row],[Order_ID]],3)</f>
        <v>ORD</v>
      </c>
      <c r="AD849" s="19" t="str">
        <f>RIGHT(SalesData[[#This Row],[Order_ID]],4)</f>
        <v>0899</v>
      </c>
      <c r="AE849" s="19" t="str">
        <f>_xlfn.CONCAT(SalesData[[#This Row],[Clean_Customer_Name]],"-",SalesData[[#This Row],[Region]])</f>
        <v>Anjali Patel-North</v>
      </c>
      <c r="AF849" s="19" t="str">
        <f>MID(SalesData[[#This Row],[Order_ID]],4,4)</f>
        <v>0899</v>
      </c>
      <c r="AG849" s="19" t="e">
        <f ca="1">_xlfn.SINGLE(_xlfn.XLOOKUP(SalesData[[#This Row],[Product]],Product_Master!A:A,Product_Master!B:B,"Not Found"))</f>
        <v>#NAME?</v>
      </c>
      <c r="AH849" s="19" t="str">
        <f>VLOOKUP(SalesData[[#This Row],[Product]],Product_Master!$A$1:$B$21,2,FALSE)</f>
        <v>Rohan</v>
      </c>
      <c r="AI849" s="16"/>
    </row>
    <row r="850" spans="1:35" ht="13.8">
      <c r="A850" s="16" t="s">
        <v>395</v>
      </c>
      <c r="B850" s="17">
        <v>45646</v>
      </c>
      <c r="C850" s="16" t="s">
        <v>36</v>
      </c>
      <c r="D850" s="16" t="s">
        <v>37</v>
      </c>
      <c r="E850" s="16" t="s">
        <v>72</v>
      </c>
      <c r="F850" s="16" t="s">
        <v>73</v>
      </c>
      <c r="G850" s="16" t="s">
        <v>51</v>
      </c>
      <c r="H850" s="16" t="s">
        <v>74</v>
      </c>
      <c r="I850" s="16" t="s">
        <v>56</v>
      </c>
      <c r="J850" s="16" t="s">
        <v>191</v>
      </c>
      <c r="K850" s="18">
        <v>19309.02</v>
      </c>
      <c r="L850" s="18">
        <v>7641.04</v>
      </c>
      <c r="M850" s="19">
        <v>2</v>
      </c>
      <c r="N850" s="20">
        <v>0</v>
      </c>
      <c r="O850" s="19" t="s">
        <v>25</v>
      </c>
      <c r="P850" s="19" t="s">
        <v>26</v>
      </c>
      <c r="Q850" s="19" t="str">
        <f>TRIM(SalesData[[#This Row],[Customer_Name]])</f>
        <v>Anjali Patel</v>
      </c>
      <c r="R850" s="21">
        <f>SalesData[[#This Row],[Sales]]-SalesData[[#This Row],[Cost]]</f>
        <v>11667.98</v>
      </c>
      <c r="S850" s="22">
        <f>IFERROR(SalesData[[#This Row],[Profit]]/SalesData[[#This Row],[Sales]],0)</f>
        <v>0.60427613623063203</v>
      </c>
      <c r="T850" s="19">
        <f>YEAR(SalesData[[#This Row],[Order_Date]])</f>
        <v>2024</v>
      </c>
      <c r="U850" s="19" t="str">
        <f>TEXT(SalesData[[#This Row],[Order_Date]],"mmm")</f>
        <v>Dec</v>
      </c>
      <c r="V850" s="19" t="str">
        <f>"Q"&amp;ROUNDUP(MONTH(SalesData[[#This Row],[Order_Date]])/3,0)</f>
        <v>Q4</v>
      </c>
      <c r="W850" s="19" t="str">
        <f>IF(SalesData[[#This Row],[Sales]]&gt;=50000,"High",IF(AND(SalesData[[#This Row],[Sales]]&gt;= 20000, SalesData[[#This Row],[Sales]]&lt; 50000),"Medium","Low"))</f>
        <v>Low</v>
      </c>
      <c r="X850" s="19" t="str">
        <f>IF(SalesData[[#This Row],[Profit]]&gt;0,"Profit","Loss")</f>
        <v>Profit</v>
      </c>
      <c r="Y850" s="19" t="str">
        <f>IF(AND(SalesData[[#This Row],[Sales]]&gt;= 50000, SalesData[[#This Row],[Quantity]]&gt;=2),"Yes","No")</f>
        <v>No</v>
      </c>
      <c r="Z850" s="19" t="str">
        <f>UPPER(SalesData[[#This Row],[Customer_Name]])</f>
        <v>ANJALI PATEL</v>
      </c>
      <c r="AA850" s="19" t="str">
        <f>LOWER(SalesData[[#This Row],[Customer_Name]])</f>
        <v>anjali patel</v>
      </c>
      <c r="AB850" s="19">
        <f>LEN(SalesData[[#This Row],[Customer_Name]])</f>
        <v>12</v>
      </c>
      <c r="AC850" s="19" t="str">
        <f>LEFT(SalesData[[#This Row],[Order_ID]],3)</f>
        <v>ORD</v>
      </c>
      <c r="AD850" s="19" t="str">
        <f>RIGHT(SalesData[[#This Row],[Order_ID]],4)</f>
        <v>0242</v>
      </c>
      <c r="AE850" s="19" t="str">
        <f>_xlfn.CONCAT(SalesData[[#This Row],[Clean_Customer_Name]],"-",SalesData[[#This Row],[Region]])</f>
        <v>Anjali Patel-West</v>
      </c>
      <c r="AF850" s="19" t="str">
        <f>MID(SalesData[[#This Row],[Order_ID]],4,4)</f>
        <v>0242</v>
      </c>
      <c r="AG850" s="19" t="e">
        <f ca="1">_xlfn.SINGLE(_xlfn.XLOOKUP(SalesData[[#This Row],[Product]],Product_Master!A:A,Product_Master!B:B,"Not Found"))</f>
        <v>#NAME?</v>
      </c>
      <c r="AH850" s="19" t="str">
        <f>VLOOKUP(SalesData[[#This Row],[Product]],Product_Master!$A$1:$B$21,2,FALSE)</f>
        <v>Anjali</v>
      </c>
      <c r="AI850" s="16"/>
    </row>
    <row r="851" spans="1:35" ht="13.8">
      <c r="A851" s="16" t="s">
        <v>510</v>
      </c>
      <c r="B851" s="17">
        <v>45838</v>
      </c>
      <c r="C851" s="16" t="s">
        <v>36</v>
      </c>
      <c r="D851" s="16" t="s">
        <v>37</v>
      </c>
      <c r="E851" s="16" t="s">
        <v>72</v>
      </c>
      <c r="F851" s="16" t="s">
        <v>73</v>
      </c>
      <c r="G851" s="16" t="s">
        <v>51</v>
      </c>
      <c r="H851" s="16" t="s">
        <v>74</v>
      </c>
      <c r="I851" s="16" t="s">
        <v>84</v>
      </c>
      <c r="J851" s="16" t="s">
        <v>142</v>
      </c>
      <c r="K851" s="18">
        <v>7769.5</v>
      </c>
      <c r="L851" s="18">
        <v>4211.24</v>
      </c>
      <c r="M851" s="19">
        <v>1</v>
      </c>
      <c r="N851" s="20">
        <v>0.2</v>
      </c>
      <c r="O851" s="19" t="s">
        <v>136</v>
      </c>
      <c r="P851" s="19" t="s">
        <v>77</v>
      </c>
      <c r="Q851" s="19" t="str">
        <f>TRIM(SalesData[[#This Row],[Customer_Name]])</f>
        <v>Anjali Patel</v>
      </c>
      <c r="R851" s="21">
        <f>SalesData[[#This Row],[Sales]]-SalesData[[#This Row],[Cost]]</f>
        <v>3558.26</v>
      </c>
      <c r="S851" s="22">
        <f>IFERROR(SalesData[[#This Row],[Profit]]/SalesData[[#This Row],[Sales]],0)</f>
        <v>0.45797799086170282</v>
      </c>
      <c r="T851" s="19">
        <f>YEAR(SalesData[[#This Row],[Order_Date]])</f>
        <v>2025</v>
      </c>
      <c r="U851" s="19" t="str">
        <f>TEXT(SalesData[[#This Row],[Order_Date]],"mmm")</f>
        <v>Jun</v>
      </c>
      <c r="V851" s="19" t="str">
        <f>"Q"&amp;ROUNDUP(MONTH(SalesData[[#This Row],[Order_Date]])/3,0)</f>
        <v>Q2</v>
      </c>
      <c r="W851" s="19" t="str">
        <f>IF(SalesData[[#This Row],[Sales]]&gt;=50000,"High",IF(AND(SalesData[[#This Row],[Sales]]&gt;= 20000, SalesData[[#This Row],[Sales]]&lt; 50000),"Medium","Low"))</f>
        <v>Low</v>
      </c>
      <c r="X851" s="19" t="str">
        <f>IF(SalesData[[#This Row],[Profit]]&gt;0,"Profit","Loss")</f>
        <v>Profit</v>
      </c>
      <c r="Y851" s="19" t="str">
        <f>IF(AND(SalesData[[#This Row],[Sales]]&gt;= 50000, SalesData[[#This Row],[Quantity]]&gt;=2),"Yes","No")</f>
        <v>No</v>
      </c>
      <c r="Z851" s="19" t="str">
        <f>UPPER(SalesData[[#This Row],[Customer_Name]])</f>
        <v>ANJALI PATEL</v>
      </c>
      <c r="AA851" s="19" t="str">
        <f>LOWER(SalesData[[#This Row],[Customer_Name]])</f>
        <v>anjali patel</v>
      </c>
      <c r="AB851" s="19">
        <f>LEN(SalesData[[#This Row],[Customer_Name]])</f>
        <v>12</v>
      </c>
      <c r="AC851" s="19" t="str">
        <f>LEFT(SalesData[[#This Row],[Order_ID]],3)</f>
        <v>ORD</v>
      </c>
      <c r="AD851" s="19" t="str">
        <f>RIGHT(SalesData[[#This Row],[Order_ID]],4)</f>
        <v>0357</v>
      </c>
      <c r="AE851" s="19" t="str">
        <f>_xlfn.CONCAT(SalesData[[#This Row],[Clean_Customer_Name]],"-",SalesData[[#This Row],[Region]])</f>
        <v>Anjali Patel-South</v>
      </c>
      <c r="AF851" s="19" t="str">
        <f>MID(SalesData[[#This Row],[Order_ID]],4,4)</f>
        <v>0357</v>
      </c>
      <c r="AG851" s="19" t="e">
        <f ca="1">_xlfn.SINGLE(_xlfn.XLOOKUP(SalesData[[#This Row],[Product]],Product_Master!A:A,Product_Master!B:B,"Not Found"))</f>
        <v>#NAME?</v>
      </c>
      <c r="AH851" s="19" t="str">
        <f>VLOOKUP(SalesData[[#This Row],[Product]],Product_Master!$A$1:$B$21,2,FALSE)</f>
        <v>Anjali</v>
      </c>
      <c r="AI851" s="16"/>
    </row>
    <row r="852" spans="1:35" ht="13.8">
      <c r="A852" s="16" t="s">
        <v>664</v>
      </c>
      <c r="B852" s="17">
        <v>45563</v>
      </c>
      <c r="C852" s="16" t="s">
        <v>36</v>
      </c>
      <c r="D852" s="16" t="s">
        <v>37</v>
      </c>
      <c r="E852" s="16" t="s">
        <v>72</v>
      </c>
      <c r="F852" s="16" t="s">
        <v>73</v>
      </c>
      <c r="G852" s="16" t="s">
        <v>51</v>
      </c>
      <c r="H852" s="16" t="s">
        <v>74</v>
      </c>
      <c r="I852" s="16" t="s">
        <v>53</v>
      </c>
      <c r="J852" s="16" t="s">
        <v>102</v>
      </c>
      <c r="K852" s="18">
        <v>14542.19</v>
      </c>
      <c r="L852" s="18">
        <v>7566.74</v>
      </c>
      <c r="M852" s="19">
        <v>2</v>
      </c>
      <c r="N852" s="20">
        <v>0.2</v>
      </c>
      <c r="O852" s="19" t="s">
        <v>44</v>
      </c>
      <c r="P852" s="19" t="s">
        <v>58</v>
      </c>
      <c r="Q852" s="19" t="str">
        <f>TRIM(SalesData[[#This Row],[Customer_Name]])</f>
        <v>Anjali Patel</v>
      </c>
      <c r="R852" s="21">
        <f>SalesData[[#This Row],[Sales]]-SalesData[[#This Row],[Cost]]</f>
        <v>6975.4500000000007</v>
      </c>
      <c r="S852" s="22">
        <f>IFERROR(SalesData[[#This Row],[Profit]]/SalesData[[#This Row],[Sales]],0)</f>
        <v>0.47966984340047825</v>
      </c>
      <c r="T852" s="19">
        <f>YEAR(SalesData[[#This Row],[Order_Date]])</f>
        <v>2024</v>
      </c>
      <c r="U852" s="19" t="str">
        <f>TEXT(SalesData[[#This Row],[Order_Date]],"mmm")</f>
        <v>Sept</v>
      </c>
      <c r="V852" s="19" t="str">
        <f>"Q"&amp;ROUNDUP(MONTH(SalesData[[#This Row],[Order_Date]])/3,0)</f>
        <v>Q3</v>
      </c>
      <c r="W852" s="19" t="str">
        <f>IF(SalesData[[#This Row],[Sales]]&gt;=50000,"High",IF(AND(SalesData[[#This Row],[Sales]]&gt;= 20000, SalesData[[#This Row],[Sales]]&lt; 50000),"Medium","Low"))</f>
        <v>Low</v>
      </c>
      <c r="X852" s="19" t="str">
        <f>IF(SalesData[[#This Row],[Profit]]&gt;0,"Profit","Loss")</f>
        <v>Profit</v>
      </c>
      <c r="Y852" s="19" t="str">
        <f>IF(AND(SalesData[[#This Row],[Sales]]&gt;= 50000, SalesData[[#This Row],[Quantity]]&gt;=2),"Yes","No")</f>
        <v>No</v>
      </c>
      <c r="Z852" s="19" t="str">
        <f>UPPER(SalesData[[#This Row],[Customer_Name]])</f>
        <v>ANJALI PATEL</v>
      </c>
      <c r="AA852" s="19" t="str">
        <f>LOWER(SalesData[[#This Row],[Customer_Name]])</f>
        <v>anjali patel</v>
      </c>
      <c r="AB852" s="19">
        <f>LEN(SalesData[[#This Row],[Customer_Name]])</f>
        <v>12</v>
      </c>
      <c r="AC852" s="19" t="str">
        <f>LEFT(SalesData[[#This Row],[Order_ID]],3)</f>
        <v>ORD</v>
      </c>
      <c r="AD852" s="19" t="str">
        <f>RIGHT(SalesData[[#This Row],[Order_ID]],4)</f>
        <v>0511</v>
      </c>
      <c r="AE852" s="19" t="str">
        <f>_xlfn.CONCAT(SalesData[[#This Row],[Clean_Customer_Name]],"-",SalesData[[#This Row],[Region]])</f>
        <v>Anjali Patel-Central</v>
      </c>
      <c r="AF852" s="19" t="str">
        <f>MID(SalesData[[#This Row],[Order_ID]],4,4)</f>
        <v>0511</v>
      </c>
      <c r="AG852" s="19" t="e">
        <f ca="1">_xlfn.SINGLE(_xlfn.XLOOKUP(SalesData[[#This Row],[Product]],Product_Master!A:A,Product_Master!B:B,"Not Found"))</f>
        <v>#NAME?</v>
      </c>
      <c r="AH852" s="19" t="str">
        <f>VLOOKUP(SalesData[[#This Row],[Product]],Product_Master!$A$1:$B$21,2,FALSE)</f>
        <v>Anjali</v>
      </c>
      <c r="AI852" s="16"/>
    </row>
    <row r="853" spans="1:35" ht="13.8">
      <c r="A853" s="16" t="s">
        <v>923</v>
      </c>
      <c r="B853" s="17">
        <v>45611</v>
      </c>
      <c r="C853" s="16" t="s">
        <v>36</v>
      </c>
      <c r="D853" s="16" t="s">
        <v>37</v>
      </c>
      <c r="E853" s="16" t="s">
        <v>72</v>
      </c>
      <c r="F853" s="16" t="s">
        <v>73</v>
      </c>
      <c r="G853" s="16" t="s">
        <v>51</v>
      </c>
      <c r="H853" s="16" t="s">
        <v>74</v>
      </c>
      <c r="I853" s="16" t="s">
        <v>42</v>
      </c>
      <c r="J853" s="16" t="s">
        <v>68</v>
      </c>
      <c r="K853" s="18">
        <v>37249.699999999997</v>
      </c>
      <c r="L853" s="18">
        <v>18339.75</v>
      </c>
      <c r="M853" s="19">
        <v>5</v>
      </c>
      <c r="N853" s="20">
        <v>0.1</v>
      </c>
      <c r="O853" s="19" t="s">
        <v>25</v>
      </c>
      <c r="P853" s="19" t="s">
        <v>77</v>
      </c>
      <c r="Q853" s="19" t="str">
        <f>TRIM(SalesData[[#This Row],[Customer_Name]])</f>
        <v>Anjali Patel</v>
      </c>
      <c r="R853" s="21">
        <f>SalesData[[#This Row],[Sales]]-SalesData[[#This Row],[Cost]]</f>
        <v>18909.949999999997</v>
      </c>
      <c r="S853" s="22">
        <f>IFERROR(SalesData[[#This Row],[Profit]]/SalesData[[#This Row],[Sales]],0)</f>
        <v>0.5076537529161308</v>
      </c>
      <c r="T853" s="19">
        <f>YEAR(SalesData[[#This Row],[Order_Date]])</f>
        <v>2024</v>
      </c>
      <c r="U853" s="19" t="str">
        <f>TEXT(SalesData[[#This Row],[Order_Date]],"mmm")</f>
        <v>Nov</v>
      </c>
      <c r="V853" s="19" t="str">
        <f>"Q"&amp;ROUNDUP(MONTH(SalesData[[#This Row],[Order_Date]])/3,0)</f>
        <v>Q4</v>
      </c>
      <c r="W853" s="19" t="str">
        <f>IF(SalesData[[#This Row],[Sales]]&gt;=50000,"High",IF(AND(SalesData[[#This Row],[Sales]]&gt;= 20000, SalesData[[#This Row],[Sales]]&lt; 50000),"Medium","Low"))</f>
        <v>Medium</v>
      </c>
      <c r="X853" s="19" t="str">
        <f>IF(SalesData[[#This Row],[Profit]]&gt;0,"Profit","Loss")</f>
        <v>Profit</v>
      </c>
      <c r="Y853" s="19" t="str">
        <f>IF(AND(SalesData[[#This Row],[Sales]]&gt;= 50000, SalesData[[#This Row],[Quantity]]&gt;=2),"Yes","No")</f>
        <v>No</v>
      </c>
      <c r="Z853" s="19" t="str">
        <f>UPPER(SalesData[[#This Row],[Customer_Name]])</f>
        <v>ANJALI PATEL</v>
      </c>
      <c r="AA853" s="19" t="str">
        <f>LOWER(SalesData[[#This Row],[Customer_Name]])</f>
        <v>anjali patel</v>
      </c>
      <c r="AB853" s="19">
        <f>LEN(SalesData[[#This Row],[Customer_Name]])</f>
        <v>12</v>
      </c>
      <c r="AC853" s="19" t="str">
        <f>LEFT(SalesData[[#This Row],[Order_ID]],3)</f>
        <v>ORD</v>
      </c>
      <c r="AD853" s="19" t="str">
        <f>RIGHT(SalesData[[#This Row],[Order_ID]],4)</f>
        <v>0770</v>
      </c>
      <c r="AE853" s="19" t="str">
        <f>_xlfn.CONCAT(SalesData[[#This Row],[Clean_Customer_Name]],"-",SalesData[[#This Row],[Region]])</f>
        <v>Anjali Patel-East</v>
      </c>
      <c r="AF853" s="19" t="str">
        <f>MID(SalesData[[#This Row],[Order_ID]],4,4)</f>
        <v>0770</v>
      </c>
      <c r="AG853" s="19" t="e">
        <f ca="1">_xlfn.SINGLE(_xlfn.XLOOKUP(SalesData[[#This Row],[Product]],Product_Master!A:A,Product_Master!B:B,"Not Found"))</f>
        <v>#NAME?</v>
      </c>
      <c r="AH853" s="19" t="str">
        <f>VLOOKUP(SalesData[[#This Row],[Product]],Product_Master!$A$1:$B$21,2,FALSE)</f>
        <v>Anjali</v>
      </c>
      <c r="AI853" s="16"/>
    </row>
    <row r="854" spans="1:35" ht="13.8">
      <c r="A854" s="16" t="s">
        <v>474</v>
      </c>
      <c r="B854" s="17">
        <v>45378</v>
      </c>
      <c r="C854" s="16" t="s">
        <v>36</v>
      </c>
      <c r="D854" s="16" t="s">
        <v>37</v>
      </c>
      <c r="E854" s="16" t="s">
        <v>175</v>
      </c>
      <c r="F854" s="16" t="s">
        <v>176</v>
      </c>
      <c r="G854" s="16" t="s">
        <v>51</v>
      </c>
      <c r="H854" s="16" t="s">
        <v>177</v>
      </c>
      <c r="I854" s="16" t="s">
        <v>42</v>
      </c>
      <c r="J854" s="16" t="s">
        <v>68</v>
      </c>
      <c r="K854" s="18">
        <v>42188.98</v>
      </c>
      <c r="L854" s="18">
        <v>32341.74</v>
      </c>
      <c r="M854" s="19">
        <v>2</v>
      </c>
      <c r="N854" s="20">
        <v>0.2</v>
      </c>
      <c r="O854" s="19" t="s">
        <v>44</v>
      </c>
      <c r="P854" s="19" t="s">
        <v>58</v>
      </c>
      <c r="Q854" s="19" t="str">
        <f>TRIM(SalesData[[#This Row],[Customer_Name]])</f>
        <v>Anjali Patel</v>
      </c>
      <c r="R854" s="21">
        <f>SalesData[[#This Row],[Sales]]-SalesData[[#This Row],[Cost]]</f>
        <v>9847.2400000000016</v>
      </c>
      <c r="S854" s="22">
        <f>IFERROR(SalesData[[#This Row],[Profit]]/SalesData[[#This Row],[Sales]],0)</f>
        <v>0.23340787096535637</v>
      </c>
      <c r="T854" s="19">
        <f>YEAR(SalesData[[#This Row],[Order_Date]])</f>
        <v>2024</v>
      </c>
      <c r="U854" s="19" t="str">
        <f>TEXT(SalesData[[#This Row],[Order_Date]],"mmm")</f>
        <v>Mar</v>
      </c>
      <c r="V854" s="19" t="str">
        <f>"Q"&amp;ROUNDUP(MONTH(SalesData[[#This Row],[Order_Date]])/3,0)</f>
        <v>Q1</v>
      </c>
      <c r="W854" s="19" t="str">
        <f>IF(SalesData[[#This Row],[Sales]]&gt;=50000,"High",IF(AND(SalesData[[#This Row],[Sales]]&gt;= 20000, SalesData[[#This Row],[Sales]]&lt; 50000),"Medium","Low"))</f>
        <v>Medium</v>
      </c>
      <c r="X854" s="19" t="str">
        <f>IF(SalesData[[#This Row],[Profit]]&gt;0,"Profit","Loss")</f>
        <v>Profit</v>
      </c>
      <c r="Y854" s="19" t="str">
        <f>IF(AND(SalesData[[#This Row],[Sales]]&gt;= 50000, SalesData[[#This Row],[Quantity]]&gt;=2),"Yes","No")</f>
        <v>No</v>
      </c>
      <c r="Z854" s="19" t="str">
        <f>UPPER(SalesData[[#This Row],[Customer_Name]])</f>
        <v>ANJALI PATEL</v>
      </c>
      <c r="AA854" s="19" t="str">
        <f>LOWER(SalesData[[#This Row],[Customer_Name]])</f>
        <v>anjali patel</v>
      </c>
      <c r="AB854" s="19">
        <f>LEN(SalesData[[#This Row],[Customer_Name]])</f>
        <v>12</v>
      </c>
      <c r="AC854" s="19" t="str">
        <f>LEFT(SalesData[[#This Row],[Order_ID]],3)</f>
        <v>ORD</v>
      </c>
      <c r="AD854" s="19" t="str">
        <f>RIGHT(SalesData[[#This Row],[Order_ID]],4)</f>
        <v>0321</v>
      </c>
      <c r="AE854" s="19" t="str">
        <f>_xlfn.CONCAT(SalesData[[#This Row],[Clean_Customer_Name]],"-",SalesData[[#This Row],[Region]])</f>
        <v>Anjali Patel-East</v>
      </c>
      <c r="AF854" s="19" t="str">
        <f>MID(SalesData[[#This Row],[Order_ID]],4,4)</f>
        <v>0321</v>
      </c>
      <c r="AG854" s="19" t="e">
        <f ca="1">_xlfn.SINGLE(_xlfn.XLOOKUP(SalesData[[#This Row],[Product]],Product_Master!A:A,Product_Master!B:B,"Not Found"))</f>
        <v>#NAME?</v>
      </c>
      <c r="AH854" s="19" t="str">
        <f>VLOOKUP(SalesData[[#This Row],[Product]],Product_Master!$A$1:$B$21,2,FALSE)</f>
        <v>Arjun</v>
      </c>
      <c r="AI854" s="16"/>
    </row>
    <row r="855" spans="1:35" ht="13.8">
      <c r="A855" s="16" t="s">
        <v>549</v>
      </c>
      <c r="B855" s="17">
        <v>45604</v>
      </c>
      <c r="C855" s="16" t="s">
        <v>36</v>
      </c>
      <c r="D855" s="16" t="s">
        <v>37</v>
      </c>
      <c r="E855" s="16" t="s">
        <v>175</v>
      </c>
      <c r="F855" s="16" t="s">
        <v>176</v>
      </c>
      <c r="G855" s="16" t="s">
        <v>51</v>
      </c>
      <c r="H855" s="16" t="s">
        <v>177</v>
      </c>
      <c r="I855" s="16" t="s">
        <v>42</v>
      </c>
      <c r="J855" s="16" t="s">
        <v>43</v>
      </c>
      <c r="K855" s="18">
        <v>62696.08</v>
      </c>
      <c r="L855" s="18">
        <v>47268.54</v>
      </c>
      <c r="M855" s="19">
        <v>3</v>
      </c>
      <c r="N855" s="20">
        <v>0.1</v>
      </c>
      <c r="O855" s="19" t="s">
        <v>136</v>
      </c>
      <c r="P855" s="19" t="s">
        <v>45</v>
      </c>
      <c r="Q855" s="19" t="str">
        <f>TRIM(SalesData[[#This Row],[Customer_Name]])</f>
        <v>Anjali Patel</v>
      </c>
      <c r="R855" s="21">
        <f>SalesData[[#This Row],[Sales]]-SalesData[[#This Row],[Cost]]</f>
        <v>15427.54</v>
      </c>
      <c r="S855" s="22">
        <f>IFERROR(SalesData[[#This Row],[Profit]]/SalesData[[#This Row],[Sales]],0)</f>
        <v>0.24606865373401335</v>
      </c>
      <c r="T855" s="19">
        <f>YEAR(SalesData[[#This Row],[Order_Date]])</f>
        <v>2024</v>
      </c>
      <c r="U855" s="19" t="str">
        <f>TEXT(SalesData[[#This Row],[Order_Date]],"mmm")</f>
        <v>Nov</v>
      </c>
      <c r="V855" s="19" t="str">
        <f>"Q"&amp;ROUNDUP(MONTH(SalesData[[#This Row],[Order_Date]])/3,0)</f>
        <v>Q4</v>
      </c>
      <c r="W855" s="19" t="str">
        <f>IF(SalesData[[#This Row],[Sales]]&gt;=50000,"High",IF(AND(SalesData[[#This Row],[Sales]]&gt;= 20000, SalesData[[#This Row],[Sales]]&lt; 50000),"Medium","Low"))</f>
        <v>High</v>
      </c>
      <c r="X855" s="19" t="str">
        <f>IF(SalesData[[#This Row],[Profit]]&gt;0,"Profit","Loss")</f>
        <v>Profit</v>
      </c>
      <c r="Y855" s="19" t="str">
        <f>IF(AND(SalesData[[#This Row],[Sales]]&gt;= 50000, SalesData[[#This Row],[Quantity]]&gt;=2),"Yes","No")</f>
        <v>Yes</v>
      </c>
      <c r="Z855" s="19" t="str">
        <f>UPPER(SalesData[[#This Row],[Customer_Name]])</f>
        <v>ANJALI PATEL</v>
      </c>
      <c r="AA855" s="19" t="str">
        <f>LOWER(SalesData[[#This Row],[Customer_Name]])</f>
        <v>anjali patel</v>
      </c>
      <c r="AB855" s="19">
        <f>LEN(SalesData[[#This Row],[Customer_Name]])</f>
        <v>12</v>
      </c>
      <c r="AC855" s="19" t="str">
        <f>LEFT(SalesData[[#This Row],[Order_ID]],3)</f>
        <v>ORD</v>
      </c>
      <c r="AD855" s="19" t="str">
        <f>RIGHT(SalesData[[#This Row],[Order_ID]],4)</f>
        <v>0396</v>
      </c>
      <c r="AE855" s="19" t="str">
        <f>_xlfn.CONCAT(SalesData[[#This Row],[Clean_Customer_Name]],"-",SalesData[[#This Row],[Region]])</f>
        <v>Anjali Patel-East</v>
      </c>
      <c r="AF855" s="19" t="str">
        <f>MID(SalesData[[#This Row],[Order_ID]],4,4)</f>
        <v>0396</v>
      </c>
      <c r="AG855" s="19" t="e">
        <f ca="1">_xlfn.SINGLE(_xlfn.XLOOKUP(SalesData[[#This Row],[Product]],Product_Master!A:A,Product_Master!B:B,"Not Found"))</f>
        <v>#NAME?</v>
      </c>
      <c r="AH855" s="19" t="str">
        <f>VLOOKUP(SalesData[[#This Row],[Product]],Product_Master!$A$1:$B$21,2,FALSE)</f>
        <v>Arjun</v>
      </c>
      <c r="AI855" s="16"/>
    </row>
    <row r="856" spans="1:35" ht="13.8">
      <c r="A856" s="16" t="s">
        <v>371</v>
      </c>
      <c r="B856" s="17">
        <v>45587</v>
      </c>
      <c r="C856" s="16" t="s">
        <v>36</v>
      </c>
      <c r="D856" s="16" t="s">
        <v>37</v>
      </c>
      <c r="E856" s="16" t="s">
        <v>123</v>
      </c>
      <c r="F856" s="16" t="s">
        <v>124</v>
      </c>
      <c r="G856" s="16" t="s">
        <v>51</v>
      </c>
      <c r="H856" s="16" t="s">
        <v>125</v>
      </c>
      <c r="I856" s="16" t="s">
        <v>53</v>
      </c>
      <c r="J856" s="16" t="s">
        <v>54</v>
      </c>
      <c r="K856" s="18">
        <v>49102.48</v>
      </c>
      <c r="L856" s="18">
        <v>37369.72</v>
      </c>
      <c r="M856" s="19">
        <v>2</v>
      </c>
      <c r="N856" s="20">
        <v>0.15</v>
      </c>
      <c r="O856" s="19" t="s">
        <v>44</v>
      </c>
      <c r="P856" s="19" t="s">
        <v>45</v>
      </c>
      <c r="Q856" s="19" t="str">
        <f>TRIM(SalesData[[#This Row],[Customer_Name]])</f>
        <v>Anjali Patel</v>
      </c>
      <c r="R856" s="21">
        <f>SalesData[[#This Row],[Sales]]-SalesData[[#This Row],[Cost]]</f>
        <v>11732.760000000002</v>
      </c>
      <c r="S856" s="22">
        <f>IFERROR(SalesData[[#This Row],[Profit]]/SalesData[[#This Row],[Sales]],0)</f>
        <v>0.2389443465991942</v>
      </c>
      <c r="T856" s="19">
        <f>YEAR(SalesData[[#This Row],[Order_Date]])</f>
        <v>2024</v>
      </c>
      <c r="U856" s="19" t="str">
        <f>TEXT(SalesData[[#This Row],[Order_Date]],"mmm")</f>
        <v>Oct</v>
      </c>
      <c r="V856" s="19" t="str">
        <f>"Q"&amp;ROUNDUP(MONTH(SalesData[[#This Row],[Order_Date]])/3,0)</f>
        <v>Q4</v>
      </c>
      <c r="W856" s="19" t="str">
        <f>IF(SalesData[[#This Row],[Sales]]&gt;=50000,"High",IF(AND(SalesData[[#This Row],[Sales]]&gt;= 20000, SalesData[[#This Row],[Sales]]&lt; 50000),"Medium","Low"))</f>
        <v>Medium</v>
      </c>
      <c r="X856" s="19" t="str">
        <f>IF(SalesData[[#This Row],[Profit]]&gt;0,"Profit","Loss")</f>
        <v>Profit</v>
      </c>
      <c r="Y856" s="19" t="str">
        <f>IF(AND(SalesData[[#This Row],[Sales]]&gt;= 50000, SalesData[[#This Row],[Quantity]]&gt;=2),"Yes","No")</f>
        <v>No</v>
      </c>
      <c r="Z856" s="19" t="str">
        <f>UPPER(SalesData[[#This Row],[Customer_Name]])</f>
        <v>ANJALI PATEL</v>
      </c>
      <c r="AA856" s="19" t="str">
        <f>LOWER(SalesData[[#This Row],[Customer_Name]])</f>
        <v>anjali patel</v>
      </c>
      <c r="AB856" s="19">
        <f>LEN(SalesData[[#This Row],[Customer_Name]])</f>
        <v>12</v>
      </c>
      <c r="AC856" s="19" t="str">
        <f>LEFT(SalesData[[#This Row],[Order_ID]],3)</f>
        <v>ORD</v>
      </c>
      <c r="AD856" s="19" t="str">
        <f>RIGHT(SalesData[[#This Row],[Order_ID]],4)</f>
        <v>0218</v>
      </c>
      <c r="AE856" s="19" t="str">
        <f>_xlfn.CONCAT(SalesData[[#This Row],[Clean_Customer_Name]],"-",SalesData[[#This Row],[Region]])</f>
        <v>Anjali Patel-Central</v>
      </c>
      <c r="AF856" s="19" t="str">
        <f>MID(SalesData[[#This Row],[Order_ID]],4,4)</f>
        <v>0218</v>
      </c>
      <c r="AG856" s="19" t="e">
        <f ca="1">_xlfn.SINGLE(_xlfn.XLOOKUP(SalesData[[#This Row],[Product]],Product_Master!A:A,Product_Master!B:B,"Not Found"))</f>
        <v>#NAME?</v>
      </c>
      <c r="AH856" s="19" t="str">
        <f>VLOOKUP(SalesData[[#This Row],[Product]],Product_Master!$A$1:$B$21,2,FALSE)</f>
        <v>Sneha</v>
      </c>
      <c r="AI856" s="16"/>
    </row>
    <row r="857" spans="1:35" ht="13.8">
      <c r="A857" s="16" t="s">
        <v>278</v>
      </c>
      <c r="B857" s="17">
        <v>45443</v>
      </c>
      <c r="C857" s="16" t="s">
        <v>36</v>
      </c>
      <c r="D857" s="16" t="s">
        <v>37</v>
      </c>
      <c r="E857" s="16" t="s">
        <v>110</v>
      </c>
      <c r="F857" s="16" t="s">
        <v>111</v>
      </c>
      <c r="G857" s="16" t="s">
        <v>40</v>
      </c>
      <c r="H857" s="16" t="s">
        <v>112</v>
      </c>
      <c r="I857" s="16" t="s">
        <v>53</v>
      </c>
      <c r="J857" s="16" t="s">
        <v>54</v>
      </c>
      <c r="K857" s="18">
        <v>21291.07</v>
      </c>
      <c r="L857" s="18">
        <v>5403.4</v>
      </c>
      <c r="M857" s="19">
        <v>5</v>
      </c>
      <c r="N857" s="20">
        <v>0.05</v>
      </c>
      <c r="O857" s="19" t="s">
        <v>76</v>
      </c>
      <c r="P857" s="19" t="s">
        <v>45</v>
      </c>
      <c r="Q857" s="19" t="str">
        <f>TRIM(SalesData[[#This Row],[Customer_Name]])</f>
        <v>Anjali Patel</v>
      </c>
      <c r="R857" s="21">
        <f>SalesData[[#This Row],[Sales]]-SalesData[[#This Row],[Cost]]</f>
        <v>15887.67</v>
      </c>
      <c r="S857" s="22">
        <f>IFERROR(SalesData[[#This Row],[Profit]]/SalesData[[#This Row],[Sales]],0)</f>
        <v>0.74621284886104833</v>
      </c>
      <c r="T857" s="19">
        <f>YEAR(SalesData[[#This Row],[Order_Date]])</f>
        <v>2024</v>
      </c>
      <c r="U857" s="19" t="str">
        <f>TEXT(SalesData[[#This Row],[Order_Date]],"mmm")</f>
        <v>May</v>
      </c>
      <c r="V857" s="19" t="str">
        <f>"Q"&amp;ROUNDUP(MONTH(SalesData[[#This Row],[Order_Date]])/3,0)</f>
        <v>Q2</v>
      </c>
      <c r="W857" s="19" t="str">
        <f>IF(SalesData[[#This Row],[Sales]]&gt;=50000,"High",IF(AND(SalesData[[#This Row],[Sales]]&gt;= 20000, SalesData[[#This Row],[Sales]]&lt; 50000),"Medium","Low"))</f>
        <v>Medium</v>
      </c>
      <c r="X857" s="19" t="str">
        <f>IF(SalesData[[#This Row],[Profit]]&gt;0,"Profit","Loss")</f>
        <v>Profit</v>
      </c>
      <c r="Y857" s="19" t="str">
        <f>IF(AND(SalesData[[#This Row],[Sales]]&gt;= 50000, SalesData[[#This Row],[Quantity]]&gt;=2),"Yes","No")</f>
        <v>No</v>
      </c>
      <c r="Z857" s="19" t="str">
        <f>UPPER(SalesData[[#This Row],[Customer_Name]])</f>
        <v>ANJALI PATEL</v>
      </c>
      <c r="AA857" s="19" t="str">
        <f>LOWER(SalesData[[#This Row],[Customer_Name]])</f>
        <v>anjali patel</v>
      </c>
      <c r="AB857" s="19">
        <f>LEN(SalesData[[#This Row],[Customer_Name]])</f>
        <v>12</v>
      </c>
      <c r="AC857" s="19" t="str">
        <f>LEFT(SalesData[[#This Row],[Order_ID]],3)</f>
        <v>ORD</v>
      </c>
      <c r="AD857" s="19" t="str">
        <f>RIGHT(SalesData[[#This Row],[Order_ID]],4)</f>
        <v>0125</v>
      </c>
      <c r="AE857" s="19" t="str">
        <f>_xlfn.CONCAT(SalesData[[#This Row],[Clean_Customer_Name]],"-",SalesData[[#This Row],[Region]])</f>
        <v>Anjali Patel-Central</v>
      </c>
      <c r="AF857" s="19" t="str">
        <f>MID(SalesData[[#This Row],[Order_ID]],4,4)</f>
        <v>0125</v>
      </c>
      <c r="AG857" s="19" t="e">
        <f ca="1">_xlfn.SINGLE(_xlfn.XLOOKUP(SalesData[[#This Row],[Product]],Product_Master!A:A,Product_Master!B:B,"Not Found"))</f>
        <v>#NAME?</v>
      </c>
      <c r="AH857" s="19" t="str">
        <f>VLOOKUP(SalesData[[#This Row],[Product]],Product_Master!$A$1:$B$21,2,FALSE)</f>
        <v>Vikas</v>
      </c>
      <c r="AI857" s="16"/>
    </row>
    <row r="858" spans="1:35" ht="13.8">
      <c r="A858" s="16" t="s">
        <v>488</v>
      </c>
      <c r="B858" s="17">
        <v>45718</v>
      </c>
      <c r="C858" s="16" t="s">
        <v>36</v>
      </c>
      <c r="D858" s="16" t="s">
        <v>37</v>
      </c>
      <c r="E858" s="16" t="s">
        <v>110</v>
      </c>
      <c r="F858" s="16" t="s">
        <v>111</v>
      </c>
      <c r="G858" s="16" t="s">
        <v>40</v>
      </c>
      <c r="H858" s="16" t="s">
        <v>112</v>
      </c>
      <c r="I858" s="16" t="s">
        <v>84</v>
      </c>
      <c r="J858" s="16" t="s">
        <v>85</v>
      </c>
      <c r="K858" s="18">
        <v>4397.6499999999996</v>
      </c>
      <c r="L858" s="18">
        <v>3435.3</v>
      </c>
      <c r="M858" s="19">
        <v>3</v>
      </c>
      <c r="N858" s="20">
        <v>0.1</v>
      </c>
      <c r="O858" s="19" t="s">
        <v>25</v>
      </c>
      <c r="P858" s="19" t="s">
        <v>58</v>
      </c>
      <c r="Q858" s="19" t="str">
        <f>TRIM(SalesData[[#This Row],[Customer_Name]])</f>
        <v>Anjali Patel</v>
      </c>
      <c r="R858" s="21">
        <f>SalesData[[#This Row],[Sales]]-SalesData[[#This Row],[Cost]]</f>
        <v>962.34999999999945</v>
      </c>
      <c r="S858" s="22">
        <f>IFERROR(SalesData[[#This Row],[Profit]]/SalesData[[#This Row],[Sales]],0)</f>
        <v>0.21883278569235831</v>
      </c>
      <c r="T858" s="19">
        <f>YEAR(SalesData[[#This Row],[Order_Date]])</f>
        <v>2025</v>
      </c>
      <c r="U858" s="19" t="str">
        <f>TEXT(SalesData[[#This Row],[Order_Date]],"mmm")</f>
        <v>Mar</v>
      </c>
      <c r="V858" s="19" t="str">
        <f>"Q"&amp;ROUNDUP(MONTH(SalesData[[#This Row],[Order_Date]])/3,0)</f>
        <v>Q1</v>
      </c>
      <c r="W858" s="19" t="str">
        <f>IF(SalesData[[#This Row],[Sales]]&gt;=50000,"High",IF(AND(SalesData[[#This Row],[Sales]]&gt;= 20000, SalesData[[#This Row],[Sales]]&lt; 50000),"Medium","Low"))</f>
        <v>Low</v>
      </c>
      <c r="X858" s="19" t="str">
        <f>IF(SalesData[[#This Row],[Profit]]&gt;0,"Profit","Loss")</f>
        <v>Profit</v>
      </c>
      <c r="Y858" s="19" t="str">
        <f>IF(AND(SalesData[[#This Row],[Sales]]&gt;= 50000, SalesData[[#This Row],[Quantity]]&gt;=2),"Yes","No")</f>
        <v>No</v>
      </c>
      <c r="Z858" s="19" t="str">
        <f>UPPER(SalesData[[#This Row],[Customer_Name]])</f>
        <v>ANJALI PATEL</v>
      </c>
      <c r="AA858" s="19" t="str">
        <f>LOWER(SalesData[[#This Row],[Customer_Name]])</f>
        <v>anjali patel</v>
      </c>
      <c r="AB858" s="19">
        <f>LEN(SalesData[[#This Row],[Customer_Name]])</f>
        <v>12</v>
      </c>
      <c r="AC858" s="19" t="str">
        <f>LEFT(SalesData[[#This Row],[Order_ID]],3)</f>
        <v>ORD</v>
      </c>
      <c r="AD858" s="19" t="str">
        <f>RIGHT(SalesData[[#This Row],[Order_ID]],4)</f>
        <v>0335</v>
      </c>
      <c r="AE858" s="19" t="str">
        <f>_xlfn.CONCAT(SalesData[[#This Row],[Clean_Customer_Name]],"-",SalesData[[#This Row],[Region]])</f>
        <v>Anjali Patel-South</v>
      </c>
      <c r="AF858" s="19" t="str">
        <f>MID(SalesData[[#This Row],[Order_ID]],4,4)</f>
        <v>0335</v>
      </c>
      <c r="AG858" s="19" t="e">
        <f ca="1">_xlfn.SINGLE(_xlfn.XLOOKUP(SalesData[[#This Row],[Product]],Product_Master!A:A,Product_Master!B:B,"Not Found"))</f>
        <v>#NAME?</v>
      </c>
      <c r="AH858" s="19" t="str">
        <f>VLOOKUP(SalesData[[#This Row],[Product]],Product_Master!$A$1:$B$21,2,FALSE)</f>
        <v>Vikas</v>
      </c>
      <c r="AI858" s="16"/>
    </row>
    <row r="859" spans="1:35" ht="13.8">
      <c r="A859" s="16" t="s">
        <v>1040</v>
      </c>
      <c r="B859" s="17">
        <v>45507</v>
      </c>
      <c r="C859" s="16" t="s">
        <v>36</v>
      </c>
      <c r="D859" s="16" t="s">
        <v>37</v>
      </c>
      <c r="E859" s="16" t="s">
        <v>110</v>
      </c>
      <c r="F859" s="16" t="s">
        <v>111</v>
      </c>
      <c r="G859" s="16" t="s">
        <v>40</v>
      </c>
      <c r="H859" s="16" t="s">
        <v>112</v>
      </c>
      <c r="I859" s="16" t="s">
        <v>84</v>
      </c>
      <c r="J859" s="16" t="s">
        <v>134</v>
      </c>
      <c r="K859" s="18">
        <v>9670.39</v>
      </c>
      <c r="L859" s="18">
        <v>5240.6400000000003</v>
      </c>
      <c r="M859" s="19">
        <v>4</v>
      </c>
      <c r="N859" s="20">
        <v>0.05</v>
      </c>
      <c r="O859" s="19" t="s">
        <v>25</v>
      </c>
      <c r="P859" s="19" t="s">
        <v>98</v>
      </c>
      <c r="Q859" s="19" t="str">
        <f>TRIM(SalesData[[#This Row],[Customer_Name]])</f>
        <v>Anjali Patel</v>
      </c>
      <c r="R859" s="21">
        <f>SalesData[[#This Row],[Sales]]-SalesData[[#This Row],[Cost]]</f>
        <v>4429.7499999999991</v>
      </c>
      <c r="S859" s="22">
        <f>IFERROR(SalesData[[#This Row],[Profit]]/SalesData[[#This Row],[Sales]],0)</f>
        <v>0.45807356270015992</v>
      </c>
      <c r="T859" s="19">
        <f>YEAR(SalesData[[#This Row],[Order_Date]])</f>
        <v>2024</v>
      </c>
      <c r="U859" s="19" t="str">
        <f>TEXT(SalesData[[#This Row],[Order_Date]],"mmm")</f>
        <v>Aug</v>
      </c>
      <c r="V859" s="19" t="str">
        <f>"Q"&amp;ROUNDUP(MONTH(SalesData[[#This Row],[Order_Date]])/3,0)</f>
        <v>Q3</v>
      </c>
      <c r="W859" s="19" t="str">
        <f>IF(SalesData[[#This Row],[Sales]]&gt;=50000,"High",IF(AND(SalesData[[#This Row],[Sales]]&gt;= 20000, SalesData[[#This Row],[Sales]]&lt; 50000),"Medium","Low"))</f>
        <v>Low</v>
      </c>
      <c r="X859" s="19" t="str">
        <f>IF(SalesData[[#This Row],[Profit]]&gt;0,"Profit","Loss")</f>
        <v>Profit</v>
      </c>
      <c r="Y859" s="19" t="str">
        <f>IF(AND(SalesData[[#This Row],[Sales]]&gt;= 50000, SalesData[[#This Row],[Quantity]]&gt;=2),"Yes","No")</f>
        <v>No</v>
      </c>
      <c r="Z859" s="19" t="str">
        <f>UPPER(SalesData[[#This Row],[Customer_Name]])</f>
        <v>ANJALI PATEL</v>
      </c>
      <c r="AA859" s="19" t="str">
        <f>LOWER(SalesData[[#This Row],[Customer_Name]])</f>
        <v>anjali patel</v>
      </c>
      <c r="AB859" s="19">
        <f>LEN(SalesData[[#This Row],[Customer_Name]])</f>
        <v>12</v>
      </c>
      <c r="AC859" s="19" t="str">
        <f>LEFT(SalesData[[#This Row],[Order_ID]],3)</f>
        <v>ORD</v>
      </c>
      <c r="AD859" s="19" t="str">
        <f>RIGHT(SalesData[[#This Row],[Order_ID]],4)</f>
        <v>0887</v>
      </c>
      <c r="AE859" s="19" t="str">
        <f>_xlfn.CONCAT(SalesData[[#This Row],[Clean_Customer_Name]],"-",SalesData[[#This Row],[Region]])</f>
        <v>Anjali Patel-South</v>
      </c>
      <c r="AF859" s="19" t="str">
        <f>MID(SalesData[[#This Row],[Order_ID]],4,4)</f>
        <v>0887</v>
      </c>
      <c r="AG859" s="19" t="e">
        <f ca="1">_xlfn.SINGLE(_xlfn.XLOOKUP(SalesData[[#This Row],[Product]],Product_Master!A:A,Product_Master!B:B,"Not Found"))</f>
        <v>#NAME?</v>
      </c>
      <c r="AH859" s="19" t="str">
        <f>VLOOKUP(SalesData[[#This Row],[Product]],Product_Master!$A$1:$B$21,2,FALSE)</f>
        <v>Vikas</v>
      </c>
      <c r="AI859" s="16"/>
    </row>
    <row r="860" spans="1:35" ht="13.8">
      <c r="A860" s="16" t="s">
        <v>957</v>
      </c>
      <c r="B860" s="17">
        <v>45992</v>
      </c>
      <c r="C860" s="16" t="s">
        <v>36</v>
      </c>
      <c r="D860" s="16" t="s">
        <v>37</v>
      </c>
      <c r="E860" s="16" t="s">
        <v>172</v>
      </c>
      <c r="F860" s="16" t="s">
        <v>173</v>
      </c>
      <c r="G860" s="16" t="s">
        <v>40</v>
      </c>
      <c r="H860" s="16" t="s">
        <v>41</v>
      </c>
      <c r="I860" s="16" t="s">
        <v>42</v>
      </c>
      <c r="J860" s="16" t="s">
        <v>43</v>
      </c>
      <c r="K860" s="18">
        <v>8679.2000000000007</v>
      </c>
      <c r="L860" s="18">
        <v>3301.72</v>
      </c>
      <c r="M860" s="19">
        <v>4</v>
      </c>
      <c r="N860" s="20">
        <v>0.1</v>
      </c>
      <c r="O860" s="19" t="s">
        <v>136</v>
      </c>
      <c r="P860" s="19" t="s">
        <v>58</v>
      </c>
      <c r="Q860" s="19" t="str">
        <f>TRIM(SalesData[[#This Row],[Customer_Name]])</f>
        <v>Anjali Patel</v>
      </c>
      <c r="R860" s="21">
        <f>SalesData[[#This Row],[Sales]]-SalesData[[#This Row],[Cost]]</f>
        <v>5377.4800000000014</v>
      </c>
      <c r="S860" s="22">
        <f>IFERROR(SalesData[[#This Row],[Profit]]/SalesData[[#This Row],[Sales]],0)</f>
        <v>0.61958244999539136</v>
      </c>
      <c r="T860" s="19">
        <f>YEAR(SalesData[[#This Row],[Order_Date]])</f>
        <v>2025</v>
      </c>
      <c r="U860" s="19" t="str">
        <f>TEXT(SalesData[[#This Row],[Order_Date]],"mmm")</f>
        <v>Dec</v>
      </c>
      <c r="V860" s="19" t="str">
        <f>"Q"&amp;ROUNDUP(MONTH(SalesData[[#This Row],[Order_Date]])/3,0)</f>
        <v>Q4</v>
      </c>
      <c r="W860" s="19" t="str">
        <f>IF(SalesData[[#This Row],[Sales]]&gt;=50000,"High",IF(AND(SalesData[[#This Row],[Sales]]&gt;= 20000, SalesData[[#This Row],[Sales]]&lt; 50000),"Medium","Low"))</f>
        <v>Low</v>
      </c>
      <c r="X860" s="19" t="str">
        <f>IF(SalesData[[#This Row],[Profit]]&gt;0,"Profit","Loss")</f>
        <v>Profit</v>
      </c>
      <c r="Y860" s="19" t="str">
        <f>IF(AND(SalesData[[#This Row],[Sales]]&gt;= 50000, SalesData[[#This Row],[Quantity]]&gt;=2),"Yes","No")</f>
        <v>No</v>
      </c>
      <c r="Z860" s="19" t="str">
        <f>UPPER(SalesData[[#This Row],[Customer_Name]])</f>
        <v>ANJALI PATEL</v>
      </c>
      <c r="AA860" s="19" t="str">
        <f>LOWER(SalesData[[#This Row],[Customer_Name]])</f>
        <v>anjali patel</v>
      </c>
      <c r="AB860" s="19">
        <f>LEN(SalesData[[#This Row],[Customer_Name]])</f>
        <v>12</v>
      </c>
      <c r="AC860" s="19" t="str">
        <f>LEFT(SalesData[[#This Row],[Order_ID]],3)</f>
        <v>ORD</v>
      </c>
      <c r="AD860" s="19" t="str">
        <f>RIGHT(SalesData[[#This Row],[Order_ID]],4)</f>
        <v>0804</v>
      </c>
      <c r="AE860" s="19" t="str">
        <f>_xlfn.CONCAT(SalesData[[#This Row],[Clean_Customer_Name]],"-",SalesData[[#This Row],[Region]])</f>
        <v>Anjali Patel-East</v>
      </c>
      <c r="AF860" s="19" t="str">
        <f>MID(SalesData[[#This Row],[Order_ID]],4,4)</f>
        <v>0804</v>
      </c>
      <c r="AG860" s="19" t="e">
        <f ca="1">_xlfn.SINGLE(_xlfn.XLOOKUP(SalesData[[#This Row],[Product]],Product_Master!A:A,Product_Master!B:B,"Not Found"))</f>
        <v>#NAME?</v>
      </c>
      <c r="AH860" s="19" t="str">
        <f>VLOOKUP(SalesData[[#This Row],[Product]],Product_Master!$A$1:$B$21,2,FALSE)</f>
        <v>Pooja</v>
      </c>
      <c r="AI860" s="16"/>
    </row>
    <row r="861" spans="1:35" ht="13.8">
      <c r="A861" s="16" t="s">
        <v>35</v>
      </c>
      <c r="B861" s="17">
        <v>45576</v>
      </c>
      <c r="C861" s="16" t="s">
        <v>36</v>
      </c>
      <c r="D861" s="16" t="s">
        <v>37</v>
      </c>
      <c r="E861" s="16" t="s">
        <v>38</v>
      </c>
      <c r="F861" s="16" t="s">
        <v>39</v>
      </c>
      <c r="G861" s="16" t="s">
        <v>40</v>
      </c>
      <c r="H861" s="16" t="s">
        <v>41</v>
      </c>
      <c r="I861" s="16" t="s">
        <v>42</v>
      </c>
      <c r="J861" s="16" t="s">
        <v>43</v>
      </c>
      <c r="K861" s="18">
        <v>727.13</v>
      </c>
      <c r="L861" s="18">
        <v>525.88</v>
      </c>
      <c r="M861" s="19">
        <v>1</v>
      </c>
      <c r="N861" s="20">
        <v>0.15</v>
      </c>
      <c r="O861" s="19" t="s">
        <v>44</v>
      </c>
      <c r="P861" s="19" t="s">
        <v>45</v>
      </c>
      <c r="Q861" s="19" t="str">
        <f>TRIM(SalesData[[#This Row],[Customer_Name]])</f>
        <v>Anjali Patel</v>
      </c>
      <c r="R861" s="21">
        <f>SalesData[[#This Row],[Sales]]-SalesData[[#This Row],[Cost]]</f>
        <v>201.25</v>
      </c>
      <c r="S861" s="22">
        <f>IFERROR(SalesData[[#This Row],[Profit]]/SalesData[[#This Row],[Sales]],0)</f>
        <v>0.27677306671434271</v>
      </c>
      <c r="T861" s="19">
        <f>YEAR(SalesData[[#This Row],[Order_Date]])</f>
        <v>2024</v>
      </c>
      <c r="U861" s="19" t="str">
        <f>TEXT(SalesData[[#This Row],[Order_Date]],"mmm")</f>
        <v>Oct</v>
      </c>
      <c r="V861" s="19" t="str">
        <f>"Q"&amp;ROUNDUP(MONTH(SalesData[[#This Row],[Order_Date]])/3,0)</f>
        <v>Q4</v>
      </c>
      <c r="W861" s="19" t="str">
        <f>IF(SalesData[[#This Row],[Sales]]&gt;=50000,"High",IF(AND(SalesData[[#This Row],[Sales]]&gt;= 20000, SalesData[[#This Row],[Sales]]&lt; 50000),"Medium","Low"))</f>
        <v>Low</v>
      </c>
      <c r="X861" s="19" t="str">
        <f>IF(SalesData[[#This Row],[Profit]]&gt;0,"Profit","Loss")</f>
        <v>Profit</v>
      </c>
      <c r="Y861" s="19" t="str">
        <f>IF(AND(SalesData[[#This Row],[Sales]]&gt;= 50000, SalesData[[#This Row],[Quantity]]&gt;=2),"Yes","No")</f>
        <v>No</v>
      </c>
      <c r="Z861" s="19" t="str">
        <f>UPPER(SalesData[[#This Row],[Customer_Name]])</f>
        <v>ANJALI PATEL</v>
      </c>
      <c r="AA861" s="19" t="str">
        <f>LOWER(SalesData[[#This Row],[Customer_Name]])</f>
        <v>anjali patel</v>
      </c>
      <c r="AB861" s="19">
        <f>LEN(SalesData[[#This Row],[Customer_Name]])</f>
        <v>12</v>
      </c>
      <c r="AC861" s="19" t="str">
        <f>LEFT(SalesData[[#This Row],[Order_ID]],3)</f>
        <v>ORD</v>
      </c>
      <c r="AD861" s="19" t="str">
        <f>RIGHT(SalesData[[#This Row],[Order_ID]],4)</f>
        <v>0003</v>
      </c>
      <c r="AE861" s="19" t="str">
        <f>_xlfn.CONCAT(SalesData[[#This Row],[Clean_Customer_Name]],"-",SalesData[[#This Row],[Region]])</f>
        <v>Anjali Patel-East</v>
      </c>
      <c r="AF861" s="19" t="str">
        <f>MID(SalesData[[#This Row],[Order_ID]],4,4)</f>
        <v>0003</v>
      </c>
      <c r="AG861" s="19" t="e">
        <f ca="1">_xlfn.SINGLE(_xlfn.XLOOKUP(SalesData[[#This Row],[Product]],Product_Master!A:A,Product_Master!B:B,"Not Found"))</f>
        <v>#NAME?</v>
      </c>
      <c r="AH861" s="19" t="str">
        <f>VLOOKUP(SalesData[[#This Row],[Product]],Product_Master!$A$1:$B$21,2,FALSE)</f>
        <v>Manish</v>
      </c>
      <c r="AI861" s="16"/>
    </row>
    <row r="862" spans="1:35" ht="13.8">
      <c r="A862" s="16" t="s">
        <v>221</v>
      </c>
      <c r="B862" s="17">
        <v>45916</v>
      </c>
      <c r="C862" s="16" t="s">
        <v>36</v>
      </c>
      <c r="D862" s="16" t="s">
        <v>37</v>
      </c>
      <c r="E862" s="16" t="s">
        <v>38</v>
      </c>
      <c r="F862" s="16" t="s">
        <v>39</v>
      </c>
      <c r="G862" s="16" t="s">
        <v>40</v>
      </c>
      <c r="H862" s="16" t="s">
        <v>41</v>
      </c>
      <c r="I862" s="16" t="s">
        <v>42</v>
      </c>
      <c r="J862" s="16" t="s">
        <v>43</v>
      </c>
      <c r="K862" s="18">
        <v>5007.2</v>
      </c>
      <c r="L862" s="18">
        <v>1934.56</v>
      </c>
      <c r="M862" s="19">
        <v>4</v>
      </c>
      <c r="N862" s="20">
        <v>0.1</v>
      </c>
      <c r="O862" s="19" t="s">
        <v>76</v>
      </c>
      <c r="P862" s="19" t="s">
        <v>98</v>
      </c>
      <c r="Q862" s="19" t="str">
        <f>TRIM(SalesData[[#This Row],[Customer_Name]])</f>
        <v>Anjali Patel</v>
      </c>
      <c r="R862" s="21">
        <f>SalesData[[#This Row],[Sales]]-SalesData[[#This Row],[Cost]]</f>
        <v>3072.64</v>
      </c>
      <c r="S862" s="22">
        <f>IFERROR(SalesData[[#This Row],[Profit]]/SalesData[[#This Row],[Sales]],0)</f>
        <v>0.61364435213292856</v>
      </c>
      <c r="T862" s="19">
        <f>YEAR(SalesData[[#This Row],[Order_Date]])</f>
        <v>2025</v>
      </c>
      <c r="U862" s="19" t="str">
        <f>TEXT(SalesData[[#This Row],[Order_Date]],"mmm")</f>
        <v>Sept</v>
      </c>
      <c r="V862" s="19" t="str">
        <f>"Q"&amp;ROUNDUP(MONTH(SalesData[[#This Row],[Order_Date]])/3,0)</f>
        <v>Q3</v>
      </c>
      <c r="W862" s="19" t="str">
        <f>IF(SalesData[[#This Row],[Sales]]&gt;=50000,"High",IF(AND(SalesData[[#This Row],[Sales]]&gt;= 20000, SalesData[[#This Row],[Sales]]&lt; 50000),"Medium","Low"))</f>
        <v>Low</v>
      </c>
      <c r="X862" s="19" t="str">
        <f>IF(SalesData[[#This Row],[Profit]]&gt;0,"Profit","Loss")</f>
        <v>Profit</v>
      </c>
      <c r="Y862" s="19" t="str">
        <f>IF(AND(SalesData[[#This Row],[Sales]]&gt;= 50000, SalesData[[#This Row],[Quantity]]&gt;=2),"Yes","No")</f>
        <v>No</v>
      </c>
      <c r="Z862" s="19" t="str">
        <f>UPPER(SalesData[[#This Row],[Customer_Name]])</f>
        <v>ANJALI PATEL</v>
      </c>
      <c r="AA862" s="19" t="str">
        <f>LOWER(SalesData[[#This Row],[Customer_Name]])</f>
        <v>anjali patel</v>
      </c>
      <c r="AB862" s="19">
        <f>LEN(SalesData[[#This Row],[Customer_Name]])</f>
        <v>12</v>
      </c>
      <c r="AC862" s="19" t="str">
        <f>LEFT(SalesData[[#This Row],[Order_ID]],3)</f>
        <v>ORD</v>
      </c>
      <c r="AD862" s="19" t="str">
        <f>RIGHT(SalesData[[#This Row],[Order_ID]],4)</f>
        <v>0072</v>
      </c>
      <c r="AE862" s="19" t="str">
        <f>_xlfn.CONCAT(SalesData[[#This Row],[Clean_Customer_Name]],"-",SalesData[[#This Row],[Region]])</f>
        <v>Anjali Patel-East</v>
      </c>
      <c r="AF862" s="19" t="str">
        <f>MID(SalesData[[#This Row],[Order_ID]],4,4)</f>
        <v>0072</v>
      </c>
      <c r="AG862" s="19" t="e">
        <f ca="1">_xlfn.SINGLE(_xlfn.XLOOKUP(SalesData[[#This Row],[Product]],Product_Master!A:A,Product_Master!B:B,"Not Found"))</f>
        <v>#NAME?</v>
      </c>
      <c r="AH862" s="19" t="str">
        <f>VLOOKUP(SalesData[[#This Row],[Product]],Product_Master!$A$1:$B$21,2,FALSE)</f>
        <v>Manish</v>
      </c>
      <c r="AI862" s="16"/>
    </row>
    <row r="863" spans="1:35" ht="13.8">
      <c r="A863" s="16" t="s">
        <v>355</v>
      </c>
      <c r="B863" s="17">
        <v>45565</v>
      </c>
      <c r="C863" s="16" t="s">
        <v>36</v>
      </c>
      <c r="D863" s="16" t="s">
        <v>37</v>
      </c>
      <c r="E863" s="16" t="s">
        <v>38</v>
      </c>
      <c r="F863" s="16" t="s">
        <v>39</v>
      </c>
      <c r="G863" s="16" t="s">
        <v>40</v>
      </c>
      <c r="H863" s="16" t="s">
        <v>41</v>
      </c>
      <c r="I863" s="16" t="s">
        <v>23</v>
      </c>
      <c r="J863" s="16" t="s">
        <v>33</v>
      </c>
      <c r="K863" s="18">
        <v>2717.64</v>
      </c>
      <c r="L863" s="18">
        <v>1899.16</v>
      </c>
      <c r="M863" s="19">
        <v>4</v>
      </c>
      <c r="N863" s="20">
        <v>0.1</v>
      </c>
      <c r="O863" s="19" t="s">
        <v>136</v>
      </c>
      <c r="P863" s="19" t="s">
        <v>26</v>
      </c>
      <c r="Q863" s="19" t="str">
        <f>TRIM(SalesData[[#This Row],[Customer_Name]])</f>
        <v>Anjali Patel</v>
      </c>
      <c r="R863" s="21">
        <f>SalesData[[#This Row],[Sales]]-SalesData[[#This Row],[Cost]]</f>
        <v>818.47999999999979</v>
      </c>
      <c r="S863" s="22">
        <f>IFERROR(SalesData[[#This Row],[Profit]]/SalesData[[#This Row],[Sales]],0)</f>
        <v>0.30117307664002585</v>
      </c>
      <c r="T863" s="19">
        <f>YEAR(SalesData[[#This Row],[Order_Date]])</f>
        <v>2024</v>
      </c>
      <c r="U863" s="19" t="str">
        <f>TEXT(SalesData[[#This Row],[Order_Date]],"mmm")</f>
        <v>Sept</v>
      </c>
      <c r="V863" s="19" t="str">
        <f>"Q"&amp;ROUNDUP(MONTH(SalesData[[#This Row],[Order_Date]])/3,0)</f>
        <v>Q3</v>
      </c>
      <c r="W863" s="19" t="str">
        <f>IF(SalesData[[#This Row],[Sales]]&gt;=50000,"High",IF(AND(SalesData[[#This Row],[Sales]]&gt;= 20000, SalesData[[#This Row],[Sales]]&lt; 50000),"Medium","Low"))</f>
        <v>Low</v>
      </c>
      <c r="X863" s="19" t="str">
        <f>IF(SalesData[[#This Row],[Profit]]&gt;0,"Profit","Loss")</f>
        <v>Profit</v>
      </c>
      <c r="Y863" s="19" t="str">
        <f>IF(AND(SalesData[[#This Row],[Sales]]&gt;= 50000, SalesData[[#This Row],[Quantity]]&gt;=2),"Yes","No")</f>
        <v>No</v>
      </c>
      <c r="Z863" s="19" t="str">
        <f>UPPER(SalesData[[#This Row],[Customer_Name]])</f>
        <v>ANJALI PATEL</v>
      </c>
      <c r="AA863" s="19" t="str">
        <f>LOWER(SalesData[[#This Row],[Customer_Name]])</f>
        <v>anjali patel</v>
      </c>
      <c r="AB863" s="19">
        <f>LEN(SalesData[[#This Row],[Customer_Name]])</f>
        <v>12</v>
      </c>
      <c r="AC863" s="19" t="str">
        <f>LEFT(SalesData[[#This Row],[Order_ID]],3)</f>
        <v>ORD</v>
      </c>
      <c r="AD863" s="19" t="str">
        <f>RIGHT(SalesData[[#This Row],[Order_ID]],4)</f>
        <v>0202</v>
      </c>
      <c r="AE863" s="19" t="str">
        <f>_xlfn.CONCAT(SalesData[[#This Row],[Clean_Customer_Name]],"-",SalesData[[#This Row],[Region]])</f>
        <v>Anjali Patel-North</v>
      </c>
      <c r="AF863" s="19" t="str">
        <f>MID(SalesData[[#This Row],[Order_ID]],4,4)</f>
        <v>0202</v>
      </c>
      <c r="AG863" s="19" t="e">
        <f ca="1">_xlfn.SINGLE(_xlfn.XLOOKUP(SalesData[[#This Row],[Product]],Product_Master!A:A,Product_Master!B:B,"Not Found"))</f>
        <v>#NAME?</v>
      </c>
      <c r="AH863" s="19" t="str">
        <f>VLOOKUP(SalesData[[#This Row],[Product]],Product_Master!$A$1:$B$21,2,FALSE)</f>
        <v>Manish</v>
      </c>
      <c r="AI863" s="16"/>
    </row>
    <row r="864" spans="1:35" ht="13.8">
      <c r="A864" s="16" t="s">
        <v>816</v>
      </c>
      <c r="B864" s="17">
        <v>45944</v>
      </c>
      <c r="C864" s="16" t="s">
        <v>36</v>
      </c>
      <c r="D864" s="16" t="s">
        <v>37</v>
      </c>
      <c r="E864" s="16" t="s">
        <v>38</v>
      </c>
      <c r="F864" s="16" t="s">
        <v>39</v>
      </c>
      <c r="G864" s="16" t="s">
        <v>40</v>
      </c>
      <c r="H864" s="16" t="s">
        <v>41</v>
      </c>
      <c r="I864" s="16" t="s">
        <v>42</v>
      </c>
      <c r="J864" s="16" t="s">
        <v>162</v>
      </c>
      <c r="K864" s="18">
        <v>3194.96</v>
      </c>
      <c r="L864" s="18">
        <v>942.18</v>
      </c>
      <c r="M864" s="19">
        <v>2</v>
      </c>
      <c r="N864" s="20">
        <v>0.1</v>
      </c>
      <c r="O864" s="19" t="s">
        <v>25</v>
      </c>
      <c r="P864" s="19" t="s">
        <v>45</v>
      </c>
      <c r="Q864" s="19" t="str">
        <f>TRIM(SalesData[[#This Row],[Customer_Name]])</f>
        <v>Anjali Patel</v>
      </c>
      <c r="R864" s="21">
        <f>SalesData[[#This Row],[Sales]]-SalesData[[#This Row],[Cost]]</f>
        <v>2252.7800000000002</v>
      </c>
      <c r="S864" s="22">
        <f>IFERROR(SalesData[[#This Row],[Profit]]/SalesData[[#This Row],[Sales]],0)</f>
        <v>0.70510428925557755</v>
      </c>
      <c r="T864" s="19">
        <f>YEAR(SalesData[[#This Row],[Order_Date]])</f>
        <v>2025</v>
      </c>
      <c r="U864" s="19" t="str">
        <f>TEXT(SalesData[[#This Row],[Order_Date]],"mmm")</f>
        <v>Oct</v>
      </c>
      <c r="V864" s="19" t="str">
        <f>"Q"&amp;ROUNDUP(MONTH(SalesData[[#This Row],[Order_Date]])/3,0)</f>
        <v>Q4</v>
      </c>
      <c r="W864" s="19" t="str">
        <f>IF(SalesData[[#This Row],[Sales]]&gt;=50000,"High",IF(AND(SalesData[[#This Row],[Sales]]&gt;= 20000, SalesData[[#This Row],[Sales]]&lt; 50000),"Medium","Low"))</f>
        <v>Low</v>
      </c>
      <c r="X864" s="19" t="str">
        <f>IF(SalesData[[#This Row],[Profit]]&gt;0,"Profit","Loss")</f>
        <v>Profit</v>
      </c>
      <c r="Y864" s="19" t="str">
        <f>IF(AND(SalesData[[#This Row],[Sales]]&gt;= 50000, SalesData[[#This Row],[Quantity]]&gt;=2),"Yes","No")</f>
        <v>No</v>
      </c>
      <c r="Z864" s="19" t="str">
        <f>UPPER(SalesData[[#This Row],[Customer_Name]])</f>
        <v>ANJALI PATEL</v>
      </c>
      <c r="AA864" s="19" t="str">
        <f>LOWER(SalesData[[#This Row],[Customer_Name]])</f>
        <v>anjali patel</v>
      </c>
      <c r="AB864" s="19">
        <f>LEN(SalesData[[#This Row],[Customer_Name]])</f>
        <v>12</v>
      </c>
      <c r="AC864" s="19" t="str">
        <f>LEFT(SalesData[[#This Row],[Order_ID]],3)</f>
        <v>ORD</v>
      </c>
      <c r="AD864" s="19" t="str">
        <f>RIGHT(SalesData[[#This Row],[Order_ID]],4)</f>
        <v>0663</v>
      </c>
      <c r="AE864" s="19" t="str">
        <f>_xlfn.CONCAT(SalesData[[#This Row],[Clean_Customer_Name]],"-",SalesData[[#This Row],[Region]])</f>
        <v>Anjali Patel-East</v>
      </c>
      <c r="AF864" s="19" t="str">
        <f>MID(SalesData[[#This Row],[Order_ID]],4,4)</f>
        <v>0663</v>
      </c>
      <c r="AG864" s="19" t="e">
        <f ca="1">_xlfn.SINGLE(_xlfn.XLOOKUP(SalesData[[#This Row],[Product]],Product_Master!A:A,Product_Master!B:B,"Not Found"))</f>
        <v>#NAME?</v>
      </c>
      <c r="AH864" s="19" t="str">
        <f>VLOOKUP(SalesData[[#This Row],[Product]],Product_Master!$A$1:$B$21,2,FALSE)</f>
        <v>Manish</v>
      </c>
      <c r="AI864" s="16"/>
    </row>
    <row r="865" spans="1:35" ht="13.8">
      <c r="A865" s="16" t="s">
        <v>959</v>
      </c>
      <c r="B865" s="17">
        <v>45912</v>
      </c>
      <c r="C865" s="16" t="s">
        <v>36</v>
      </c>
      <c r="D865" s="16" t="s">
        <v>37</v>
      </c>
      <c r="E865" s="16" t="s">
        <v>87</v>
      </c>
      <c r="F865" s="16" t="s">
        <v>88</v>
      </c>
      <c r="G865" s="16" t="s">
        <v>89</v>
      </c>
      <c r="H865" s="16" t="s">
        <v>90</v>
      </c>
      <c r="I865" s="16" t="s">
        <v>84</v>
      </c>
      <c r="J865" s="16" t="s">
        <v>134</v>
      </c>
      <c r="K865" s="18">
        <v>24187.65</v>
      </c>
      <c r="L865" s="18">
        <v>9377.2000000000007</v>
      </c>
      <c r="M865" s="19">
        <v>5</v>
      </c>
      <c r="N865" s="20">
        <v>0</v>
      </c>
      <c r="O865" s="19" t="s">
        <v>44</v>
      </c>
      <c r="P865" s="19" t="s">
        <v>26</v>
      </c>
      <c r="Q865" s="19" t="str">
        <f>TRIM(SalesData[[#This Row],[Customer_Name]])</f>
        <v>Anjali Patel</v>
      </c>
      <c r="R865" s="21">
        <f>SalesData[[#This Row],[Sales]]-SalesData[[#This Row],[Cost]]</f>
        <v>14810.45</v>
      </c>
      <c r="S865" s="22">
        <f>IFERROR(SalesData[[#This Row],[Profit]]/SalesData[[#This Row],[Sales]],0)</f>
        <v>0.61231454895370152</v>
      </c>
      <c r="T865" s="19">
        <f>YEAR(SalesData[[#This Row],[Order_Date]])</f>
        <v>2025</v>
      </c>
      <c r="U865" s="19" t="str">
        <f>TEXT(SalesData[[#This Row],[Order_Date]],"mmm")</f>
        <v>Sept</v>
      </c>
      <c r="V865" s="19" t="str">
        <f>"Q"&amp;ROUNDUP(MONTH(SalesData[[#This Row],[Order_Date]])/3,0)</f>
        <v>Q3</v>
      </c>
      <c r="W865" s="19" t="str">
        <f>IF(SalesData[[#This Row],[Sales]]&gt;=50000,"High",IF(AND(SalesData[[#This Row],[Sales]]&gt;= 20000, SalesData[[#This Row],[Sales]]&lt; 50000),"Medium","Low"))</f>
        <v>Medium</v>
      </c>
      <c r="X865" s="19" t="str">
        <f>IF(SalesData[[#This Row],[Profit]]&gt;0,"Profit","Loss")</f>
        <v>Profit</v>
      </c>
      <c r="Y865" s="19" t="str">
        <f>IF(AND(SalesData[[#This Row],[Sales]]&gt;= 50000, SalesData[[#This Row],[Quantity]]&gt;=2),"Yes","No")</f>
        <v>No</v>
      </c>
      <c r="Z865" s="19" t="str">
        <f>UPPER(SalesData[[#This Row],[Customer_Name]])</f>
        <v>ANJALI PATEL</v>
      </c>
      <c r="AA865" s="19" t="str">
        <f>LOWER(SalesData[[#This Row],[Customer_Name]])</f>
        <v>anjali patel</v>
      </c>
      <c r="AB865" s="19">
        <f>LEN(SalesData[[#This Row],[Customer_Name]])</f>
        <v>12</v>
      </c>
      <c r="AC865" s="19" t="str">
        <f>LEFT(SalesData[[#This Row],[Order_ID]],3)</f>
        <v>ORD</v>
      </c>
      <c r="AD865" s="19" t="str">
        <f>RIGHT(SalesData[[#This Row],[Order_ID]],4)</f>
        <v>0806</v>
      </c>
      <c r="AE865" s="19" t="str">
        <f>_xlfn.CONCAT(SalesData[[#This Row],[Clean_Customer_Name]],"-",SalesData[[#This Row],[Region]])</f>
        <v>Anjali Patel-South</v>
      </c>
      <c r="AF865" s="19" t="str">
        <f>MID(SalesData[[#This Row],[Order_ID]],4,4)</f>
        <v>0806</v>
      </c>
      <c r="AG865" s="19" t="e">
        <f ca="1">_xlfn.SINGLE(_xlfn.XLOOKUP(SalesData[[#This Row],[Product]],Product_Master!A:A,Product_Master!B:B,"Not Found"))</f>
        <v>#NAME?</v>
      </c>
      <c r="AH865" s="19" t="str">
        <f>VLOOKUP(SalesData[[#This Row],[Product]],Product_Master!$A$1:$B$21,2,FALSE)</f>
        <v>Rahul</v>
      </c>
      <c r="AI865" s="16"/>
    </row>
    <row r="866" spans="1:35" ht="13.8">
      <c r="A866" s="16" t="s">
        <v>950</v>
      </c>
      <c r="B866" s="17">
        <v>45956</v>
      </c>
      <c r="C866" s="16" t="s">
        <v>36</v>
      </c>
      <c r="D866" s="16" t="s">
        <v>37</v>
      </c>
      <c r="E866" s="16" t="s">
        <v>182</v>
      </c>
      <c r="F866" s="16" t="s">
        <v>183</v>
      </c>
      <c r="G866" s="16" t="s">
        <v>89</v>
      </c>
      <c r="H866" s="16" t="s">
        <v>90</v>
      </c>
      <c r="I866" s="16" t="s">
        <v>42</v>
      </c>
      <c r="J866" s="16" t="s">
        <v>162</v>
      </c>
      <c r="K866" s="18">
        <v>21082.1</v>
      </c>
      <c r="L866" s="18">
        <v>12832.7</v>
      </c>
      <c r="M866" s="19">
        <v>2</v>
      </c>
      <c r="N866" s="20">
        <v>0.1</v>
      </c>
      <c r="O866" s="19" t="s">
        <v>136</v>
      </c>
      <c r="P866" s="19" t="s">
        <v>98</v>
      </c>
      <c r="Q866" s="19" t="str">
        <f>TRIM(SalesData[[#This Row],[Customer_Name]])</f>
        <v>Anjali Patel</v>
      </c>
      <c r="R866" s="21">
        <f>SalesData[[#This Row],[Sales]]-SalesData[[#This Row],[Cost]]</f>
        <v>8249.3999999999978</v>
      </c>
      <c r="S866" s="22">
        <f>IFERROR(SalesData[[#This Row],[Profit]]/SalesData[[#This Row],[Sales]],0)</f>
        <v>0.39129877953334813</v>
      </c>
      <c r="T866" s="19">
        <f>YEAR(SalesData[[#This Row],[Order_Date]])</f>
        <v>2025</v>
      </c>
      <c r="U866" s="19" t="str">
        <f>TEXT(SalesData[[#This Row],[Order_Date]],"mmm")</f>
        <v>Oct</v>
      </c>
      <c r="V866" s="19" t="str">
        <f>"Q"&amp;ROUNDUP(MONTH(SalesData[[#This Row],[Order_Date]])/3,0)</f>
        <v>Q4</v>
      </c>
      <c r="W866" s="19" t="str">
        <f>IF(SalesData[[#This Row],[Sales]]&gt;=50000,"High",IF(AND(SalesData[[#This Row],[Sales]]&gt;= 20000, SalesData[[#This Row],[Sales]]&lt; 50000),"Medium","Low"))</f>
        <v>Medium</v>
      </c>
      <c r="X866" s="19" t="str">
        <f>IF(SalesData[[#This Row],[Profit]]&gt;0,"Profit","Loss")</f>
        <v>Profit</v>
      </c>
      <c r="Y866" s="19" t="str">
        <f>IF(AND(SalesData[[#This Row],[Sales]]&gt;= 50000, SalesData[[#This Row],[Quantity]]&gt;=2),"Yes","No")</f>
        <v>No</v>
      </c>
      <c r="Z866" s="19" t="str">
        <f>UPPER(SalesData[[#This Row],[Customer_Name]])</f>
        <v>ANJALI PATEL</v>
      </c>
      <c r="AA866" s="19" t="str">
        <f>LOWER(SalesData[[#This Row],[Customer_Name]])</f>
        <v>anjali patel</v>
      </c>
      <c r="AB866" s="19">
        <f>LEN(SalesData[[#This Row],[Customer_Name]])</f>
        <v>12</v>
      </c>
      <c r="AC866" s="19" t="str">
        <f>LEFT(SalesData[[#This Row],[Order_ID]],3)</f>
        <v>ORD</v>
      </c>
      <c r="AD866" s="19" t="str">
        <f>RIGHT(SalesData[[#This Row],[Order_ID]],4)</f>
        <v>0797</v>
      </c>
      <c r="AE866" s="19" t="str">
        <f>_xlfn.CONCAT(SalesData[[#This Row],[Clean_Customer_Name]],"-",SalesData[[#This Row],[Region]])</f>
        <v>Anjali Patel-East</v>
      </c>
      <c r="AF866" s="19" t="str">
        <f>MID(SalesData[[#This Row],[Order_ID]],4,4)</f>
        <v>0797</v>
      </c>
      <c r="AG866" s="19" t="e">
        <f ca="1">_xlfn.SINGLE(_xlfn.XLOOKUP(SalesData[[#This Row],[Product]],Product_Master!A:A,Product_Master!B:B,"Not Found"))</f>
        <v>#NAME?</v>
      </c>
      <c r="AH866" s="19" t="str">
        <f>VLOOKUP(SalesData[[#This Row],[Product]],Product_Master!$A$1:$B$21,2,FALSE)</f>
        <v>Priya</v>
      </c>
      <c r="AI866" s="16"/>
    </row>
    <row r="867" spans="1:35" ht="13.8">
      <c r="A867" s="16" t="s">
        <v>762</v>
      </c>
      <c r="B867" s="17">
        <v>45926</v>
      </c>
      <c r="C867" s="16" t="s">
        <v>36</v>
      </c>
      <c r="D867" s="16" t="s">
        <v>37</v>
      </c>
      <c r="E867" s="16" t="s">
        <v>187</v>
      </c>
      <c r="F867" s="16" t="s">
        <v>188</v>
      </c>
      <c r="G867" s="16" t="s">
        <v>89</v>
      </c>
      <c r="H867" s="16" t="s">
        <v>189</v>
      </c>
      <c r="I867" s="16" t="s">
        <v>84</v>
      </c>
      <c r="J867" s="16" t="s">
        <v>142</v>
      </c>
      <c r="K867" s="18">
        <v>36006.14</v>
      </c>
      <c r="L867" s="18">
        <v>29260.65</v>
      </c>
      <c r="M867" s="19">
        <v>5</v>
      </c>
      <c r="N867" s="20">
        <v>0.05</v>
      </c>
      <c r="O867" s="19" t="s">
        <v>76</v>
      </c>
      <c r="P867" s="19" t="s">
        <v>58</v>
      </c>
      <c r="Q867" s="19" t="str">
        <f>TRIM(SalesData[[#This Row],[Customer_Name]])</f>
        <v>Anjali Patel</v>
      </c>
      <c r="R867" s="21">
        <f>SalesData[[#This Row],[Sales]]-SalesData[[#This Row],[Cost]]</f>
        <v>6745.489999999998</v>
      </c>
      <c r="S867" s="22">
        <f>IFERROR(SalesData[[#This Row],[Profit]]/SalesData[[#This Row],[Sales]],0)</f>
        <v>0.18734276987202733</v>
      </c>
      <c r="T867" s="19">
        <f>YEAR(SalesData[[#This Row],[Order_Date]])</f>
        <v>2025</v>
      </c>
      <c r="U867" s="19" t="str">
        <f>TEXT(SalesData[[#This Row],[Order_Date]],"mmm")</f>
        <v>Sept</v>
      </c>
      <c r="V867" s="19" t="str">
        <f>"Q"&amp;ROUNDUP(MONTH(SalesData[[#This Row],[Order_Date]])/3,0)</f>
        <v>Q3</v>
      </c>
      <c r="W867" s="19" t="str">
        <f>IF(SalesData[[#This Row],[Sales]]&gt;=50000,"High",IF(AND(SalesData[[#This Row],[Sales]]&gt;= 20000, SalesData[[#This Row],[Sales]]&lt; 50000),"Medium","Low"))</f>
        <v>Medium</v>
      </c>
      <c r="X867" s="19" t="str">
        <f>IF(SalesData[[#This Row],[Profit]]&gt;0,"Profit","Loss")</f>
        <v>Profit</v>
      </c>
      <c r="Y867" s="19" t="str">
        <f>IF(AND(SalesData[[#This Row],[Sales]]&gt;= 50000, SalesData[[#This Row],[Quantity]]&gt;=2),"Yes","No")</f>
        <v>No</v>
      </c>
      <c r="Z867" s="19" t="str">
        <f>UPPER(SalesData[[#This Row],[Customer_Name]])</f>
        <v>ANJALI PATEL</v>
      </c>
      <c r="AA867" s="19" t="str">
        <f>LOWER(SalesData[[#This Row],[Customer_Name]])</f>
        <v>anjali patel</v>
      </c>
      <c r="AB867" s="19">
        <f>LEN(SalesData[[#This Row],[Customer_Name]])</f>
        <v>12</v>
      </c>
      <c r="AC867" s="19" t="str">
        <f>LEFT(SalesData[[#This Row],[Order_ID]],3)</f>
        <v>ORD</v>
      </c>
      <c r="AD867" s="19" t="str">
        <f>RIGHT(SalesData[[#This Row],[Order_ID]],4)</f>
        <v>0609</v>
      </c>
      <c r="AE867" s="19" t="str">
        <f>_xlfn.CONCAT(SalesData[[#This Row],[Clean_Customer_Name]],"-",SalesData[[#This Row],[Region]])</f>
        <v>Anjali Patel-South</v>
      </c>
      <c r="AF867" s="19" t="str">
        <f>MID(SalesData[[#This Row],[Order_ID]],4,4)</f>
        <v>0609</v>
      </c>
      <c r="AG867" s="19" t="e">
        <f ca="1">_xlfn.SINGLE(_xlfn.XLOOKUP(SalesData[[#This Row],[Product]],Product_Master!A:A,Product_Master!B:B,"Not Found"))</f>
        <v>#NAME?</v>
      </c>
      <c r="AH867" s="19" t="str">
        <f>VLOOKUP(SalesData[[#This Row],[Product]],Product_Master!$A$1:$B$21,2,FALSE)</f>
        <v>Amit</v>
      </c>
      <c r="AI867" s="16"/>
    </row>
    <row r="868" spans="1:35" ht="13.8">
      <c r="A868" s="16" t="s">
        <v>1036</v>
      </c>
      <c r="B868" s="17">
        <v>45860</v>
      </c>
      <c r="C868" s="16" t="s">
        <v>36</v>
      </c>
      <c r="D868" s="16" t="s">
        <v>37</v>
      </c>
      <c r="E868" s="16" t="s">
        <v>187</v>
      </c>
      <c r="F868" s="16" t="s">
        <v>188</v>
      </c>
      <c r="G868" s="16" t="s">
        <v>89</v>
      </c>
      <c r="H868" s="16" t="s">
        <v>189</v>
      </c>
      <c r="I868" s="16" t="s">
        <v>56</v>
      </c>
      <c r="J868" s="16" t="s">
        <v>91</v>
      </c>
      <c r="K868" s="18">
        <v>37499.14</v>
      </c>
      <c r="L868" s="18">
        <v>19983.88</v>
      </c>
      <c r="M868" s="19">
        <v>4</v>
      </c>
      <c r="N868" s="20">
        <v>0.2</v>
      </c>
      <c r="O868" s="19" t="s">
        <v>44</v>
      </c>
      <c r="P868" s="19" t="s">
        <v>58</v>
      </c>
      <c r="Q868" s="19" t="str">
        <f>TRIM(SalesData[[#This Row],[Customer_Name]])</f>
        <v>Anjali Patel</v>
      </c>
      <c r="R868" s="21">
        <f>SalesData[[#This Row],[Sales]]-SalesData[[#This Row],[Cost]]</f>
        <v>17515.259999999998</v>
      </c>
      <c r="S868" s="22">
        <f>IFERROR(SalesData[[#This Row],[Profit]]/SalesData[[#This Row],[Sales]],0)</f>
        <v>0.46708431180021726</v>
      </c>
      <c r="T868" s="19">
        <f>YEAR(SalesData[[#This Row],[Order_Date]])</f>
        <v>2025</v>
      </c>
      <c r="U868" s="19" t="str">
        <f>TEXT(SalesData[[#This Row],[Order_Date]],"mmm")</f>
        <v>Jul</v>
      </c>
      <c r="V868" s="19" t="str">
        <f>"Q"&amp;ROUNDUP(MONTH(SalesData[[#This Row],[Order_Date]])/3,0)</f>
        <v>Q3</v>
      </c>
      <c r="W868" s="19" t="str">
        <f>IF(SalesData[[#This Row],[Sales]]&gt;=50000,"High",IF(AND(SalesData[[#This Row],[Sales]]&gt;= 20000, SalesData[[#This Row],[Sales]]&lt; 50000),"Medium","Low"))</f>
        <v>Medium</v>
      </c>
      <c r="X868" s="19" t="str">
        <f>IF(SalesData[[#This Row],[Profit]]&gt;0,"Profit","Loss")</f>
        <v>Profit</v>
      </c>
      <c r="Y868" s="19" t="str">
        <f>IF(AND(SalesData[[#This Row],[Sales]]&gt;= 50000, SalesData[[#This Row],[Quantity]]&gt;=2),"Yes","No")</f>
        <v>No</v>
      </c>
      <c r="Z868" s="19" t="str">
        <f>UPPER(SalesData[[#This Row],[Customer_Name]])</f>
        <v>ANJALI PATEL</v>
      </c>
      <c r="AA868" s="19" t="str">
        <f>LOWER(SalesData[[#This Row],[Customer_Name]])</f>
        <v>anjali patel</v>
      </c>
      <c r="AB868" s="19">
        <f>LEN(SalesData[[#This Row],[Customer_Name]])</f>
        <v>12</v>
      </c>
      <c r="AC868" s="19" t="str">
        <f>LEFT(SalesData[[#This Row],[Order_ID]],3)</f>
        <v>ORD</v>
      </c>
      <c r="AD868" s="19" t="str">
        <f>RIGHT(SalesData[[#This Row],[Order_ID]],4)</f>
        <v>0883</v>
      </c>
      <c r="AE868" s="19" t="str">
        <f>_xlfn.CONCAT(SalesData[[#This Row],[Clean_Customer_Name]],"-",SalesData[[#This Row],[Region]])</f>
        <v>Anjali Patel-West</v>
      </c>
      <c r="AF868" s="19" t="str">
        <f>MID(SalesData[[#This Row],[Order_ID]],4,4)</f>
        <v>0883</v>
      </c>
      <c r="AG868" s="19" t="e">
        <f ca="1">_xlfn.SINGLE(_xlfn.XLOOKUP(SalesData[[#This Row],[Product]],Product_Master!A:A,Product_Master!B:B,"Not Found"))</f>
        <v>#NAME?</v>
      </c>
      <c r="AH868" s="19" t="str">
        <f>VLOOKUP(SalesData[[#This Row],[Product]],Product_Master!$A$1:$B$21,2,FALSE)</f>
        <v>Amit</v>
      </c>
      <c r="AI868" s="16"/>
    </row>
    <row r="869" spans="1:35" ht="13.8">
      <c r="A869" s="16" t="s">
        <v>398</v>
      </c>
      <c r="B869" s="17">
        <v>45883</v>
      </c>
      <c r="C869" s="16" t="s">
        <v>36</v>
      </c>
      <c r="D869" s="16" t="s">
        <v>37</v>
      </c>
      <c r="E869" s="16" t="s">
        <v>95</v>
      </c>
      <c r="F869" s="16" t="s">
        <v>96</v>
      </c>
      <c r="G869" s="16" t="s">
        <v>89</v>
      </c>
      <c r="H869" s="16" t="s">
        <v>97</v>
      </c>
      <c r="I869" s="16" t="s">
        <v>84</v>
      </c>
      <c r="J869" s="16" t="s">
        <v>134</v>
      </c>
      <c r="K869" s="18">
        <v>38367.56</v>
      </c>
      <c r="L869" s="18">
        <v>18453.900000000001</v>
      </c>
      <c r="M869" s="19">
        <v>5</v>
      </c>
      <c r="N869" s="20">
        <v>0.05</v>
      </c>
      <c r="O869" s="19" t="s">
        <v>44</v>
      </c>
      <c r="P869" s="19" t="s">
        <v>58</v>
      </c>
      <c r="Q869" s="19" t="str">
        <f>TRIM(SalesData[[#This Row],[Customer_Name]])</f>
        <v>Anjali Patel</v>
      </c>
      <c r="R869" s="21">
        <f>SalesData[[#This Row],[Sales]]-SalesData[[#This Row],[Cost]]</f>
        <v>19913.659999999996</v>
      </c>
      <c r="S869" s="22">
        <f>IFERROR(SalesData[[#This Row],[Profit]]/SalesData[[#This Row],[Sales]],0)</f>
        <v>0.51902336244473191</v>
      </c>
      <c r="T869" s="19">
        <f>YEAR(SalesData[[#This Row],[Order_Date]])</f>
        <v>2025</v>
      </c>
      <c r="U869" s="19" t="str">
        <f>TEXT(SalesData[[#This Row],[Order_Date]],"mmm")</f>
        <v>Aug</v>
      </c>
      <c r="V869" s="19" t="str">
        <f>"Q"&amp;ROUNDUP(MONTH(SalesData[[#This Row],[Order_Date]])/3,0)</f>
        <v>Q3</v>
      </c>
      <c r="W869" s="19" t="str">
        <f>IF(SalesData[[#This Row],[Sales]]&gt;=50000,"High",IF(AND(SalesData[[#This Row],[Sales]]&gt;= 20000, SalesData[[#This Row],[Sales]]&lt; 50000),"Medium","Low"))</f>
        <v>Medium</v>
      </c>
      <c r="X869" s="19" t="str">
        <f>IF(SalesData[[#This Row],[Profit]]&gt;0,"Profit","Loss")</f>
        <v>Profit</v>
      </c>
      <c r="Y869" s="19" t="str">
        <f>IF(AND(SalesData[[#This Row],[Sales]]&gt;= 50000, SalesData[[#This Row],[Quantity]]&gt;=2),"Yes","No")</f>
        <v>No</v>
      </c>
      <c r="Z869" s="19" t="str">
        <f>UPPER(SalesData[[#This Row],[Customer_Name]])</f>
        <v>ANJALI PATEL</v>
      </c>
      <c r="AA869" s="19" t="str">
        <f>LOWER(SalesData[[#This Row],[Customer_Name]])</f>
        <v>anjali patel</v>
      </c>
      <c r="AB869" s="19">
        <f>LEN(SalesData[[#This Row],[Customer_Name]])</f>
        <v>12</v>
      </c>
      <c r="AC869" s="19" t="str">
        <f>LEFT(SalesData[[#This Row],[Order_ID]],3)</f>
        <v>ORD</v>
      </c>
      <c r="AD869" s="19" t="str">
        <f>RIGHT(SalesData[[#This Row],[Order_ID]],4)</f>
        <v>0245</v>
      </c>
      <c r="AE869" s="19" t="str">
        <f>_xlfn.CONCAT(SalesData[[#This Row],[Clean_Customer_Name]],"-",SalesData[[#This Row],[Region]])</f>
        <v>Anjali Patel-South</v>
      </c>
      <c r="AF869" s="19" t="str">
        <f>MID(SalesData[[#This Row],[Order_ID]],4,4)</f>
        <v>0245</v>
      </c>
      <c r="AG869" s="19" t="e">
        <f ca="1">_xlfn.SINGLE(_xlfn.XLOOKUP(SalesData[[#This Row],[Product]],Product_Master!A:A,Product_Master!B:B,"Not Found"))</f>
        <v>#NAME?</v>
      </c>
      <c r="AH869" s="19" t="str">
        <f>VLOOKUP(SalesData[[#This Row],[Product]],Product_Master!$A$1:$B$21,2,FALSE)</f>
        <v>Neha</v>
      </c>
      <c r="AI869" s="16"/>
    </row>
    <row r="870" spans="1:35" ht="13.8">
      <c r="A870" s="16" t="s">
        <v>667</v>
      </c>
      <c r="B870" s="17">
        <v>45347</v>
      </c>
      <c r="C870" s="16" t="s">
        <v>36</v>
      </c>
      <c r="D870" s="16" t="s">
        <v>37</v>
      </c>
      <c r="E870" s="16" t="s">
        <v>95</v>
      </c>
      <c r="F870" s="16" t="s">
        <v>96</v>
      </c>
      <c r="G870" s="16" t="s">
        <v>89</v>
      </c>
      <c r="H870" s="16" t="s">
        <v>97</v>
      </c>
      <c r="I870" s="16" t="s">
        <v>23</v>
      </c>
      <c r="J870" s="16" t="s">
        <v>75</v>
      </c>
      <c r="K870" s="18">
        <v>25399.48</v>
      </c>
      <c r="L870" s="18">
        <v>18547.45</v>
      </c>
      <c r="M870" s="19">
        <v>5</v>
      </c>
      <c r="N870" s="20">
        <v>0.2</v>
      </c>
      <c r="O870" s="19" t="s">
        <v>25</v>
      </c>
      <c r="P870" s="19" t="s">
        <v>77</v>
      </c>
      <c r="Q870" s="19" t="str">
        <f>TRIM(SalesData[[#This Row],[Customer_Name]])</f>
        <v>Anjali Patel</v>
      </c>
      <c r="R870" s="21">
        <f>SalesData[[#This Row],[Sales]]-SalesData[[#This Row],[Cost]]</f>
        <v>6852.0299999999988</v>
      </c>
      <c r="S870" s="22">
        <f>IFERROR(SalesData[[#This Row],[Profit]]/SalesData[[#This Row],[Sales]],0)</f>
        <v>0.26977048349021315</v>
      </c>
      <c r="T870" s="19">
        <f>YEAR(SalesData[[#This Row],[Order_Date]])</f>
        <v>2024</v>
      </c>
      <c r="U870" s="19" t="str">
        <f>TEXT(SalesData[[#This Row],[Order_Date]],"mmm")</f>
        <v>Feb</v>
      </c>
      <c r="V870" s="19" t="str">
        <f>"Q"&amp;ROUNDUP(MONTH(SalesData[[#This Row],[Order_Date]])/3,0)</f>
        <v>Q1</v>
      </c>
      <c r="W870" s="19" t="str">
        <f>IF(SalesData[[#This Row],[Sales]]&gt;=50000,"High",IF(AND(SalesData[[#This Row],[Sales]]&gt;= 20000, SalesData[[#This Row],[Sales]]&lt; 50000),"Medium","Low"))</f>
        <v>Medium</v>
      </c>
      <c r="X870" s="19" t="str">
        <f>IF(SalesData[[#This Row],[Profit]]&gt;0,"Profit","Loss")</f>
        <v>Profit</v>
      </c>
      <c r="Y870" s="19" t="str">
        <f>IF(AND(SalesData[[#This Row],[Sales]]&gt;= 50000, SalesData[[#This Row],[Quantity]]&gt;=2),"Yes","No")</f>
        <v>No</v>
      </c>
      <c r="Z870" s="19" t="str">
        <f>UPPER(SalesData[[#This Row],[Customer_Name]])</f>
        <v>ANJALI PATEL</v>
      </c>
      <c r="AA870" s="19" t="str">
        <f>LOWER(SalesData[[#This Row],[Customer_Name]])</f>
        <v>anjali patel</v>
      </c>
      <c r="AB870" s="19">
        <f>LEN(SalesData[[#This Row],[Customer_Name]])</f>
        <v>12</v>
      </c>
      <c r="AC870" s="19" t="str">
        <f>LEFT(SalesData[[#This Row],[Order_ID]],3)</f>
        <v>ORD</v>
      </c>
      <c r="AD870" s="19" t="str">
        <f>RIGHT(SalesData[[#This Row],[Order_ID]],4)</f>
        <v>0514</v>
      </c>
      <c r="AE870" s="19" t="str">
        <f>_xlfn.CONCAT(SalesData[[#This Row],[Clean_Customer_Name]],"-",SalesData[[#This Row],[Region]])</f>
        <v>Anjali Patel-North</v>
      </c>
      <c r="AF870" s="19" t="str">
        <f>MID(SalesData[[#This Row],[Order_ID]],4,4)</f>
        <v>0514</v>
      </c>
      <c r="AG870" s="19" t="e">
        <f ca="1">_xlfn.SINGLE(_xlfn.XLOOKUP(SalesData[[#This Row],[Product]],Product_Master!A:A,Product_Master!B:B,"Not Found"))</f>
        <v>#NAME?</v>
      </c>
      <c r="AH870" s="19" t="str">
        <f>VLOOKUP(SalesData[[#This Row],[Product]],Product_Master!$A$1:$B$21,2,FALSE)</f>
        <v>Neha</v>
      </c>
      <c r="AI870" s="16"/>
    </row>
    <row r="871" spans="1:35" ht="13.8">
      <c r="A871" s="16" t="s">
        <v>503</v>
      </c>
      <c r="B871" s="17">
        <v>45494</v>
      </c>
      <c r="C871" s="16" t="s">
        <v>100</v>
      </c>
      <c r="D871" s="16" t="s">
        <v>101</v>
      </c>
      <c r="E871" s="16" t="s">
        <v>30</v>
      </c>
      <c r="F871" s="16" t="s">
        <v>31</v>
      </c>
      <c r="G871" s="16" t="s">
        <v>21</v>
      </c>
      <c r="H871" s="16" t="s">
        <v>32</v>
      </c>
      <c r="I871" s="16" t="s">
        <v>23</v>
      </c>
      <c r="J871" s="16" t="s">
        <v>33</v>
      </c>
      <c r="K871" s="18">
        <v>197257.82</v>
      </c>
      <c r="L871" s="18">
        <v>203877.08</v>
      </c>
      <c r="M871" s="19">
        <v>4</v>
      </c>
      <c r="N871" s="20">
        <v>0.1</v>
      </c>
      <c r="O871" s="19" t="s">
        <v>25</v>
      </c>
      <c r="P871" s="19" t="s">
        <v>58</v>
      </c>
      <c r="Q871" s="19" t="str">
        <f>TRIM(SalesData[[#This Row],[Customer_Name]])</f>
        <v>Amit Kumar</v>
      </c>
      <c r="R871" s="21">
        <f>SalesData[[#This Row],[Sales]]-SalesData[[#This Row],[Cost]]</f>
        <v>-6619.2599999999802</v>
      </c>
      <c r="S871" s="22">
        <f>IFERROR(SalesData[[#This Row],[Profit]]/SalesData[[#This Row],[Sales]],0)</f>
        <v>-3.3556388284124702E-2</v>
      </c>
      <c r="T871" s="19">
        <f>YEAR(SalesData[[#This Row],[Order_Date]])</f>
        <v>2024</v>
      </c>
      <c r="U871" s="19" t="str">
        <f>TEXT(SalesData[[#This Row],[Order_Date]],"mmm")</f>
        <v>Jul</v>
      </c>
      <c r="V871" s="19" t="str">
        <f>"Q"&amp;ROUNDUP(MONTH(SalesData[[#This Row],[Order_Date]])/3,0)</f>
        <v>Q3</v>
      </c>
      <c r="W871" s="19" t="str">
        <f>IF(SalesData[[#This Row],[Sales]]&gt;=50000,"High",IF(AND(SalesData[[#This Row],[Sales]]&gt;= 20000, SalesData[[#This Row],[Sales]]&lt; 50000),"Medium","Low"))</f>
        <v>High</v>
      </c>
      <c r="X871" s="19" t="str">
        <f>IF(SalesData[[#This Row],[Profit]]&gt;0,"Profit","Loss")</f>
        <v>Loss</v>
      </c>
      <c r="Y871" s="19" t="str">
        <f>IF(AND(SalesData[[#This Row],[Sales]]&gt;= 50000, SalesData[[#This Row],[Quantity]]&gt;=2),"Yes","No")</f>
        <v>Yes</v>
      </c>
      <c r="Z871" s="19" t="str">
        <f>UPPER(SalesData[[#This Row],[Customer_Name]])</f>
        <v>AMIT KUMAR</v>
      </c>
      <c r="AA871" s="19" t="str">
        <f>LOWER(SalesData[[#This Row],[Customer_Name]])</f>
        <v>amit kumar</v>
      </c>
      <c r="AB871" s="19">
        <f>LEN(SalesData[[#This Row],[Customer_Name]])</f>
        <v>10</v>
      </c>
      <c r="AC871" s="19" t="str">
        <f>LEFT(SalesData[[#This Row],[Order_ID]],3)</f>
        <v>ORD</v>
      </c>
      <c r="AD871" s="19" t="str">
        <f>RIGHT(SalesData[[#This Row],[Order_ID]],4)</f>
        <v>0350</v>
      </c>
      <c r="AE871" s="19" t="str">
        <f>_xlfn.CONCAT(SalesData[[#This Row],[Clean_Customer_Name]],"-",SalesData[[#This Row],[Region]])</f>
        <v>Amit Kumar-North</v>
      </c>
      <c r="AF871" s="19" t="str">
        <f>MID(SalesData[[#This Row],[Order_ID]],4,4)</f>
        <v>0350</v>
      </c>
      <c r="AG871" s="19" t="e">
        <f ca="1">_xlfn.SINGLE(_xlfn.XLOOKUP(SalesData[[#This Row],[Product]],Product_Master!A:A,Product_Master!B:B,"Not Found"))</f>
        <v>#NAME?</v>
      </c>
      <c r="AH871" s="19" t="str">
        <f>VLOOKUP(SalesData[[#This Row],[Product]],Product_Master!$A$1:$B$21,2,FALSE)</f>
        <v>Rahul</v>
      </c>
      <c r="AI871" s="16"/>
    </row>
    <row r="872" spans="1:35" ht="13.8">
      <c r="A872" s="16" t="s">
        <v>900</v>
      </c>
      <c r="B872" s="17">
        <v>45787</v>
      </c>
      <c r="C872" s="16" t="s">
        <v>100</v>
      </c>
      <c r="D872" s="16" t="s">
        <v>101</v>
      </c>
      <c r="E872" s="16" t="s">
        <v>30</v>
      </c>
      <c r="F872" s="16" t="s">
        <v>31</v>
      </c>
      <c r="G872" s="16" t="s">
        <v>21</v>
      </c>
      <c r="H872" s="16" t="s">
        <v>32</v>
      </c>
      <c r="I872" s="16" t="s">
        <v>53</v>
      </c>
      <c r="J872" s="16" t="s">
        <v>54</v>
      </c>
      <c r="K872" s="18">
        <v>175909.98</v>
      </c>
      <c r="L872" s="18">
        <v>174432.64000000001</v>
      </c>
      <c r="M872" s="19">
        <v>4</v>
      </c>
      <c r="N872" s="20">
        <v>0.2</v>
      </c>
      <c r="O872" s="19" t="s">
        <v>34</v>
      </c>
      <c r="P872" s="19" t="s">
        <v>58</v>
      </c>
      <c r="Q872" s="19" t="str">
        <f>TRIM(SalesData[[#This Row],[Customer_Name]])</f>
        <v>Amit Kumar</v>
      </c>
      <c r="R872" s="21">
        <f>SalesData[[#This Row],[Sales]]-SalesData[[#This Row],[Cost]]</f>
        <v>1477.3399999999965</v>
      </c>
      <c r="S872" s="22">
        <f>IFERROR(SalesData[[#This Row],[Profit]]/SalesData[[#This Row],[Sales]],0)</f>
        <v>8.3982727983937938E-3</v>
      </c>
      <c r="T872" s="19">
        <f>YEAR(SalesData[[#This Row],[Order_Date]])</f>
        <v>2025</v>
      </c>
      <c r="U872" s="19" t="str">
        <f>TEXT(SalesData[[#This Row],[Order_Date]],"mmm")</f>
        <v>May</v>
      </c>
      <c r="V872" s="19" t="str">
        <f>"Q"&amp;ROUNDUP(MONTH(SalesData[[#This Row],[Order_Date]])/3,0)</f>
        <v>Q2</v>
      </c>
      <c r="W872" s="19" t="str">
        <f>IF(SalesData[[#This Row],[Sales]]&gt;=50000,"High",IF(AND(SalesData[[#This Row],[Sales]]&gt;= 20000, SalesData[[#This Row],[Sales]]&lt; 50000),"Medium","Low"))</f>
        <v>High</v>
      </c>
      <c r="X872" s="19" t="str">
        <f>IF(SalesData[[#This Row],[Profit]]&gt;0,"Profit","Loss")</f>
        <v>Profit</v>
      </c>
      <c r="Y872" s="19" t="str">
        <f>IF(AND(SalesData[[#This Row],[Sales]]&gt;= 50000, SalesData[[#This Row],[Quantity]]&gt;=2),"Yes","No")</f>
        <v>Yes</v>
      </c>
      <c r="Z872" s="19" t="str">
        <f>UPPER(SalesData[[#This Row],[Customer_Name]])</f>
        <v>AMIT KUMAR</v>
      </c>
      <c r="AA872" s="19" t="str">
        <f>LOWER(SalesData[[#This Row],[Customer_Name]])</f>
        <v>amit kumar</v>
      </c>
      <c r="AB872" s="19">
        <f>LEN(SalesData[[#This Row],[Customer_Name]])</f>
        <v>10</v>
      </c>
      <c r="AC872" s="19" t="str">
        <f>LEFT(SalesData[[#This Row],[Order_ID]],3)</f>
        <v>ORD</v>
      </c>
      <c r="AD872" s="19" t="str">
        <f>RIGHT(SalesData[[#This Row],[Order_ID]],4)</f>
        <v>0747</v>
      </c>
      <c r="AE872" s="19" t="str">
        <f>_xlfn.CONCAT(SalesData[[#This Row],[Clean_Customer_Name]],"-",SalesData[[#This Row],[Region]])</f>
        <v>Amit Kumar-Central</v>
      </c>
      <c r="AF872" s="19" t="str">
        <f>MID(SalesData[[#This Row],[Order_ID]],4,4)</f>
        <v>0747</v>
      </c>
      <c r="AG872" s="19" t="e">
        <f ca="1">_xlfn.SINGLE(_xlfn.XLOOKUP(SalesData[[#This Row],[Product]],Product_Master!A:A,Product_Master!B:B,"Not Found"))</f>
        <v>#NAME?</v>
      </c>
      <c r="AH872" s="19" t="str">
        <f>VLOOKUP(SalesData[[#This Row],[Product]],Product_Master!$A$1:$B$21,2,FALSE)</f>
        <v>Rahul</v>
      </c>
      <c r="AI872" s="16"/>
    </row>
    <row r="873" spans="1:35" ht="13.8">
      <c r="A873" s="16" t="s">
        <v>1106</v>
      </c>
      <c r="B873" s="17">
        <v>45571</v>
      </c>
      <c r="C873" s="16" t="s">
        <v>100</v>
      </c>
      <c r="D873" s="16" t="s">
        <v>101</v>
      </c>
      <c r="E873" s="16" t="s">
        <v>30</v>
      </c>
      <c r="F873" s="16" t="s">
        <v>31</v>
      </c>
      <c r="G873" s="16" t="s">
        <v>21</v>
      </c>
      <c r="H873" s="16" t="s">
        <v>32</v>
      </c>
      <c r="I873" s="16" t="s">
        <v>42</v>
      </c>
      <c r="J873" s="16" t="s">
        <v>68</v>
      </c>
      <c r="K873" s="18">
        <v>111520.1</v>
      </c>
      <c r="L873" s="18">
        <v>94860.64</v>
      </c>
      <c r="M873" s="19">
        <v>2</v>
      </c>
      <c r="N873" s="20">
        <v>0</v>
      </c>
      <c r="O873" s="19" t="s">
        <v>34</v>
      </c>
      <c r="P873" s="19" t="s">
        <v>58</v>
      </c>
      <c r="Q873" s="19" t="str">
        <f>TRIM(SalesData[[#This Row],[Customer_Name]])</f>
        <v>Amit Kumar</v>
      </c>
      <c r="R873" s="21">
        <f>SalesData[[#This Row],[Sales]]-SalesData[[#This Row],[Cost]]</f>
        <v>16659.460000000006</v>
      </c>
      <c r="S873" s="22">
        <f>IFERROR(SalesData[[#This Row],[Profit]]/SalesData[[#This Row],[Sales]],0)</f>
        <v>0.14938526776787328</v>
      </c>
      <c r="T873" s="19">
        <f>YEAR(SalesData[[#This Row],[Order_Date]])</f>
        <v>2024</v>
      </c>
      <c r="U873" s="19" t="str">
        <f>TEXT(SalesData[[#This Row],[Order_Date]],"mmm")</f>
        <v>Oct</v>
      </c>
      <c r="V873" s="19" t="str">
        <f>"Q"&amp;ROUNDUP(MONTH(SalesData[[#This Row],[Order_Date]])/3,0)</f>
        <v>Q4</v>
      </c>
      <c r="W873" s="19" t="str">
        <f>IF(SalesData[[#This Row],[Sales]]&gt;=50000,"High",IF(AND(SalesData[[#This Row],[Sales]]&gt;= 20000, SalesData[[#This Row],[Sales]]&lt; 50000),"Medium","Low"))</f>
        <v>High</v>
      </c>
      <c r="X873" s="19" t="str">
        <f>IF(SalesData[[#This Row],[Profit]]&gt;0,"Profit","Loss")</f>
        <v>Profit</v>
      </c>
      <c r="Y873" s="19" t="str">
        <f>IF(AND(SalesData[[#This Row],[Sales]]&gt;= 50000, SalesData[[#This Row],[Quantity]]&gt;=2),"Yes","No")</f>
        <v>Yes</v>
      </c>
      <c r="Z873" s="19" t="str">
        <f>UPPER(SalesData[[#This Row],[Customer_Name]])</f>
        <v>AMIT KUMAR</v>
      </c>
      <c r="AA873" s="19" t="str">
        <f>LOWER(SalesData[[#This Row],[Customer_Name]])</f>
        <v>amit kumar</v>
      </c>
      <c r="AB873" s="19">
        <f>LEN(SalesData[[#This Row],[Customer_Name]])</f>
        <v>10</v>
      </c>
      <c r="AC873" s="19" t="str">
        <f>LEFT(SalesData[[#This Row],[Order_ID]],3)</f>
        <v>ORD</v>
      </c>
      <c r="AD873" s="19" t="str">
        <f>RIGHT(SalesData[[#This Row],[Order_ID]],4)</f>
        <v>0953</v>
      </c>
      <c r="AE873" s="19" t="str">
        <f>_xlfn.CONCAT(SalesData[[#This Row],[Clean_Customer_Name]],"-",SalesData[[#This Row],[Region]])</f>
        <v>Amit Kumar-East</v>
      </c>
      <c r="AF873" s="19" t="str">
        <f>MID(SalesData[[#This Row],[Order_ID]],4,4)</f>
        <v>0953</v>
      </c>
      <c r="AG873" s="19" t="e">
        <f ca="1">_xlfn.SINGLE(_xlfn.XLOOKUP(SalesData[[#This Row],[Product]],Product_Master!A:A,Product_Master!B:B,"Not Found"))</f>
        <v>#NAME?</v>
      </c>
      <c r="AH873" s="19" t="str">
        <f>VLOOKUP(SalesData[[#This Row],[Product]],Product_Master!$A$1:$B$21,2,FALSE)</f>
        <v>Rahul</v>
      </c>
      <c r="AI873" s="16"/>
    </row>
    <row r="874" spans="1:35" ht="13.8">
      <c r="A874" s="16" t="s">
        <v>99</v>
      </c>
      <c r="B874" s="17">
        <v>45404</v>
      </c>
      <c r="C874" s="16" t="s">
        <v>100</v>
      </c>
      <c r="D874" s="16" t="s">
        <v>101</v>
      </c>
      <c r="E874" s="16" t="s">
        <v>81</v>
      </c>
      <c r="F874" s="16" t="s">
        <v>82</v>
      </c>
      <c r="G874" s="16" t="s">
        <v>21</v>
      </c>
      <c r="H874" s="16" t="s">
        <v>83</v>
      </c>
      <c r="I874" s="16" t="s">
        <v>53</v>
      </c>
      <c r="J874" s="16" t="s">
        <v>102</v>
      </c>
      <c r="K874" s="18">
        <v>54254.58</v>
      </c>
      <c r="L874" s="18">
        <v>36917.620000000003</v>
      </c>
      <c r="M874" s="19">
        <v>2</v>
      </c>
      <c r="N874" s="20">
        <v>0.15</v>
      </c>
      <c r="O874" s="19" t="s">
        <v>34</v>
      </c>
      <c r="P874" s="19" t="s">
        <v>58</v>
      </c>
      <c r="Q874" s="19" t="str">
        <f>TRIM(SalesData[[#This Row],[Customer_Name]])</f>
        <v>Amit Kumar</v>
      </c>
      <c r="R874" s="21">
        <f>SalesData[[#This Row],[Sales]]-SalesData[[#This Row],[Cost]]</f>
        <v>17336.96</v>
      </c>
      <c r="S874" s="22">
        <f>IFERROR(SalesData[[#This Row],[Profit]]/SalesData[[#This Row],[Sales]],0)</f>
        <v>0.31954832200341426</v>
      </c>
      <c r="T874" s="19">
        <f>YEAR(SalesData[[#This Row],[Order_Date]])</f>
        <v>2024</v>
      </c>
      <c r="U874" s="19" t="str">
        <f>TEXT(SalesData[[#This Row],[Order_Date]],"mmm")</f>
        <v>Apr</v>
      </c>
      <c r="V874" s="19" t="str">
        <f>"Q"&amp;ROUNDUP(MONTH(SalesData[[#This Row],[Order_Date]])/3,0)</f>
        <v>Q2</v>
      </c>
      <c r="W874" s="19" t="str">
        <f>IF(SalesData[[#This Row],[Sales]]&gt;=50000,"High",IF(AND(SalesData[[#This Row],[Sales]]&gt;= 20000, SalesData[[#This Row],[Sales]]&lt; 50000),"Medium","Low"))</f>
        <v>High</v>
      </c>
      <c r="X874" s="19" t="str">
        <f>IF(SalesData[[#This Row],[Profit]]&gt;0,"Profit","Loss")</f>
        <v>Profit</v>
      </c>
      <c r="Y874" s="19" t="str">
        <f>IF(AND(SalesData[[#This Row],[Sales]]&gt;= 50000, SalesData[[#This Row],[Quantity]]&gt;=2),"Yes","No")</f>
        <v>Yes</v>
      </c>
      <c r="Z874" s="19" t="str">
        <f>UPPER(SalesData[[#This Row],[Customer_Name]])</f>
        <v>AMIT KUMAR</v>
      </c>
      <c r="AA874" s="19" t="str">
        <f>LOWER(SalesData[[#This Row],[Customer_Name]])</f>
        <v>amit kumar</v>
      </c>
      <c r="AB874" s="19">
        <f>LEN(SalesData[[#This Row],[Customer_Name]])</f>
        <v>10</v>
      </c>
      <c r="AC874" s="19" t="str">
        <f>LEFT(SalesData[[#This Row],[Order_ID]],3)</f>
        <v>ORD</v>
      </c>
      <c r="AD874" s="19" t="str">
        <f>RIGHT(SalesData[[#This Row],[Order_ID]],4)</f>
        <v>0012</v>
      </c>
      <c r="AE874" s="19" t="str">
        <f>_xlfn.CONCAT(SalesData[[#This Row],[Clean_Customer_Name]],"-",SalesData[[#This Row],[Region]])</f>
        <v>Amit Kumar-Central</v>
      </c>
      <c r="AF874" s="19" t="str">
        <f>MID(SalesData[[#This Row],[Order_ID]],4,4)</f>
        <v>0012</v>
      </c>
      <c r="AG874" s="19" t="e">
        <f ca="1">_xlfn.SINGLE(_xlfn.XLOOKUP(SalesData[[#This Row],[Product]],Product_Master!A:A,Product_Master!B:B,"Not Found"))</f>
        <v>#NAME?</v>
      </c>
      <c r="AH874" s="19" t="str">
        <f>VLOOKUP(SalesData[[#This Row],[Product]],Product_Master!$A$1:$B$21,2,FALSE)</f>
        <v>Priya</v>
      </c>
      <c r="AI874" s="16"/>
    </row>
    <row r="875" spans="1:35" ht="13.8">
      <c r="A875" s="16" t="s">
        <v>127</v>
      </c>
      <c r="B875" s="17">
        <v>45630</v>
      </c>
      <c r="C875" s="16" t="s">
        <v>100</v>
      </c>
      <c r="D875" s="16" t="s">
        <v>101</v>
      </c>
      <c r="E875" s="16" t="s">
        <v>81</v>
      </c>
      <c r="F875" s="16" t="s">
        <v>82</v>
      </c>
      <c r="G875" s="16" t="s">
        <v>21</v>
      </c>
      <c r="H875" s="16" t="s">
        <v>83</v>
      </c>
      <c r="I875" s="16" t="s">
        <v>53</v>
      </c>
      <c r="J875" s="16" t="s">
        <v>102</v>
      </c>
      <c r="K875" s="18">
        <v>20648.71</v>
      </c>
      <c r="L875" s="18">
        <v>18050.96</v>
      </c>
      <c r="M875" s="19">
        <v>1</v>
      </c>
      <c r="N875" s="20">
        <v>0.15</v>
      </c>
      <c r="O875" s="19" t="s">
        <v>76</v>
      </c>
      <c r="P875" s="19" t="s">
        <v>58</v>
      </c>
      <c r="Q875" s="19" t="str">
        <f>TRIM(SalesData[[#This Row],[Customer_Name]])</f>
        <v>Amit Kumar</v>
      </c>
      <c r="R875" s="21">
        <f>SalesData[[#This Row],[Sales]]-SalesData[[#This Row],[Cost]]</f>
        <v>2597.75</v>
      </c>
      <c r="S875" s="22">
        <f>IFERROR(SalesData[[#This Row],[Profit]]/SalesData[[#This Row],[Sales]],0)</f>
        <v>0.12580689059994549</v>
      </c>
      <c r="T875" s="19">
        <f>YEAR(SalesData[[#This Row],[Order_Date]])</f>
        <v>2024</v>
      </c>
      <c r="U875" s="19" t="str">
        <f>TEXT(SalesData[[#This Row],[Order_Date]],"mmm")</f>
        <v>Dec</v>
      </c>
      <c r="V875" s="19" t="str">
        <f>"Q"&amp;ROUNDUP(MONTH(SalesData[[#This Row],[Order_Date]])/3,0)</f>
        <v>Q4</v>
      </c>
      <c r="W875" s="19" t="str">
        <f>IF(SalesData[[#This Row],[Sales]]&gt;=50000,"High",IF(AND(SalesData[[#This Row],[Sales]]&gt;= 20000, SalesData[[#This Row],[Sales]]&lt; 50000),"Medium","Low"))</f>
        <v>Medium</v>
      </c>
      <c r="X875" s="19" t="str">
        <f>IF(SalesData[[#This Row],[Profit]]&gt;0,"Profit","Loss")</f>
        <v>Profit</v>
      </c>
      <c r="Y875" s="19" t="str">
        <f>IF(AND(SalesData[[#This Row],[Sales]]&gt;= 50000, SalesData[[#This Row],[Quantity]]&gt;=2),"Yes","No")</f>
        <v>No</v>
      </c>
      <c r="Z875" s="19" t="str">
        <f>UPPER(SalesData[[#This Row],[Customer_Name]])</f>
        <v>AMIT KUMAR</v>
      </c>
      <c r="AA875" s="19" t="str">
        <f>LOWER(SalesData[[#This Row],[Customer_Name]])</f>
        <v>amit kumar</v>
      </c>
      <c r="AB875" s="19">
        <f>LEN(SalesData[[#This Row],[Customer_Name]])</f>
        <v>10</v>
      </c>
      <c r="AC875" s="19" t="str">
        <f>LEFT(SalesData[[#This Row],[Order_ID]],3)</f>
        <v>ORD</v>
      </c>
      <c r="AD875" s="19" t="str">
        <f>RIGHT(SalesData[[#This Row],[Order_ID]],4)</f>
        <v>0021</v>
      </c>
      <c r="AE875" s="19" t="str">
        <f>_xlfn.CONCAT(SalesData[[#This Row],[Clean_Customer_Name]],"-",SalesData[[#This Row],[Region]])</f>
        <v>Amit Kumar-Central</v>
      </c>
      <c r="AF875" s="19" t="str">
        <f>MID(SalesData[[#This Row],[Order_ID]],4,4)</f>
        <v>0021</v>
      </c>
      <c r="AG875" s="19" t="e">
        <f ca="1">_xlfn.SINGLE(_xlfn.XLOOKUP(SalesData[[#This Row],[Product]],Product_Master!A:A,Product_Master!B:B,"Not Found"))</f>
        <v>#NAME?</v>
      </c>
      <c r="AH875" s="19" t="str">
        <f>VLOOKUP(SalesData[[#This Row],[Product]],Product_Master!$A$1:$B$21,2,FALSE)</f>
        <v>Priya</v>
      </c>
      <c r="AI875" s="16"/>
    </row>
    <row r="876" spans="1:35" ht="13.8">
      <c r="A876" s="16" t="s">
        <v>353</v>
      </c>
      <c r="B876" s="17">
        <v>45742</v>
      </c>
      <c r="C876" s="16" t="s">
        <v>100</v>
      </c>
      <c r="D876" s="16" t="s">
        <v>101</v>
      </c>
      <c r="E876" s="16" t="s">
        <v>81</v>
      </c>
      <c r="F876" s="16" t="s">
        <v>82</v>
      </c>
      <c r="G876" s="16" t="s">
        <v>21</v>
      </c>
      <c r="H876" s="16" t="s">
        <v>83</v>
      </c>
      <c r="I876" s="16" t="s">
        <v>23</v>
      </c>
      <c r="J876" s="16" t="s">
        <v>75</v>
      </c>
      <c r="K876" s="18">
        <v>74200.639999999999</v>
      </c>
      <c r="L876" s="18">
        <v>71773.2</v>
      </c>
      <c r="M876" s="19">
        <v>4</v>
      </c>
      <c r="N876" s="20">
        <v>0.2</v>
      </c>
      <c r="O876" s="19" t="s">
        <v>76</v>
      </c>
      <c r="P876" s="19" t="s">
        <v>77</v>
      </c>
      <c r="Q876" s="19" t="str">
        <f>TRIM(SalesData[[#This Row],[Customer_Name]])</f>
        <v>Amit Kumar</v>
      </c>
      <c r="R876" s="21">
        <f>SalesData[[#This Row],[Sales]]-SalesData[[#This Row],[Cost]]</f>
        <v>2427.4400000000023</v>
      </c>
      <c r="S876" s="22">
        <f>IFERROR(SalesData[[#This Row],[Profit]]/SalesData[[#This Row],[Sales]],0)</f>
        <v>3.2714542623891146E-2</v>
      </c>
      <c r="T876" s="19">
        <f>YEAR(SalesData[[#This Row],[Order_Date]])</f>
        <v>2025</v>
      </c>
      <c r="U876" s="19" t="str">
        <f>TEXT(SalesData[[#This Row],[Order_Date]],"mmm")</f>
        <v>Mar</v>
      </c>
      <c r="V876" s="19" t="str">
        <f>"Q"&amp;ROUNDUP(MONTH(SalesData[[#This Row],[Order_Date]])/3,0)</f>
        <v>Q1</v>
      </c>
      <c r="W876" s="19" t="str">
        <f>IF(SalesData[[#This Row],[Sales]]&gt;=50000,"High",IF(AND(SalesData[[#This Row],[Sales]]&gt;= 20000, SalesData[[#This Row],[Sales]]&lt; 50000),"Medium","Low"))</f>
        <v>High</v>
      </c>
      <c r="X876" s="19" t="str">
        <f>IF(SalesData[[#This Row],[Profit]]&gt;0,"Profit","Loss")</f>
        <v>Profit</v>
      </c>
      <c r="Y876" s="19" t="str">
        <f>IF(AND(SalesData[[#This Row],[Sales]]&gt;= 50000, SalesData[[#This Row],[Quantity]]&gt;=2),"Yes","No")</f>
        <v>Yes</v>
      </c>
      <c r="Z876" s="19" t="str">
        <f>UPPER(SalesData[[#This Row],[Customer_Name]])</f>
        <v>AMIT KUMAR</v>
      </c>
      <c r="AA876" s="19" t="str">
        <f>LOWER(SalesData[[#This Row],[Customer_Name]])</f>
        <v>amit kumar</v>
      </c>
      <c r="AB876" s="19">
        <f>LEN(SalesData[[#This Row],[Customer_Name]])</f>
        <v>10</v>
      </c>
      <c r="AC876" s="19" t="str">
        <f>LEFT(SalesData[[#This Row],[Order_ID]],3)</f>
        <v>ORD</v>
      </c>
      <c r="AD876" s="19" t="str">
        <f>RIGHT(SalesData[[#This Row],[Order_ID]],4)</f>
        <v>0200</v>
      </c>
      <c r="AE876" s="19" t="str">
        <f>_xlfn.CONCAT(SalesData[[#This Row],[Clean_Customer_Name]],"-",SalesData[[#This Row],[Region]])</f>
        <v>Amit Kumar-North</v>
      </c>
      <c r="AF876" s="19" t="str">
        <f>MID(SalesData[[#This Row],[Order_ID]],4,4)</f>
        <v>0200</v>
      </c>
      <c r="AG876" s="19" t="e">
        <f ca="1">_xlfn.SINGLE(_xlfn.XLOOKUP(SalesData[[#This Row],[Product]],Product_Master!A:A,Product_Master!B:B,"Not Found"))</f>
        <v>#NAME?</v>
      </c>
      <c r="AH876" s="19" t="str">
        <f>VLOOKUP(SalesData[[#This Row],[Product]],Product_Master!$A$1:$B$21,2,FALSE)</f>
        <v>Priya</v>
      </c>
      <c r="AI876" s="16"/>
    </row>
    <row r="877" spans="1:35" ht="13.8">
      <c r="A877" s="16" t="s">
        <v>723</v>
      </c>
      <c r="B877" s="17">
        <v>45634</v>
      </c>
      <c r="C877" s="16" t="s">
        <v>100</v>
      </c>
      <c r="D877" s="16" t="s">
        <v>101</v>
      </c>
      <c r="E877" s="16" t="s">
        <v>81</v>
      </c>
      <c r="F877" s="16" t="s">
        <v>82</v>
      </c>
      <c r="G877" s="16" t="s">
        <v>21</v>
      </c>
      <c r="H877" s="16" t="s">
        <v>83</v>
      </c>
      <c r="I877" s="16" t="s">
        <v>53</v>
      </c>
      <c r="J877" s="16" t="s">
        <v>54</v>
      </c>
      <c r="K877" s="18">
        <v>79815.240000000005</v>
      </c>
      <c r="L877" s="18">
        <v>58101.75</v>
      </c>
      <c r="M877" s="19">
        <v>3</v>
      </c>
      <c r="N877" s="20">
        <v>0</v>
      </c>
      <c r="O877" s="19" t="s">
        <v>76</v>
      </c>
      <c r="P877" s="19" t="s">
        <v>58</v>
      </c>
      <c r="Q877" s="19" t="str">
        <f>TRIM(SalesData[[#This Row],[Customer_Name]])</f>
        <v>Amit Kumar</v>
      </c>
      <c r="R877" s="21">
        <f>SalesData[[#This Row],[Sales]]-SalesData[[#This Row],[Cost]]</f>
        <v>21713.490000000005</v>
      </c>
      <c r="S877" s="22">
        <f>IFERROR(SalesData[[#This Row],[Profit]]/SalesData[[#This Row],[Sales]],0)</f>
        <v>0.27204691735563286</v>
      </c>
      <c r="T877" s="19">
        <f>YEAR(SalesData[[#This Row],[Order_Date]])</f>
        <v>2024</v>
      </c>
      <c r="U877" s="19" t="str">
        <f>TEXT(SalesData[[#This Row],[Order_Date]],"mmm")</f>
        <v>Dec</v>
      </c>
      <c r="V877" s="19" t="str">
        <f>"Q"&amp;ROUNDUP(MONTH(SalesData[[#This Row],[Order_Date]])/3,0)</f>
        <v>Q4</v>
      </c>
      <c r="W877" s="19" t="str">
        <f>IF(SalesData[[#This Row],[Sales]]&gt;=50000,"High",IF(AND(SalesData[[#This Row],[Sales]]&gt;= 20000, SalesData[[#This Row],[Sales]]&lt; 50000),"Medium","Low"))</f>
        <v>High</v>
      </c>
      <c r="X877" s="19" t="str">
        <f>IF(SalesData[[#This Row],[Profit]]&gt;0,"Profit","Loss")</f>
        <v>Profit</v>
      </c>
      <c r="Y877" s="19" t="str">
        <f>IF(AND(SalesData[[#This Row],[Sales]]&gt;= 50000, SalesData[[#This Row],[Quantity]]&gt;=2),"Yes","No")</f>
        <v>Yes</v>
      </c>
      <c r="Z877" s="19" t="str">
        <f>UPPER(SalesData[[#This Row],[Customer_Name]])</f>
        <v>AMIT KUMAR</v>
      </c>
      <c r="AA877" s="19" t="str">
        <f>LOWER(SalesData[[#This Row],[Customer_Name]])</f>
        <v>amit kumar</v>
      </c>
      <c r="AB877" s="19">
        <f>LEN(SalesData[[#This Row],[Customer_Name]])</f>
        <v>10</v>
      </c>
      <c r="AC877" s="19" t="str">
        <f>LEFT(SalesData[[#This Row],[Order_ID]],3)</f>
        <v>ORD</v>
      </c>
      <c r="AD877" s="19" t="str">
        <f>RIGHT(SalesData[[#This Row],[Order_ID]],4)</f>
        <v>0570</v>
      </c>
      <c r="AE877" s="19" t="str">
        <f>_xlfn.CONCAT(SalesData[[#This Row],[Clean_Customer_Name]],"-",SalesData[[#This Row],[Region]])</f>
        <v>Amit Kumar-Central</v>
      </c>
      <c r="AF877" s="19" t="str">
        <f>MID(SalesData[[#This Row],[Order_ID]],4,4)</f>
        <v>0570</v>
      </c>
      <c r="AG877" s="19" t="e">
        <f ca="1">_xlfn.SINGLE(_xlfn.XLOOKUP(SalesData[[#This Row],[Product]],Product_Master!A:A,Product_Master!B:B,"Not Found"))</f>
        <v>#NAME?</v>
      </c>
      <c r="AH877" s="19" t="str">
        <f>VLOOKUP(SalesData[[#This Row],[Product]],Product_Master!$A$1:$B$21,2,FALSE)</f>
        <v>Priya</v>
      </c>
      <c r="AI877" s="16"/>
    </row>
    <row r="878" spans="1:35" ht="13.8">
      <c r="A878" s="16" t="s">
        <v>1015</v>
      </c>
      <c r="B878" s="17">
        <v>45425</v>
      </c>
      <c r="C878" s="16" t="s">
        <v>100</v>
      </c>
      <c r="D878" s="16" t="s">
        <v>101</v>
      </c>
      <c r="E878" s="16" t="s">
        <v>81</v>
      </c>
      <c r="F878" s="16" t="s">
        <v>82</v>
      </c>
      <c r="G878" s="16" t="s">
        <v>21</v>
      </c>
      <c r="H878" s="16" t="s">
        <v>83</v>
      </c>
      <c r="I878" s="16" t="s">
        <v>56</v>
      </c>
      <c r="J878" s="16" t="s">
        <v>91</v>
      </c>
      <c r="K878" s="18">
        <v>68219.520000000004</v>
      </c>
      <c r="L878" s="18">
        <v>67892.88</v>
      </c>
      <c r="M878" s="19">
        <v>4</v>
      </c>
      <c r="N878" s="20">
        <v>0.2</v>
      </c>
      <c r="O878" s="19" t="s">
        <v>136</v>
      </c>
      <c r="P878" s="19" t="s">
        <v>26</v>
      </c>
      <c r="Q878" s="19" t="str">
        <f>TRIM(SalesData[[#This Row],[Customer_Name]])</f>
        <v>Amit Kumar</v>
      </c>
      <c r="R878" s="21">
        <f>SalesData[[#This Row],[Sales]]-SalesData[[#This Row],[Cost]]</f>
        <v>326.63999999999942</v>
      </c>
      <c r="S878" s="22">
        <f>IFERROR(SalesData[[#This Row],[Profit]]/SalesData[[#This Row],[Sales]],0)</f>
        <v>4.7880723874926031E-3</v>
      </c>
      <c r="T878" s="19">
        <f>YEAR(SalesData[[#This Row],[Order_Date]])</f>
        <v>2024</v>
      </c>
      <c r="U878" s="19" t="str">
        <f>TEXT(SalesData[[#This Row],[Order_Date]],"mmm")</f>
        <v>May</v>
      </c>
      <c r="V878" s="19" t="str">
        <f>"Q"&amp;ROUNDUP(MONTH(SalesData[[#This Row],[Order_Date]])/3,0)</f>
        <v>Q2</v>
      </c>
      <c r="W878" s="19" t="str">
        <f>IF(SalesData[[#This Row],[Sales]]&gt;=50000,"High",IF(AND(SalesData[[#This Row],[Sales]]&gt;= 20000, SalesData[[#This Row],[Sales]]&lt; 50000),"Medium","Low"))</f>
        <v>High</v>
      </c>
      <c r="X878" s="19" t="str">
        <f>IF(SalesData[[#This Row],[Profit]]&gt;0,"Profit","Loss")</f>
        <v>Profit</v>
      </c>
      <c r="Y878" s="19" t="str">
        <f>IF(AND(SalesData[[#This Row],[Sales]]&gt;= 50000, SalesData[[#This Row],[Quantity]]&gt;=2),"Yes","No")</f>
        <v>Yes</v>
      </c>
      <c r="Z878" s="19" t="str">
        <f>UPPER(SalesData[[#This Row],[Customer_Name]])</f>
        <v>AMIT KUMAR</v>
      </c>
      <c r="AA878" s="19" t="str">
        <f>LOWER(SalesData[[#This Row],[Customer_Name]])</f>
        <v>amit kumar</v>
      </c>
      <c r="AB878" s="19">
        <f>LEN(SalesData[[#This Row],[Customer_Name]])</f>
        <v>10</v>
      </c>
      <c r="AC878" s="19" t="str">
        <f>LEFT(SalesData[[#This Row],[Order_ID]],3)</f>
        <v>ORD</v>
      </c>
      <c r="AD878" s="19" t="str">
        <f>RIGHT(SalesData[[#This Row],[Order_ID]],4)</f>
        <v>0862</v>
      </c>
      <c r="AE878" s="19" t="str">
        <f>_xlfn.CONCAT(SalesData[[#This Row],[Clean_Customer_Name]],"-",SalesData[[#This Row],[Region]])</f>
        <v>Amit Kumar-West</v>
      </c>
      <c r="AF878" s="19" t="str">
        <f>MID(SalesData[[#This Row],[Order_ID]],4,4)</f>
        <v>0862</v>
      </c>
      <c r="AG878" s="19" t="e">
        <f ca="1">_xlfn.SINGLE(_xlfn.XLOOKUP(SalesData[[#This Row],[Product]],Product_Master!A:A,Product_Master!B:B,"Not Found"))</f>
        <v>#NAME?</v>
      </c>
      <c r="AH878" s="19" t="str">
        <f>VLOOKUP(SalesData[[#This Row],[Product]],Product_Master!$A$1:$B$21,2,FALSE)</f>
        <v>Priya</v>
      </c>
      <c r="AI878" s="16"/>
    </row>
    <row r="879" spans="1:35" ht="13.8">
      <c r="A879" s="16" t="s">
        <v>1055</v>
      </c>
      <c r="B879" s="17">
        <v>45678</v>
      </c>
      <c r="C879" s="16" t="s">
        <v>100</v>
      </c>
      <c r="D879" s="16" t="s">
        <v>101</v>
      </c>
      <c r="E879" s="16" t="s">
        <v>81</v>
      </c>
      <c r="F879" s="16" t="s">
        <v>82</v>
      </c>
      <c r="G879" s="16" t="s">
        <v>21</v>
      </c>
      <c r="H879" s="16" t="s">
        <v>83</v>
      </c>
      <c r="I879" s="16" t="s">
        <v>23</v>
      </c>
      <c r="J879" s="16" t="s">
        <v>24</v>
      </c>
      <c r="K879" s="18">
        <v>86781.13</v>
      </c>
      <c r="L879" s="18">
        <v>58212.9</v>
      </c>
      <c r="M879" s="19">
        <v>3</v>
      </c>
      <c r="N879" s="20">
        <v>0.05</v>
      </c>
      <c r="O879" s="19" t="s">
        <v>25</v>
      </c>
      <c r="P879" s="19" t="s">
        <v>98</v>
      </c>
      <c r="Q879" s="19" t="str">
        <f>TRIM(SalesData[[#This Row],[Customer_Name]])</f>
        <v>Amit Kumar</v>
      </c>
      <c r="R879" s="21">
        <f>SalesData[[#This Row],[Sales]]-SalesData[[#This Row],[Cost]]</f>
        <v>28568.230000000003</v>
      </c>
      <c r="S879" s="22">
        <f>IFERROR(SalesData[[#This Row],[Profit]]/SalesData[[#This Row],[Sales]],0)</f>
        <v>0.32919864030348533</v>
      </c>
      <c r="T879" s="19">
        <f>YEAR(SalesData[[#This Row],[Order_Date]])</f>
        <v>2025</v>
      </c>
      <c r="U879" s="19" t="str">
        <f>TEXT(SalesData[[#This Row],[Order_Date]],"mmm")</f>
        <v>Jan</v>
      </c>
      <c r="V879" s="19" t="str">
        <f>"Q"&amp;ROUNDUP(MONTH(SalesData[[#This Row],[Order_Date]])/3,0)</f>
        <v>Q1</v>
      </c>
      <c r="W879" s="19" t="str">
        <f>IF(SalesData[[#This Row],[Sales]]&gt;=50000,"High",IF(AND(SalesData[[#This Row],[Sales]]&gt;= 20000, SalesData[[#This Row],[Sales]]&lt; 50000),"Medium","Low"))</f>
        <v>High</v>
      </c>
      <c r="X879" s="19" t="str">
        <f>IF(SalesData[[#This Row],[Profit]]&gt;0,"Profit","Loss")</f>
        <v>Profit</v>
      </c>
      <c r="Y879" s="19" t="str">
        <f>IF(AND(SalesData[[#This Row],[Sales]]&gt;= 50000, SalesData[[#This Row],[Quantity]]&gt;=2),"Yes","No")</f>
        <v>Yes</v>
      </c>
      <c r="Z879" s="19" t="str">
        <f>UPPER(SalesData[[#This Row],[Customer_Name]])</f>
        <v>AMIT KUMAR</v>
      </c>
      <c r="AA879" s="19" t="str">
        <f>LOWER(SalesData[[#This Row],[Customer_Name]])</f>
        <v>amit kumar</v>
      </c>
      <c r="AB879" s="19">
        <f>LEN(SalesData[[#This Row],[Customer_Name]])</f>
        <v>10</v>
      </c>
      <c r="AC879" s="19" t="str">
        <f>LEFT(SalesData[[#This Row],[Order_ID]],3)</f>
        <v>ORD</v>
      </c>
      <c r="AD879" s="19" t="str">
        <f>RIGHT(SalesData[[#This Row],[Order_ID]],4)</f>
        <v>0902</v>
      </c>
      <c r="AE879" s="19" t="str">
        <f>_xlfn.CONCAT(SalesData[[#This Row],[Clean_Customer_Name]],"-",SalesData[[#This Row],[Region]])</f>
        <v>Amit Kumar-North</v>
      </c>
      <c r="AF879" s="19" t="str">
        <f>MID(SalesData[[#This Row],[Order_ID]],4,4)</f>
        <v>0902</v>
      </c>
      <c r="AG879" s="19" t="e">
        <f ca="1">_xlfn.SINGLE(_xlfn.XLOOKUP(SalesData[[#This Row],[Product]],Product_Master!A:A,Product_Master!B:B,"Not Found"))</f>
        <v>#NAME?</v>
      </c>
      <c r="AH879" s="19" t="str">
        <f>VLOOKUP(SalesData[[#This Row],[Product]],Product_Master!$A$1:$B$21,2,FALSE)</f>
        <v>Priya</v>
      </c>
      <c r="AI879" s="16"/>
    </row>
    <row r="880" spans="1:35" ht="13.8">
      <c r="A880" s="16" t="s">
        <v>321</v>
      </c>
      <c r="B880" s="17">
        <v>45752</v>
      </c>
      <c r="C880" s="16" t="s">
        <v>100</v>
      </c>
      <c r="D880" s="16" t="s">
        <v>101</v>
      </c>
      <c r="E880" s="16" t="s">
        <v>117</v>
      </c>
      <c r="F880" s="16" t="s">
        <v>118</v>
      </c>
      <c r="G880" s="16" t="s">
        <v>51</v>
      </c>
      <c r="H880" s="16" t="s">
        <v>119</v>
      </c>
      <c r="I880" s="16" t="s">
        <v>84</v>
      </c>
      <c r="J880" s="16" t="s">
        <v>142</v>
      </c>
      <c r="K880" s="18">
        <v>36324.86</v>
      </c>
      <c r="L880" s="18">
        <v>20913.05</v>
      </c>
      <c r="M880" s="19">
        <v>5</v>
      </c>
      <c r="N880" s="20">
        <v>0.05</v>
      </c>
      <c r="O880" s="19" t="s">
        <v>136</v>
      </c>
      <c r="P880" s="19" t="s">
        <v>77</v>
      </c>
      <c r="Q880" s="19" t="str">
        <f>TRIM(SalesData[[#This Row],[Customer_Name]])</f>
        <v>Amit Kumar</v>
      </c>
      <c r="R880" s="21">
        <f>SalesData[[#This Row],[Sales]]-SalesData[[#This Row],[Cost]]</f>
        <v>15411.810000000001</v>
      </c>
      <c r="S880" s="22">
        <f>IFERROR(SalesData[[#This Row],[Profit]]/SalesData[[#This Row],[Sales]],0)</f>
        <v>0.42427720299541422</v>
      </c>
      <c r="T880" s="19">
        <f>YEAR(SalesData[[#This Row],[Order_Date]])</f>
        <v>2025</v>
      </c>
      <c r="U880" s="19" t="str">
        <f>TEXT(SalesData[[#This Row],[Order_Date]],"mmm")</f>
        <v>Apr</v>
      </c>
      <c r="V880" s="19" t="str">
        <f>"Q"&amp;ROUNDUP(MONTH(SalesData[[#This Row],[Order_Date]])/3,0)</f>
        <v>Q2</v>
      </c>
      <c r="W880" s="19" t="str">
        <f>IF(SalesData[[#This Row],[Sales]]&gt;=50000,"High",IF(AND(SalesData[[#This Row],[Sales]]&gt;= 20000, SalesData[[#This Row],[Sales]]&lt; 50000),"Medium","Low"))</f>
        <v>Medium</v>
      </c>
      <c r="X880" s="19" t="str">
        <f>IF(SalesData[[#This Row],[Profit]]&gt;0,"Profit","Loss")</f>
        <v>Profit</v>
      </c>
      <c r="Y880" s="19" t="str">
        <f>IF(AND(SalesData[[#This Row],[Sales]]&gt;= 50000, SalesData[[#This Row],[Quantity]]&gt;=2),"Yes","No")</f>
        <v>No</v>
      </c>
      <c r="Z880" s="19" t="str">
        <f>UPPER(SalesData[[#This Row],[Customer_Name]])</f>
        <v>AMIT KUMAR</v>
      </c>
      <c r="AA880" s="19" t="str">
        <f>LOWER(SalesData[[#This Row],[Customer_Name]])</f>
        <v>amit kumar</v>
      </c>
      <c r="AB880" s="19">
        <f>LEN(SalesData[[#This Row],[Customer_Name]])</f>
        <v>10</v>
      </c>
      <c r="AC880" s="19" t="str">
        <f>LEFT(SalesData[[#This Row],[Order_ID]],3)</f>
        <v>ORD</v>
      </c>
      <c r="AD880" s="19" t="str">
        <f>RIGHT(SalesData[[#This Row],[Order_ID]],4)</f>
        <v>0168</v>
      </c>
      <c r="AE880" s="19" t="str">
        <f>_xlfn.CONCAT(SalesData[[#This Row],[Clean_Customer_Name]],"-",SalesData[[#This Row],[Region]])</f>
        <v>Amit Kumar-South</v>
      </c>
      <c r="AF880" s="19" t="str">
        <f>MID(SalesData[[#This Row],[Order_ID]],4,4)</f>
        <v>0168</v>
      </c>
      <c r="AG880" s="19" t="e">
        <f ca="1">_xlfn.SINGLE(_xlfn.XLOOKUP(SalesData[[#This Row],[Product]],Product_Master!A:A,Product_Master!B:B,"Not Found"))</f>
        <v>#NAME?</v>
      </c>
      <c r="AH880" s="19" t="str">
        <f>VLOOKUP(SalesData[[#This Row],[Product]],Product_Master!$A$1:$B$21,2,FALSE)</f>
        <v>Karan</v>
      </c>
      <c r="AI880" s="16"/>
    </row>
    <row r="881" spans="1:35" ht="13.8">
      <c r="A881" s="16" t="s">
        <v>404</v>
      </c>
      <c r="B881" s="17">
        <v>45893</v>
      </c>
      <c r="C881" s="16" t="s">
        <v>100</v>
      </c>
      <c r="D881" s="16" t="s">
        <v>101</v>
      </c>
      <c r="E881" s="16" t="s">
        <v>49</v>
      </c>
      <c r="F881" s="16" t="s">
        <v>50</v>
      </c>
      <c r="G881" s="16" t="s">
        <v>51</v>
      </c>
      <c r="H881" s="16" t="s">
        <v>52</v>
      </c>
      <c r="I881" s="16" t="s">
        <v>53</v>
      </c>
      <c r="J881" s="16" t="s">
        <v>54</v>
      </c>
      <c r="K881" s="18">
        <v>44830.400000000001</v>
      </c>
      <c r="L881" s="18">
        <v>33019.1</v>
      </c>
      <c r="M881" s="19">
        <v>5</v>
      </c>
      <c r="N881" s="20">
        <v>0.1</v>
      </c>
      <c r="O881" s="19" t="s">
        <v>44</v>
      </c>
      <c r="P881" s="19" t="s">
        <v>58</v>
      </c>
      <c r="Q881" s="19" t="str">
        <f>TRIM(SalesData[[#This Row],[Customer_Name]])</f>
        <v>Amit Kumar</v>
      </c>
      <c r="R881" s="21">
        <f>SalesData[[#This Row],[Sales]]-SalesData[[#This Row],[Cost]]</f>
        <v>11811.300000000003</v>
      </c>
      <c r="S881" s="22">
        <f>IFERROR(SalesData[[#This Row],[Profit]]/SalesData[[#This Row],[Sales]],0)</f>
        <v>0.26346630857632325</v>
      </c>
      <c r="T881" s="19">
        <f>YEAR(SalesData[[#This Row],[Order_Date]])</f>
        <v>2025</v>
      </c>
      <c r="U881" s="19" t="str">
        <f>TEXT(SalesData[[#This Row],[Order_Date]],"mmm")</f>
        <v>Aug</v>
      </c>
      <c r="V881" s="19" t="str">
        <f>"Q"&amp;ROUNDUP(MONTH(SalesData[[#This Row],[Order_Date]])/3,0)</f>
        <v>Q3</v>
      </c>
      <c r="W881" s="19" t="str">
        <f>IF(SalesData[[#This Row],[Sales]]&gt;=50000,"High",IF(AND(SalesData[[#This Row],[Sales]]&gt;= 20000, SalesData[[#This Row],[Sales]]&lt; 50000),"Medium","Low"))</f>
        <v>Medium</v>
      </c>
      <c r="X881" s="19" t="str">
        <f>IF(SalesData[[#This Row],[Profit]]&gt;0,"Profit","Loss")</f>
        <v>Profit</v>
      </c>
      <c r="Y881" s="19" t="str">
        <f>IF(AND(SalesData[[#This Row],[Sales]]&gt;= 50000, SalesData[[#This Row],[Quantity]]&gt;=2),"Yes","No")</f>
        <v>No</v>
      </c>
      <c r="Z881" s="19" t="str">
        <f>UPPER(SalesData[[#This Row],[Customer_Name]])</f>
        <v>AMIT KUMAR</v>
      </c>
      <c r="AA881" s="19" t="str">
        <f>LOWER(SalesData[[#This Row],[Customer_Name]])</f>
        <v>amit kumar</v>
      </c>
      <c r="AB881" s="19">
        <f>LEN(SalesData[[#This Row],[Customer_Name]])</f>
        <v>10</v>
      </c>
      <c r="AC881" s="19" t="str">
        <f>LEFT(SalesData[[#This Row],[Order_ID]],3)</f>
        <v>ORD</v>
      </c>
      <c r="AD881" s="19" t="str">
        <f>RIGHT(SalesData[[#This Row],[Order_ID]],4)</f>
        <v>0251</v>
      </c>
      <c r="AE881" s="19" t="str">
        <f>_xlfn.CONCAT(SalesData[[#This Row],[Clean_Customer_Name]],"-",SalesData[[#This Row],[Region]])</f>
        <v>Amit Kumar-Central</v>
      </c>
      <c r="AF881" s="19" t="str">
        <f>MID(SalesData[[#This Row],[Order_ID]],4,4)</f>
        <v>0251</v>
      </c>
      <c r="AG881" s="19" t="e">
        <f ca="1">_xlfn.SINGLE(_xlfn.XLOOKUP(SalesData[[#This Row],[Product]],Product_Master!A:A,Product_Master!B:B,"Not Found"))</f>
        <v>#NAME?</v>
      </c>
      <c r="AH881" s="19" t="str">
        <f>VLOOKUP(SalesData[[#This Row],[Product]],Product_Master!$A$1:$B$21,2,FALSE)</f>
        <v>Rohan</v>
      </c>
      <c r="AI881" s="16"/>
    </row>
    <row r="882" spans="1:35" ht="13.8">
      <c r="A882" s="16" t="s">
        <v>138</v>
      </c>
      <c r="B882" s="17">
        <v>45708</v>
      </c>
      <c r="C882" s="16" t="s">
        <v>100</v>
      </c>
      <c r="D882" s="16" t="s">
        <v>101</v>
      </c>
      <c r="E882" s="16" t="s">
        <v>72</v>
      </c>
      <c r="F882" s="16" t="s">
        <v>73</v>
      </c>
      <c r="G882" s="16" t="s">
        <v>51</v>
      </c>
      <c r="H882" s="16" t="s">
        <v>74</v>
      </c>
      <c r="I882" s="16" t="s">
        <v>23</v>
      </c>
      <c r="J882" s="16" t="s">
        <v>75</v>
      </c>
      <c r="K882" s="18">
        <v>37011.480000000003</v>
      </c>
      <c r="L882" s="18">
        <v>15940.36</v>
      </c>
      <c r="M882" s="19">
        <v>4</v>
      </c>
      <c r="N882" s="20">
        <v>0</v>
      </c>
      <c r="O882" s="19" t="s">
        <v>76</v>
      </c>
      <c r="P882" s="19" t="s">
        <v>26</v>
      </c>
      <c r="Q882" s="19" t="str">
        <f>TRIM(SalesData[[#This Row],[Customer_Name]])</f>
        <v>Amit Kumar</v>
      </c>
      <c r="R882" s="21">
        <f>SalesData[[#This Row],[Sales]]-SalesData[[#This Row],[Cost]]</f>
        <v>21071.120000000003</v>
      </c>
      <c r="S882" s="22">
        <f>IFERROR(SalesData[[#This Row],[Profit]]/SalesData[[#This Row],[Sales]],0)</f>
        <v>0.56931308880379816</v>
      </c>
      <c r="T882" s="19">
        <f>YEAR(SalesData[[#This Row],[Order_Date]])</f>
        <v>2025</v>
      </c>
      <c r="U882" s="19" t="str">
        <f>TEXT(SalesData[[#This Row],[Order_Date]],"mmm")</f>
        <v>Feb</v>
      </c>
      <c r="V882" s="19" t="str">
        <f>"Q"&amp;ROUNDUP(MONTH(SalesData[[#This Row],[Order_Date]])/3,0)</f>
        <v>Q1</v>
      </c>
      <c r="W882" s="19" t="str">
        <f>IF(SalesData[[#This Row],[Sales]]&gt;=50000,"High",IF(AND(SalesData[[#This Row],[Sales]]&gt;= 20000, SalesData[[#This Row],[Sales]]&lt; 50000),"Medium","Low"))</f>
        <v>Medium</v>
      </c>
      <c r="X882" s="19" t="str">
        <f>IF(SalesData[[#This Row],[Profit]]&gt;0,"Profit","Loss")</f>
        <v>Profit</v>
      </c>
      <c r="Y882" s="19" t="str">
        <f>IF(AND(SalesData[[#This Row],[Sales]]&gt;= 50000, SalesData[[#This Row],[Quantity]]&gt;=2),"Yes","No")</f>
        <v>No</v>
      </c>
      <c r="Z882" s="19" t="str">
        <f>UPPER(SalesData[[#This Row],[Customer_Name]])</f>
        <v>AMIT KUMAR</v>
      </c>
      <c r="AA882" s="19" t="str">
        <f>LOWER(SalesData[[#This Row],[Customer_Name]])</f>
        <v>amit kumar</v>
      </c>
      <c r="AB882" s="19">
        <f>LEN(SalesData[[#This Row],[Customer_Name]])</f>
        <v>10</v>
      </c>
      <c r="AC882" s="19" t="str">
        <f>LEFT(SalesData[[#This Row],[Order_ID]],3)</f>
        <v>ORD</v>
      </c>
      <c r="AD882" s="19" t="str">
        <f>RIGHT(SalesData[[#This Row],[Order_ID]],4)</f>
        <v>0026</v>
      </c>
      <c r="AE882" s="19" t="str">
        <f>_xlfn.CONCAT(SalesData[[#This Row],[Clean_Customer_Name]],"-",SalesData[[#This Row],[Region]])</f>
        <v>Amit Kumar-North</v>
      </c>
      <c r="AF882" s="19" t="str">
        <f>MID(SalesData[[#This Row],[Order_ID]],4,4)</f>
        <v>0026</v>
      </c>
      <c r="AG882" s="19" t="e">
        <f ca="1">_xlfn.SINGLE(_xlfn.XLOOKUP(SalesData[[#This Row],[Product]],Product_Master!A:A,Product_Master!B:B,"Not Found"))</f>
        <v>#NAME?</v>
      </c>
      <c r="AH882" s="19" t="str">
        <f>VLOOKUP(SalesData[[#This Row],[Product]],Product_Master!$A$1:$B$21,2,FALSE)</f>
        <v>Anjali</v>
      </c>
      <c r="AI882" s="16"/>
    </row>
    <row r="883" spans="1:35" ht="13.8">
      <c r="A883" s="16" t="s">
        <v>237</v>
      </c>
      <c r="B883" s="17">
        <v>45932</v>
      </c>
      <c r="C883" s="16" t="s">
        <v>100</v>
      </c>
      <c r="D883" s="16" t="s">
        <v>101</v>
      </c>
      <c r="E883" s="16" t="s">
        <v>72</v>
      </c>
      <c r="F883" s="16" t="s">
        <v>73</v>
      </c>
      <c r="G883" s="16" t="s">
        <v>51</v>
      </c>
      <c r="H883" s="16" t="s">
        <v>74</v>
      </c>
      <c r="I883" s="16" t="s">
        <v>84</v>
      </c>
      <c r="J883" s="16" t="s">
        <v>142</v>
      </c>
      <c r="K883" s="18">
        <v>40943.86</v>
      </c>
      <c r="L883" s="18">
        <v>20644.75</v>
      </c>
      <c r="M883" s="19">
        <v>5</v>
      </c>
      <c r="N883" s="20">
        <v>0.15</v>
      </c>
      <c r="O883" s="19" t="s">
        <v>25</v>
      </c>
      <c r="P883" s="19" t="s">
        <v>58</v>
      </c>
      <c r="Q883" s="19" t="str">
        <f>TRIM(SalesData[[#This Row],[Customer_Name]])</f>
        <v>Amit Kumar</v>
      </c>
      <c r="R883" s="21">
        <f>SalesData[[#This Row],[Sales]]-SalesData[[#This Row],[Cost]]</f>
        <v>20299.11</v>
      </c>
      <c r="S883" s="22">
        <f>IFERROR(SalesData[[#This Row],[Profit]]/SalesData[[#This Row],[Sales]],0)</f>
        <v>0.49577909850219298</v>
      </c>
      <c r="T883" s="19">
        <f>YEAR(SalesData[[#This Row],[Order_Date]])</f>
        <v>2025</v>
      </c>
      <c r="U883" s="19" t="str">
        <f>TEXT(SalesData[[#This Row],[Order_Date]],"mmm")</f>
        <v>Oct</v>
      </c>
      <c r="V883" s="19" t="str">
        <f>"Q"&amp;ROUNDUP(MONTH(SalesData[[#This Row],[Order_Date]])/3,0)</f>
        <v>Q4</v>
      </c>
      <c r="W883" s="19" t="str">
        <f>IF(SalesData[[#This Row],[Sales]]&gt;=50000,"High",IF(AND(SalesData[[#This Row],[Sales]]&gt;= 20000, SalesData[[#This Row],[Sales]]&lt; 50000),"Medium","Low"))</f>
        <v>Medium</v>
      </c>
      <c r="X883" s="19" t="str">
        <f>IF(SalesData[[#This Row],[Profit]]&gt;0,"Profit","Loss")</f>
        <v>Profit</v>
      </c>
      <c r="Y883" s="19" t="str">
        <f>IF(AND(SalesData[[#This Row],[Sales]]&gt;= 50000, SalesData[[#This Row],[Quantity]]&gt;=2),"Yes","No")</f>
        <v>No</v>
      </c>
      <c r="Z883" s="19" t="str">
        <f>UPPER(SalesData[[#This Row],[Customer_Name]])</f>
        <v>AMIT KUMAR</v>
      </c>
      <c r="AA883" s="19" t="str">
        <f>LOWER(SalesData[[#This Row],[Customer_Name]])</f>
        <v>amit kumar</v>
      </c>
      <c r="AB883" s="19">
        <f>LEN(SalesData[[#This Row],[Customer_Name]])</f>
        <v>10</v>
      </c>
      <c r="AC883" s="19" t="str">
        <f>LEFT(SalesData[[#This Row],[Order_ID]],3)</f>
        <v>ORD</v>
      </c>
      <c r="AD883" s="19" t="str">
        <f>RIGHT(SalesData[[#This Row],[Order_ID]],4)</f>
        <v>0086</v>
      </c>
      <c r="AE883" s="19" t="str">
        <f>_xlfn.CONCAT(SalesData[[#This Row],[Clean_Customer_Name]],"-",SalesData[[#This Row],[Region]])</f>
        <v>Amit Kumar-South</v>
      </c>
      <c r="AF883" s="19" t="str">
        <f>MID(SalesData[[#This Row],[Order_ID]],4,4)</f>
        <v>0086</v>
      </c>
      <c r="AG883" s="19" t="e">
        <f ca="1">_xlfn.SINGLE(_xlfn.XLOOKUP(SalesData[[#This Row],[Product]],Product_Master!A:A,Product_Master!B:B,"Not Found"))</f>
        <v>#NAME?</v>
      </c>
      <c r="AH883" s="19" t="str">
        <f>VLOOKUP(SalesData[[#This Row],[Product]],Product_Master!$A$1:$B$21,2,FALSE)</f>
        <v>Anjali</v>
      </c>
      <c r="AI883" s="16"/>
    </row>
    <row r="884" spans="1:35" ht="13.8">
      <c r="A884" s="16" t="s">
        <v>940</v>
      </c>
      <c r="B884" s="17">
        <v>45417</v>
      </c>
      <c r="C884" s="16" t="s">
        <v>100</v>
      </c>
      <c r="D884" s="16" t="s">
        <v>101</v>
      </c>
      <c r="E884" s="16" t="s">
        <v>72</v>
      </c>
      <c r="F884" s="16" t="s">
        <v>73</v>
      </c>
      <c r="G884" s="16" t="s">
        <v>51</v>
      </c>
      <c r="H884" s="16" t="s">
        <v>74</v>
      </c>
      <c r="I884" s="16" t="s">
        <v>42</v>
      </c>
      <c r="J884" s="16" t="s">
        <v>43</v>
      </c>
      <c r="K884" s="18">
        <v>19648.97</v>
      </c>
      <c r="L884" s="18">
        <v>11590.29</v>
      </c>
      <c r="M884" s="19">
        <v>3</v>
      </c>
      <c r="N884" s="20">
        <v>0.15</v>
      </c>
      <c r="O884" s="19" t="s">
        <v>76</v>
      </c>
      <c r="P884" s="19" t="s">
        <v>26</v>
      </c>
      <c r="Q884" s="19" t="str">
        <f>TRIM(SalesData[[#This Row],[Customer_Name]])</f>
        <v>Amit Kumar</v>
      </c>
      <c r="R884" s="21">
        <f>SalesData[[#This Row],[Sales]]-SalesData[[#This Row],[Cost]]</f>
        <v>8058.68</v>
      </c>
      <c r="S884" s="22">
        <f>IFERROR(SalesData[[#This Row],[Profit]]/SalesData[[#This Row],[Sales]],0)</f>
        <v>0.41013243951209655</v>
      </c>
      <c r="T884" s="19">
        <f>YEAR(SalesData[[#This Row],[Order_Date]])</f>
        <v>2024</v>
      </c>
      <c r="U884" s="19" t="str">
        <f>TEXT(SalesData[[#This Row],[Order_Date]],"mmm")</f>
        <v>May</v>
      </c>
      <c r="V884" s="19" t="str">
        <f>"Q"&amp;ROUNDUP(MONTH(SalesData[[#This Row],[Order_Date]])/3,0)</f>
        <v>Q2</v>
      </c>
      <c r="W884" s="19" t="str">
        <f>IF(SalesData[[#This Row],[Sales]]&gt;=50000,"High",IF(AND(SalesData[[#This Row],[Sales]]&gt;= 20000, SalesData[[#This Row],[Sales]]&lt; 50000),"Medium","Low"))</f>
        <v>Low</v>
      </c>
      <c r="X884" s="19" t="str">
        <f>IF(SalesData[[#This Row],[Profit]]&gt;0,"Profit","Loss")</f>
        <v>Profit</v>
      </c>
      <c r="Y884" s="19" t="str">
        <f>IF(AND(SalesData[[#This Row],[Sales]]&gt;= 50000, SalesData[[#This Row],[Quantity]]&gt;=2),"Yes","No")</f>
        <v>No</v>
      </c>
      <c r="Z884" s="19" t="str">
        <f>UPPER(SalesData[[#This Row],[Customer_Name]])</f>
        <v>AMIT KUMAR</v>
      </c>
      <c r="AA884" s="19" t="str">
        <f>LOWER(SalesData[[#This Row],[Customer_Name]])</f>
        <v>amit kumar</v>
      </c>
      <c r="AB884" s="19">
        <f>LEN(SalesData[[#This Row],[Customer_Name]])</f>
        <v>10</v>
      </c>
      <c r="AC884" s="19" t="str">
        <f>LEFT(SalesData[[#This Row],[Order_ID]],3)</f>
        <v>ORD</v>
      </c>
      <c r="AD884" s="19" t="str">
        <f>RIGHT(SalesData[[#This Row],[Order_ID]],4)</f>
        <v>0787</v>
      </c>
      <c r="AE884" s="19" t="str">
        <f>_xlfn.CONCAT(SalesData[[#This Row],[Clean_Customer_Name]],"-",SalesData[[#This Row],[Region]])</f>
        <v>Amit Kumar-East</v>
      </c>
      <c r="AF884" s="19" t="str">
        <f>MID(SalesData[[#This Row],[Order_ID]],4,4)</f>
        <v>0787</v>
      </c>
      <c r="AG884" s="19" t="e">
        <f ca="1">_xlfn.SINGLE(_xlfn.XLOOKUP(SalesData[[#This Row],[Product]],Product_Master!A:A,Product_Master!B:B,"Not Found"))</f>
        <v>#NAME?</v>
      </c>
      <c r="AH884" s="19" t="str">
        <f>VLOOKUP(SalesData[[#This Row],[Product]],Product_Master!$A$1:$B$21,2,FALSE)</f>
        <v>Anjali</v>
      </c>
      <c r="AI884" s="16"/>
    </row>
    <row r="885" spans="1:35" ht="13.8">
      <c r="A885" s="16" t="s">
        <v>349</v>
      </c>
      <c r="B885" s="17">
        <v>45942</v>
      </c>
      <c r="C885" s="16" t="s">
        <v>100</v>
      </c>
      <c r="D885" s="16" t="s">
        <v>101</v>
      </c>
      <c r="E885" s="16" t="s">
        <v>175</v>
      </c>
      <c r="F885" s="16" t="s">
        <v>176</v>
      </c>
      <c r="G885" s="16" t="s">
        <v>51</v>
      </c>
      <c r="H885" s="16" t="s">
        <v>177</v>
      </c>
      <c r="I885" s="16" t="s">
        <v>84</v>
      </c>
      <c r="J885" s="16" t="s">
        <v>85</v>
      </c>
      <c r="K885" s="18">
        <v>106881.24</v>
      </c>
      <c r="L885" s="18">
        <v>76391.199999999997</v>
      </c>
      <c r="M885" s="19">
        <v>5</v>
      </c>
      <c r="N885" s="20">
        <v>0.2</v>
      </c>
      <c r="O885" s="19" t="s">
        <v>34</v>
      </c>
      <c r="P885" s="19" t="s">
        <v>58</v>
      </c>
      <c r="Q885" s="19" t="str">
        <f>TRIM(SalesData[[#This Row],[Customer_Name]])</f>
        <v>Amit Kumar</v>
      </c>
      <c r="R885" s="21">
        <f>SalesData[[#This Row],[Sales]]-SalesData[[#This Row],[Cost]]</f>
        <v>30490.040000000008</v>
      </c>
      <c r="S885" s="22">
        <f>IFERROR(SalesData[[#This Row],[Profit]]/SalesData[[#This Row],[Sales]],0)</f>
        <v>0.28527026819673879</v>
      </c>
      <c r="T885" s="19">
        <f>YEAR(SalesData[[#This Row],[Order_Date]])</f>
        <v>2025</v>
      </c>
      <c r="U885" s="19" t="str">
        <f>TEXT(SalesData[[#This Row],[Order_Date]],"mmm")</f>
        <v>Oct</v>
      </c>
      <c r="V885" s="19" t="str">
        <f>"Q"&amp;ROUNDUP(MONTH(SalesData[[#This Row],[Order_Date]])/3,0)</f>
        <v>Q4</v>
      </c>
      <c r="W885" s="19" t="str">
        <f>IF(SalesData[[#This Row],[Sales]]&gt;=50000,"High",IF(AND(SalesData[[#This Row],[Sales]]&gt;= 20000, SalesData[[#This Row],[Sales]]&lt; 50000),"Medium","Low"))</f>
        <v>High</v>
      </c>
      <c r="X885" s="19" t="str">
        <f>IF(SalesData[[#This Row],[Profit]]&gt;0,"Profit","Loss")</f>
        <v>Profit</v>
      </c>
      <c r="Y885" s="19" t="str">
        <f>IF(AND(SalesData[[#This Row],[Sales]]&gt;= 50000, SalesData[[#This Row],[Quantity]]&gt;=2),"Yes","No")</f>
        <v>Yes</v>
      </c>
      <c r="Z885" s="19" t="str">
        <f>UPPER(SalesData[[#This Row],[Customer_Name]])</f>
        <v>AMIT KUMAR</v>
      </c>
      <c r="AA885" s="19" t="str">
        <f>LOWER(SalesData[[#This Row],[Customer_Name]])</f>
        <v>amit kumar</v>
      </c>
      <c r="AB885" s="19">
        <f>LEN(SalesData[[#This Row],[Customer_Name]])</f>
        <v>10</v>
      </c>
      <c r="AC885" s="19" t="str">
        <f>LEFT(SalesData[[#This Row],[Order_ID]],3)</f>
        <v>ORD</v>
      </c>
      <c r="AD885" s="19" t="str">
        <f>RIGHT(SalesData[[#This Row],[Order_ID]],4)</f>
        <v>0196</v>
      </c>
      <c r="AE885" s="19" t="str">
        <f>_xlfn.CONCAT(SalesData[[#This Row],[Clean_Customer_Name]],"-",SalesData[[#This Row],[Region]])</f>
        <v>Amit Kumar-South</v>
      </c>
      <c r="AF885" s="19" t="str">
        <f>MID(SalesData[[#This Row],[Order_ID]],4,4)</f>
        <v>0196</v>
      </c>
      <c r="AG885" s="19" t="e">
        <f ca="1">_xlfn.SINGLE(_xlfn.XLOOKUP(SalesData[[#This Row],[Product]],Product_Master!A:A,Product_Master!B:B,"Not Found"))</f>
        <v>#NAME?</v>
      </c>
      <c r="AH885" s="19" t="str">
        <f>VLOOKUP(SalesData[[#This Row],[Product]],Product_Master!$A$1:$B$21,2,FALSE)</f>
        <v>Arjun</v>
      </c>
      <c r="AI885" s="16"/>
    </row>
    <row r="886" spans="1:35" ht="13.8">
      <c r="A886" s="16" t="s">
        <v>653</v>
      </c>
      <c r="B886" s="17">
        <v>45671</v>
      </c>
      <c r="C886" s="16" t="s">
        <v>100</v>
      </c>
      <c r="D886" s="16" t="s">
        <v>101</v>
      </c>
      <c r="E886" s="16" t="s">
        <v>175</v>
      </c>
      <c r="F886" s="16" t="s">
        <v>176</v>
      </c>
      <c r="G886" s="16" t="s">
        <v>51</v>
      </c>
      <c r="H886" s="16" t="s">
        <v>177</v>
      </c>
      <c r="I886" s="16" t="s">
        <v>84</v>
      </c>
      <c r="J886" s="16" t="s">
        <v>85</v>
      </c>
      <c r="K886" s="18">
        <v>23902.76</v>
      </c>
      <c r="L886" s="18">
        <v>16348.89</v>
      </c>
      <c r="M886" s="19">
        <v>1</v>
      </c>
      <c r="N886" s="20">
        <v>0.15</v>
      </c>
      <c r="O886" s="19" t="s">
        <v>34</v>
      </c>
      <c r="P886" s="19" t="s">
        <v>45</v>
      </c>
      <c r="Q886" s="19" t="str">
        <f>TRIM(SalesData[[#This Row],[Customer_Name]])</f>
        <v>Amit Kumar</v>
      </c>
      <c r="R886" s="21">
        <f>SalesData[[#This Row],[Sales]]-SalesData[[#This Row],[Cost]]</f>
        <v>7553.869999999999</v>
      </c>
      <c r="S886" s="22">
        <f>IFERROR(SalesData[[#This Row],[Profit]]/SalesData[[#This Row],[Sales]],0)</f>
        <v>0.31602501133760286</v>
      </c>
      <c r="T886" s="19">
        <f>YEAR(SalesData[[#This Row],[Order_Date]])</f>
        <v>2025</v>
      </c>
      <c r="U886" s="19" t="str">
        <f>TEXT(SalesData[[#This Row],[Order_Date]],"mmm")</f>
        <v>Jan</v>
      </c>
      <c r="V886" s="19" t="str">
        <f>"Q"&amp;ROUNDUP(MONTH(SalesData[[#This Row],[Order_Date]])/3,0)</f>
        <v>Q1</v>
      </c>
      <c r="W886" s="19" t="str">
        <f>IF(SalesData[[#This Row],[Sales]]&gt;=50000,"High",IF(AND(SalesData[[#This Row],[Sales]]&gt;= 20000, SalesData[[#This Row],[Sales]]&lt; 50000),"Medium","Low"))</f>
        <v>Medium</v>
      </c>
      <c r="X886" s="19" t="str">
        <f>IF(SalesData[[#This Row],[Profit]]&gt;0,"Profit","Loss")</f>
        <v>Profit</v>
      </c>
      <c r="Y886" s="19" t="str">
        <f>IF(AND(SalesData[[#This Row],[Sales]]&gt;= 50000, SalesData[[#This Row],[Quantity]]&gt;=2),"Yes","No")</f>
        <v>No</v>
      </c>
      <c r="Z886" s="19" t="str">
        <f>UPPER(SalesData[[#This Row],[Customer_Name]])</f>
        <v>AMIT KUMAR</v>
      </c>
      <c r="AA886" s="19" t="str">
        <f>LOWER(SalesData[[#This Row],[Customer_Name]])</f>
        <v>amit kumar</v>
      </c>
      <c r="AB886" s="19">
        <f>LEN(SalesData[[#This Row],[Customer_Name]])</f>
        <v>10</v>
      </c>
      <c r="AC886" s="19" t="str">
        <f>LEFT(SalesData[[#This Row],[Order_ID]],3)</f>
        <v>ORD</v>
      </c>
      <c r="AD886" s="19" t="str">
        <f>RIGHT(SalesData[[#This Row],[Order_ID]],4)</f>
        <v>0500</v>
      </c>
      <c r="AE886" s="19" t="str">
        <f>_xlfn.CONCAT(SalesData[[#This Row],[Clean_Customer_Name]],"-",SalesData[[#This Row],[Region]])</f>
        <v>Amit Kumar-South</v>
      </c>
      <c r="AF886" s="19" t="str">
        <f>MID(SalesData[[#This Row],[Order_ID]],4,4)</f>
        <v>0500</v>
      </c>
      <c r="AG886" s="19" t="e">
        <f ca="1">_xlfn.SINGLE(_xlfn.XLOOKUP(SalesData[[#This Row],[Product]],Product_Master!A:A,Product_Master!B:B,"Not Found"))</f>
        <v>#NAME?</v>
      </c>
      <c r="AH886" s="19" t="str">
        <f>VLOOKUP(SalesData[[#This Row],[Product]],Product_Master!$A$1:$B$21,2,FALSE)</f>
        <v>Arjun</v>
      </c>
      <c r="AI886" s="16"/>
    </row>
    <row r="887" spans="1:35" ht="13.8">
      <c r="A887" s="16" t="s">
        <v>729</v>
      </c>
      <c r="B887" s="17">
        <v>45732</v>
      </c>
      <c r="C887" s="16" t="s">
        <v>100</v>
      </c>
      <c r="D887" s="16" t="s">
        <v>101</v>
      </c>
      <c r="E887" s="16" t="s">
        <v>175</v>
      </c>
      <c r="F887" s="16" t="s">
        <v>176</v>
      </c>
      <c r="G887" s="16" t="s">
        <v>51</v>
      </c>
      <c r="H887" s="16" t="s">
        <v>177</v>
      </c>
      <c r="I887" s="16" t="s">
        <v>53</v>
      </c>
      <c r="J887" s="16" t="s">
        <v>54</v>
      </c>
      <c r="K887" s="18">
        <v>78091.02</v>
      </c>
      <c r="L887" s="18">
        <v>49773.48</v>
      </c>
      <c r="M887" s="19">
        <v>3</v>
      </c>
      <c r="N887" s="20">
        <v>0</v>
      </c>
      <c r="O887" s="19" t="s">
        <v>136</v>
      </c>
      <c r="P887" s="19" t="s">
        <v>26</v>
      </c>
      <c r="Q887" s="19" t="str">
        <f>TRIM(SalesData[[#This Row],[Customer_Name]])</f>
        <v>Amit Kumar</v>
      </c>
      <c r="R887" s="21">
        <f>SalesData[[#This Row],[Sales]]-SalesData[[#This Row],[Cost]]</f>
        <v>28317.54</v>
      </c>
      <c r="S887" s="22">
        <f>IFERROR(SalesData[[#This Row],[Profit]]/SalesData[[#This Row],[Sales]],0)</f>
        <v>0.36262223236423341</v>
      </c>
      <c r="T887" s="19">
        <f>YEAR(SalesData[[#This Row],[Order_Date]])</f>
        <v>2025</v>
      </c>
      <c r="U887" s="19" t="str">
        <f>TEXT(SalesData[[#This Row],[Order_Date]],"mmm")</f>
        <v>Mar</v>
      </c>
      <c r="V887" s="19" t="str">
        <f>"Q"&amp;ROUNDUP(MONTH(SalesData[[#This Row],[Order_Date]])/3,0)</f>
        <v>Q1</v>
      </c>
      <c r="W887" s="19" t="str">
        <f>IF(SalesData[[#This Row],[Sales]]&gt;=50000,"High",IF(AND(SalesData[[#This Row],[Sales]]&gt;= 20000, SalesData[[#This Row],[Sales]]&lt; 50000),"Medium","Low"))</f>
        <v>High</v>
      </c>
      <c r="X887" s="19" t="str">
        <f>IF(SalesData[[#This Row],[Profit]]&gt;0,"Profit","Loss")</f>
        <v>Profit</v>
      </c>
      <c r="Y887" s="19" t="str">
        <f>IF(AND(SalesData[[#This Row],[Sales]]&gt;= 50000, SalesData[[#This Row],[Quantity]]&gt;=2),"Yes","No")</f>
        <v>Yes</v>
      </c>
      <c r="Z887" s="19" t="str">
        <f>UPPER(SalesData[[#This Row],[Customer_Name]])</f>
        <v>AMIT KUMAR</v>
      </c>
      <c r="AA887" s="19" t="str">
        <f>LOWER(SalesData[[#This Row],[Customer_Name]])</f>
        <v>amit kumar</v>
      </c>
      <c r="AB887" s="19">
        <f>LEN(SalesData[[#This Row],[Customer_Name]])</f>
        <v>10</v>
      </c>
      <c r="AC887" s="19" t="str">
        <f>LEFT(SalesData[[#This Row],[Order_ID]],3)</f>
        <v>ORD</v>
      </c>
      <c r="AD887" s="19" t="str">
        <f>RIGHT(SalesData[[#This Row],[Order_ID]],4)</f>
        <v>0576</v>
      </c>
      <c r="AE887" s="19" t="str">
        <f>_xlfn.CONCAT(SalesData[[#This Row],[Clean_Customer_Name]],"-",SalesData[[#This Row],[Region]])</f>
        <v>Amit Kumar-Central</v>
      </c>
      <c r="AF887" s="19" t="str">
        <f>MID(SalesData[[#This Row],[Order_ID]],4,4)</f>
        <v>0576</v>
      </c>
      <c r="AG887" s="19" t="e">
        <f ca="1">_xlfn.SINGLE(_xlfn.XLOOKUP(SalesData[[#This Row],[Product]],Product_Master!A:A,Product_Master!B:B,"Not Found"))</f>
        <v>#NAME?</v>
      </c>
      <c r="AH887" s="19" t="str">
        <f>VLOOKUP(SalesData[[#This Row],[Product]],Product_Master!$A$1:$B$21,2,FALSE)</f>
        <v>Arjun</v>
      </c>
      <c r="AI887" s="16"/>
    </row>
    <row r="888" spans="1:35" ht="13.8">
      <c r="A888" s="16" t="s">
        <v>1002</v>
      </c>
      <c r="B888" s="17">
        <v>45716</v>
      </c>
      <c r="C888" s="16" t="s">
        <v>100</v>
      </c>
      <c r="D888" s="16" t="s">
        <v>101</v>
      </c>
      <c r="E888" s="16" t="s">
        <v>175</v>
      </c>
      <c r="F888" s="16" t="s">
        <v>176</v>
      </c>
      <c r="G888" s="16" t="s">
        <v>51</v>
      </c>
      <c r="H888" s="16" t="s">
        <v>177</v>
      </c>
      <c r="I888" s="16" t="s">
        <v>84</v>
      </c>
      <c r="J888" s="16" t="s">
        <v>134</v>
      </c>
      <c r="K888" s="18">
        <v>51302.28</v>
      </c>
      <c r="L888" s="18">
        <v>49242.63</v>
      </c>
      <c r="M888" s="19">
        <v>3</v>
      </c>
      <c r="N888" s="20">
        <v>0.2</v>
      </c>
      <c r="O888" s="19" t="s">
        <v>136</v>
      </c>
      <c r="P888" s="19" t="s">
        <v>58</v>
      </c>
      <c r="Q888" s="19" t="str">
        <f>TRIM(SalesData[[#This Row],[Customer_Name]])</f>
        <v>Amit Kumar</v>
      </c>
      <c r="R888" s="21">
        <f>SalesData[[#This Row],[Sales]]-SalesData[[#This Row],[Cost]]</f>
        <v>2059.6500000000015</v>
      </c>
      <c r="S888" s="22">
        <f>IFERROR(SalesData[[#This Row],[Profit]]/SalesData[[#This Row],[Sales]],0)</f>
        <v>4.0147338480862868E-2</v>
      </c>
      <c r="T888" s="19">
        <f>YEAR(SalesData[[#This Row],[Order_Date]])</f>
        <v>2025</v>
      </c>
      <c r="U888" s="19" t="str">
        <f>TEXT(SalesData[[#This Row],[Order_Date]],"mmm")</f>
        <v>Feb</v>
      </c>
      <c r="V888" s="19" t="str">
        <f>"Q"&amp;ROUNDUP(MONTH(SalesData[[#This Row],[Order_Date]])/3,0)</f>
        <v>Q1</v>
      </c>
      <c r="W888" s="19" t="str">
        <f>IF(SalesData[[#This Row],[Sales]]&gt;=50000,"High",IF(AND(SalesData[[#This Row],[Sales]]&gt;= 20000, SalesData[[#This Row],[Sales]]&lt; 50000),"Medium","Low"))</f>
        <v>High</v>
      </c>
      <c r="X888" s="19" t="str">
        <f>IF(SalesData[[#This Row],[Profit]]&gt;0,"Profit","Loss")</f>
        <v>Profit</v>
      </c>
      <c r="Y888" s="19" t="str">
        <f>IF(AND(SalesData[[#This Row],[Sales]]&gt;= 50000, SalesData[[#This Row],[Quantity]]&gt;=2),"Yes","No")</f>
        <v>Yes</v>
      </c>
      <c r="Z888" s="19" t="str">
        <f>UPPER(SalesData[[#This Row],[Customer_Name]])</f>
        <v>AMIT KUMAR</v>
      </c>
      <c r="AA888" s="19" t="str">
        <f>LOWER(SalesData[[#This Row],[Customer_Name]])</f>
        <v>amit kumar</v>
      </c>
      <c r="AB888" s="19">
        <f>LEN(SalesData[[#This Row],[Customer_Name]])</f>
        <v>10</v>
      </c>
      <c r="AC888" s="19" t="str">
        <f>LEFT(SalesData[[#This Row],[Order_ID]],3)</f>
        <v>ORD</v>
      </c>
      <c r="AD888" s="19" t="str">
        <f>RIGHT(SalesData[[#This Row],[Order_ID]],4)</f>
        <v>0849</v>
      </c>
      <c r="AE888" s="19" t="str">
        <f>_xlfn.CONCAT(SalesData[[#This Row],[Clean_Customer_Name]],"-",SalesData[[#This Row],[Region]])</f>
        <v>Amit Kumar-South</v>
      </c>
      <c r="AF888" s="19" t="str">
        <f>MID(SalesData[[#This Row],[Order_ID]],4,4)</f>
        <v>0849</v>
      </c>
      <c r="AG888" s="19" t="e">
        <f ca="1">_xlfn.SINGLE(_xlfn.XLOOKUP(SalesData[[#This Row],[Product]],Product_Master!A:A,Product_Master!B:B,"Not Found"))</f>
        <v>#NAME?</v>
      </c>
      <c r="AH888" s="19" t="str">
        <f>VLOOKUP(SalesData[[#This Row],[Product]],Product_Master!$A$1:$B$21,2,FALSE)</f>
        <v>Arjun</v>
      </c>
      <c r="AI888" s="16"/>
    </row>
    <row r="889" spans="1:35" ht="13.8">
      <c r="A889" s="16" t="s">
        <v>772</v>
      </c>
      <c r="B889" s="17">
        <v>45810</v>
      </c>
      <c r="C889" s="16" t="s">
        <v>100</v>
      </c>
      <c r="D889" s="16" t="s">
        <v>101</v>
      </c>
      <c r="E889" s="16" t="s">
        <v>123</v>
      </c>
      <c r="F889" s="16" t="s">
        <v>124</v>
      </c>
      <c r="G889" s="16" t="s">
        <v>51</v>
      </c>
      <c r="H889" s="16" t="s">
        <v>125</v>
      </c>
      <c r="I889" s="16" t="s">
        <v>84</v>
      </c>
      <c r="J889" s="16" t="s">
        <v>142</v>
      </c>
      <c r="K889" s="18">
        <v>91212.21</v>
      </c>
      <c r="L889" s="18">
        <v>86830.65</v>
      </c>
      <c r="M889" s="19">
        <v>5</v>
      </c>
      <c r="N889" s="20">
        <v>0.1</v>
      </c>
      <c r="O889" s="19" t="s">
        <v>44</v>
      </c>
      <c r="P889" s="19" t="s">
        <v>26</v>
      </c>
      <c r="Q889" s="19" t="str">
        <f>TRIM(SalesData[[#This Row],[Customer_Name]])</f>
        <v>Amit Kumar</v>
      </c>
      <c r="R889" s="21">
        <f>SalesData[[#This Row],[Sales]]-SalesData[[#This Row],[Cost]]</f>
        <v>4381.5600000000122</v>
      </c>
      <c r="S889" s="22">
        <f>IFERROR(SalesData[[#This Row],[Profit]]/SalesData[[#This Row],[Sales]],0)</f>
        <v>4.803698978459147E-2</v>
      </c>
      <c r="T889" s="19">
        <f>YEAR(SalesData[[#This Row],[Order_Date]])</f>
        <v>2025</v>
      </c>
      <c r="U889" s="19" t="str">
        <f>TEXT(SalesData[[#This Row],[Order_Date]],"mmm")</f>
        <v>Jun</v>
      </c>
      <c r="V889" s="19" t="str">
        <f>"Q"&amp;ROUNDUP(MONTH(SalesData[[#This Row],[Order_Date]])/3,0)</f>
        <v>Q2</v>
      </c>
      <c r="W889" s="19" t="str">
        <f>IF(SalesData[[#This Row],[Sales]]&gt;=50000,"High",IF(AND(SalesData[[#This Row],[Sales]]&gt;= 20000, SalesData[[#This Row],[Sales]]&lt; 50000),"Medium","Low"))</f>
        <v>High</v>
      </c>
      <c r="X889" s="19" t="str">
        <f>IF(SalesData[[#This Row],[Profit]]&gt;0,"Profit","Loss")</f>
        <v>Profit</v>
      </c>
      <c r="Y889" s="19" t="str">
        <f>IF(AND(SalesData[[#This Row],[Sales]]&gt;= 50000, SalesData[[#This Row],[Quantity]]&gt;=2),"Yes","No")</f>
        <v>Yes</v>
      </c>
      <c r="Z889" s="19" t="str">
        <f>UPPER(SalesData[[#This Row],[Customer_Name]])</f>
        <v>AMIT KUMAR</v>
      </c>
      <c r="AA889" s="19" t="str">
        <f>LOWER(SalesData[[#This Row],[Customer_Name]])</f>
        <v>amit kumar</v>
      </c>
      <c r="AB889" s="19">
        <f>LEN(SalesData[[#This Row],[Customer_Name]])</f>
        <v>10</v>
      </c>
      <c r="AC889" s="19" t="str">
        <f>LEFT(SalesData[[#This Row],[Order_ID]],3)</f>
        <v>ORD</v>
      </c>
      <c r="AD889" s="19" t="str">
        <f>RIGHT(SalesData[[#This Row],[Order_ID]],4)</f>
        <v>0619</v>
      </c>
      <c r="AE889" s="19" t="str">
        <f>_xlfn.CONCAT(SalesData[[#This Row],[Clean_Customer_Name]],"-",SalesData[[#This Row],[Region]])</f>
        <v>Amit Kumar-South</v>
      </c>
      <c r="AF889" s="19" t="str">
        <f>MID(SalesData[[#This Row],[Order_ID]],4,4)</f>
        <v>0619</v>
      </c>
      <c r="AG889" s="19" t="e">
        <f ca="1">_xlfn.SINGLE(_xlfn.XLOOKUP(SalesData[[#This Row],[Product]],Product_Master!A:A,Product_Master!B:B,"Not Found"))</f>
        <v>#NAME?</v>
      </c>
      <c r="AH889" s="19" t="str">
        <f>VLOOKUP(SalesData[[#This Row],[Product]],Product_Master!$A$1:$B$21,2,FALSE)</f>
        <v>Sneha</v>
      </c>
      <c r="AI889" s="16"/>
    </row>
    <row r="890" spans="1:35" ht="13.8">
      <c r="A890" s="16" t="s">
        <v>986</v>
      </c>
      <c r="B890" s="17">
        <v>45766</v>
      </c>
      <c r="C890" s="16" t="s">
        <v>100</v>
      </c>
      <c r="D890" s="16" t="s">
        <v>101</v>
      </c>
      <c r="E890" s="16" t="s">
        <v>123</v>
      </c>
      <c r="F890" s="16" t="s">
        <v>124</v>
      </c>
      <c r="G890" s="16" t="s">
        <v>51</v>
      </c>
      <c r="H890" s="16" t="s">
        <v>125</v>
      </c>
      <c r="I890" s="16" t="s">
        <v>53</v>
      </c>
      <c r="J890" s="16" t="s">
        <v>54</v>
      </c>
      <c r="K890" s="18">
        <v>39043.5</v>
      </c>
      <c r="L890" s="18">
        <v>35812.720000000001</v>
      </c>
      <c r="M890" s="19">
        <v>2</v>
      </c>
      <c r="N890" s="20">
        <v>0.05</v>
      </c>
      <c r="O890" s="19" t="s">
        <v>76</v>
      </c>
      <c r="P890" s="19" t="s">
        <v>98</v>
      </c>
      <c r="Q890" s="19" t="str">
        <f>TRIM(SalesData[[#This Row],[Customer_Name]])</f>
        <v>Amit Kumar</v>
      </c>
      <c r="R890" s="21">
        <f>SalesData[[#This Row],[Sales]]-SalesData[[#This Row],[Cost]]</f>
        <v>3230.7799999999988</v>
      </c>
      <c r="S890" s="22">
        <f>IFERROR(SalesData[[#This Row],[Profit]]/SalesData[[#This Row],[Sales]],0)</f>
        <v>8.2748216732618715E-2</v>
      </c>
      <c r="T890" s="19">
        <f>YEAR(SalesData[[#This Row],[Order_Date]])</f>
        <v>2025</v>
      </c>
      <c r="U890" s="19" t="str">
        <f>TEXT(SalesData[[#This Row],[Order_Date]],"mmm")</f>
        <v>Apr</v>
      </c>
      <c r="V890" s="19" t="str">
        <f>"Q"&amp;ROUNDUP(MONTH(SalesData[[#This Row],[Order_Date]])/3,0)</f>
        <v>Q2</v>
      </c>
      <c r="W890" s="19" t="str">
        <f>IF(SalesData[[#This Row],[Sales]]&gt;=50000,"High",IF(AND(SalesData[[#This Row],[Sales]]&gt;= 20000, SalesData[[#This Row],[Sales]]&lt; 50000),"Medium","Low"))</f>
        <v>Medium</v>
      </c>
      <c r="X890" s="19" t="str">
        <f>IF(SalesData[[#This Row],[Profit]]&gt;0,"Profit","Loss")</f>
        <v>Profit</v>
      </c>
      <c r="Y890" s="19" t="str">
        <f>IF(AND(SalesData[[#This Row],[Sales]]&gt;= 50000, SalesData[[#This Row],[Quantity]]&gt;=2),"Yes","No")</f>
        <v>No</v>
      </c>
      <c r="Z890" s="19" t="str">
        <f>UPPER(SalesData[[#This Row],[Customer_Name]])</f>
        <v>AMIT KUMAR</v>
      </c>
      <c r="AA890" s="19" t="str">
        <f>LOWER(SalesData[[#This Row],[Customer_Name]])</f>
        <v>amit kumar</v>
      </c>
      <c r="AB890" s="19">
        <f>LEN(SalesData[[#This Row],[Customer_Name]])</f>
        <v>10</v>
      </c>
      <c r="AC890" s="19" t="str">
        <f>LEFT(SalesData[[#This Row],[Order_ID]],3)</f>
        <v>ORD</v>
      </c>
      <c r="AD890" s="19" t="str">
        <f>RIGHT(SalesData[[#This Row],[Order_ID]],4)</f>
        <v>0833</v>
      </c>
      <c r="AE890" s="19" t="str">
        <f>_xlfn.CONCAT(SalesData[[#This Row],[Clean_Customer_Name]],"-",SalesData[[#This Row],[Region]])</f>
        <v>Amit Kumar-Central</v>
      </c>
      <c r="AF890" s="19" t="str">
        <f>MID(SalesData[[#This Row],[Order_ID]],4,4)</f>
        <v>0833</v>
      </c>
      <c r="AG890" s="19" t="e">
        <f ca="1">_xlfn.SINGLE(_xlfn.XLOOKUP(SalesData[[#This Row],[Product]],Product_Master!A:A,Product_Master!B:B,"Not Found"))</f>
        <v>#NAME?</v>
      </c>
      <c r="AH890" s="19" t="str">
        <f>VLOOKUP(SalesData[[#This Row],[Product]],Product_Master!$A$1:$B$21,2,FALSE)</f>
        <v>Sneha</v>
      </c>
      <c r="AI890" s="16"/>
    </row>
    <row r="891" spans="1:35" ht="13.8">
      <c r="A891" s="16" t="s">
        <v>126</v>
      </c>
      <c r="B891" s="17">
        <v>45894</v>
      </c>
      <c r="C891" s="16" t="s">
        <v>100</v>
      </c>
      <c r="D891" s="16" t="s">
        <v>101</v>
      </c>
      <c r="E891" s="16" t="s">
        <v>110</v>
      </c>
      <c r="F891" s="16" t="s">
        <v>111</v>
      </c>
      <c r="G891" s="16" t="s">
        <v>40</v>
      </c>
      <c r="H891" s="16" t="s">
        <v>112</v>
      </c>
      <c r="I891" s="16" t="s">
        <v>23</v>
      </c>
      <c r="J891" s="16" t="s">
        <v>24</v>
      </c>
      <c r="K891" s="18">
        <v>10745.55</v>
      </c>
      <c r="L891" s="18">
        <v>5676.15</v>
      </c>
      <c r="M891" s="19">
        <v>5</v>
      </c>
      <c r="N891" s="20">
        <v>0</v>
      </c>
      <c r="O891" s="19" t="s">
        <v>25</v>
      </c>
      <c r="P891" s="19" t="s">
        <v>58</v>
      </c>
      <c r="Q891" s="19" t="str">
        <f>TRIM(SalesData[[#This Row],[Customer_Name]])</f>
        <v>Amit Kumar</v>
      </c>
      <c r="R891" s="21">
        <f>SalesData[[#This Row],[Sales]]-SalesData[[#This Row],[Cost]]</f>
        <v>5069.3999999999996</v>
      </c>
      <c r="S891" s="22">
        <f>IFERROR(SalesData[[#This Row],[Profit]]/SalesData[[#This Row],[Sales]],0)</f>
        <v>0.47176738277705654</v>
      </c>
      <c r="T891" s="19">
        <f>YEAR(SalesData[[#This Row],[Order_Date]])</f>
        <v>2025</v>
      </c>
      <c r="U891" s="19" t="str">
        <f>TEXT(SalesData[[#This Row],[Order_Date]],"mmm")</f>
        <v>Aug</v>
      </c>
      <c r="V891" s="19" t="str">
        <f>"Q"&amp;ROUNDUP(MONTH(SalesData[[#This Row],[Order_Date]])/3,0)</f>
        <v>Q3</v>
      </c>
      <c r="W891" s="19" t="str">
        <f>IF(SalesData[[#This Row],[Sales]]&gt;=50000,"High",IF(AND(SalesData[[#This Row],[Sales]]&gt;= 20000, SalesData[[#This Row],[Sales]]&lt; 50000),"Medium","Low"))</f>
        <v>Low</v>
      </c>
      <c r="X891" s="19" t="str">
        <f>IF(SalesData[[#This Row],[Profit]]&gt;0,"Profit","Loss")</f>
        <v>Profit</v>
      </c>
      <c r="Y891" s="19" t="str">
        <f>IF(AND(SalesData[[#This Row],[Sales]]&gt;= 50000, SalesData[[#This Row],[Quantity]]&gt;=2),"Yes","No")</f>
        <v>No</v>
      </c>
      <c r="Z891" s="19" t="str">
        <f>UPPER(SalesData[[#This Row],[Customer_Name]])</f>
        <v>AMIT KUMAR</v>
      </c>
      <c r="AA891" s="19" t="str">
        <f>LOWER(SalesData[[#This Row],[Customer_Name]])</f>
        <v>amit kumar</v>
      </c>
      <c r="AB891" s="19">
        <f>LEN(SalesData[[#This Row],[Customer_Name]])</f>
        <v>10</v>
      </c>
      <c r="AC891" s="19" t="str">
        <f>LEFT(SalesData[[#This Row],[Order_ID]],3)</f>
        <v>ORD</v>
      </c>
      <c r="AD891" s="19" t="str">
        <f>RIGHT(SalesData[[#This Row],[Order_ID]],4)</f>
        <v>0020</v>
      </c>
      <c r="AE891" s="19" t="str">
        <f>_xlfn.CONCAT(SalesData[[#This Row],[Clean_Customer_Name]],"-",SalesData[[#This Row],[Region]])</f>
        <v>Amit Kumar-North</v>
      </c>
      <c r="AF891" s="19" t="str">
        <f>MID(SalesData[[#This Row],[Order_ID]],4,4)</f>
        <v>0020</v>
      </c>
      <c r="AG891" s="19" t="e">
        <f ca="1">_xlfn.SINGLE(_xlfn.XLOOKUP(SalesData[[#This Row],[Product]],Product_Master!A:A,Product_Master!B:B,"Not Found"))</f>
        <v>#NAME?</v>
      </c>
      <c r="AH891" s="19" t="str">
        <f>VLOOKUP(SalesData[[#This Row],[Product]],Product_Master!$A$1:$B$21,2,FALSE)</f>
        <v>Vikas</v>
      </c>
      <c r="AI891" s="16"/>
    </row>
    <row r="892" spans="1:35" ht="13.8">
      <c r="A892" s="16" t="s">
        <v>911</v>
      </c>
      <c r="B892" s="17">
        <v>45638</v>
      </c>
      <c r="C892" s="16" t="s">
        <v>100</v>
      </c>
      <c r="D892" s="16" t="s">
        <v>101</v>
      </c>
      <c r="E892" s="16" t="s">
        <v>172</v>
      </c>
      <c r="F892" s="16" t="s">
        <v>173</v>
      </c>
      <c r="G892" s="16" t="s">
        <v>40</v>
      </c>
      <c r="H892" s="16" t="s">
        <v>41</v>
      </c>
      <c r="I892" s="16" t="s">
        <v>84</v>
      </c>
      <c r="J892" s="16" t="s">
        <v>85</v>
      </c>
      <c r="K892" s="18">
        <v>7944.12</v>
      </c>
      <c r="L892" s="18">
        <v>1834.18</v>
      </c>
      <c r="M892" s="19">
        <v>2</v>
      </c>
      <c r="N892" s="20">
        <v>0</v>
      </c>
      <c r="O892" s="19" t="s">
        <v>76</v>
      </c>
      <c r="P892" s="19" t="s">
        <v>26</v>
      </c>
      <c r="Q892" s="19" t="str">
        <f>TRIM(SalesData[[#This Row],[Customer_Name]])</f>
        <v>Amit Kumar</v>
      </c>
      <c r="R892" s="21">
        <f>SalesData[[#This Row],[Sales]]-SalesData[[#This Row],[Cost]]</f>
        <v>6109.94</v>
      </c>
      <c r="S892" s="22">
        <f>IFERROR(SalesData[[#This Row],[Profit]]/SalesData[[#This Row],[Sales]],0)</f>
        <v>0.76911476664501544</v>
      </c>
      <c r="T892" s="19">
        <f>YEAR(SalesData[[#This Row],[Order_Date]])</f>
        <v>2024</v>
      </c>
      <c r="U892" s="19" t="str">
        <f>TEXT(SalesData[[#This Row],[Order_Date]],"mmm")</f>
        <v>Dec</v>
      </c>
      <c r="V892" s="19" t="str">
        <f>"Q"&amp;ROUNDUP(MONTH(SalesData[[#This Row],[Order_Date]])/3,0)</f>
        <v>Q4</v>
      </c>
      <c r="W892" s="19" t="str">
        <f>IF(SalesData[[#This Row],[Sales]]&gt;=50000,"High",IF(AND(SalesData[[#This Row],[Sales]]&gt;= 20000, SalesData[[#This Row],[Sales]]&lt; 50000),"Medium","Low"))</f>
        <v>Low</v>
      </c>
      <c r="X892" s="19" t="str">
        <f>IF(SalesData[[#This Row],[Profit]]&gt;0,"Profit","Loss")</f>
        <v>Profit</v>
      </c>
      <c r="Y892" s="19" t="str">
        <f>IF(AND(SalesData[[#This Row],[Sales]]&gt;= 50000, SalesData[[#This Row],[Quantity]]&gt;=2),"Yes","No")</f>
        <v>No</v>
      </c>
      <c r="Z892" s="19" t="str">
        <f>UPPER(SalesData[[#This Row],[Customer_Name]])</f>
        <v>AMIT KUMAR</v>
      </c>
      <c r="AA892" s="19" t="str">
        <f>LOWER(SalesData[[#This Row],[Customer_Name]])</f>
        <v>amit kumar</v>
      </c>
      <c r="AB892" s="19">
        <f>LEN(SalesData[[#This Row],[Customer_Name]])</f>
        <v>10</v>
      </c>
      <c r="AC892" s="19" t="str">
        <f>LEFT(SalesData[[#This Row],[Order_ID]],3)</f>
        <v>ORD</v>
      </c>
      <c r="AD892" s="19" t="str">
        <f>RIGHT(SalesData[[#This Row],[Order_ID]],4)</f>
        <v>0758</v>
      </c>
      <c r="AE892" s="19" t="str">
        <f>_xlfn.CONCAT(SalesData[[#This Row],[Clean_Customer_Name]],"-",SalesData[[#This Row],[Region]])</f>
        <v>Amit Kumar-South</v>
      </c>
      <c r="AF892" s="19" t="str">
        <f>MID(SalesData[[#This Row],[Order_ID]],4,4)</f>
        <v>0758</v>
      </c>
      <c r="AG892" s="19" t="e">
        <f ca="1">_xlfn.SINGLE(_xlfn.XLOOKUP(SalesData[[#This Row],[Product]],Product_Master!A:A,Product_Master!B:B,"Not Found"))</f>
        <v>#NAME?</v>
      </c>
      <c r="AH892" s="19" t="str">
        <f>VLOOKUP(SalesData[[#This Row],[Product]],Product_Master!$A$1:$B$21,2,FALSE)</f>
        <v>Pooja</v>
      </c>
      <c r="AI892" s="16"/>
    </row>
    <row r="893" spans="1:35" ht="13.8">
      <c r="A893" s="16" t="s">
        <v>954</v>
      </c>
      <c r="B893" s="17">
        <v>45872</v>
      </c>
      <c r="C893" s="16" t="s">
        <v>100</v>
      </c>
      <c r="D893" s="16" t="s">
        <v>101</v>
      </c>
      <c r="E893" s="16" t="s">
        <v>172</v>
      </c>
      <c r="F893" s="16" t="s">
        <v>173</v>
      </c>
      <c r="G893" s="16" t="s">
        <v>40</v>
      </c>
      <c r="H893" s="16" t="s">
        <v>41</v>
      </c>
      <c r="I893" s="16" t="s">
        <v>23</v>
      </c>
      <c r="J893" s="16" t="s">
        <v>75</v>
      </c>
      <c r="K893" s="18">
        <v>2194.11</v>
      </c>
      <c r="L893" s="18">
        <v>812.54</v>
      </c>
      <c r="M893" s="19">
        <v>1</v>
      </c>
      <c r="N893" s="20">
        <v>0.15</v>
      </c>
      <c r="O893" s="19" t="s">
        <v>136</v>
      </c>
      <c r="P893" s="19" t="s">
        <v>58</v>
      </c>
      <c r="Q893" s="19" t="str">
        <f>TRIM(SalesData[[#This Row],[Customer_Name]])</f>
        <v>Amit Kumar</v>
      </c>
      <c r="R893" s="21">
        <f>SalesData[[#This Row],[Sales]]-SalesData[[#This Row],[Cost]]</f>
        <v>1381.5700000000002</v>
      </c>
      <c r="S893" s="22">
        <f>IFERROR(SalesData[[#This Row],[Profit]]/SalesData[[#This Row],[Sales]],0)</f>
        <v>0.62967216775822543</v>
      </c>
      <c r="T893" s="19">
        <f>YEAR(SalesData[[#This Row],[Order_Date]])</f>
        <v>2025</v>
      </c>
      <c r="U893" s="19" t="str">
        <f>TEXT(SalesData[[#This Row],[Order_Date]],"mmm")</f>
        <v>Aug</v>
      </c>
      <c r="V893" s="19" t="str">
        <f>"Q"&amp;ROUNDUP(MONTH(SalesData[[#This Row],[Order_Date]])/3,0)</f>
        <v>Q3</v>
      </c>
      <c r="W893" s="19" t="str">
        <f>IF(SalesData[[#This Row],[Sales]]&gt;=50000,"High",IF(AND(SalesData[[#This Row],[Sales]]&gt;= 20000, SalesData[[#This Row],[Sales]]&lt; 50000),"Medium","Low"))</f>
        <v>Low</v>
      </c>
      <c r="X893" s="19" t="str">
        <f>IF(SalesData[[#This Row],[Profit]]&gt;0,"Profit","Loss")</f>
        <v>Profit</v>
      </c>
      <c r="Y893" s="19" t="str">
        <f>IF(AND(SalesData[[#This Row],[Sales]]&gt;= 50000, SalesData[[#This Row],[Quantity]]&gt;=2),"Yes","No")</f>
        <v>No</v>
      </c>
      <c r="Z893" s="19" t="str">
        <f>UPPER(SalesData[[#This Row],[Customer_Name]])</f>
        <v>AMIT KUMAR</v>
      </c>
      <c r="AA893" s="19" t="str">
        <f>LOWER(SalesData[[#This Row],[Customer_Name]])</f>
        <v>amit kumar</v>
      </c>
      <c r="AB893" s="19">
        <f>LEN(SalesData[[#This Row],[Customer_Name]])</f>
        <v>10</v>
      </c>
      <c r="AC893" s="19" t="str">
        <f>LEFT(SalesData[[#This Row],[Order_ID]],3)</f>
        <v>ORD</v>
      </c>
      <c r="AD893" s="19" t="str">
        <f>RIGHT(SalesData[[#This Row],[Order_ID]],4)</f>
        <v>0801</v>
      </c>
      <c r="AE893" s="19" t="str">
        <f>_xlfn.CONCAT(SalesData[[#This Row],[Clean_Customer_Name]],"-",SalesData[[#This Row],[Region]])</f>
        <v>Amit Kumar-North</v>
      </c>
      <c r="AF893" s="19" t="str">
        <f>MID(SalesData[[#This Row],[Order_ID]],4,4)</f>
        <v>0801</v>
      </c>
      <c r="AG893" s="19" t="e">
        <f ca="1">_xlfn.SINGLE(_xlfn.XLOOKUP(SalesData[[#This Row],[Product]],Product_Master!A:A,Product_Master!B:B,"Not Found"))</f>
        <v>#NAME?</v>
      </c>
      <c r="AH893" s="19" t="str">
        <f>VLOOKUP(SalesData[[#This Row],[Product]],Product_Master!$A$1:$B$21,2,FALSE)</f>
        <v>Pooja</v>
      </c>
      <c r="AI893" s="16"/>
    </row>
    <row r="894" spans="1:35" ht="13.8">
      <c r="A894" s="16" t="s">
        <v>270</v>
      </c>
      <c r="B894" s="17">
        <v>45562</v>
      </c>
      <c r="C894" s="16" t="s">
        <v>100</v>
      </c>
      <c r="D894" s="16" t="s">
        <v>101</v>
      </c>
      <c r="E894" s="16" t="s">
        <v>106</v>
      </c>
      <c r="F894" s="16" t="s">
        <v>107</v>
      </c>
      <c r="G894" s="16" t="s">
        <v>40</v>
      </c>
      <c r="H894" s="16" t="s">
        <v>108</v>
      </c>
      <c r="I894" s="16" t="s">
        <v>23</v>
      </c>
      <c r="J894" s="16" t="s">
        <v>24</v>
      </c>
      <c r="K894" s="18">
        <v>7249.01</v>
      </c>
      <c r="L894" s="18">
        <v>3236.5</v>
      </c>
      <c r="M894" s="19">
        <v>5</v>
      </c>
      <c r="N894" s="20">
        <v>0.1</v>
      </c>
      <c r="O894" s="19" t="s">
        <v>34</v>
      </c>
      <c r="P894" s="19" t="s">
        <v>26</v>
      </c>
      <c r="Q894" s="19" t="str">
        <f>TRIM(SalesData[[#This Row],[Customer_Name]])</f>
        <v>Amit Kumar</v>
      </c>
      <c r="R894" s="21">
        <f>SalesData[[#This Row],[Sales]]-SalesData[[#This Row],[Cost]]</f>
        <v>4012.51</v>
      </c>
      <c r="S894" s="22">
        <f>IFERROR(SalesData[[#This Row],[Profit]]/SalesData[[#This Row],[Sales]],0)</f>
        <v>0.5535252399982894</v>
      </c>
      <c r="T894" s="19">
        <f>YEAR(SalesData[[#This Row],[Order_Date]])</f>
        <v>2024</v>
      </c>
      <c r="U894" s="19" t="str">
        <f>TEXT(SalesData[[#This Row],[Order_Date]],"mmm")</f>
        <v>Sept</v>
      </c>
      <c r="V894" s="19" t="str">
        <f>"Q"&amp;ROUNDUP(MONTH(SalesData[[#This Row],[Order_Date]])/3,0)</f>
        <v>Q3</v>
      </c>
      <c r="W894" s="19" t="str">
        <f>IF(SalesData[[#This Row],[Sales]]&gt;=50000,"High",IF(AND(SalesData[[#This Row],[Sales]]&gt;= 20000, SalesData[[#This Row],[Sales]]&lt; 50000),"Medium","Low"))</f>
        <v>Low</v>
      </c>
      <c r="X894" s="19" t="str">
        <f>IF(SalesData[[#This Row],[Profit]]&gt;0,"Profit","Loss")</f>
        <v>Profit</v>
      </c>
      <c r="Y894" s="19" t="str">
        <f>IF(AND(SalesData[[#This Row],[Sales]]&gt;= 50000, SalesData[[#This Row],[Quantity]]&gt;=2),"Yes","No")</f>
        <v>No</v>
      </c>
      <c r="Z894" s="19" t="str">
        <f>UPPER(SalesData[[#This Row],[Customer_Name]])</f>
        <v>AMIT KUMAR</v>
      </c>
      <c r="AA894" s="19" t="str">
        <f>LOWER(SalesData[[#This Row],[Customer_Name]])</f>
        <v>amit kumar</v>
      </c>
      <c r="AB894" s="19">
        <f>LEN(SalesData[[#This Row],[Customer_Name]])</f>
        <v>10</v>
      </c>
      <c r="AC894" s="19" t="str">
        <f>LEFT(SalesData[[#This Row],[Order_ID]],3)</f>
        <v>ORD</v>
      </c>
      <c r="AD894" s="19" t="str">
        <f>RIGHT(SalesData[[#This Row],[Order_ID]],4)</f>
        <v>0117</v>
      </c>
      <c r="AE894" s="19" t="str">
        <f>_xlfn.CONCAT(SalesData[[#This Row],[Clean_Customer_Name]],"-",SalesData[[#This Row],[Region]])</f>
        <v>Amit Kumar-North</v>
      </c>
      <c r="AF894" s="19" t="str">
        <f>MID(SalesData[[#This Row],[Order_ID]],4,4)</f>
        <v>0117</v>
      </c>
      <c r="AG894" s="19" t="e">
        <f ca="1">_xlfn.SINGLE(_xlfn.XLOOKUP(SalesData[[#This Row],[Product]],Product_Master!A:A,Product_Master!B:B,"Not Found"))</f>
        <v>#NAME?</v>
      </c>
      <c r="AH894" s="19" t="str">
        <f>VLOOKUP(SalesData[[#This Row],[Product]],Product_Master!$A$1:$B$21,2,FALSE)</f>
        <v>Aditya</v>
      </c>
      <c r="AI894" s="16"/>
    </row>
    <row r="895" spans="1:35" ht="13.8">
      <c r="A895" s="16" t="s">
        <v>683</v>
      </c>
      <c r="B895" s="17">
        <v>45526</v>
      </c>
      <c r="C895" s="16" t="s">
        <v>100</v>
      </c>
      <c r="D895" s="16" t="s">
        <v>101</v>
      </c>
      <c r="E895" s="16" t="s">
        <v>106</v>
      </c>
      <c r="F895" s="16" t="s">
        <v>107</v>
      </c>
      <c r="G895" s="16" t="s">
        <v>40</v>
      </c>
      <c r="H895" s="16" t="s">
        <v>108</v>
      </c>
      <c r="I895" s="16" t="s">
        <v>84</v>
      </c>
      <c r="J895" s="16" t="s">
        <v>142</v>
      </c>
      <c r="K895" s="18">
        <v>3372.4</v>
      </c>
      <c r="L895" s="18">
        <v>1466.52</v>
      </c>
      <c r="M895" s="19">
        <v>2</v>
      </c>
      <c r="N895" s="20">
        <v>0.05</v>
      </c>
      <c r="O895" s="19" t="s">
        <v>76</v>
      </c>
      <c r="P895" s="19" t="s">
        <v>58</v>
      </c>
      <c r="Q895" s="19" t="str">
        <f>TRIM(SalesData[[#This Row],[Customer_Name]])</f>
        <v>Amit Kumar</v>
      </c>
      <c r="R895" s="21">
        <f>SalesData[[#This Row],[Sales]]-SalesData[[#This Row],[Cost]]</f>
        <v>1905.88</v>
      </c>
      <c r="S895" s="22">
        <f>IFERROR(SalesData[[#This Row],[Profit]]/SalesData[[#This Row],[Sales]],0)</f>
        <v>0.56514055272209707</v>
      </c>
      <c r="T895" s="19">
        <f>YEAR(SalesData[[#This Row],[Order_Date]])</f>
        <v>2024</v>
      </c>
      <c r="U895" s="19" t="str">
        <f>TEXT(SalesData[[#This Row],[Order_Date]],"mmm")</f>
        <v>Aug</v>
      </c>
      <c r="V895" s="19" t="str">
        <f>"Q"&amp;ROUNDUP(MONTH(SalesData[[#This Row],[Order_Date]])/3,0)</f>
        <v>Q3</v>
      </c>
      <c r="W895" s="19" t="str">
        <f>IF(SalesData[[#This Row],[Sales]]&gt;=50000,"High",IF(AND(SalesData[[#This Row],[Sales]]&gt;= 20000, SalesData[[#This Row],[Sales]]&lt; 50000),"Medium","Low"))</f>
        <v>Low</v>
      </c>
      <c r="X895" s="19" t="str">
        <f>IF(SalesData[[#This Row],[Profit]]&gt;0,"Profit","Loss")</f>
        <v>Profit</v>
      </c>
      <c r="Y895" s="19" t="str">
        <f>IF(AND(SalesData[[#This Row],[Sales]]&gt;= 50000, SalesData[[#This Row],[Quantity]]&gt;=2),"Yes","No")</f>
        <v>No</v>
      </c>
      <c r="Z895" s="19" t="str">
        <f>UPPER(SalesData[[#This Row],[Customer_Name]])</f>
        <v>AMIT KUMAR</v>
      </c>
      <c r="AA895" s="19" t="str">
        <f>LOWER(SalesData[[#This Row],[Customer_Name]])</f>
        <v>amit kumar</v>
      </c>
      <c r="AB895" s="19">
        <f>LEN(SalesData[[#This Row],[Customer_Name]])</f>
        <v>10</v>
      </c>
      <c r="AC895" s="19" t="str">
        <f>LEFT(SalesData[[#This Row],[Order_ID]],3)</f>
        <v>ORD</v>
      </c>
      <c r="AD895" s="19" t="str">
        <f>RIGHT(SalesData[[#This Row],[Order_ID]],4)</f>
        <v>0530</v>
      </c>
      <c r="AE895" s="19" t="str">
        <f>_xlfn.CONCAT(SalesData[[#This Row],[Clean_Customer_Name]],"-",SalesData[[#This Row],[Region]])</f>
        <v>Amit Kumar-South</v>
      </c>
      <c r="AF895" s="19" t="str">
        <f>MID(SalesData[[#This Row],[Order_ID]],4,4)</f>
        <v>0530</v>
      </c>
      <c r="AG895" s="19" t="e">
        <f ca="1">_xlfn.SINGLE(_xlfn.XLOOKUP(SalesData[[#This Row],[Product]],Product_Master!A:A,Product_Master!B:B,"Not Found"))</f>
        <v>#NAME?</v>
      </c>
      <c r="AH895" s="19" t="str">
        <f>VLOOKUP(SalesData[[#This Row],[Product]],Product_Master!$A$1:$B$21,2,FALSE)</f>
        <v>Aditya</v>
      </c>
      <c r="AI895" s="16"/>
    </row>
    <row r="896" spans="1:35" ht="13.8">
      <c r="A896" s="16" t="s">
        <v>741</v>
      </c>
      <c r="B896" s="17">
        <v>45986</v>
      </c>
      <c r="C896" s="16" t="s">
        <v>100</v>
      </c>
      <c r="D896" s="16" t="s">
        <v>101</v>
      </c>
      <c r="E896" s="16" t="s">
        <v>106</v>
      </c>
      <c r="F896" s="16" t="s">
        <v>107</v>
      </c>
      <c r="G896" s="16" t="s">
        <v>40</v>
      </c>
      <c r="H896" s="16" t="s">
        <v>108</v>
      </c>
      <c r="I896" s="16" t="s">
        <v>56</v>
      </c>
      <c r="J896" s="16" t="s">
        <v>57</v>
      </c>
      <c r="K896" s="18">
        <v>9818.99</v>
      </c>
      <c r="L896" s="18">
        <v>3760.9</v>
      </c>
      <c r="M896" s="19">
        <v>5</v>
      </c>
      <c r="N896" s="20">
        <v>0.15</v>
      </c>
      <c r="O896" s="19" t="s">
        <v>76</v>
      </c>
      <c r="P896" s="19" t="s">
        <v>58</v>
      </c>
      <c r="Q896" s="19" t="str">
        <f>TRIM(SalesData[[#This Row],[Customer_Name]])</f>
        <v>Amit Kumar</v>
      </c>
      <c r="R896" s="21">
        <f>SalesData[[#This Row],[Sales]]-SalesData[[#This Row],[Cost]]</f>
        <v>6058.09</v>
      </c>
      <c r="S896" s="22">
        <f>IFERROR(SalesData[[#This Row],[Profit]]/SalesData[[#This Row],[Sales]],0)</f>
        <v>0.6169768988460117</v>
      </c>
      <c r="T896" s="19">
        <f>YEAR(SalesData[[#This Row],[Order_Date]])</f>
        <v>2025</v>
      </c>
      <c r="U896" s="19" t="str">
        <f>TEXT(SalesData[[#This Row],[Order_Date]],"mmm")</f>
        <v>Nov</v>
      </c>
      <c r="V896" s="19" t="str">
        <f>"Q"&amp;ROUNDUP(MONTH(SalesData[[#This Row],[Order_Date]])/3,0)</f>
        <v>Q4</v>
      </c>
      <c r="W896" s="19" t="str">
        <f>IF(SalesData[[#This Row],[Sales]]&gt;=50000,"High",IF(AND(SalesData[[#This Row],[Sales]]&gt;= 20000, SalesData[[#This Row],[Sales]]&lt; 50000),"Medium","Low"))</f>
        <v>Low</v>
      </c>
      <c r="X896" s="19" t="str">
        <f>IF(SalesData[[#This Row],[Profit]]&gt;0,"Profit","Loss")</f>
        <v>Profit</v>
      </c>
      <c r="Y896" s="19" t="str">
        <f>IF(AND(SalesData[[#This Row],[Sales]]&gt;= 50000, SalesData[[#This Row],[Quantity]]&gt;=2),"Yes","No")</f>
        <v>No</v>
      </c>
      <c r="Z896" s="19" t="str">
        <f>UPPER(SalesData[[#This Row],[Customer_Name]])</f>
        <v>AMIT KUMAR</v>
      </c>
      <c r="AA896" s="19" t="str">
        <f>LOWER(SalesData[[#This Row],[Customer_Name]])</f>
        <v>amit kumar</v>
      </c>
      <c r="AB896" s="19">
        <f>LEN(SalesData[[#This Row],[Customer_Name]])</f>
        <v>10</v>
      </c>
      <c r="AC896" s="19" t="str">
        <f>LEFT(SalesData[[#This Row],[Order_ID]],3)</f>
        <v>ORD</v>
      </c>
      <c r="AD896" s="19" t="str">
        <f>RIGHT(SalesData[[#This Row],[Order_ID]],4)</f>
        <v>0588</v>
      </c>
      <c r="AE896" s="19" t="str">
        <f>_xlfn.CONCAT(SalesData[[#This Row],[Clean_Customer_Name]],"-",SalesData[[#This Row],[Region]])</f>
        <v>Amit Kumar-West</v>
      </c>
      <c r="AF896" s="19" t="str">
        <f>MID(SalesData[[#This Row],[Order_ID]],4,4)</f>
        <v>0588</v>
      </c>
      <c r="AG896" s="19" t="e">
        <f ca="1">_xlfn.SINGLE(_xlfn.XLOOKUP(SalesData[[#This Row],[Product]],Product_Master!A:A,Product_Master!B:B,"Not Found"))</f>
        <v>#NAME?</v>
      </c>
      <c r="AH896" s="19" t="str">
        <f>VLOOKUP(SalesData[[#This Row],[Product]],Product_Master!$A$1:$B$21,2,FALSE)</f>
        <v>Aditya</v>
      </c>
      <c r="AI896" s="16"/>
    </row>
    <row r="897" spans="1:35" ht="13.8">
      <c r="A897" s="16" t="s">
        <v>335</v>
      </c>
      <c r="B897" s="17">
        <v>45476</v>
      </c>
      <c r="C897" s="16" t="s">
        <v>100</v>
      </c>
      <c r="D897" s="16" t="s">
        <v>101</v>
      </c>
      <c r="E897" s="16" t="s">
        <v>132</v>
      </c>
      <c r="F897" s="16" t="s">
        <v>133</v>
      </c>
      <c r="G897" s="16" t="s">
        <v>40</v>
      </c>
      <c r="H897" s="16" t="s">
        <v>41</v>
      </c>
      <c r="I897" s="16" t="s">
        <v>42</v>
      </c>
      <c r="J897" s="16" t="s">
        <v>43</v>
      </c>
      <c r="K897" s="18">
        <v>1967.45</v>
      </c>
      <c r="L897" s="18">
        <v>1198.45</v>
      </c>
      <c r="M897" s="19">
        <v>5</v>
      </c>
      <c r="N897" s="20">
        <v>0.1</v>
      </c>
      <c r="O897" s="19" t="s">
        <v>44</v>
      </c>
      <c r="P897" s="19" t="s">
        <v>45</v>
      </c>
      <c r="Q897" s="19" t="str">
        <f>TRIM(SalesData[[#This Row],[Customer_Name]])</f>
        <v>Amit Kumar</v>
      </c>
      <c r="R897" s="21">
        <f>SalesData[[#This Row],[Sales]]-SalesData[[#This Row],[Cost]]</f>
        <v>769</v>
      </c>
      <c r="S897" s="22">
        <f>IFERROR(SalesData[[#This Row],[Profit]]/SalesData[[#This Row],[Sales]],0)</f>
        <v>0.39086126712241731</v>
      </c>
      <c r="T897" s="19">
        <f>YEAR(SalesData[[#This Row],[Order_Date]])</f>
        <v>2024</v>
      </c>
      <c r="U897" s="19" t="str">
        <f>TEXT(SalesData[[#This Row],[Order_Date]],"mmm")</f>
        <v>Jul</v>
      </c>
      <c r="V897" s="19" t="str">
        <f>"Q"&amp;ROUNDUP(MONTH(SalesData[[#This Row],[Order_Date]])/3,0)</f>
        <v>Q3</v>
      </c>
      <c r="W897" s="19" t="str">
        <f>IF(SalesData[[#This Row],[Sales]]&gt;=50000,"High",IF(AND(SalesData[[#This Row],[Sales]]&gt;= 20000, SalesData[[#This Row],[Sales]]&lt; 50000),"Medium","Low"))</f>
        <v>Low</v>
      </c>
      <c r="X897" s="19" t="str">
        <f>IF(SalesData[[#This Row],[Profit]]&gt;0,"Profit","Loss")</f>
        <v>Profit</v>
      </c>
      <c r="Y897" s="19" t="str">
        <f>IF(AND(SalesData[[#This Row],[Sales]]&gt;= 50000, SalesData[[#This Row],[Quantity]]&gt;=2),"Yes","No")</f>
        <v>No</v>
      </c>
      <c r="Z897" s="19" t="str">
        <f>UPPER(SalesData[[#This Row],[Customer_Name]])</f>
        <v>AMIT KUMAR</v>
      </c>
      <c r="AA897" s="19" t="str">
        <f>LOWER(SalesData[[#This Row],[Customer_Name]])</f>
        <v>amit kumar</v>
      </c>
      <c r="AB897" s="19">
        <f>LEN(SalesData[[#This Row],[Customer_Name]])</f>
        <v>10</v>
      </c>
      <c r="AC897" s="19" t="str">
        <f>LEFT(SalesData[[#This Row],[Order_ID]],3)</f>
        <v>ORD</v>
      </c>
      <c r="AD897" s="19" t="str">
        <f>RIGHT(SalesData[[#This Row],[Order_ID]],4)</f>
        <v>0182</v>
      </c>
      <c r="AE897" s="19" t="str">
        <f>_xlfn.CONCAT(SalesData[[#This Row],[Clean_Customer_Name]],"-",SalesData[[#This Row],[Region]])</f>
        <v>Amit Kumar-East</v>
      </c>
      <c r="AF897" s="19" t="str">
        <f>MID(SalesData[[#This Row],[Order_ID]],4,4)</f>
        <v>0182</v>
      </c>
      <c r="AG897" s="19" t="e">
        <f ca="1">_xlfn.SINGLE(_xlfn.XLOOKUP(SalesData[[#This Row],[Product]],Product_Master!A:A,Product_Master!B:B,"Not Found"))</f>
        <v>#NAME?</v>
      </c>
      <c r="AH897" s="19" t="str">
        <f>VLOOKUP(SalesData[[#This Row],[Product]],Product_Master!$A$1:$B$21,2,FALSE)</f>
        <v>Kavya</v>
      </c>
      <c r="AI897" s="16"/>
    </row>
    <row r="898" spans="1:35" ht="13.8">
      <c r="A898" s="16" t="s">
        <v>482</v>
      </c>
      <c r="B898" s="17">
        <v>45756</v>
      </c>
      <c r="C898" s="16" t="s">
        <v>100</v>
      </c>
      <c r="D898" s="16" t="s">
        <v>101</v>
      </c>
      <c r="E898" s="16" t="s">
        <v>132</v>
      </c>
      <c r="F898" s="16" t="s">
        <v>133</v>
      </c>
      <c r="G898" s="16" t="s">
        <v>40</v>
      </c>
      <c r="H898" s="16" t="s">
        <v>41</v>
      </c>
      <c r="I898" s="16" t="s">
        <v>23</v>
      </c>
      <c r="J898" s="16" t="s">
        <v>33</v>
      </c>
      <c r="K898" s="18">
        <v>2911.28</v>
      </c>
      <c r="L898" s="18">
        <v>1277.2</v>
      </c>
      <c r="M898" s="19">
        <v>5</v>
      </c>
      <c r="N898" s="20">
        <v>0.05</v>
      </c>
      <c r="O898" s="19" t="s">
        <v>25</v>
      </c>
      <c r="P898" s="19" t="s">
        <v>58</v>
      </c>
      <c r="Q898" s="19" t="str">
        <f>TRIM(SalesData[[#This Row],[Customer_Name]])</f>
        <v>Amit Kumar</v>
      </c>
      <c r="R898" s="21">
        <f>SalesData[[#This Row],[Sales]]-SalesData[[#This Row],[Cost]]</f>
        <v>1634.0800000000002</v>
      </c>
      <c r="S898" s="22">
        <f>IFERROR(SalesData[[#This Row],[Profit]]/SalesData[[#This Row],[Sales]],0)</f>
        <v>0.56129262729795826</v>
      </c>
      <c r="T898" s="19">
        <f>YEAR(SalesData[[#This Row],[Order_Date]])</f>
        <v>2025</v>
      </c>
      <c r="U898" s="19" t="str">
        <f>TEXT(SalesData[[#This Row],[Order_Date]],"mmm")</f>
        <v>Apr</v>
      </c>
      <c r="V898" s="19" t="str">
        <f>"Q"&amp;ROUNDUP(MONTH(SalesData[[#This Row],[Order_Date]])/3,0)</f>
        <v>Q2</v>
      </c>
      <c r="W898" s="19" t="str">
        <f>IF(SalesData[[#This Row],[Sales]]&gt;=50000,"High",IF(AND(SalesData[[#This Row],[Sales]]&gt;= 20000, SalesData[[#This Row],[Sales]]&lt; 50000),"Medium","Low"))</f>
        <v>Low</v>
      </c>
      <c r="X898" s="19" t="str">
        <f>IF(SalesData[[#This Row],[Profit]]&gt;0,"Profit","Loss")</f>
        <v>Profit</v>
      </c>
      <c r="Y898" s="19" t="str">
        <f>IF(AND(SalesData[[#This Row],[Sales]]&gt;= 50000, SalesData[[#This Row],[Quantity]]&gt;=2),"Yes","No")</f>
        <v>No</v>
      </c>
      <c r="Z898" s="19" t="str">
        <f>UPPER(SalesData[[#This Row],[Customer_Name]])</f>
        <v>AMIT KUMAR</v>
      </c>
      <c r="AA898" s="19" t="str">
        <f>LOWER(SalesData[[#This Row],[Customer_Name]])</f>
        <v>amit kumar</v>
      </c>
      <c r="AB898" s="19">
        <f>LEN(SalesData[[#This Row],[Customer_Name]])</f>
        <v>10</v>
      </c>
      <c r="AC898" s="19" t="str">
        <f>LEFT(SalesData[[#This Row],[Order_ID]],3)</f>
        <v>ORD</v>
      </c>
      <c r="AD898" s="19" t="str">
        <f>RIGHT(SalesData[[#This Row],[Order_ID]],4)</f>
        <v>0329</v>
      </c>
      <c r="AE898" s="19" t="str">
        <f>_xlfn.CONCAT(SalesData[[#This Row],[Clean_Customer_Name]],"-",SalesData[[#This Row],[Region]])</f>
        <v>Amit Kumar-North</v>
      </c>
      <c r="AF898" s="19" t="str">
        <f>MID(SalesData[[#This Row],[Order_ID]],4,4)</f>
        <v>0329</v>
      </c>
      <c r="AG898" s="19" t="e">
        <f ca="1">_xlfn.SINGLE(_xlfn.XLOOKUP(SalesData[[#This Row],[Product]],Product_Master!A:A,Product_Master!B:B,"Not Found"))</f>
        <v>#NAME?</v>
      </c>
      <c r="AH898" s="19" t="str">
        <f>VLOOKUP(SalesData[[#This Row],[Product]],Product_Master!$A$1:$B$21,2,FALSE)</f>
        <v>Kavya</v>
      </c>
      <c r="AI898" s="16"/>
    </row>
    <row r="899" spans="1:35" ht="13.8">
      <c r="A899" s="16" t="s">
        <v>690</v>
      </c>
      <c r="B899" s="17">
        <v>45537</v>
      </c>
      <c r="C899" s="16" t="s">
        <v>100</v>
      </c>
      <c r="D899" s="16" t="s">
        <v>101</v>
      </c>
      <c r="E899" s="16" t="s">
        <v>132</v>
      </c>
      <c r="F899" s="16" t="s">
        <v>133</v>
      </c>
      <c r="G899" s="16" t="s">
        <v>40</v>
      </c>
      <c r="H899" s="16" t="s">
        <v>41</v>
      </c>
      <c r="I899" s="16" t="s">
        <v>42</v>
      </c>
      <c r="J899" s="16" t="s">
        <v>68</v>
      </c>
      <c r="K899" s="18">
        <v>5055.57</v>
      </c>
      <c r="L899" s="18">
        <v>1316.15</v>
      </c>
      <c r="M899" s="19">
        <v>5</v>
      </c>
      <c r="N899" s="20">
        <v>0.1</v>
      </c>
      <c r="O899" s="19" t="s">
        <v>44</v>
      </c>
      <c r="P899" s="19" t="s">
        <v>45</v>
      </c>
      <c r="Q899" s="19" t="str">
        <f>TRIM(SalesData[[#This Row],[Customer_Name]])</f>
        <v>Amit Kumar</v>
      </c>
      <c r="R899" s="21">
        <f>SalesData[[#This Row],[Sales]]-SalesData[[#This Row],[Cost]]</f>
        <v>3739.4199999999996</v>
      </c>
      <c r="S899" s="22">
        <f>IFERROR(SalesData[[#This Row],[Profit]]/SalesData[[#This Row],[Sales]],0)</f>
        <v>0.73966338118154829</v>
      </c>
      <c r="T899" s="19">
        <f>YEAR(SalesData[[#This Row],[Order_Date]])</f>
        <v>2024</v>
      </c>
      <c r="U899" s="19" t="str">
        <f>TEXT(SalesData[[#This Row],[Order_Date]],"mmm")</f>
        <v>Sept</v>
      </c>
      <c r="V899" s="19" t="str">
        <f>"Q"&amp;ROUNDUP(MONTH(SalesData[[#This Row],[Order_Date]])/3,0)</f>
        <v>Q3</v>
      </c>
      <c r="W899" s="19" t="str">
        <f>IF(SalesData[[#This Row],[Sales]]&gt;=50000,"High",IF(AND(SalesData[[#This Row],[Sales]]&gt;= 20000, SalesData[[#This Row],[Sales]]&lt; 50000),"Medium","Low"))</f>
        <v>Low</v>
      </c>
      <c r="X899" s="19" t="str">
        <f>IF(SalesData[[#This Row],[Profit]]&gt;0,"Profit","Loss")</f>
        <v>Profit</v>
      </c>
      <c r="Y899" s="19" t="str">
        <f>IF(AND(SalesData[[#This Row],[Sales]]&gt;= 50000, SalesData[[#This Row],[Quantity]]&gt;=2),"Yes","No")</f>
        <v>No</v>
      </c>
      <c r="Z899" s="19" t="str">
        <f>UPPER(SalesData[[#This Row],[Customer_Name]])</f>
        <v>AMIT KUMAR</v>
      </c>
      <c r="AA899" s="19" t="str">
        <f>LOWER(SalesData[[#This Row],[Customer_Name]])</f>
        <v>amit kumar</v>
      </c>
      <c r="AB899" s="19">
        <f>LEN(SalesData[[#This Row],[Customer_Name]])</f>
        <v>10</v>
      </c>
      <c r="AC899" s="19" t="str">
        <f>LEFT(SalesData[[#This Row],[Order_ID]],3)</f>
        <v>ORD</v>
      </c>
      <c r="AD899" s="19" t="str">
        <f>RIGHT(SalesData[[#This Row],[Order_ID]],4)</f>
        <v>0537</v>
      </c>
      <c r="AE899" s="19" t="str">
        <f>_xlfn.CONCAT(SalesData[[#This Row],[Clean_Customer_Name]],"-",SalesData[[#This Row],[Region]])</f>
        <v>Amit Kumar-East</v>
      </c>
      <c r="AF899" s="19" t="str">
        <f>MID(SalesData[[#This Row],[Order_ID]],4,4)</f>
        <v>0537</v>
      </c>
      <c r="AG899" s="19" t="e">
        <f ca="1">_xlfn.SINGLE(_xlfn.XLOOKUP(SalesData[[#This Row],[Product]],Product_Master!A:A,Product_Master!B:B,"Not Found"))</f>
        <v>#NAME?</v>
      </c>
      <c r="AH899" s="19" t="str">
        <f>VLOOKUP(SalesData[[#This Row],[Product]],Product_Master!$A$1:$B$21,2,FALSE)</f>
        <v>Kavya</v>
      </c>
      <c r="AI899" s="16"/>
    </row>
    <row r="900" spans="1:35" ht="13.8">
      <c r="A900" s="16" t="s">
        <v>1137</v>
      </c>
      <c r="B900" s="17">
        <v>45718</v>
      </c>
      <c r="C900" s="16" t="s">
        <v>100</v>
      </c>
      <c r="D900" s="16" t="s">
        <v>101</v>
      </c>
      <c r="E900" s="16" t="s">
        <v>132</v>
      </c>
      <c r="F900" s="16" t="s">
        <v>133</v>
      </c>
      <c r="G900" s="16" t="s">
        <v>40</v>
      </c>
      <c r="H900" s="16" t="s">
        <v>41</v>
      </c>
      <c r="I900" s="16" t="s">
        <v>56</v>
      </c>
      <c r="J900" s="16" t="s">
        <v>57</v>
      </c>
      <c r="K900" s="18">
        <v>1336.61</v>
      </c>
      <c r="L900" s="18">
        <v>784.95</v>
      </c>
      <c r="M900" s="19">
        <v>3</v>
      </c>
      <c r="N900" s="20">
        <v>0.1</v>
      </c>
      <c r="O900" s="19" t="s">
        <v>76</v>
      </c>
      <c r="P900" s="19" t="s">
        <v>58</v>
      </c>
      <c r="Q900" s="19" t="str">
        <f>TRIM(SalesData[[#This Row],[Customer_Name]])</f>
        <v>Amit Kumar</v>
      </c>
      <c r="R900" s="21">
        <f>SalesData[[#This Row],[Sales]]-SalesData[[#This Row],[Cost]]</f>
        <v>551.65999999999985</v>
      </c>
      <c r="S900" s="22">
        <f>IFERROR(SalesData[[#This Row],[Profit]]/SalesData[[#This Row],[Sales]],0)</f>
        <v>0.41273071426968216</v>
      </c>
      <c r="T900" s="19">
        <f>YEAR(SalesData[[#This Row],[Order_Date]])</f>
        <v>2025</v>
      </c>
      <c r="U900" s="19" t="str">
        <f>TEXT(SalesData[[#This Row],[Order_Date]],"mmm")</f>
        <v>Mar</v>
      </c>
      <c r="V900" s="19" t="str">
        <f>"Q"&amp;ROUNDUP(MONTH(SalesData[[#This Row],[Order_Date]])/3,0)</f>
        <v>Q1</v>
      </c>
      <c r="W900" s="19" t="str">
        <f>IF(SalesData[[#This Row],[Sales]]&gt;=50000,"High",IF(AND(SalesData[[#This Row],[Sales]]&gt;= 20000, SalesData[[#This Row],[Sales]]&lt; 50000),"Medium","Low"))</f>
        <v>Low</v>
      </c>
      <c r="X900" s="19" t="str">
        <f>IF(SalesData[[#This Row],[Profit]]&gt;0,"Profit","Loss")</f>
        <v>Profit</v>
      </c>
      <c r="Y900" s="19" t="str">
        <f>IF(AND(SalesData[[#This Row],[Sales]]&gt;= 50000, SalesData[[#This Row],[Quantity]]&gt;=2),"Yes","No")</f>
        <v>No</v>
      </c>
      <c r="Z900" s="19" t="str">
        <f>UPPER(SalesData[[#This Row],[Customer_Name]])</f>
        <v>AMIT KUMAR</v>
      </c>
      <c r="AA900" s="19" t="str">
        <f>LOWER(SalesData[[#This Row],[Customer_Name]])</f>
        <v>amit kumar</v>
      </c>
      <c r="AB900" s="19">
        <f>LEN(SalesData[[#This Row],[Customer_Name]])</f>
        <v>10</v>
      </c>
      <c r="AC900" s="19" t="str">
        <f>LEFT(SalesData[[#This Row],[Order_ID]],3)</f>
        <v>ORD</v>
      </c>
      <c r="AD900" s="19" t="str">
        <f>RIGHT(SalesData[[#This Row],[Order_ID]],4)</f>
        <v>0984</v>
      </c>
      <c r="AE900" s="19" t="str">
        <f>_xlfn.CONCAT(SalesData[[#This Row],[Clean_Customer_Name]],"-",SalesData[[#This Row],[Region]])</f>
        <v>Amit Kumar-West</v>
      </c>
      <c r="AF900" s="19" t="str">
        <f>MID(SalesData[[#This Row],[Order_ID]],4,4)</f>
        <v>0984</v>
      </c>
      <c r="AG900" s="19" t="e">
        <f ca="1">_xlfn.SINGLE(_xlfn.XLOOKUP(SalesData[[#This Row],[Product]],Product_Master!A:A,Product_Master!B:B,"Not Found"))</f>
        <v>#NAME?</v>
      </c>
      <c r="AH900" s="19" t="str">
        <f>VLOOKUP(SalesData[[#This Row],[Product]],Product_Master!$A$1:$B$21,2,FALSE)</f>
        <v>Kavya</v>
      </c>
      <c r="AI900" s="16"/>
    </row>
    <row r="901" spans="1:35" ht="13.8">
      <c r="A901" s="16" t="s">
        <v>261</v>
      </c>
      <c r="B901" s="17">
        <v>45893</v>
      </c>
      <c r="C901" s="16" t="s">
        <v>100</v>
      </c>
      <c r="D901" s="16" t="s">
        <v>101</v>
      </c>
      <c r="E901" s="16" t="s">
        <v>38</v>
      </c>
      <c r="F901" s="16" t="s">
        <v>39</v>
      </c>
      <c r="G901" s="16" t="s">
        <v>40</v>
      </c>
      <c r="H901" s="16" t="s">
        <v>41</v>
      </c>
      <c r="I901" s="16" t="s">
        <v>84</v>
      </c>
      <c r="J901" s="16" t="s">
        <v>134</v>
      </c>
      <c r="K901" s="18">
        <v>3453</v>
      </c>
      <c r="L901" s="18">
        <v>1541.67</v>
      </c>
      <c r="M901" s="19">
        <v>3</v>
      </c>
      <c r="N901" s="20">
        <v>0.1</v>
      </c>
      <c r="O901" s="19" t="s">
        <v>136</v>
      </c>
      <c r="P901" s="19" t="s">
        <v>45</v>
      </c>
      <c r="Q901" s="19" t="str">
        <f>TRIM(SalesData[[#This Row],[Customer_Name]])</f>
        <v>Amit Kumar</v>
      </c>
      <c r="R901" s="21">
        <f>SalesData[[#This Row],[Sales]]-SalesData[[#This Row],[Cost]]</f>
        <v>1911.33</v>
      </c>
      <c r="S901" s="22">
        <f>IFERROR(SalesData[[#This Row],[Profit]]/SalesData[[#This Row],[Sales]],0)</f>
        <v>0.5535273675065161</v>
      </c>
      <c r="T901" s="19">
        <f>YEAR(SalesData[[#This Row],[Order_Date]])</f>
        <v>2025</v>
      </c>
      <c r="U901" s="19" t="str">
        <f>TEXT(SalesData[[#This Row],[Order_Date]],"mmm")</f>
        <v>Aug</v>
      </c>
      <c r="V901" s="19" t="str">
        <f>"Q"&amp;ROUNDUP(MONTH(SalesData[[#This Row],[Order_Date]])/3,0)</f>
        <v>Q3</v>
      </c>
      <c r="W901" s="19" t="str">
        <f>IF(SalesData[[#This Row],[Sales]]&gt;=50000,"High",IF(AND(SalesData[[#This Row],[Sales]]&gt;= 20000, SalesData[[#This Row],[Sales]]&lt; 50000),"Medium","Low"))</f>
        <v>Low</v>
      </c>
      <c r="X901" s="19" t="str">
        <f>IF(SalesData[[#This Row],[Profit]]&gt;0,"Profit","Loss")</f>
        <v>Profit</v>
      </c>
      <c r="Y901" s="19" t="str">
        <f>IF(AND(SalesData[[#This Row],[Sales]]&gt;= 50000, SalesData[[#This Row],[Quantity]]&gt;=2),"Yes","No")</f>
        <v>No</v>
      </c>
      <c r="Z901" s="19" t="str">
        <f>UPPER(SalesData[[#This Row],[Customer_Name]])</f>
        <v>AMIT KUMAR</v>
      </c>
      <c r="AA901" s="19" t="str">
        <f>LOWER(SalesData[[#This Row],[Customer_Name]])</f>
        <v>amit kumar</v>
      </c>
      <c r="AB901" s="19">
        <f>LEN(SalesData[[#This Row],[Customer_Name]])</f>
        <v>10</v>
      </c>
      <c r="AC901" s="19" t="str">
        <f>LEFT(SalesData[[#This Row],[Order_ID]],3)</f>
        <v>ORD</v>
      </c>
      <c r="AD901" s="19" t="str">
        <f>RIGHT(SalesData[[#This Row],[Order_ID]],4)</f>
        <v>0110</v>
      </c>
      <c r="AE901" s="19" t="str">
        <f>_xlfn.CONCAT(SalesData[[#This Row],[Clean_Customer_Name]],"-",SalesData[[#This Row],[Region]])</f>
        <v>Amit Kumar-South</v>
      </c>
      <c r="AF901" s="19" t="str">
        <f>MID(SalesData[[#This Row],[Order_ID]],4,4)</f>
        <v>0110</v>
      </c>
      <c r="AG901" s="19" t="e">
        <f ca="1">_xlfn.SINGLE(_xlfn.XLOOKUP(SalesData[[#This Row],[Product]],Product_Master!A:A,Product_Master!B:B,"Not Found"))</f>
        <v>#NAME?</v>
      </c>
      <c r="AH901" s="19" t="str">
        <f>VLOOKUP(SalesData[[#This Row],[Product]],Product_Master!$A$1:$B$21,2,FALSE)</f>
        <v>Manish</v>
      </c>
      <c r="AI901" s="16"/>
    </row>
    <row r="902" spans="1:35" ht="13.8">
      <c r="A902" s="16" t="s">
        <v>457</v>
      </c>
      <c r="B902" s="17">
        <v>45412</v>
      </c>
      <c r="C902" s="16" t="s">
        <v>100</v>
      </c>
      <c r="D902" s="16" t="s">
        <v>101</v>
      </c>
      <c r="E902" s="16" t="s">
        <v>38</v>
      </c>
      <c r="F902" s="16" t="s">
        <v>39</v>
      </c>
      <c r="G902" s="16" t="s">
        <v>40</v>
      </c>
      <c r="H902" s="16" t="s">
        <v>41</v>
      </c>
      <c r="I902" s="16" t="s">
        <v>53</v>
      </c>
      <c r="J902" s="16" t="s">
        <v>102</v>
      </c>
      <c r="K902" s="18">
        <v>3204.32</v>
      </c>
      <c r="L902" s="18">
        <v>941.98</v>
      </c>
      <c r="M902" s="19">
        <v>2</v>
      </c>
      <c r="N902" s="20">
        <v>0.1</v>
      </c>
      <c r="O902" s="19" t="s">
        <v>34</v>
      </c>
      <c r="P902" s="19" t="s">
        <v>26</v>
      </c>
      <c r="Q902" s="19" t="str">
        <f>TRIM(SalesData[[#This Row],[Customer_Name]])</f>
        <v>Amit Kumar</v>
      </c>
      <c r="R902" s="21">
        <f>SalesData[[#This Row],[Sales]]-SalesData[[#This Row],[Cost]]</f>
        <v>2262.34</v>
      </c>
      <c r="S902" s="22">
        <f>IFERROR(SalesData[[#This Row],[Profit]]/SalesData[[#This Row],[Sales]],0)</f>
        <v>0.70602811204873417</v>
      </c>
      <c r="T902" s="19">
        <f>YEAR(SalesData[[#This Row],[Order_Date]])</f>
        <v>2024</v>
      </c>
      <c r="U902" s="19" t="str">
        <f>TEXT(SalesData[[#This Row],[Order_Date]],"mmm")</f>
        <v>Apr</v>
      </c>
      <c r="V902" s="19" t="str">
        <f>"Q"&amp;ROUNDUP(MONTH(SalesData[[#This Row],[Order_Date]])/3,0)</f>
        <v>Q2</v>
      </c>
      <c r="W902" s="19" t="str">
        <f>IF(SalesData[[#This Row],[Sales]]&gt;=50000,"High",IF(AND(SalesData[[#This Row],[Sales]]&gt;= 20000, SalesData[[#This Row],[Sales]]&lt; 50000),"Medium","Low"))</f>
        <v>Low</v>
      </c>
      <c r="X902" s="19" t="str">
        <f>IF(SalesData[[#This Row],[Profit]]&gt;0,"Profit","Loss")</f>
        <v>Profit</v>
      </c>
      <c r="Y902" s="19" t="str">
        <f>IF(AND(SalesData[[#This Row],[Sales]]&gt;= 50000, SalesData[[#This Row],[Quantity]]&gt;=2),"Yes","No")</f>
        <v>No</v>
      </c>
      <c r="Z902" s="19" t="str">
        <f>UPPER(SalesData[[#This Row],[Customer_Name]])</f>
        <v>AMIT KUMAR</v>
      </c>
      <c r="AA902" s="19" t="str">
        <f>LOWER(SalesData[[#This Row],[Customer_Name]])</f>
        <v>amit kumar</v>
      </c>
      <c r="AB902" s="19">
        <f>LEN(SalesData[[#This Row],[Customer_Name]])</f>
        <v>10</v>
      </c>
      <c r="AC902" s="19" t="str">
        <f>LEFT(SalesData[[#This Row],[Order_ID]],3)</f>
        <v>ORD</v>
      </c>
      <c r="AD902" s="19" t="str">
        <f>RIGHT(SalesData[[#This Row],[Order_ID]],4)</f>
        <v>0304</v>
      </c>
      <c r="AE902" s="19" t="str">
        <f>_xlfn.CONCAT(SalesData[[#This Row],[Clean_Customer_Name]],"-",SalesData[[#This Row],[Region]])</f>
        <v>Amit Kumar-Central</v>
      </c>
      <c r="AF902" s="19" t="str">
        <f>MID(SalesData[[#This Row],[Order_ID]],4,4)</f>
        <v>0304</v>
      </c>
      <c r="AG902" s="19" t="e">
        <f ca="1">_xlfn.SINGLE(_xlfn.XLOOKUP(SalesData[[#This Row],[Product]],Product_Master!A:A,Product_Master!B:B,"Not Found"))</f>
        <v>#NAME?</v>
      </c>
      <c r="AH902" s="19" t="str">
        <f>VLOOKUP(SalesData[[#This Row],[Product]],Product_Master!$A$1:$B$21,2,FALSE)</f>
        <v>Manish</v>
      </c>
      <c r="AI902" s="16"/>
    </row>
    <row r="903" spans="1:35" ht="13.8">
      <c r="A903" s="16" t="s">
        <v>789</v>
      </c>
      <c r="B903" s="17">
        <v>45758</v>
      </c>
      <c r="C903" s="16" t="s">
        <v>100</v>
      </c>
      <c r="D903" s="16" t="s">
        <v>101</v>
      </c>
      <c r="E903" s="16" t="s">
        <v>38</v>
      </c>
      <c r="F903" s="16" t="s">
        <v>39</v>
      </c>
      <c r="G903" s="16" t="s">
        <v>40</v>
      </c>
      <c r="H903" s="16" t="s">
        <v>41</v>
      </c>
      <c r="I903" s="16" t="s">
        <v>23</v>
      </c>
      <c r="J903" s="16" t="s">
        <v>33</v>
      </c>
      <c r="K903" s="18">
        <v>4427.6899999999996</v>
      </c>
      <c r="L903" s="18">
        <v>1555.35</v>
      </c>
      <c r="M903" s="19">
        <v>3</v>
      </c>
      <c r="N903" s="20">
        <v>0.15</v>
      </c>
      <c r="O903" s="19" t="s">
        <v>136</v>
      </c>
      <c r="P903" s="19" t="s">
        <v>58</v>
      </c>
      <c r="Q903" s="19" t="str">
        <f>TRIM(SalesData[[#This Row],[Customer_Name]])</f>
        <v>Amit Kumar</v>
      </c>
      <c r="R903" s="21">
        <f>SalesData[[#This Row],[Sales]]-SalesData[[#This Row],[Cost]]</f>
        <v>2872.3399999999997</v>
      </c>
      <c r="S903" s="22">
        <f>IFERROR(SalesData[[#This Row],[Profit]]/SalesData[[#This Row],[Sales]],0)</f>
        <v>0.64872201983427025</v>
      </c>
      <c r="T903" s="19">
        <f>YEAR(SalesData[[#This Row],[Order_Date]])</f>
        <v>2025</v>
      </c>
      <c r="U903" s="19" t="str">
        <f>TEXT(SalesData[[#This Row],[Order_Date]],"mmm")</f>
        <v>Apr</v>
      </c>
      <c r="V903" s="19" t="str">
        <f>"Q"&amp;ROUNDUP(MONTH(SalesData[[#This Row],[Order_Date]])/3,0)</f>
        <v>Q2</v>
      </c>
      <c r="W903" s="19" t="str">
        <f>IF(SalesData[[#This Row],[Sales]]&gt;=50000,"High",IF(AND(SalesData[[#This Row],[Sales]]&gt;= 20000, SalesData[[#This Row],[Sales]]&lt; 50000),"Medium","Low"))</f>
        <v>Low</v>
      </c>
      <c r="X903" s="19" t="str">
        <f>IF(SalesData[[#This Row],[Profit]]&gt;0,"Profit","Loss")</f>
        <v>Profit</v>
      </c>
      <c r="Y903" s="19" t="str">
        <f>IF(AND(SalesData[[#This Row],[Sales]]&gt;= 50000, SalesData[[#This Row],[Quantity]]&gt;=2),"Yes","No")</f>
        <v>No</v>
      </c>
      <c r="Z903" s="19" t="str">
        <f>UPPER(SalesData[[#This Row],[Customer_Name]])</f>
        <v>AMIT KUMAR</v>
      </c>
      <c r="AA903" s="19" t="str">
        <f>LOWER(SalesData[[#This Row],[Customer_Name]])</f>
        <v>amit kumar</v>
      </c>
      <c r="AB903" s="19">
        <f>LEN(SalesData[[#This Row],[Customer_Name]])</f>
        <v>10</v>
      </c>
      <c r="AC903" s="19" t="str">
        <f>LEFT(SalesData[[#This Row],[Order_ID]],3)</f>
        <v>ORD</v>
      </c>
      <c r="AD903" s="19" t="str">
        <f>RIGHT(SalesData[[#This Row],[Order_ID]],4)</f>
        <v>0636</v>
      </c>
      <c r="AE903" s="19" t="str">
        <f>_xlfn.CONCAT(SalesData[[#This Row],[Clean_Customer_Name]],"-",SalesData[[#This Row],[Region]])</f>
        <v>Amit Kumar-North</v>
      </c>
      <c r="AF903" s="19" t="str">
        <f>MID(SalesData[[#This Row],[Order_ID]],4,4)</f>
        <v>0636</v>
      </c>
      <c r="AG903" s="19" t="e">
        <f ca="1">_xlfn.SINGLE(_xlfn.XLOOKUP(SalesData[[#This Row],[Product]],Product_Master!A:A,Product_Master!B:B,"Not Found"))</f>
        <v>#NAME?</v>
      </c>
      <c r="AH903" s="19" t="str">
        <f>VLOOKUP(SalesData[[#This Row],[Product]],Product_Master!$A$1:$B$21,2,FALSE)</f>
        <v>Manish</v>
      </c>
      <c r="AI903" s="16"/>
    </row>
    <row r="904" spans="1:35" ht="13.8">
      <c r="A904" s="16" t="s">
        <v>953</v>
      </c>
      <c r="B904" s="17">
        <v>45560</v>
      </c>
      <c r="C904" s="16" t="s">
        <v>100</v>
      </c>
      <c r="D904" s="16" t="s">
        <v>101</v>
      </c>
      <c r="E904" s="16" t="s">
        <v>38</v>
      </c>
      <c r="F904" s="16" t="s">
        <v>39</v>
      </c>
      <c r="G904" s="16" t="s">
        <v>40</v>
      </c>
      <c r="H904" s="16" t="s">
        <v>41</v>
      </c>
      <c r="I904" s="16" t="s">
        <v>84</v>
      </c>
      <c r="J904" s="16" t="s">
        <v>85</v>
      </c>
      <c r="K904" s="18">
        <v>2542.1</v>
      </c>
      <c r="L904" s="18">
        <v>909.96</v>
      </c>
      <c r="M904" s="19">
        <v>2</v>
      </c>
      <c r="N904" s="20">
        <v>0.2</v>
      </c>
      <c r="O904" s="19" t="s">
        <v>44</v>
      </c>
      <c r="P904" s="19" t="s">
        <v>58</v>
      </c>
      <c r="Q904" s="19" t="str">
        <f>TRIM(SalesData[[#This Row],[Customer_Name]])</f>
        <v>Amit Kumar</v>
      </c>
      <c r="R904" s="21">
        <f>SalesData[[#This Row],[Sales]]-SalesData[[#This Row],[Cost]]</f>
        <v>1632.1399999999999</v>
      </c>
      <c r="S904" s="22">
        <f>IFERROR(SalesData[[#This Row],[Profit]]/SalesData[[#This Row],[Sales]],0)</f>
        <v>0.64204397938712088</v>
      </c>
      <c r="T904" s="19">
        <f>YEAR(SalesData[[#This Row],[Order_Date]])</f>
        <v>2024</v>
      </c>
      <c r="U904" s="19" t="str">
        <f>TEXT(SalesData[[#This Row],[Order_Date]],"mmm")</f>
        <v>Sept</v>
      </c>
      <c r="V904" s="19" t="str">
        <f>"Q"&amp;ROUNDUP(MONTH(SalesData[[#This Row],[Order_Date]])/3,0)</f>
        <v>Q3</v>
      </c>
      <c r="W904" s="19" t="str">
        <f>IF(SalesData[[#This Row],[Sales]]&gt;=50000,"High",IF(AND(SalesData[[#This Row],[Sales]]&gt;= 20000, SalesData[[#This Row],[Sales]]&lt; 50000),"Medium","Low"))</f>
        <v>Low</v>
      </c>
      <c r="X904" s="19" t="str">
        <f>IF(SalesData[[#This Row],[Profit]]&gt;0,"Profit","Loss")</f>
        <v>Profit</v>
      </c>
      <c r="Y904" s="19" t="str">
        <f>IF(AND(SalesData[[#This Row],[Sales]]&gt;= 50000, SalesData[[#This Row],[Quantity]]&gt;=2),"Yes","No")</f>
        <v>No</v>
      </c>
      <c r="Z904" s="19" t="str">
        <f>UPPER(SalesData[[#This Row],[Customer_Name]])</f>
        <v>AMIT KUMAR</v>
      </c>
      <c r="AA904" s="19" t="str">
        <f>LOWER(SalesData[[#This Row],[Customer_Name]])</f>
        <v>amit kumar</v>
      </c>
      <c r="AB904" s="19">
        <f>LEN(SalesData[[#This Row],[Customer_Name]])</f>
        <v>10</v>
      </c>
      <c r="AC904" s="19" t="str">
        <f>LEFT(SalesData[[#This Row],[Order_ID]],3)</f>
        <v>ORD</v>
      </c>
      <c r="AD904" s="19" t="str">
        <f>RIGHT(SalesData[[#This Row],[Order_ID]],4)</f>
        <v>0800</v>
      </c>
      <c r="AE904" s="19" t="str">
        <f>_xlfn.CONCAT(SalesData[[#This Row],[Clean_Customer_Name]],"-",SalesData[[#This Row],[Region]])</f>
        <v>Amit Kumar-South</v>
      </c>
      <c r="AF904" s="19" t="str">
        <f>MID(SalesData[[#This Row],[Order_ID]],4,4)</f>
        <v>0800</v>
      </c>
      <c r="AG904" s="19" t="e">
        <f ca="1">_xlfn.SINGLE(_xlfn.XLOOKUP(SalesData[[#This Row],[Product]],Product_Master!A:A,Product_Master!B:B,"Not Found"))</f>
        <v>#NAME?</v>
      </c>
      <c r="AH904" s="19" t="str">
        <f>VLOOKUP(SalesData[[#This Row],[Product]],Product_Master!$A$1:$B$21,2,FALSE)</f>
        <v>Manish</v>
      </c>
      <c r="AI904" s="16"/>
    </row>
    <row r="905" spans="1:35" ht="13.8">
      <c r="A905" s="16" t="s">
        <v>529</v>
      </c>
      <c r="B905" s="17">
        <v>45410</v>
      </c>
      <c r="C905" s="16" t="s">
        <v>100</v>
      </c>
      <c r="D905" s="16" t="s">
        <v>101</v>
      </c>
      <c r="E905" s="16" t="s">
        <v>87</v>
      </c>
      <c r="F905" s="16" t="s">
        <v>88</v>
      </c>
      <c r="G905" s="16" t="s">
        <v>89</v>
      </c>
      <c r="H905" s="16" t="s">
        <v>90</v>
      </c>
      <c r="I905" s="16" t="s">
        <v>53</v>
      </c>
      <c r="J905" s="16" t="s">
        <v>102</v>
      </c>
      <c r="K905" s="18">
        <v>9873.2800000000007</v>
      </c>
      <c r="L905" s="18">
        <v>5707.68</v>
      </c>
      <c r="M905" s="19">
        <v>3</v>
      </c>
      <c r="N905" s="20">
        <v>0.1</v>
      </c>
      <c r="O905" s="19" t="s">
        <v>25</v>
      </c>
      <c r="P905" s="19" t="s">
        <v>26</v>
      </c>
      <c r="Q905" s="19" t="str">
        <f>TRIM(SalesData[[#This Row],[Customer_Name]])</f>
        <v>Amit Kumar</v>
      </c>
      <c r="R905" s="21">
        <f>SalesData[[#This Row],[Sales]]-SalesData[[#This Row],[Cost]]</f>
        <v>4165.6000000000004</v>
      </c>
      <c r="S905" s="22">
        <f>IFERROR(SalesData[[#This Row],[Profit]]/SalesData[[#This Row],[Sales]],0)</f>
        <v>0.42190639787385753</v>
      </c>
      <c r="T905" s="19">
        <f>YEAR(SalesData[[#This Row],[Order_Date]])</f>
        <v>2024</v>
      </c>
      <c r="U905" s="19" t="str">
        <f>TEXT(SalesData[[#This Row],[Order_Date]],"mmm")</f>
        <v>Apr</v>
      </c>
      <c r="V905" s="19" t="str">
        <f>"Q"&amp;ROUNDUP(MONTH(SalesData[[#This Row],[Order_Date]])/3,0)</f>
        <v>Q2</v>
      </c>
      <c r="W905" s="19" t="str">
        <f>IF(SalesData[[#This Row],[Sales]]&gt;=50000,"High",IF(AND(SalesData[[#This Row],[Sales]]&gt;= 20000, SalesData[[#This Row],[Sales]]&lt; 50000),"Medium","Low"))</f>
        <v>Low</v>
      </c>
      <c r="X905" s="19" t="str">
        <f>IF(SalesData[[#This Row],[Profit]]&gt;0,"Profit","Loss")</f>
        <v>Profit</v>
      </c>
      <c r="Y905" s="19" t="str">
        <f>IF(AND(SalesData[[#This Row],[Sales]]&gt;= 50000, SalesData[[#This Row],[Quantity]]&gt;=2),"Yes","No")</f>
        <v>No</v>
      </c>
      <c r="Z905" s="19" t="str">
        <f>UPPER(SalesData[[#This Row],[Customer_Name]])</f>
        <v>AMIT KUMAR</v>
      </c>
      <c r="AA905" s="19" t="str">
        <f>LOWER(SalesData[[#This Row],[Customer_Name]])</f>
        <v>amit kumar</v>
      </c>
      <c r="AB905" s="19">
        <f>LEN(SalesData[[#This Row],[Customer_Name]])</f>
        <v>10</v>
      </c>
      <c r="AC905" s="19" t="str">
        <f>LEFT(SalesData[[#This Row],[Order_ID]],3)</f>
        <v>ORD</v>
      </c>
      <c r="AD905" s="19" t="str">
        <f>RIGHT(SalesData[[#This Row],[Order_ID]],4)</f>
        <v>0376</v>
      </c>
      <c r="AE905" s="19" t="str">
        <f>_xlfn.CONCAT(SalesData[[#This Row],[Clean_Customer_Name]],"-",SalesData[[#This Row],[Region]])</f>
        <v>Amit Kumar-Central</v>
      </c>
      <c r="AF905" s="19" t="str">
        <f>MID(SalesData[[#This Row],[Order_ID]],4,4)</f>
        <v>0376</v>
      </c>
      <c r="AG905" s="19" t="e">
        <f ca="1">_xlfn.SINGLE(_xlfn.XLOOKUP(SalesData[[#This Row],[Product]],Product_Master!A:A,Product_Master!B:B,"Not Found"))</f>
        <v>#NAME?</v>
      </c>
      <c r="AH905" s="19" t="str">
        <f>VLOOKUP(SalesData[[#This Row],[Product]],Product_Master!$A$1:$B$21,2,FALSE)</f>
        <v>Rahul</v>
      </c>
      <c r="AI905" s="16"/>
    </row>
    <row r="906" spans="1:35" ht="13.8">
      <c r="A906" s="16" t="s">
        <v>328</v>
      </c>
      <c r="B906" s="17">
        <v>45811</v>
      </c>
      <c r="C906" s="16" t="s">
        <v>100</v>
      </c>
      <c r="D906" s="16" t="s">
        <v>101</v>
      </c>
      <c r="E906" s="16" t="s">
        <v>182</v>
      </c>
      <c r="F906" s="16" t="s">
        <v>183</v>
      </c>
      <c r="G906" s="16" t="s">
        <v>89</v>
      </c>
      <c r="H906" s="16" t="s">
        <v>90</v>
      </c>
      <c r="I906" s="16" t="s">
        <v>56</v>
      </c>
      <c r="J906" s="16" t="s">
        <v>57</v>
      </c>
      <c r="K906" s="18">
        <v>40640.620000000003</v>
      </c>
      <c r="L906" s="18">
        <v>30324.9</v>
      </c>
      <c r="M906" s="19">
        <v>5</v>
      </c>
      <c r="N906" s="20">
        <v>0.15</v>
      </c>
      <c r="O906" s="19" t="s">
        <v>25</v>
      </c>
      <c r="P906" s="19" t="s">
        <v>26</v>
      </c>
      <c r="Q906" s="19" t="str">
        <f>TRIM(SalesData[[#This Row],[Customer_Name]])</f>
        <v>Amit Kumar</v>
      </c>
      <c r="R906" s="21">
        <f>SalesData[[#This Row],[Sales]]-SalesData[[#This Row],[Cost]]</f>
        <v>10315.720000000001</v>
      </c>
      <c r="S906" s="22">
        <f>IFERROR(SalesData[[#This Row],[Profit]]/SalesData[[#This Row],[Sales]],0)</f>
        <v>0.25382782054013941</v>
      </c>
      <c r="T906" s="19">
        <f>YEAR(SalesData[[#This Row],[Order_Date]])</f>
        <v>2025</v>
      </c>
      <c r="U906" s="19" t="str">
        <f>TEXT(SalesData[[#This Row],[Order_Date]],"mmm")</f>
        <v>Jun</v>
      </c>
      <c r="V906" s="19" t="str">
        <f>"Q"&amp;ROUNDUP(MONTH(SalesData[[#This Row],[Order_Date]])/3,0)</f>
        <v>Q2</v>
      </c>
      <c r="W906" s="19" t="str">
        <f>IF(SalesData[[#This Row],[Sales]]&gt;=50000,"High",IF(AND(SalesData[[#This Row],[Sales]]&gt;= 20000, SalesData[[#This Row],[Sales]]&lt; 50000),"Medium","Low"))</f>
        <v>Medium</v>
      </c>
      <c r="X906" s="19" t="str">
        <f>IF(SalesData[[#This Row],[Profit]]&gt;0,"Profit","Loss")</f>
        <v>Profit</v>
      </c>
      <c r="Y906" s="19" t="str">
        <f>IF(AND(SalesData[[#This Row],[Sales]]&gt;= 50000, SalesData[[#This Row],[Quantity]]&gt;=2),"Yes","No")</f>
        <v>No</v>
      </c>
      <c r="Z906" s="19" t="str">
        <f>UPPER(SalesData[[#This Row],[Customer_Name]])</f>
        <v>AMIT KUMAR</v>
      </c>
      <c r="AA906" s="19" t="str">
        <f>LOWER(SalesData[[#This Row],[Customer_Name]])</f>
        <v>amit kumar</v>
      </c>
      <c r="AB906" s="19">
        <f>LEN(SalesData[[#This Row],[Customer_Name]])</f>
        <v>10</v>
      </c>
      <c r="AC906" s="19" t="str">
        <f>LEFT(SalesData[[#This Row],[Order_ID]],3)</f>
        <v>ORD</v>
      </c>
      <c r="AD906" s="19" t="str">
        <f>RIGHT(SalesData[[#This Row],[Order_ID]],4)</f>
        <v>0175</v>
      </c>
      <c r="AE906" s="19" t="str">
        <f>_xlfn.CONCAT(SalesData[[#This Row],[Clean_Customer_Name]],"-",SalesData[[#This Row],[Region]])</f>
        <v>Amit Kumar-West</v>
      </c>
      <c r="AF906" s="19" t="str">
        <f>MID(SalesData[[#This Row],[Order_ID]],4,4)</f>
        <v>0175</v>
      </c>
      <c r="AG906" s="19" t="e">
        <f ca="1">_xlfn.SINGLE(_xlfn.XLOOKUP(SalesData[[#This Row],[Product]],Product_Master!A:A,Product_Master!B:B,"Not Found"))</f>
        <v>#NAME?</v>
      </c>
      <c r="AH906" s="19" t="str">
        <f>VLOOKUP(SalesData[[#This Row],[Product]],Product_Master!$A$1:$B$21,2,FALSE)</f>
        <v>Priya</v>
      </c>
      <c r="AI906" s="16"/>
    </row>
    <row r="907" spans="1:35" ht="13.8">
      <c r="A907" s="16" t="s">
        <v>389</v>
      </c>
      <c r="B907" s="17">
        <v>45348</v>
      </c>
      <c r="C907" s="16" t="s">
        <v>100</v>
      </c>
      <c r="D907" s="16" t="s">
        <v>101</v>
      </c>
      <c r="E907" s="16" t="s">
        <v>182</v>
      </c>
      <c r="F907" s="16" t="s">
        <v>183</v>
      </c>
      <c r="G907" s="16" t="s">
        <v>89</v>
      </c>
      <c r="H907" s="16" t="s">
        <v>90</v>
      </c>
      <c r="I907" s="16" t="s">
        <v>56</v>
      </c>
      <c r="J907" s="16" t="s">
        <v>191</v>
      </c>
      <c r="K907" s="18">
        <v>31181.73</v>
      </c>
      <c r="L907" s="18">
        <v>22233.32</v>
      </c>
      <c r="M907" s="19">
        <v>4</v>
      </c>
      <c r="N907" s="20">
        <v>0.2</v>
      </c>
      <c r="O907" s="19" t="s">
        <v>25</v>
      </c>
      <c r="P907" s="19" t="s">
        <v>98</v>
      </c>
      <c r="Q907" s="19" t="str">
        <f>TRIM(SalesData[[#This Row],[Customer_Name]])</f>
        <v>Amit Kumar</v>
      </c>
      <c r="R907" s="21">
        <f>SalesData[[#This Row],[Sales]]-SalesData[[#This Row],[Cost]]</f>
        <v>8948.41</v>
      </c>
      <c r="S907" s="22">
        <f>IFERROR(SalesData[[#This Row],[Profit]]/SalesData[[#This Row],[Sales]],0)</f>
        <v>0.28697605937836035</v>
      </c>
      <c r="T907" s="19">
        <f>YEAR(SalesData[[#This Row],[Order_Date]])</f>
        <v>2024</v>
      </c>
      <c r="U907" s="19" t="str">
        <f>TEXT(SalesData[[#This Row],[Order_Date]],"mmm")</f>
        <v>Feb</v>
      </c>
      <c r="V907" s="19" t="str">
        <f>"Q"&amp;ROUNDUP(MONTH(SalesData[[#This Row],[Order_Date]])/3,0)</f>
        <v>Q1</v>
      </c>
      <c r="W907" s="19" t="str">
        <f>IF(SalesData[[#This Row],[Sales]]&gt;=50000,"High",IF(AND(SalesData[[#This Row],[Sales]]&gt;= 20000, SalesData[[#This Row],[Sales]]&lt; 50000),"Medium","Low"))</f>
        <v>Medium</v>
      </c>
      <c r="X907" s="19" t="str">
        <f>IF(SalesData[[#This Row],[Profit]]&gt;0,"Profit","Loss")</f>
        <v>Profit</v>
      </c>
      <c r="Y907" s="19" t="str">
        <f>IF(AND(SalesData[[#This Row],[Sales]]&gt;= 50000, SalesData[[#This Row],[Quantity]]&gt;=2),"Yes","No")</f>
        <v>No</v>
      </c>
      <c r="Z907" s="19" t="str">
        <f>UPPER(SalesData[[#This Row],[Customer_Name]])</f>
        <v>AMIT KUMAR</v>
      </c>
      <c r="AA907" s="19" t="str">
        <f>LOWER(SalesData[[#This Row],[Customer_Name]])</f>
        <v>amit kumar</v>
      </c>
      <c r="AB907" s="19">
        <f>LEN(SalesData[[#This Row],[Customer_Name]])</f>
        <v>10</v>
      </c>
      <c r="AC907" s="19" t="str">
        <f>LEFT(SalesData[[#This Row],[Order_ID]],3)</f>
        <v>ORD</v>
      </c>
      <c r="AD907" s="19" t="str">
        <f>RIGHT(SalesData[[#This Row],[Order_ID]],4)</f>
        <v>0236</v>
      </c>
      <c r="AE907" s="19" t="str">
        <f>_xlfn.CONCAT(SalesData[[#This Row],[Clean_Customer_Name]],"-",SalesData[[#This Row],[Region]])</f>
        <v>Amit Kumar-West</v>
      </c>
      <c r="AF907" s="19" t="str">
        <f>MID(SalesData[[#This Row],[Order_ID]],4,4)</f>
        <v>0236</v>
      </c>
      <c r="AG907" s="19" t="e">
        <f ca="1">_xlfn.SINGLE(_xlfn.XLOOKUP(SalesData[[#This Row],[Product]],Product_Master!A:A,Product_Master!B:B,"Not Found"))</f>
        <v>#NAME?</v>
      </c>
      <c r="AH907" s="19" t="str">
        <f>VLOOKUP(SalesData[[#This Row],[Product]],Product_Master!$A$1:$B$21,2,FALSE)</f>
        <v>Priya</v>
      </c>
      <c r="AI907" s="16"/>
    </row>
    <row r="908" spans="1:35" ht="13.8">
      <c r="A908" s="16" t="s">
        <v>393</v>
      </c>
      <c r="B908" s="17">
        <v>45961</v>
      </c>
      <c r="C908" s="16" t="s">
        <v>100</v>
      </c>
      <c r="D908" s="16" t="s">
        <v>101</v>
      </c>
      <c r="E908" s="16" t="s">
        <v>187</v>
      </c>
      <c r="F908" s="16" t="s">
        <v>188</v>
      </c>
      <c r="G908" s="16" t="s">
        <v>89</v>
      </c>
      <c r="H908" s="16" t="s">
        <v>189</v>
      </c>
      <c r="I908" s="16" t="s">
        <v>23</v>
      </c>
      <c r="J908" s="16" t="s">
        <v>75</v>
      </c>
      <c r="K908" s="18">
        <v>33025.230000000003</v>
      </c>
      <c r="L908" s="18">
        <v>15241.5</v>
      </c>
      <c r="M908" s="19">
        <v>3</v>
      </c>
      <c r="N908" s="20">
        <v>0.15</v>
      </c>
      <c r="O908" s="19" t="s">
        <v>34</v>
      </c>
      <c r="P908" s="19" t="s">
        <v>58</v>
      </c>
      <c r="Q908" s="19" t="str">
        <f>TRIM(SalesData[[#This Row],[Customer_Name]])</f>
        <v>Amit Kumar</v>
      </c>
      <c r="R908" s="21">
        <f>SalesData[[#This Row],[Sales]]-SalesData[[#This Row],[Cost]]</f>
        <v>17783.730000000003</v>
      </c>
      <c r="S908" s="22">
        <f>IFERROR(SalesData[[#This Row],[Profit]]/SalesData[[#This Row],[Sales]],0)</f>
        <v>0.53848920961337743</v>
      </c>
      <c r="T908" s="19">
        <f>YEAR(SalesData[[#This Row],[Order_Date]])</f>
        <v>2025</v>
      </c>
      <c r="U908" s="19" t="str">
        <f>TEXT(SalesData[[#This Row],[Order_Date]],"mmm")</f>
        <v>Oct</v>
      </c>
      <c r="V908" s="19" t="str">
        <f>"Q"&amp;ROUNDUP(MONTH(SalesData[[#This Row],[Order_Date]])/3,0)</f>
        <v>Q4</v>
      </c>
      <c r="W908" s="19" t="str">
        <f>IF(SalesData[[#This Row],[Sales]]&gt;=50000,"High",IF(AND(SalesData[[#This Row],[Sales]]&gt;= 20000, SalesData[[#This Row],[Sales]]&lt; 50000),"Medium","Low"))</f>
        <v>Medium</v>
      </c>
      <c r="X908" s="19" t="str">
        <f>IF(SalesData[[#This Row],[Profit]]&gt;0,"Profit","Loss")</f>
        <v>Profit</v>
      </c>
      <c r="Y908" s="19" t="str">
        <f>IF(AND(SalesData[[#This Row],[Sales]]&gt;= 50000, SalesData[[#This Row],[Quantity]]&gt;=2),"Yes","No")</f>
        <v>No</v>
      </c>
      <c r="Z908" s="19" t="str">
        <f>UPPER(SalesData[[#This Row],[Customer_Name]])</f>
        <v>AMIT KUMAR</v>
      </c>
      <c r="AA908" s="19" t="str">
        <f>LOWER(SalesData[[#This Row],[Customer_Name]])</f>
        <v>amit kumar</v>
      </c>
      <c r="AB908" s="19">
        <f>LEN(SalesData[[#This Row],[Customer_Name]])</f>
        <v>10</v>
      </c>
      <c r="AC908" s="19" t="str">
        <f>LEFT(SalesData[[#This Row],[Order_ID]],3)</f>
        <v>ORD</v>
      </c>
      <c r="AD908" s="19" t="str">
        <f>RIGHT(SalesData[[#This Row],[Order_ID]],4)</f>
        <v>0240</v>
      </c>
      <c r="AE908" s="19" t="str">
        <f>_xlfn.CONCAT(SalesData[[#This Row],[Clean_Customer_Name]],"-",SalesData[[#This Row],[Region]])</f>
        <v>Amit Kumar-North</v>
      </c>
      <c r="AF908" s="19" t="str">
        <f>MID(SalesData[[#This Row],[Order_ID]],4,4)</f>
        <v>0240</v>
      </c>
      <c r="AG908" s="19" t="e">
        <f ca="1">_xlfn.SINGLE(_xlfn.XLOOKUP(SalesData[[#This Row],[Product]],Product_Master!A:A,Product_Master!B:B,"Not Found"))</f>
        <v>#NAME?</v>
      </c>
      <c r="AH908" s="19" t="str">
        <f>VLOOKUP(SalesData[[#This Row],[Product]],Product_Master!$A$1:$B$21,2,FALSE)</f>
        <v>Amit</v>
      </c>
      <c r="AI908" s="16"/>
    </row>
    <row r="909" spans="1:35" ht="13.8">
      <c r="A909" s="16" t="s">
        <v>217</v>
      </c>
      <c r="B909" s="17">
        <v>45934</v>
      </c>
      <c r="C909" s="16" t="s">
        <v>100</v>
      </c>
      <c r="D909" s="16" t="s">
        <v>101</v>
      </c>
      <c r="E909" s="16" t="s">
        <v>95</v>
      </c>
      <c r="F909" s="16" t="s">
        <v>96</v>
      </c>
      <c r="G909" s="16" t="s">
        <v>89</v>
      </c>
      <c r="H909" s="16" t="s">
        <v>97</v>
      </c>
      <c r="I909" s="16" t="s">
        <v>42</v>
      </c>
      <c r="J909" s="16" t="s">
        <v>162</v>
      </c>
      <c r="K909" s="18">
        <v>12550.72</v>
      </c>
      <c r="L909" s="18">
        <v>6442.66</v>
      </c>
      <c r="M909" s="19">
        <v>2</v>
      </c>
      <c r="N909" s="20">
        <v>0.2</v>
      </c>
      <c r="O909" s="19" t="s">
        <v>25</v>
      </c>
      <c r="P909" s="19" t="s">
        <v>58</v>
      </c>
      <c r="Q909" s="19" t="str">
        <f>TRIM(SalesData[[#This Row],[Customer_Name]])</f>
        <v>Amit Kumar</v>
      </c>
      <c r="R909" s="21">
        <f>SalesData[[#This Row],[Sales]]-SalesData[[#This Row],[Cost]]</f>
        <v>6108.0599999999995</v>
      </c>
      <c r="S909" s="22">
        <f>IFERROR(SalesData[[#This Row],[Profit]]/SalesData[[#This Row],[Sales]],0)</f>
        <v>0.4866700874531501</v>
      </c>
      <c r="T909" s="19">
        <f>YEAR(SalesData[[#This Row],[Order_Date]])</f>
        <v>2025</v>
      </c>
      <c r="U909" s="19" t="str">
        <f>TEXT(SalesData[[#This Row],[Order_Date]],"mmm")</f>
        <v>Oct</v>
      </c>
      <c r="V909" s="19" t="str">
        <f>"Q"&amp;ROUNDUP(MONTH(SalesData[[#This Row],[Order_Date]])/3,0)</f>
        <v>Q4</v>
      </c>
      <c r="W909" s="19" t="str">
        <f>IF(SalesData[[#This Row],[Sales]]&gt;=50000,"High",IF(AND(SalesData[[#This Row],[Sales]]&gt;= 20000, SalesData[[#This Row],[Sales]]&lt; 50000),"Medium","Low"))</f>
        <v>Low</v>
      </c>
      <c r="X909" s="19" t="str">
        <f>IF(SalesData[[#This Row],[Profit]]&gt;0,"Profit","Loss")</f>
        <v>Profit</v>
      </c>
      <c r="Y909" s="19" t="str">
        <f>IF(AND(SalesData[[#This Row],[Sales]]&gt;= 50000, SalesData[[#This Row],[Quantity]]&gt;=2),"Yes","No")</f>
        <v>No</v>
      </c>
      <c r="Z909" s="19" t="str">
        <f>UPPER(SalesData[[#This Row],[Customer_Name]])</f>
        <v>AMIT KUMAR</v>
      </c>
      <c r="AA909" s="19" t="str">
        <f>LOWER(SalesData[[#This Row],[Customer_Name]])</f>
        <v>amit kumar</v>
      </c>
      <c r="AB909" s="19">
        <f>LEN(SalesData[[#This Row],[Customer_Name]])</f>
        <v>10</v>
      </c>
      <c r="AC909" s="19" t="str">
        <f>LEFT(SalesData[[#This Row],[Order_ID]],3)</f>
        <v>ORD</v>
      </c>
      <c r="AD909" s="19" t="str">
        <f>RIGHT(SalesData[[#This Row],[Order_ID]],4)</f>
        <v>0068</v>
      </c>
      <c r="AE909" s="19" t="str">
        <f>_xlfn.CONCAT(SalesData[[#This Row],[Clean_Customer_Name]],"-",SalesData[[#This Row],[Region]])</f>
        <v>Amit Kumar-East</v>
      </c>
      <c r="AF909" s="19" t="str">
        <f>MID(SalesData[[#This Row],[Order_ID]],4,4)</f>
        <v>0068</v>
      </c>
      <c r="AG909" s="19" t="e">
        <f ca="1">_xlfn.SINGLE(_xlfn.XLOOKUP(SalesData[[#This Row],[Product]],Product_Master!A:A,Product_Master!B:B,"Not Found"))</f>
        <v>#NAME?</v>
      </c>
      <c r="AH909" s="19" t="str">
        <f>VLOOKUP(SalesData[[#This Row],[Product]],Product_Master!$A$1:$B$21,2,FALSE)</f>
        <v>Neha</v>
      </c>
      <c r="AI909" s="16"/>
    </row>
    <row r="910" spans="1:35" ht="13.8">
      <c r="A910" s="16" t="s">
        <v>312</v>
      </c>
      <c r="B910" s="17">
        <v>45436</v>
      </c>
      <c r="C910" s="16" t="s">
        <v>100</v>
      </c>
      <c r="D910" s="16" t="s">
        <v>101</v>
      </c>
      <c r="E910" s="16" t="s">
        <v>95</v>
      </c>
      <c r="F910" s="16" t="s">
        <v>96</v>
      </c>
      <c r="G910" s="16" t="s">
        <v>89</v>
      </c>
      <c r="H910" s="16" t="s">
        <v>97</v>
      </c>
      <c r="I910" s="16" t="s">
        <v>42</v>
      </c>
      <c r="J910" s="16" t="s">
        <v>68</v>
      </c>
      <c r="K910" s="18">
        <v>18494.54</v>
      </c>
      <c r="L910" s="18">
        <v>10101.48</v>
      </c>
      <c r="M910" s="19">
        <v>3</v>
      </c>
      <c r="N910" s="20">
        <v>0.15</v>
      </c>
      <c r="O910" s="19" t="s">
        <v>76</v>
      </c>
      <c r="P910" s="19" t="s">
        <v>58</v>
      </c>
      <c r="Q910" s="19" t="str">
        <f>TRIM(SalesData[[#This Row],[Customer_Name]])</f>
        <v>Amit Kumar</v>
      </c>
      <c r="R910" s="21">
        <f>SalesData[[#This Row],[Sales]]-SalesData[[#This Row],[Cost]]</f>
        <v>8393.0600000000013</v>
      </c>
      <c r="S910" s="22">
        <f>IFERROR(SalesData[[#This Row],[Profit]]/SalesData[[#This Row],[Sales]],0)</f>
        <v>0.45381285503721641</v>
      </c>
      <c r="T910" s="19">
        <f>YEAR(SalesData[[#This Row],[Order_Date]])</f>
        <v>2024</v>
      </c>
      <c r="U910" s="19" t="str">
        <f>TEXT(SalesData[[#This Row],[Order_Date]],"mmm")</f>
        <v>May</v>
      </c>
      <c r="V910" s="19" t="str">
        <f>"Q"&amp;ROUNDUP(MONTH(SalesData[[#This Row],[Order_Date]])/3,0)</f>
        <v>Q2</v>
      </c>
      <c r="W910" s="19" t="str">
        <f>IF(SalesData[[#This Row],[Sales]]&gt;=50000,"High",IF(AND(SalesData[[#This Row],[Sales]]&gt;= 20000, SalesData[[#This Row],[Sales]]&lt; 50000),"Medium","Low"))</f>
        <v>Low</v>
      </c>
      <c r="X910" s="19" t="str">
        <f>IF(SalesData[[#This Row],[Profit]]&gt;0,"Profit","Loss")</f>
        <v>Profit</v>
      </c>
      <c r="Y910" s="19" t="str">
        <f>IF(AND(SalesData[[#This Row],[Sales]]&gt;= 50000, SalesData[[#This Row],[Quantity]]&gt;=2),"Yes","No")</f>
        <v>No</v>
      </c>
      <c r="Z910" s="19" t="str">
        <f>UPPER(SalesData[[#This Row],[Customer_Name]])</f>
        <v>AMIT KUMAR</v>
      </c>
      <c r="AA910" s="19" t="str">
        <f>LOWER(SalesData[[#This Row],[Customer_Name]])</f>
        <v>amit kumar</v>
      </c>
      <c r="AB910" s="19">
        <f>LEN(SalesData[[#This Row],[Customer_Name]])</f>
        <v>10</v>
      </c>
      <c r="AC910" s="19" t="str">
        <f>LEFT(SalesData[[#This Row],[Order_ID]],3)</f>
        <v>ORD</v>
      </c>
      <c r="AD910" s="19" t="str">
        <f>RIGHT(SalesData[[#This Row],[Order_ID]],4)</f>
        <v>0159</v>
      </c>
      <c r="AE910" s="19" t="str">
        <f>_xlfn.CONCAT(SalesData[[#This Row],[Clean_Customer_Name]],"-",SalesData[[#This Row],[Region]])</f>
        <v>Amit Kumar-East</v>
      </c>
      <c r="AF910" s="19" t="str">
        <f>MID(SalesData[[#This Row],[Order_ID]],4,4)</f>
        <v>0159</v>
      </c>
      <c r="AG910" s="19" t="e">
        <f ca="1">_xlfn.SINGLE(_xlfn.XLOOKUP(SalesData[[#This Row],[Product]],Product_Master!A:A,Product_Master!B:B,"Not Found"))</f>
        <v>#NAME?</v>
      </c>
      <c r="AH910" s="19" t="str">
        <f>VLOOKUP(SalesData[[#This Row],[Product]],Product_Master!$A$1:$B$21,2,FALSE)</f>
        <v>Neha</v>
      </c>
      <c r="AI910" s="16"/>
    </row>
    <row r="911" spans="1:35" ht="13.8">
      <c r="A911" s="16" t="s">
        <v>1047</v>
      </c>
      <c r="B911" s="17">
        <v>45358</v>
      </c>
      <c r="C911" s="16" t="s">
        <v>100</v>
      </c>
      <c r="D911" s="16" t="s">
        <v>101</v>
      </c>
      <c r="E911" s="16" t="s">
        <v>95</v>
      </c>
      <c r="F911" s="16" t="s">
        <v>96</v>
      </c>
      <c r="G911" s="16" t="s">
        <v>89</v>
      </c>
      <c r="H911" s="16" t="s">
        <v>97</v>
      </c>
      <c r="I911" s="16" t="s">
        <v>23</v>
      </c>
      <c r="J911" s="16" t="s">
        <v>75</v>
      </c>
      <c r="K911" s="18">
        <v>12948.71</v>
      </c>
      <c r="L911" s="18">
        <v>6663.48</v>
      </c>
      <c r="M911" s="19">
        <v>2</v>
      </c>
      <c r="N911" s="20">
        <v>0.05</v>
      </c>
      <c r="O911" s="19" t="s">
        <v>34</v>
      </c>
      <c r="P911" s="19" t="s">
        <v>45</v>
      </c>
      <c r="Q911" s="19" t="str">
        <f>TRIM(SalesData[[#This Row],[Customer_Name]])</f>
        <v>Amit Kumar</v>
      </c>
      <c r="R911" s="21">
        <f>SalesData[[#This Row],[Sales]]-SalesData[[#This Row],[Cost]]</f>
        <v>6285.23</v>
      </c>
      <c r="S911" s="22">
        <f>IFERROR(SalesData[[#This Row],[Profit]]/SalesData[[#This Row],[Sales]],0)</f>
        <v>0.48539429796481659</v>
      </c>
      <c r="T911" s="19">
        <f>YEAR(SalesData[[#This Row],[Order_Date]])</f>
        <v>2024</v>
      </c>
      <c r="U911" s="19" t="str">
        <f>TEXT(SalesData[[#This Row],[Order_Date]],"mmm")</f>
        <v>Mar</v>
      </c>
      <c r="V911" s="19" t="str">
        <f>"Q"&amp;ROUNDUP(MONTH(SalesData[[#This Row],[Order_Date]])/3,0)</f>
        <v>Q1</v>
      </c>
      <c r="W911" s="19" t="str">
        <f>IF(SalesData[[#This Row],[Sales]]&gt;=50000,"High",IF(AND(SalesData[[#This Row],[Sales]]&gt;= 20000, SalesData[[#This Row],[Sales]]&lt; 50000),"Medium","Low"))</f>
        <v>Low</v>
      </c>
      <c r="X911" s="19" t="str">
        <f>IF(SalesData[[#This Row],[Profit]]&gt;0,"Profit","Loss")</f>
        <v>Profit</v>
      </c>
      <c r="Y911" s="19" t="str">
        <f>IF(AND(SalesData[[#This Row],[Sales]]&gt;= 50000, SalesData[[#This Row],[Quantity]]&gt;=2),"Yes","No")</f>
        <v>No</v>
      </c>
      <c r="Z911" s="19" t="str">
        <f>UPPER(SalesData[[#This Row],[Customer_Name]])</f>
        <v>AMIT KUMAR</v>
      </c>
      <c r="AA911" s="19" t="str">
        <f>LOWER(SalesData[[#This Row],[Customer_Name]])</f>
        <v>amit kumar</v>
      </c>
      <c r="AB911" s="19">
        <f>LEN(SalesData[[#This Row],[Customer_Name]])</f>
        <v>10</v>
      </c>
      <c r="AC911" s="19" t="str">
        <f>LEFT(SalesData[[#This Row],[Order_ID]],3)</f>
        <v>ORD</v>
      </c>
      <c r="AD911" s="19" t="str">
        <f>RIGHT(SalesData[[#This Row],[Order_ID]],4)</f>
        <v>0894</v>
      </c>
      <c r="AE911" s="19" t="str">
        <f>_xlfn.CONCAT(SalesData[[#This Row],[Clean_Customer_Name]],"-",SalesData[[#This Row],[Region]])</f>
        <v>Amit Kumar-North</v>
      </c>
      <c r="AF911" s="19" t="str">
        <f>MID(SalesData[[#This Row],[Order_ID]],4,4)</f>
        <v>0894</v>
      </c>
      <c r="AG911" s="19" t="e">
        <f ca="1">_xlfn.SINGLE(_xlfn.XLOOKUP(SalesData[[#This Row],[Product]],Product_Master!A:A,Product_Master!B:B,"Not Found"))</f>
        <v>#NAME?</v>
      </c>
      <c r="AH911" s="19" t="str">
        <f>VLOOKUP(SalesData[[#This Row],[Product]],Product_Master!$A$1:$B$21,2,FALSE)</f>
        <v>Neha</v>
      </c>
      <c r="AI911" s="16"/>
    </row>
    <row r="912" spans="1:35" ht="13.8">
      <c r="A912" s="16" t="s">
        <v>586</v>
      </c>
      <c r="B912" s="17">
        <v>45944</v>
      </c>
      <c r="C912" s="16" t="s">
        <v>100</v>
      </c>
      <c r="D912" s="16" t="s">
        <v>101</v>
      </c>
      <c r="E912" s="16" t="s">
        <v>193</v>
      </c>
      <c r="F912" s="16" t="s">
        <v>194</v>
      </c>
      <c r="G912" s="16" t="s">
        <v>89</v>
      </c>
      <c r="H912" s="16" t="s">
        <v>90</v>
      </c>
      <c r="I912" s="16" t="s">
        <v>42</v>
      </c>
      <c r="J912" s="16" t="s">
        <v>43</v>
      </c>
      <c r="K912" s="18">
        <v>3250.74</v>
      </c>
      <c r="L912" s="18">
        <v>1617.03</v>
      </c>
      <c r="M912" s="19">
        <v>3</v>
      </c>
      <c r="N912" s="20">
        <v>0.15</v>
      </c>
      <c r="O912" s="19" t="s">
        <v>44</v>
      </c>
      <c r="P912" s="19" t="s">
        <v>77</v>
      </c>
      <c r="Q912" s="19" t="str">
        <f>TRIM(SalesData[[#This Row],[Customer_Name]])</f>
        <v>Amit Kumar</v>
      </c>
      <c r="R912" s="21">
        <f>SalesData[[#This Row],[Sales]]-SalesData[[#This Row],[Cost]]</f>
        <v>1633.7099999999998</v>
      </c>
      <c r="S912" s="22">
        <f>IFERROR(SalesData[[#This Row],[Profit]]/SalesData[[#This Row],[Sales]],0)</f>
        <v>0.50256556968567156</v>
      </c>
      <c r="T912" s="19">
        <f>YEAR(SalesData[[#This Row],[Order_Date]])</f>
        <v>2025</v>
      </c>
      <c r="U912" s="19" t="str">
        <f>TEXT(SalesData[[#This Row],[Order_Date]],"mmm")</f>
        <v>Oct</v>
      </c>
      <c r="V912" s="19" t="str">
        <f>"Q"&amp;ROUNDUP(MONTH(SalesData[[#This Row],[Order_Date]])/3,0)</f>
        <v>Q4</v>
      </c>
      <c r="W912" s="19" t="str">
        <f>IF(SalesData[[#This Row],[Sales]]&gt;=50000,"High",IF(AND(SalesData[[#This Row],[Sales]]&gt;= 20000, SalesData[[#This Row],[Sales]]&lt; 50000),"Medium","Low"))</f>
        <v>Low</v>
      </c>
      <c r="X912" s="19" t="str">
        <f>IF(SalesData[[#This Row],[Profit]]&gt;0,"Profit","Loss")</f>
        <v>Profit</v>
      </c>
      <c r="Y912" s="19" t="str">
        <f>IF(AND(SalesData[[#This Row],[Sales]]&gt;= 50000, SalesData[[#This Row],[Quantity]]&gt;=2),"Yes","No")</f>
        <v>No</v>
      </c>
      <c r="Z912" s="19" t="str">
        <f>UPPER(SalesData[[#This Row],[Customer_Name]])</f>
        <v>AMIT KUMAR</v>
      </c>
      <c r="AA912" s="19" t="str">
        <f>LOWER(SalesData[[#This Row],[Customer_Name]])</f>
        <v>amit kumar</v>
      </c>
      <c r="AB912" s="19">
        <f>LEN(SalesData[[#This Row],[Customer_Name]])</f>
        <v>10</v>
      </c>
      <c r="AC912" s="19" t="str">
        <f>LEFT(SalesData[[#This Row],[Order_ID]],3)</f>
        <v>ORD</v>
      </c>
      <c r="AD912" s="19" t="str">
        <f>RIGHT(SalesData[[#This Row],[Order_ID]],4)</f>
        <v>0433</v>
      </c>
      <c r="AE912" s="19" t="str">
        <f>_xlfn.CONCAT(SalesData[[#This Row],[Clean_Customer_Name]],"-",SalesData[[#This Row],[Region]])</f>
        <v>Amit Kumar-East</v>
      </c>
      <c r="AF912" s="19" t="str">
        <f>MID(SalesData[[#This Row],[Order_ID]],4,4)</f>
        <v>0433</v>
      </c>
      <c r="AG912" s="19" t="e">
        <f ca="1">_xlfn.SINGLE(_xlfn.XLOOKUP(SalesData[[#This Row],[Product]],Product_Master!A:A,Product_Master!B:B,"Not Found"))</f>
        <v>#NAME?</v>
      </c>
      <c r="AH912" s="19" t="str">
        <f>VLOOKUP(SalesData[[#This Row],[Product]],Product_Master!$A$1:$B$21,2,FALSE)</f>
        <v>Simran</v>
      </c>
      <c r="AI912" s="16"/>
    </row>
    <row r="913" spans="1:35" ht="13.8">
      <c r="A913" s="16" t="s">
        <v>824</v>
      </c>
      <c r="B913" s="17">
        <v>45676</v>
      </c>
      <c r="C913" s="16" t="s">
        <v>100</v>
      </c>
      <c r="D913" s="16" t="s">
        <v>101</v>
      </c>
      <c r="E913" s="16" t="s">
        <v>193</v>
      </c>
      <c r="F913" s="16" t="s">
        <v>194</v>
      </c>
      <c r="G913" s="16" t="s">
        <v>89</v>
      </c>
      <c r="H913" s="16" t="s">
        <v>90</v>
      </c>
      <c r="I913" s="16" t="s">
        <v>23</v>
      </c>
      <c r="J913" s="16" t="s">
        <v>75</v>
      </c>
      <c r="K913" s="18">
        <v>4108.6000000000004</v>
      </c>
      <c r="L913" s="18">
        <v>2651.6</v>
      </c>
      <c r="M913" s="19">
        <v>5</v>
      </c>
      <c r="N913" s="20">
        <v>0</v>
      </c>
      <c r="O913" s="19" t="s">
        <v>76</v>
      </c>
      <c r="P913" s="19" t="s">
        <v>45</v>
      </c>
      <c r="Q913" s="19" t="str">
        <f>TRIM(SalesData[[#This Row],[Customer_Name]])</f>
        <v>Amit Kumar</v>
      </c>
      <c r="R913" s="21">
        <f>SalesData[[#This Row],[Sales]]-SalesData[[#This Row],[Cost]]</f>
        <v>1457.0000000000005</v>
      </c>
      <c r="S913" s="22">
        <f>IFERROR(SalesData[[#This Row],[Profit]]/SalesData[[#This Row],[Sales]],0)</f>
        <v>0.35462201236430907</v>
      </c>
      <c r="T913" s="19">
        <f>YEAR(SalesData[[#This Row],[Order_Date]])</f>
        <v>2025</v>
      </c>
      <c r="U913" s="19" t="str">
        <f>TEXT(SalesData[[#This Row],[Order_Date]],"mmm")</f>
        <v>Jan</v>
      </c>
      <c r="V913" s="19" t="str">
        <f>"Q"&amp;ROUNDUP(MONTH(SalesData[[#This Row],[Order_Date]])/3,0)</f>
        <v>Q1</v>
      </c>
      <c r="W913" s="19" t="str">
        <f>IF(SalesData[[#This Row],[Sales]]&gt;=50000,"High",IF(AND(SalesData[[#This Row],[Sales]]&gt;= 20000, SalesData[[#This Row],[Sales]]&lt; 50000),"Medium","Low"))</f>
        <v>Low</v>
      </c>
      <c r="X913" s="19" t="str">
        <f>IF(SalesData[[#This Row],[Profit]]&gt;0,"Profit","Loss")</f>
        <v>Profit</v>
      </c>
      <c r="Y913" s="19" t="str">
        <f>IF(AND(SalesData[[#This Row],[Sales]]&gt;= 50000, SalesData[[#This Row],[Quantity]]&gt;=2),"Yes","No")</f>
        <v>No</v>
      </c>
      <c r="Z913" s="19" t="str">
        <f>UPPER(SalesData[[#This Row],[Customer_Name]])</f>
        <v>AMIT KUMAR</v>
      </c>
      <c r="AA913" s="19" t="str">
        <f>LOWER(SalesData[[#This Row],[Customer_Name]])</f>
        <v>amit kumar</v>
      </c>
      <c r="AB913" s="19">
        <f>LEN(SalesData[[#This Row],[Customer_Name]])</f>
        <v>10</v>
      </c>
      <c r="AC913" s="19" t="str">
        <f>LEFT(SalesData[[#This Row],[Order_ID]],3)</f>
        <v>ORD</v>
      </c>
      <c r="AD913" s="19" t="str">
        <f>RIGHT(SalesData[[#This Row],[Order_ID]],4)</f>
        <v>0671</v>
      </c>
      <c r="AE913" s="19" t="str">
        <f>_xlfn.CONCAT(SalesData[[#This Row],[Clean_Customer_Name]],"-",SalesData[[#This Row],[Region]])</f>
        <v>Amit Kumar-North</v>
      </c>
      <c r="AF913" s="19" t="str">
        <f>MID(SalesData[[#This Row],[Order_ID]],4,4)</f>
        <v>0671</v>
      </c>
      <c r="AG913" s="19" t="e">
        <f ca="1">_xlfn.SINGLE(_xlfn.XLOOKUP(SalesData[[#This Row],[Product]],Product_Master!A:A,Product_Master!B:B,"Not Found"))</f>
        <v>#NAME?</v>
      </c>
      <c r="AH913" s="19" t="str">
        <f>VLOOKUP(SalesData[[#This Row],[Product]],Product_Master!$A$1:$B$21,2,FALSE)</f>
        <v>Simran</v>
      </c>
      <c r="AI913" s="16"/>
    </row>
    <row r="914" spans="1:35" ht="13.8">
      <c r="A914" s="16" t="s">
        <v>982</v>
      </c>
      <c r="B914" s="17">
        <v>45981</v>
      </c>
      <c r="C914" s="16" t="s">
        <v>100</v>
      </c>
      <c r="D914" s="16" t="s">
        <v>101</v>
      </c>
      <c r="E914" s="16" t="s">
        <v>193</v>
      </c>
      <c r="F914" s="16" t="s">
        <v>194</v>
      </c>
      <c r="G914" s="16" t="s">
        <v>89</v>
      </c>
      <c r="H914" s="16" t="s">
        <v>90</v>
      </c>
      <c r="I914" s="16" t="s">
        <v>84</v>
      </c>
      <c r="J914" s="16" t="s">
        <v>142</v>
      </c>
      <c r="K914" s="18">
        <v>528.27</v>
      </c>
      <c r="L914" s="18">
        <v>493.38</v>
      </c>
      <c r="M914" s="19">
        <v>1</v>
      </c>
      <c r="N914" s="20">
        <v>0.15</v>
      </c>
      <c r="O914" s="19" t="s">
        <v>25</v>
      </c>
      <c r="P914" s="19" t="s">
        <v>58</v>
      </c>
      <c r="Q914" s="19" t="str">
        <f>TRIM(SalesData[[#This Row],[Customer_Name]])</f>
        <v>Amit Kumar</v>
      </c>
      <c r="R914" s="21">
        <f>SalesData[[#This Row],[Sales]]-SalesData[[#This Row],[Cost]]</f>
        <v>34.889999999999986</v>
      </c>
      <c r="S914" s="22">
        <f>IFERROR(SalesData[[#This Row],[Profit]]/SalesData[[#This Row],[Sales]],0)</f>
        <v>6.6045772048384327E-2</v>
      </c>
      <c r="T914" s="19">
        <f>YEAR(SalesData[[#This Row],[Order_Date]])</f>
        <v>2025</v>
      </c>
      <c r="U914" s="19" t="str">
        <f>TEXT(SalesData[[#This Row],[Order_Date]],"mmm")</f>
        <v>Nov</v>
      </c>
      <c r="V914" s="19" t="str">
        <f>"Q"&amp;ROUNDUP(MONTH(SalesData[[#This Row],[Order_Date]])/3,0)</f>
        <v>Q4</v>
      </c>
      <c r="W914" s="19" t="str">
        <f>IF(SalesData[[#This Row],[Sales]]&gt;=50000,"High",IF(AND(SalesData[[#This Row],[Sales]]&gt;= 20000, SalesData[[#This Row],[Sales]]&lt; 50000),"Medium","Low"))</f>
        <v>Low</v>
      </c>
      <c r="X914" s="19" t="str">
        <f>IF(SalesData[[#This Row],[Profit]]&gt;0,"Profit","Loss")</f>
        <v>Profit</v>
      </c>
      <c r="Y914" s="19" t="str">
        <f>IF(AND(SalesData[[#This Row],[Sales]]&gt;= 50000, SalesData[[#This Row],[Quantity]]&gt;=2),"Yes","No")</f>
        <v>No</v>
      </c>
      <c r="Z914" s="19" t="str">
        <f>UPPER(SalesData[[#This Row],[Customer_Name]])</f>
        <v>AMIT KUMAR</v>
      </c>
      <c r="AA914" s="19" t="str">
        <f>LOWER(SalesData[[#This Row],[Customer_Name]])</f>
        <v>amit kumar</v>
      </c>
      <c r="AB914" s="19">
        <f>LEN(SalesData[[#This Row],[Customer_Name]])</f>
        <v>10</v>
      </c>
      <c r="AC914" s="19" t="str">
        <f>LEFT(SalesData[[#This Row],[Order_ID]],3)</f>
        <v>ORD</v>
      </c>
      <c r="AD914" s="19" t="str">
        <f>RIGHT(SalesData[[#This Row],[Order_ID]],4)</f>
        <v>0829</v>
      </c>
      <c r="AE914" s="19" t="str">
        <f>_xlfn.CONCAT(SalesData[[#This Row],[Clean_Customer_Name]],"-",SalesData[[#This Row],[Region]])</f>
        <v>Amit Kumar-South</v>
      </c>
      <c r="AF914" s="19" t="str">
        <f>MID(SalesData[[#This Row],[Order_ID]],4,4)</f>
        <v>0829</v>
      </c>
      <c r="AG914" s="19" t="e">
        <f ca="1">_xlfn.SINGLE(_xlfn.XLOOKUP(SalesData[[#This Row],[Product]],Product_Master!A:A,Product_Master!B:B,"Not Found"))</f>
        <v>#NAME?</v>
      </c>
      <c r="AH914" s="19" t="str">
        <f>VLOOKUP(SalesData[[#This Row],[Product]],Product_Master!$A$1:$B$21,2,FALSE)</f>
        <v>Simran</v>
      </c>
      <c r="AI914" s="16"/>
    </row>
    <row r="915" spans="1:35" ht="13.8">
      <c r="A915" s="16" t="s">
        <v>377</v>
      </c>
      <c r="B915" s="17">
        <v>45383</v>
      </c>
      <c r="C915" s="16" t="s">
        <v>17</v>
      </c>
      <c r="D915" s="16" t="s">
        <v>18</v>
      </c>
      <c r="E915" s="16" t="s">
        <v>81</v>
      </c>
      <c r="F915" s="16" t="s">
        <v>82</v>
      </c>
      <c r="G915" s="16" t="s">
        <v>21</v>
      </c>
      <c r="H915" s="16" t="s">
        <v>83</v>
      </c>
      <c r="I915" s="16" t="s">
        <v>53</v>
      </c>
      <c r="J915" s="16" t="s">
        <v>54</v>
      </c>
      <c r="K915" s="18">
        <v>155610.54999999999</v>
      </c>
      <c r="L915" s="18">
        <v>85179.95</v>
      </c>
      <c r="M915" s="19">
        <v>5</v>
      </c>
      <c r="N915" s="20">
        <v>0</v>
      </c>
      <c r="O915" s="19" t="s">
        <v>76</v>
      </c>
      <c r="P915" s="19" t="s">
        <v>26</v>
      </c>
      <c r="Q915" s="19" t="str">
        <f>TRIM(SalesData[[#This Row],[Customer_Name]])</f>
        <v>Akash Chauhan</v>
      </c>
      <c r="R915" s="21">
        <f>SalesData[[#This Row],[Sales]]-SalesData[[#This Row],[Cost]]</f>
        <v>70430.599999999991</v>
      </c>
      <c r="S915" s="22">
        <f>IFERROR(SalesData[[#This Row],[Profit]]/SalesData[[#This Row],[Sales]],0)</f>
        <v>0.45260812971871123</v>
      </c>
      <c r="T915" s="19">
        <f>YEAR(SalesData[[#This Row],[Order_Date]])</f>
        <v>2024</v>
      </c>
      <c r="U915" s="19" t="str">
        <f>TEXT(SalesData[[#This Row],[Order_Date]],"mmm")</f>
        <v>Apr</v>
      </c>
      <c r="V915" s="19" t="str">
        <f>"Q"&amp;ROUNDUP(MONTH(SalesData[[#This Row],[Order_Date]])/3,0)</f>
        <v>Q2</v>
      </c>
      <c r="W915" s="19" t="str">
        <f>IF(SalesData[[#This Row],[Sales]]&gt;=50000,"High",IF(AND(SalesData[[#This Row],[Sales]]&gt;= 20000, SalesData[[#This Row],[Sales]]&lt; 50000),"Medium","Low"))</f>
        <v>High</v>
      </c>
      <c r="X915" s="19" t="str">
        <f>IF(SalesData[[#This Row],[Profit]]&gt;0,"Profit","Loss")</f>
        <v>Profit</v>
      </c>
      <c r="Y915" s="19" t="str">
        <f>IF(AND(SalesData[[#This Row],[Sales]]&gt;= 50000, SalesData[[#This Row],[Quantity]]&gt;=2),"Yes","No")</f>
        <v>Yes</v>
      </c>
      <c r="Z915" s="19" t="str">
        <f>UPPER(SalesData[[#This Row],[Customer_Name]])</f>
        <v>AKASH CHAUHAN</v>
      </c>
      <c r="AA915" s="19" t="str">
        <f>LOWER(SalesData[[#This Row],[Customer_Name]])</f>
        <v>akash chauhan</v>
      </c>
      <c r="AB915" s="19">
        <f>LEN(SalesData[[#This Row],[Customer_Name]])</f>
        <v>13</v>
      </c>
      <c r="AC915" s="19" t="str">
        <f>LEFT(SalesData[[#This Row],[Order_ID]],3)</f>
        <v>ORD</v>
      </c>
      <c r="AD915" s="19" t="str">
        <f>RIGHT(SalesData[[#This Row],[Order_ID]],4)</f>
        <v>0224</v>
      </c>
      <c r="AE915" s="19" t="str">
        <f>_xlfn.CONCAT(SalesData[[#This Row],[Clean_Customer_Name]],"-",SalesData[[#This Row],[Region]])</f>
        <v>Akash Chauhan-Central</v>
      </c>
      <c r="AF915" s="19" t="str">
        <f>MID(SalesData[[#This Row],[Order_ID]],4,4)</f>
        <v>0224</v>
      </c>
      <c r="AG915" s="19" t="e">
        <f ca="1">_xlfn.SINGLE(_xlfn.XLOOKUP(SalesData[[#This Row],[Product]],Product_Master!A:A,Product_Master!B:B,"Not Found"))</f>
        <v>#NAME?</v>
      </c>
      <c r="AH915" s="19" t="str">
        <f>VLOOKUP(SalesData[[#This Row],[Product]],Product_Master!$A$1:$B$21,2,FALSE)</f>
        <v>Priya</v>
      </c>
      <c r="AI915" s="16"/>
    </row>
    <row r="916" spans="1:35" ht="13.8">
      <c r="A916" s="16" t="s">
        <v>698</v>
      </c>
      <c r="B916" s="17">
        <v>45854</v>
      </c>
      <c r="C916" s="16" t="s">
        <v>17</v>
      </c>
      <c r="D916" s="16" t="s">
        <v>18</v>
      </c>
      <c r="E916" s="16" t="s">
        <v>81</v>
      </c>
      <c r="F916" s="16" t="s">
        <v>82</v>
      </c>
      <c r="G916" s="16" t="s">
        <v>21</v>
      </c>
      <c r="H916" s="16" t="s">
        <v>83</v>
      </c>
      <c r="I916" s="16" t="s">
        <v>42</v>
      </c>
      <c r="J916" s="16" t="s">
        <v>162</v>
      </c>
      <c r="K916" s="18">
        <v>122856.53</v>
      </c>
      <c r="L916" s="18">
        <v>83198.55</v>
      </c>
      <c r="M916" s="19">
        <v>5</v>
      </c>
      <c r="N916" s="20">
        <v>0.1</v>
      </c>
      <c r="O916" s="19" t="s">
        <v>76</v>
      </c>
      <c r="P916" s="19" t="s">
        <v>77</v>
      </c>
      <c r="Q916" s="19" t="str">
        <f>TRIM(SalesData[[#This Row],[Customer_Name]])</f>
        <v>Akash Chauhan</v>
      </c>
      <c r="R916" s="21">
        <f>SalesData[[#This Row],[Sales]]-SalesData[[#This Row],[Cost]]</f>
        <v>39657.979999999996</v>
      </c>
      <c r="S916" s="22">
        <f>IFERROR(SalesData[[#This Row],[Profit]]/SalesData[[#This Row],[Sales]],0)</f>
        <v>0.32279912187003812</v>
      </c>
      <c r="T916" s="19">
        <f>YEAR(SalesData[[#This Row],[Order_Date]])</f>
        <v>2025</v>
      </c>
      <c r="U916" s="19" t="str">
        <f>TEXT(SalesData[[#This Row],[Order_Date]],"mmm")</f>
        <v>Jul</v>
      </c>
      <c r="V916" s="19" t="str">
        <f>"Q"&amp;ROUNDUP(MONTH(SalesData[[#This Row],[Order_Date]])/3,0)</f>
        <v>Q3</v>
      </c>
      <c r="W916" s="19" t="str">
        <f>IF(SalesData[[#This Row],[Sales]]&gt;=50000,"High",IF(AND(SalesData[[#This Row],[Sales]]&gt;= 20000, SalesData[[#This Row],[Sales]]&lt; 50000),"Medium","Low"))</f>
        <v>High</v>
      </c>
      <c r="X916" s="19" t="str">
        <f>IF(SalesData[[#This Row],[Profit]]&gt;0,"Profit","Loss")</f>
        <v>Profit</v>
      </c>
      <c r="Y916" s="19" t="str">
        <f>IF(AND(SalesData[[#This Row],[Sales]]&gt;= 50000, SalesData[[#This Row],[Quantity]]&gt;=2),"Yes","No")</f>
        <v>Yes</v>
      </c>
      <c r="Z916" s="19" t="str">
        <f>UPPER(SalesData[[#This Row],[Customer_Name]])</f>
        <v>AKASH CHAUHAN</v>
      </c>
      <c r="AA916" s="19" t="str">
        <f>LOWER(SalesData[[#This Row],[Customer_Name]])</f>
        <v>akash chauhan</v>
      </c>
      <c r="AB916" s="19">
        <f>LEN(SalesData[[#This Row],[Customer_Name]])</f>
        <v>13</v>
      </c>
      <c r="AC916" s="19" t="str">
        <f>LEFT(SalesData[[#This Row],[Order_ID]],3)</f>
        <v>ORD</v>
      </c>
      <c r="AD916" s="19" t="str">
        <f>RIGHT(SalesData[[#This Row],[Order_ID]],4)</f>
        <v>0545</v>
      </c>
      <c r="AE916" s="19" t="str">
        <f>_xlfn.CONCAT(SalesData[[#This Row],[Clean_Customer_Name]],"-",SalesData[[#This Row],[Region]])</f>
        <v>Akash Chauhan-East</v>
      </c>
      <c r="AF916" s="19" t="str">
        <f>MID(SalesData[[#This Row],[Order_ID]],4,4)</f>
        <v>0545</v>
      </c>
      <c r="AG916" s="19" t="e">
        <f ca="1">_xlfn.SINGLE(_xlfn.XLOOKUP(SalesData[[#This Row],[Product]],Product_Master!A:A,Product_Master!B:B,"Not Found"))</f>
        <v>#NAME?</v>
      </c>
      <c r="AH916" s="19" t="str">
        <f>VLOOKUP(SalesData[[#This Row],[Product]],Product_Master!$A$1:$B$21,2,FALSE)</f>
        <v>Priya</v>
      </c>
      <c r="AI916" s="16"/>
    </row>
    <row r="917" spans="1:35" ht="13.8">
      <c r="A917" s="16" t="s">
        <v>1049</v>
      </c>
      <c r="B917" s="17">
        <v>45622</v>
      </c>
      <c r="C917" s="16" t="s">
        <v>17</v>
      </c>
      <c r="D917" s="16" t="s">
        <v>18</v>
      </c>
      <c r="E917" s="16" t="s">
        <v>81</v>
      </c>
      <c r="F917" s="16" t="s">
        <v>82</v>
      </c>
      <c r="G917" s="16" t="s">
        <v>21</v>
      </c>
      <c r="H917" s="16" t="s">
        <v>83</v>
      </c>
      <c r="I917" s="16" t="s">
        <v>53</v>
      </c>
      <c r="J917" s="16" t="s">
        <v>102</v>
      </c>
      <c r="K917" s="18">
        <v>104792.16</v>
      </c>
      <c r="L917" s="18">
        <v>76958.52</v>
      </c>
      <c r="M917" s="19">
        <v>4</v>
      </c>
      <c r="N917" s="20">
        <v>0</v>
      </c>
      <c r="O917" s="19" t="s">
        <v>34</v>
      </c>
      <c r="P917" s="19" t="s">
        <v>98</v>
      </c>
      <c r="Q917" s="19" t="str">
        <f>TRIM(SalesData[[#This Row],[Customer_Name]])</f>
        <v>Akash Chauhan</v>
      </c>
      <c r="R917" s="21">
        <f>SalesData[[#This Row],[Sales]]-SalesData[[#This Row],[Cost]]</f>
        <v>27833.64</v>
      </c>
      <c r="S917" s="22">
        <f>IFERROR(SalesData[[#This Row],[Profit]]/SalesData[[#This Row],[Sales]],0)</f>
        <v>0.26560803785321341</v>
      </c>
      <c r="T917" s="19">
        <f>YEAR(SalesData[[#This Row],[Order_Date]])</f>
        <v>2024</v>
      </c>
      <c r="U917" s="19" t="str">
        <f>TEXT(SalesData[[#This Row],[Order_Date]],"mmm")</f>
        <v>Nov</v>
      </c>
      <c r="V917" s="19" t="str">
        <f>"Q"&amp;ROUNDUP(MONTH(SalesData[[#This Row],[Order_Date]])/3,0)</f>
        <v>Q4</v>
      </c>
      <c r="W917" s="19" t="str">
        <f>IF(SalesData[[#This Row],[Sales]]&gt;=50000,"High",IF(AND(SalesData[[#This Row],[Sales]]&gt;= 20000, SalesData[[#This Row],[Sales]]&lt; 50000),"Medium","Low"))</f>
        <v>High</v>
      </c>
      <c r="X917" s="19" t="str">
        <f>IF(SalesData[[#This Row],[Profit]]&gt;0,"Profit","Loss")</f>
        <v>Profit</v>
      </c>
      <c r="Y917" s="19" t="str">
        <f>IF(AND(SalesData[[#This Row],[Sales]]&gt;= 50000, SalesData[[#This Row],[Quantity]]&gt;=2),"Yes","No")</f>
        <v>Yes</v>
      </c>
      <c r="Z917" s="19" t="str">
        <f>UPPER(SalesData[[#This Row],[Customer_Name]])</f>
        <v>AKASH CHAUHAN</v>
      </c>
      <c r="AA917" s="19" t="str">
        <f>LOWER(SalesData[[#This Row],[Customer_Name]])</f>
        <v>akash chauhan</v>
      </c>
      <c r="AB917" s="19">
        <f>LEN(SalesData[[#This Row],[Customer_Name]])</f>
        <v>13</v>
      </c>
      <c r="AC917" s="19" t="str">
        <f>LEFT(SalesData[[#This Row],[Order_ID]],3)</f>
        <v>ORD</v>
      </c>
      <c r="AD917" s="19" t="str">
        <f>RIGHT(SalesData[[#This Row],[Order_ID]],4)</f>
        <v>0896</v>
      </c>
      <c r="AE917" s="19" t="str">
        <f>_xlfn.CONCAT(SalesData[[#This Row],[Clean_Customer_Name]],"-",SalesData[[#This Row],[Region]])</f>
        <v>Akash Chauhan-Central</v>
      </c>
      <c r="AF917" s="19" t="str">
        <f>MID(SalesData[[#This Row],[Order_ID]],4,4)</f>
        <v>0896</v>
      </c>
      <c r="AG917" s="19" t="e">
        <f ca="1">_xlfn.SINGLE(_xlfn.XLOOKUP(SalesData[[#This Row],[Product]],Product_Master!A:A,Product_Master!B:B,"Not Found"))</f>
        <v>#NAME?</v>
      </c>
      <c r="AH917" s="19" t="str">
        <f>VLOOKUP(SalesData[[#This Row],[Product]],Product_Master!$A$1:$B$21,2,FALSE)</f>
        <v>Priya</v>
      </c>
      <c r="AI917" s="16"/>
    </row>
    <row r="918" spans="1:35" ht="13.8">
      <c r="A918" s="16" t="s">
        <v>272</v>
      </c>
      <c r="B918" s="17">
        <v>45767</v>
      </c>
      <c r="C918" s="16" t="s">
        <v>17</v>
      </c>
      <c r="D918" s="16" t="s">
        <v>18</v>
      </c>
      <c r="E918" s="16" t="s">
        <v>62</v>
      </c>
      <c r="F918" s="16" t="s">
        <v>63</v>
      </c>
      <c r="G918" s="16" t="s">
        <v>21</v>
      </c>
      <c r="H918" s="16" t="s">
        <v>64</v>
      </c>
      <c r="I918" s="16" t="s">
        <v>42</v>
      </c>
      <c r="J918" s="16" t="s">
        <v>68</v>
      </c>
      <c r="K918" s="18">
        <v>7617.51</v>
      </c>
      <c r="L918" s="18">
        <v>5561.19</v>
      </c>
      <c r="M918" s="19">
        <v>3</v>
      </c>
      <c r="N918" s="20">
        <v>0</v>
      </c>
      <c r="O918" s="19" t="s">
        <v>25</v>
      </c>
      <c r="P918" s="19" t="s">
        <v>45</v>
      </c>
      <c r="Q918" s="19" t="str">
        <f>TRIM(SalesData[[#This Row],[Customer_Name]])</f>
        <v>Akash Chauhan</v>
      </c>
      <c r="R918" s="21">
        <f>SalesData[[#This Row],[Sales]]-SalesData[[#This Row],[Cost]]</f>
        <v>2056.3200000000006</v>
      </c>
      <c r="S918" s="22">
        <f>IFERROR(SalesData[[#This Row],[Profit]]/SalesData[[#This Row],[Sales]],0)</f>
        <v>0.26994647857370724</v>
      </c>
      <c r="T918" s="19">
        <f>YEAR(SalesData[[#This Row],[Order_Date]])</f>
        <v>2025</v>
      </c>
      <c r="U918" s="19" t="str">
        <f>TEXT(SalesData[[#This Row],[Order_Date]],"mmm")</f>
        <v>Apr</v>
      </c>
      <c r="V918" s="19" t="str">
        <f>"Q"&amp;ROUNDUP(MONTH(SalesData[[#This Row],[Order_Date]])/3,0)</f>
        <v>Q2</v>
      </c>
      <c r="W918" s="19" t="str">
        <f>IF(SalesData[[#This Row],[Sales]]&gt;=50000,"High",IF(AND(SalesData[[#This Row],[Sales]]&gt;= 20000, SalesData[[#This Row],[Sales]]&lt; 50000),"Medium","Low"))</f>
        <v>Low</v>
      </c>
      <c r="X918" s="19" t="str">
        <f>IF(SalesData[[#This Row],[Profit]]&gt;0,"Profit","Loss")</f>
        <v>Profit</v>
      </c>
      <c r="Y918" s="19" t="str">
        <f>IF(AND(SalesData[[#This Row],[Sales]]&gt;= 50000, SalesData[[#This Row],[Quantity]]&gt;=2),"Yes","No")</f>
        <v>No</v>
      </c>
      <c r="Z918" s="19" t="str">
        <f>UPPER(SalesData[[#This Row],[Customer_Name]])</f>
        <v>AKASH CHAUHAN</v>
      </c>
      <c r="AA918" s="19" t="str">
        <f>LOWER(SalesData[[#This Row],[Customer_Name]])</f>
        <v>akash chauhan</v>
      </c>
      <c r="AB918" s="19">
        <f>LEN(SalesData[[#This Row],[Customer_Name]])</f>
        <v>13</v>
      </c>
      <c r="AC918" s="19" t="str">
        <f>LEFT(SalesData[[#This Row],[Order_ID]],3)</f>
        <v>ORD</v>
      </c>
      <c r="AD918" s="19" t="str">
        <f>RIGHT(SalesData[[#This Row],[Order_ID]],4)</f>
        <v>0119</v>
      </c>
      <c r="AE918" s="19" t="str">
        <f>_xlfn.CONCAT(SalesData[[#This Row],[Clean_Customer_Name]],"-",SalesData[[#This Row],[Region]])</f>
        <v>Akash Chauhan-East</v>
      </c>
      <c r="AF918" s="19" t="str">
        <f>MID(SalesData[[#This Row],[Order_ID]],4,4)</f>
        <v>0119</v>
      </c>
      <c r="AG918" s="19" t="e">
        <f ca="1">_xlfn.SINGLE(_xlfn.XLOOKUP(SalesData[[#This Row],[Product]],Product_Master!A:A,Product_Master!B:B,"Not Found"))</f>
        <v>#NAME?</v>
      </c>
      <c r="AH918" s="19" t="str">
        <f>VLOOKUP(SalesData[[#This Row],[Product]],Product_Master!$A$1:$B$21,2,FALSE)</f>
        <v>Amit</v>
      </c>
      <c r="AI918" s="16"/>
    </row>
    <row r="919" spans="1:35" ht="13.8">
      <c r="A919" s="16" t="s">
        <v>462</v>
      </c>
      <c r="B919" s="17">
        <v>45819</v>
      </c>
      <c r="C919" s="16" t="s">
        <v>17</v>
      </c>
      <c r="D919" s="16" t="s">
        <v>18</v>
      </c>
      <c r="E919" s="16" t="s">
        <v>62</v>
      </c>
      <c r="F919" s="16" t="s">
        <v>63</v>
      </c>
      <c r="G919" s="16" t="s">
        <v>21</v>
      </c>
      <c r="H919" s="16" t="s">
        <v>64</v>
      </c>
      <c r="I919" s="16" t="s">
        <v>56</v>
      </c>
      <c r="J919" s="16" t="s">
        <v>91</v>
      </c>
      <c r="K919" s="18">
        <v>15172.22</v>
      </c>
      <c r="L919" s="18">
        <v>5610.27</v>
      </c>
      <c r="M919" s="19">
        <v>3</v>
      </c>
      <c r="N919" s="20">
        <v>0.15</v>
      </c>
      <c r="O919" s="19" t="s">
        <v>136</v>
      </c>
      <c r="P919" s="19" t="s">
        <v>77</v>
      </c>
      <c r="Q919" s="19" t="str">
        <f>TRIM(SalesData[[#This Row],[Customer_Name]])</f>
        <v>Akash Chauhan</v>
      </c>
      <c r="R919" s="21">
        <f>SalesData[[#This Row],[Sales]]-SalesData[[#This Row],[Cost]]</f>
        <v>9561.9499999999989</v>
      </c>
      <c r="S919" s="22">
        <f>IFERROR(SalesData[[#This Row],[Profit]]/SalesData[[#This Row],[Sales]],0)</f>
        <v>0.63022748154192332</v>
      </c>
      <c r="T919" s="19">
        <f>YEAR(SalesData[[#This Row],[Order_Date]])</f>
        <v>2025</v>
      </c>
      <c r="U919" s="19" t="str">
        <f>TEXT(SalesData[[#This Row],[Order_Date]],"mmm")</f>
        <v>Jun</v>
      </c>
      <c r="V919" s="19" t="str">
        <f>"Q"&amp;ROUNDUP(MONTH(SalesData[[#This Row],[Order_Date]])/3,0)</f>
        <v>Q2</v>
      </c>
      <c r="W919" s="19" t="str">
        <f>IF(SalesData[[#This Row],[Sales]]&gt;=50000,"High",IF(AND(SalesData[[#This Row],[Sales]]&gt;= 20000, SalesData[[#This Row],[Sales]]&lt; 50000),"Medium","Low"))</f>
        <v>Low</v>
      </c>
      <c r="X919" s="19" t="str">
        <f>IF(SalesData[[#This Row],[Profit]]&gt;0,"Profit","Loss")</f>
        <v>Profit</v>
      </c>
      <c r="Y919" s="19" t="str">
        <f>IF(AND(SalesData[[#This Row],[Sales]]&gt;= 50000, SalesData[[#This Row],[Quantity]]&gt;=2),"Yes","No")</f>
        <v>No</v>
      </c>
      <c r="Z919" s="19" t="str">
        <f>UPPER(SalesData[[#This Row],[Customer_Name]])</f>
        <v>AKASH CHAUHAN</v>
      </c>
      <c r="AA919" s="19" t="str">
        <f>LOWER(SalesData[[#This Row],[Customer_Name]])</f>
        <v>akash chauhan</v>
      </c>
      <c r="AB919" s="19">
        <f>LEN(SalesData[[#This Row],[Customer_Name]])</f>
        <v>13</v>
      </c>
      <c r="AC919" s="19" t="str">
        <f>LEFT(SalesData[[#This Row],[Order_ID]],3)</f>
        <v>ORD</v>
      </c>
      <c r="AD919" s="19" t="str">
        <f>RIGHT(SalesData[[#This Row],[Order_ID]],4)</f>
        <v>0309</v>
      </c>
      <c r="AE919" s="19" t="str">
        <f>_xlfn.CONCAT(SalesData[[#This Row],[Clean_Customer_Name]],"-",SalesData[[#This Row],[Region]])</f>
        <v>Akash Chauhan-West</v>
      </c>
      <c r="AF919" s="19" t="str">
        <f>MID(SalesData[[#This Row],[Order_ID]],4,4)</f>
        <v>0309</v>
      </c>
      <c r="AG919" s="19" t="e">
        <f ca="1">_xlfn.SINGLE(_xlfn.XLOOKUP(SalesData[[#This Row],[Product]],Product_Master!A:A,Product_Master!B:B,"Not Found"))</f>
        <v>#NAME?</v>
      </c>
      <c r="AH919" s="19" t="str">
        <f>VLOOKUP(SalesData[[#This Row],[Product]],Product_Master!$A$1:$B$21,2,FALSE)</f>
        <v>Amit</v>
      </c>
      <c r="AI919" s="16"/>
    </row>
    <row r="920" spans="1:35" ht="13.8">
      <c r="A920" s="16" t="s">
        <v>612</v>
      </c>
      <c r="B920" s="17">
        <v>45978</v>
      </c>
      <c r="C920" s="16" t="s">
        <v>17</v>
      </c>
      <c r="D920" s="16" t="s">
        <v>18</v>
      </c>
      <c r="E920" s="16" t="s">
        <v>62</v>
      </c>
      <c r="F920" s="16" t="s">
        <v>63</v>
      </c>
      <c r="G920" s="16" t="s">
        <v>21</v>
      </c>
      <c r="H920" s="16" t="s">
        <v>64</v>
      </c>
      <c r="I920" s="16" t="s">
        <v>84</v>
      </c>
      <c r="J920" s="16" t="s">
        <v>85</v>
      </c>
      <c r="K920" s="18">
        <v>7836.32</v>
      </c>
      <c r="L920" s="18">
        <v>3862.76</v>
      </c>
      <c r="M920" s="19">
        <v>2</v>
      </c>
      <c r="N920" s="20">
        <v>0</v>
      </c>
      <c r="O920" s="19" t="s">
        <v>76</v>
      </c>
      <c r="P920" s="19" t="s">
        <v>26</v>
      </c>
      <c r="Q920" s="19" t="str">
        <f>TRIM(SalesData[[#This Row],[Customer_Name]])</f>
        <v>Akash Chauhan</v>
      </c>
      <c r="R920" s="21">
        <f>SalesData[[#This Row],[Sales]]-SalesData[[#This Row],[Cost]]</f>
        <v>3973.5599999999995</v>
      </c>
      <c r="S920" s="22">
        <f>IFERROR(SalesData[[#This Row],[Profit]]/SalesData[[#This Row],[Sales]],0)</f>
        <v>0.50706964493537776</v>
      </c>
      <c r="T920" s="19">
        <f>YEAR(SalesData[[#This Row],[Order_Date]])</f>
        <v>2025</v>
      </c>
      <c r="U920" s="19" t="str">
        <f>TEXT(SalesData[[#This Row],[Order_Date]],"mmm")</f>
        <v>Nov</v>
      </c>
      <c r="V920" s="19" t="str">
        <f>"Q"&amp;ROUNDUP(MONTH(SalesData[[#This Row],[Order_Date]])/3,0)</f>
        <v>Q4</v>
      </c>
      <c r="W920" s="19" t="str">
        <f>IF(SalesData[[#This Row],[Sales]]&gt;=50000,"High",IF(AND(SalesData[[#This Row],[Sales]]&gt;= 20000, SalesData[[#This Row],[Sales]]&lt; 50000),"Medium","Low"))</f>
        <v>Low</v>
      </c>
      <c r="X920" s="19" t="str">
        <f>IF(SalesData[[#This Row],[Profit]]&gt;0,"Profit","Loss")</f>
        <v>Profit</v>
      </c>
      <c r="Y920" s="19" t="str">
        <f>IF(AND(SalesData[[#This Row],[Sales]]&gt;= 50000, SalesData[[#This Row],[Quantity]]&gt;=2),"Yes","No")</f>
        <v>No</v>
      </c>
      <c r="Z920" s="19" t="str">
        <f>UPPER(SalesData[[#This Row],[Customer_Name]])</f>
        <v>AKASH CHAUHAN</v>
      </c>
      <c r="AA920" s="19" t="str">
        <f>LOWER(SalesData[[#This Row],[Customer_Name]])</f>
        <v>akash chauhan</v>
      </c>
      <c r="AB920" s="19">
        <f>LEN(SalesData[[#This Row],[Customer_Name]])</f>
        <v>13</v>
      </c>
      <c r="AC920" s="19" t="str">
        <f>LEFT(SalesData[[#This Row],[Order_ID]],3)</f>
        <v>ORD</v>
      </c>
      <c r="AD920" s="19" t="str">
        <f>RIGHT(SalesData[[#This Row],[Order_ID]],4)</f>
        <v>0459</v>
      </c>
      <c r="AE920" s="19" t="str">
        <f>_xlfn.CONCAT(SalesData[[#This Row],[Clean_Customer_Name]],"-",SalesData[[#This Row],[Region]])</f>
        <v>Akash Chauhan-South</v>
      </c>
      <c r="AF920" s="19" t="str">
        <f>MID(SalesData[[#This Row],[Order_ID]],4,4)</f>
        <v>0459</v>
      </c>
      <c r="AG920" s="19" t="e">
        <f ca="1">_xlfn.SINGLE(_xlfn.XLOOKUP(SalesData[[#This Row],[Product]],Product_Master!A:A,Product_Master!B:B,"Not Found"))</f>
        <v>#NAME?</v>
      </c>
      <c r="AH920" s="19" t="str">
        <f>VLOOKUP(SalesData[[#This Row],[Product]],Product_Master!$A$1:$B$21,2,FALSE)</f>
        <v>Amit</v>
      </c>
      <c r="AI920" s="16"/>
    </row>
    <row r="921" spans="1:35" ht="13.8">
      <c r="A921" s="16" t="s">
        <v>613</v>
      </c>
      <c r="B921" s="17">
        <v>45994</v>
      </c>
      <c r="C921" s="16" t="s">
        <v>17</v>
      </c>
      <c r="D921" s="16" t="s">
        <v>18</v>
      </c>
      <c r="E921" s="16" t="s">
        <v>62</v>
      </c>
      <c r="F921" s="16" t="s">
        <v>63</v>
      </c>
      <c r="G921" s="16" t="s">
        <v>21</v>
      </c>
      <c r="H921" s="16" t="s">
        <v>64</v>
      </c>
      <c r="I921" s="16" t="s">
        <v>42</v>
      </c>
      <c r="J921" s="16" t="s">
        <v>162</v>
      </c>
      <c r="K921" s="18">
        <v>10460.879999999999</v>
      </c>
      <c r="L921" s="18">
        <v>3257.1</v>
      </c>
      <c r="M921" s="19">
        <v>2</v>
      </c>
      <c r="N921" s="20">
        <v>0</v>
      </c>
      <c r="O921" s="19" t="s">
        <v>25</v>
      </c>
      <c r="P921" s="19" t="s">
        <v>58</v>
      </c>
      <c r="Q921" s="19" t="str">
        <f>TRIM(SalesData[[#This Row],[Customer_Name]])</f>
        <v>Akash Chauhan</v>
      </c>
      <c r="R921" s="21">
        <f>SalesData[[#This Row],[Sales]]-SalesData[[#This Row],[Cost]]</f>
        <v>7203.7799999999988</v>
      </c>
      <c r="S921" s="22">
        <f>IFERROR(SalesData[[#This Row],[Profit]]/SalesData[[#This Row],[Sales]],0)</f>
        <v>0.6886399614563975</v>
      </c>
      <c r="T921" s="19">
        <f>YEAR(SalesData[[#This Row],[Order_Date]])</f>
        <v>2025</v>
      </c>
      <c r="U921" s="19" t="str">
        <f>TEXT(SalesData[[#This Row],[Order_Date]],"mmm")</f>
        <v>Dec</v>
      </c>
      <c r="V921" s="19" t="str">
        <f>"Q"&amp;ROUNDUP(MONTH(SalesData[[#This Row],[Order_Date]])/3,0)</f>
        <v>Q4</v>
      </c>
      <c r="W921" s="19" t="str">
        <f>IF(SalesData[[#This Row],[Sales]]&gt;=50000,"High",IF(AND(SalesData[[#This Row],[Sales]]&gt;= 20000, SalesData[[#This Row],[Sales]]&lt; 50000),"Medium","Low"))</f>
        <v>Low</v>
      </c>
      <c r="X921" s="19" t="str">
        <f>IF(SalesData[[#This Row],[Profit]]&gt;0,"Profit","Loss")</f>
        <v>Profit</v>
      </c>
      <c r="Y921" s="19" t="str">
        <f>IF(AND(SalesData[[#This Row],[Sales]]&gt;= 50000, SalesData[[#This Row],[Quantity]]&gt;=2),"Yes","No")</f>
        <v>No</v>
      </c>
      <c r="Z921" s="19" t="str">
        <f>UPPER(SalesData[[#This Row],[Customer_Name]])</f>
        <v>AKASH CHAUHAN</v>
      </c>
      <c r="AA921" s="19" t="str">
        <f>LOWER(SalesData[[#This Row],[Customer_Name]])</f>
        <v>akash chauhan</v>
      </c>
      <c r="AB921" s="19">
        <f>LEN(SalesData[[#This Row],[Customer_Name]])</f>
        <v>13</v>
      </c>
      <c r="AC921" s="19" t="str">
        <f>LEFT(SalesData[[#This Row],[Order_ID]],3)</f>
        <v>ORD</v>
      </c>
      <c r="AD921" s="19" t="str">
        <f>RIGHT(SalesData[[#This Row],[Order_ID]],4)</f>
        <v>0460</v>
      </c>
      <c r="AE921" s="19" t="str">
        <f>_xlfn.CONCAT(SalesData[[#This Row],[Clean_Customer_Name]],"-",SalesData[[#This Row],[Region]])</f>
        <v>Akash Chauhan-East</v>
      </c>
      <c r="AF921" s="19" t="str">
        <f>MID(SalesData[[#This Row],[Order_ID]],4,4)</f>
        <v>0460</v>
      </c>
      <c r="AG921" s="19" t="e">
        <f ca="1">_xlfn.SINGLE(_xlfn.XLOOKUP(SalesData[[#This Row],[Product]],Product_Master!A:A,Product_Master!B:B,"Not Found"))</f>
        <v>#NAME?</v>
      </c>
      <c r="AH921" s="19" t="str">
        <f>VLOOKUP(SalesData[[#This Row],[Product]],Product_Master!$A$1:$B$21,2,FALSE)</f>
        <v>Amit</v>
      </c>
      <c r="AI921" s="16"/>
    </row>
    <row r="922" spans="1:35" ht="13.8">
      <c r="A922" s="16" t="s">
        <v>1042</v>
      </c>
      <c r="B922" s="17">
        <v>45323</v>
      </c>
      <c r="C922" s="16" t="s">
        <v>17</v>
      </c>
      <c r="D922" s="16" t="s">
        <v>18</v>
      </c>
      <c r="E922" s="16" t="s">
        <v>62</v>
      </c>
      <c r="F922" s="16" t="s">
        <v>63</v>
      </c>
      <c r="G922" s="16" t="s">
        <v>21</v>
      </c>
      <c r="H922" s="16" t="s">
        <v>64</v>
      </c>
      <c r="I922" s="16" t="s">
        <v>56</v>
      </c>
      <c r="J922" s="16" t="s">
        <v>57</v>
      </c>
      <c r="K922" s="18">
        <v>12236.02</v>
      </c>
      <c r="L922" s="18">
        <v>7448.04</v>
      </c>
      <c r="M922" s="19">
        <v>4</v>
      </c>
      <c r="N922" s="20">
        <v>0.15</v>
      </c>
      <c r="O922" s="19" t="s">
        <v>34</v>
      </c>
      <c r="P922" s="19" t="s">
        <v>77</v>
      </c>
      <c r="Q922" s="19" t="str">
        <f>TRIM(SalesData[[#This Row],[Customer_Name]])</f>
        <v>Akash Chauhan</v>
      </c>
      <c r="R922" s="21">
        <f>SalesData[[#This Row],[Sales]]-SalesData[[#This Row],[Cost]]</f>
        <v>4787.9800000000005</v>
      </c>
      <c r="S922" s="22">
        <f>IFERROR(SalesData[[#This Row],[Profit]]/SalesData[[#This Row],[Sales]],0)</f>
        <v>0.39130207371351144</v>
      </c>
      <c r="T922" s="19">
        <f>YEAR(SalesData[[#This Row],[Order_Date]])</f>
        <v>2024</v>
      </c>
      <c r="U922" s="19" t="str">
        <f>TEXT(SalesData[[#This Row],[Order_Date]],"mmm")</f>
        <v>Feb</v>
      </c>
      <c r="V922" s="19" t="str">
        <f>"Q"&amp;ROUNDUP(MONTH(SalesData[[#This Row],[Order_Date]])/3,0)</f>
        <v>Q1</v>
      </c>
      <c r="W922" s="19" t="str">
        <f>IF(SalesData[[#This Row],[Sales]]&gt;=50000,"High",IF(AND(SalesData[[#This Row],[Sales]]&gt;= 20000, SalesData[[#This Row],[Sales]]&lt; 50000),"Medium","Low"))</f>
        <v>Low</v>
      </c>
      <c r="X922" s="19" t="str">
        <f>IF(SalesData[[#This Row],[Profit]]&gt;0,"Profit","Loss")</f>
        <v>Profit</v>
      </c>
      <c r="Y922" s="19" t="str">
        <f>IF(AND(SalesData[[#This Row],[Sales]]&gt;= 50000, SalesData[[#This Row],[Quantity]]&gt;=2),"Yes","No")</f>
        <v>No</v>
      </c>
      <c r="Z922" s="19" t="str">
        <f>UPPER(SalesData[[#This Row],[Customer_Name]])</f>
        <v>AKASH CHAUHAN</v>
      </c>
      <c r="AA922" s="19" t="str">
        <f>LOWER(SalesData[[#This Row],[Customer_Name]])</f>
        <v>akash chauhan</v>
      </c>
      <c r="AB922" s="19">
        <f>LEN(SalesData[[#This Row],[Customer_Name]])</f>
        <v>13</v>
      </c>
      <c r="AC922" s="19" t="str">
        <f>LEFT(SalesData[[#This Row],[Order_ID]],3)</f>
        <v>ORD</v>
      </c>
      <c r="AD922" s="19" t="str">
        <f>RIGHT(SalesData[[#This Row],[Order_ID]],4)</f>
        <v>0889</v>
      </c>
      <c r="AE922" s="19" t="str">
        <f>_xlfn.CONCAT(SalesData[[#This Row],[Clean_Customer_Name]],"-",SalesData[[#This Row],[Region]])</f>
        <v>Akash Chauhan-West</v>
      </c>
      <c r="AF922" s="19" t="str">
        <f>MID(SalesData[[#This Row],[Order_ID]],4,4)</f>
        <v>0889</v>
      </c>
      <c r="AG922" s="19" t="e">
        <f ca="1">_xlfn.SINGLE(_xlfn.XLOOKUP(SalesData[[#This Row],[Product]],Product_Master!A:A,Product_Master!B:B,"Not Found"))</f>
        <v>#NAME?</v>
      </c>
      <c r="AH922" s="19" t="str">
        <f>VLOOKUP(SalesData[[#This Row],[Product]],Product_Master!$A$1:$B$21,2,FALSE)</f>
        <v>Amit</v>
      </c>
      <c r="AI922" s="16"/>
    </row>
    <row r="923" spans="1:35" ht="13.8">
      <c r="A923" s="16" t="s">
        <v>16</v>
      </c>
      <c r="B923" s="17">
        <v>45573</v>
      </c>
      <c r="C923" s="16" t="s">
        <v>17</v>
      </c>
      <c r="D923" s="16" t="s">
        <v>18</v>
      </c>
      <c r="E923" s="16" t="s">
        <v>19</v>
      </c>
      <c r="F923" s="16" t="s">
        <v>20</v>
      </c>
      <c r="G923" s="16" t="s">
        <v>21</v>
      </c>
      <c r="H923" s="16" t="s">
        <v>22</v>
      </c>
      <c r="I923" s="16" t="s">
        <v>23</v>
      </c>
      <c r="J923" s="16" t="s">
        <v>24</v>
      </c>
      <c r="K923" s="18">
        <v>12021.92</v>
      </c>
      <c r="L923" s="18">
        <v>5667.86</v>
      </c>
      <c r="M923" s="19">
        <v>2</v>
      </c>
      <c r="N923" s="20">
        <v>0.2</v>
      </c>
      <c r="O923" s="19" t="s">
        <v>25</v>
      </c>
      <c r="P923" s="19" t="s">
        <v>26</v>
      </c>
      <c r="Q923" s="19" t="str">
        <f>TRIM(SalesData[[#This Row],[Customer_Name]])</f>
        <v>Akash Chauhan</v>
      </c>
      <c r="R923" s="21">
        <f>SalesData[[#This Row],[Sales]]-SalesData[[#This Row],[Cost]]</f>
        <v>6354.06</v>
      </c>
      <c r="S923" s="22">
        <f>IFERROR(SalesData[[#This Row],[Profit]]/SalesData[[#This Row],[Sales]],0)</f>
        <v>0.52853953445040391</v>
      </c>
      <c r="T923" s="19">
        <f>YEAR(SalesData[[#This Row],[Order_Date]])</f>
        <v>2024</v>
      </c>
      <c r="U923" s="19" t="str">
        <f>TEXT(SalesData[[#This Row],[Order_Date]],"mmm")</f>
        <v>Oct</v>
      </c>
      <c r="V923" s="19" t="str">
        <f>"Q"&amp;ROUNDUP(MONTH(SalesData[[#This Row],[Order_Date]])/3,0)</f>
        <v>Q4</v>
      </c>
      <c r="W923" s="19" t="str">
        <f>IF(SalesData[[#This Row],[Sales]]&gt;=50000,"High",IF(AND(SalesData[[#This Row],[Sales]]&gt;= 20000, SalesData[[#This Row],[Sales]]&lt; 50000),"Medium","Low"))</f>
        <v>Low</v>
      </c>
      <c r="X923" s="19" t="str">
        <f>IF(SalesData[[#This Row],[Profit]]&gt;0,"Profit","Loss")</f>
        <v>Profit</v>
      </c>
      <c r="Y923" s="19" t="str">
        <f>IF(AND(SalesData[[#This Row],[Sales]]&gt;= 50000, SalesData[[#This Row],[Quantity]]&gt;=2),"Yes","No")</f>
        <v>No</v>
      </c>
      <c r="Z923" s="19" t="str">
        <f>UPPER(SalesData[[#This Row],[Customer_Name]])</f>
        <v>AKASH CHAUHAN</v>
      </c>
      <c r="AA923" s="19" t="str">
        <f>LOWER(SalesData[[#This Row],[Customer_Name]])</f>
        <v>akash chauhan</v>
      </c>
      <c r="AB923" s="19">
        <f>LEN(SalesData[[#This Row],[Customer_Name]])</f>
        <v>13</v>
      </c>
      <c r="AC923" s="19" t="str">
        <f>LEFT(SalesData[[#This Row],[Order_ID]],3)</f>
        <v>ORD</v>
      </c>
      <c r="AD923" s="19" t="str">
        <f>RIGHT(SalesData[[#This Row],[Order_ID]],4)</f>
        <v>0001</v>
      </c>
      <c r="AE923" s="19" t="str">
        <f>_xlfn.CONCAT(SalesData[[#This Row],[Clean_Customer_Name]],"-",SalesData[[#This Row],[Region]])</f>
        <v>Akash Chauhan-North</v>
      </c>
      <c r="AF923" s="19" t="str">
        <f>MID(SalesData[[#This Row],[Order_ID]],4,4)</f>
        <v>0001</v>
      </c>
      <c r="AG923" s="19" t="e">
        <f ca="1">_xlfn.SINGLE(_xlfn.XLOOKUP(SalesData[[#This Row],[Product]],Product_Master!A:A,Product_Master!B:B,"Not Found"))</f>
        <v>#NAME?</v>
      </c>
      <c r="AH923" s="19" t="str">
        <f>VLOOKUP(SalesData[[#This Row],[Product]],Product_Master!$A$1:$B$21,2,FALSE)</f>
        <v>Neha</v>
      </c>
      <c r="AI923" s="16"/>
    </row>
    <row r="924" spans="1:35" ht="13.8">
      <c r="A924" s="16" t="s">
        <v>444</v>
      </c>
      <c r="B924" s="17">
        <v>45460</v>
      </c>
      <c r="C924" s="16" t="s">
        <v>17</v>
      </c>
      <c r="D924" s="16" t="s">
        <v>18</v>
      </c>
      <c r="E924" s="16" t="s">
        <v>19</v>
      </c>
      <c r="F924" s="16" t="s">
        <v>20</v>
      </c>
      <c r="G924" s="16" t="s">
        <v>21</v>
      </c>
      <c r="H924" s="16" t="s">
        <v>22</v>
      </c>
      <c r="I924" s="16" t="s">
        <v>42</v>
      </c>
      <c r="J924" s="16" t="s">
        <v>68</v>
      </c>
      <c r="K924" s="18">
        <v>11650.99</v>
      </c>
      <c r="L924" s="18">
        <v>6019.2</v>
      </c>
      <c r="M924" s="19">
        <v>2</v>
      </c>
      <c r="N924" s="20">
        <v>0.1</v>
      </c>
      <c r="O924" s="19" t="s">
        <v>34</v>
      </c>
      <c r="P924" s="19" t="s">
        <v>26</v>
      </c>
      <c r="Q924" s="19" t="str">
        <f>TRIM(SalesData[[#This Row],[Customer_Name]])</f>
        <v>Akash Chauhan</v>
      </c>
      <c r="R924" s="21">
        <f>SalesData[[#This Row],[Sales]]-SalesData[[#This Row],[Cost]]</f>
        <v>5631.79</v>
      </c>
      <c r="S924" s="22">
        <f>IFERROR(SalesData[[#This Row],[Profit]]/SalesData[[#This Row],[Sales]],0)</f>
        <v>0.48337437419481094</v>
      </c>
      <c r="T924" s="19">
        <f>YEAR(SalesData[[#This Row],[Order_Date]])</f>
        <v>2024</v>
      </c>
      <c r="U924" s="19" t="str">
        <f>TEXT(SalesData[[#This Row],[Order_Date]],"mmm")</f>
        <v>Jun</v>
      </c>
      <c r="V924" s="19" t="str">
        <f>"Q"&amp;ROUNDUP(MONTH(SalesData[[#This Row],[Order_Date]])/3,0)</f>
        <v>Q2</v>
      </c>
      <c r="W924" s="19" t="str">
        <f>IF(SalesData[[#This Row],[Sales]]&gt;=50000,"High",IF(AND(SalesData[[#This Row],[Sales]]&gt;= 20000, SalesData[[#This Row],[Sales]]&lt; 50000),"Medium","Low"))</f>
        <v>Low</v>
      </c>
      <c r="X924" s="19" t="str">
        <f>IF(SalesData[[#This Row],[Profit]]&gt;0,"Profit","Loss")</f>
        <v>Profit</v>
      </c>
      <c r="Y924" s="19" t="str">
        <f>IF(AND(SalesData[[#This Row],[Sales]]&gt;= 50000, SalesData[[#This Row],[Quantity]]&gt;=2),"Yes","No")</f>
        <v>No</v>
      </c>
      <c r="Z924" s="19" t="str">
        <f>UPPER(SalesData[[#This Row],[Customer_Name]])</f>
        <v>AKASH CHAUHAN</v>
      </c>
      <c r="AA924" s="19" t="str">
        <f>LOWER(SalesData[[#This Row],[Customer_Name]])</f>
        <v>akash chauhan</v>
      </c>
      <c r="AB924" s="19">
        <f>LEN(SalesData[[#This Row],[Customer_Name]])</f>
        <v>13</v>
      </c>
      <c r="AC924" s="19" t="str">
        <f>LEFT(SalesData[[#This Row],[Order_ID]],3)</f>
        <v>ORD</v>
      </c>
      <c r="AD924" s="19" t="str">
        <f>RIGHT(SalesData[[#This Row],[Order_ID]],4)</f>
        <v>0291</v>
      </c>
      <c r="AE924" s="19" t="str">
        <f>_xlfn.CONCAT(SalesData[[#This Row],[Clean_Customer_Name]],"-",SalesData[[#This Row],[Region]])</f>
        <v>Akash Chauhan-East</v>
      </c>
      <c r="AF924" s="19" t="str">
        <f>MID(SalesData[[#This Row],[Order_ID]],4,4)</f>
        <v>0291</v>
      </c>
      <c r="AG924" s="19" t="e">
        <f ca="1">_xlfn.SINGLE(_xlfn.XLOOKUP(SalesData[[#This Row],[Product]],Product_Master!A:A,Product_Master!B:B,"Not Found"))</f>
        <v>#NAME?</v>
      </c>
      <c r="AH924" s="19" t="str">
        <f>VLOOKUP(SalesData[[#This Row],[Product]],Product_Master!$A$1:$B$21,2,FALSE)</f>
        <v>Neha</v>
      </c>
      <c r="AI924" s="16"/>
    </row>
    <row r="925" spans="1:35" ht="13.8">
      <c r="A925" s="16" t="s">
        <v>238</v>
      </c>
      <c r="B925" s="17">
        <v>45437</v>
      </c>
      <c r="C925" s="16" t="s">
        <v>17</v>
      </c>
      <c r="D925" s="16" t="s">
        <v>18</v>
      </c>
      <c r="E925" s="16" t="s">
        <v>152</v>
      </c>
      <c r="F925" s="16" t="s">
        <v>153</v>
      </c>
      <c r="G925" s="16" t="s">
        <v>21</v>
      </c>
      <c r="H925" s="16" t="s">
        <v>32</v>
      </c>
      <c r="I925" s="16" t="s">
        <v>84</v>
      </c>
      <c r="J925" s="16" t="s">
        <v>142</v>
      </c>
      <c r="K925" s="18">
        <v>11632.09</v>
      </c>
      <c r="L925" s="18">
        <v>7295.42</v>
      </c>
      <c r="M925" s="19">
        <v>1</v>
      </c>
      <c r="N925" s="20">
        <v>0.2</v>
      </c>
      <c r="O925" s="19" t="s">
        <v>34</v>
      </c>
      <c r="P925" s="19" t="s">
        <v>45</v>
      </c>
      <c r="Q925" s="19" t="str">
        <f>TRIM(SalesData[[#This Row],[Customer_Name]])</f>
        <v>Akash Chauhan</v>
      </c>
      <c r="R925" s="21">
        <f>SalesData[[#This Row],[Sales]]-SalesData[[#This Row],[Cost]]</f>
        <v>4336.67</v>
      </c>
      <c r="S925" s="22">
        <f>IFERROR(SalesData[[#This Row],[Profit]]/SalesData[[#This Row],[Sales]],0)</f>
        <v>0.37281950191238206</v>
      </c>
      <c r="T925" s="19">
        <f>YEAR(SalesData[[#This Row],[Order_Date]])</f>
        <v>2024</v>
      </c>
      <c r="U925" s="19" t="str">
        <f>TEXT(SalesData[[#This Row],[Order_Date]],"mmm")</f>
        <v>May</v>
      </c>
      <c r="V925" s="19" t="str">
        <f>"Q"&amp;ROUNDUP(MONTH(SalesData[[#This Row],[Order_Date]])/3,0)</f>
        <v>Q2</v>
      </c>
      <c r="W925" s="19" t="str">
        <f>IF(SalesData[[#This Row],[Sales]]&gt;=50000,"High",IF(AND(SalesData[[#This Row],[Sales]]&gt;= 20000, SalesData[[#This Row],[Sales]]&lt; 50000),"Medium","Low"))</f>
        <v>Low</v>
      </c>
      <c r="X925" s="19" t="str">
        <f>IF(SalesData[[#This Row],[Profit]]&gt;0,"Profit","Loss")</f>
        <v>Profit</v>
      </c>
      <c r="Y925" s="19" t="str">
        <f>IF(AND(SalesData[[#This Row],[Sales]]&gt;= 50000, SalesData[[#This Row],[Quantity]]&gt;=2),"Yes","No")</f>
        <v>No</v>
      </c>
      <c r="Z925" s="19" t="str">
        <f>UPPER(SalesData[[#This Row],[Customer_Name]])</f>
        <v>AKASH CHAUHAN</v>
      </c>
      <c r="AA925" s="19" t="str">
        <f>LOWER(SalesData[[#This Row],[Customer_Name]])</f>
        <v>akash chauhan</v>
      </c>
      <c r="AB925" s="19">
        <f>LEN(SalesData[[#This Row],[Customer_Name]])</f>
        <v>13</v>
      </c>
      <c r="AC925" s="19" t="str">
        <f>LEFT(SalesData[[#This Row],[Order_ID]],3)</f>
        <v>ORD</v>
      </c>
      <c r="AD925" s="19" t="str">
        <f>RIGHT(SalesData[[#This Row],[Order_ID]],4)</f>
        <v>0087</v>
      </c>
      <c r="AE925" s="19" t="str">
        <f>_xlfn.CONCAT(SalesData[[#This Row],[Clean_Customer_Name]],"-",SalesData[[#This Row],[Region]])</f>
        <v>Akash Chauhan-South</v>
      </c>
      <c r="AF925" s="19" t="str">
        <f>MID(SalesData[[#This Row],[Order_ID]],4,4)</f>
        <v>0087</v>
      </c>
      <c r="AG925" s="19" t="e">
        <f ca="1">_xlfn.SINGLE(_xlfn.XLOOKUP(SalesData[[#This Row],[Product]],Product_Master!A:A,Product_Master!B:B,"Not Found"))</f>
        <v>#NAME?</v>
      </c>
      <c r="AH925" s="19" t="str">
        <f>VLOOKUP(SalesData[[#This Row],[Product]],Product_Master!$A$1:$B$21,2,FALSE)</f>
        <v>Simran</v>
      </c>
      <c r="AI925" s="16"/>
    </row>
    <row r="926" spans="1:35" ht="13.8">
      <c r="A926" s="16" t="s">
        <v>248</v>
      </c>
      <c r="B926" s="17">
        <v>45590</v>
      </c>
      <c r="C926" s="16" t="s">
        <v>17</v>
      </c>
      <c r="D926" s="16" t="s">
        <v>18</v>
      </c>
      <c r="E926" s="16" t="s">
        <v>152</v>
      </c>
      <c r="F926" s="16" t="s">
        <v>153</v>
      </c>
      <c r="G926" s="16" t="s">
        <v>21</v>
      </c>
      <c r="H926" s="16" t="s">
        <v>32</v>
      </c>
      <c r="I926" s="16" t="s">
        <v>56</v>
      </c>
      <c r="J926" s="16" t="s">
        <v>191</v>
      </c>
      <c r="K926" s="18">
        <v>50511.46</v>
      </c>
      <c r="L926" s="18">
        <v>41643.300000000003</v>
      </c>
      <c r="M926" s="19">
        <v>5</v>
      </c>
      <c r="N926" s="20">
        <v>0.15</v>
      </c>
      <c r="O926" s="19" t="s">
        <v>136</v>
      </c>
      <c r="P926" s="19" t="s">
        <v>58</v>
      </c>
      <c r="Q926" s="19" t="str">
        <f>TRIM(SalesData[[#This Row],[Customer_Name]])</f>
        <v>Akash Chauhan</v>
      </c>
      <c r="R926" s="21">
        <f>SalesData[[#This Row],[Sales]]-SalesData[[#This Row],[Cost]]</f>
        <v>8868.1599999999962</v>
      </c>
      <c r="S926" s="22">
        <f>IFERROR(SalesData[[#This Row],[Profit]]/SalesData[[#This Row],[Sales]],0)</f>
        <v>0.17556728710672778</v>
      </c>
      <c r="T926" s="19">
        <f>YEAR(SalesData[[#This Row],[Order_Date]])</f>
        <v>2024</v>
      </c>
      <c r="U926" s="19" t="str">
        <f>TEXT(SalesData[[#This Row],[Order_Date]],"mmm")</f>
        <v>Oct</v>
      </c>
      <c r="V926" s="19" t="str">
        <f>"Q"&amp;ROUNDUP(MONTH(SalesData[[#This Row],[Order_Date]])/3,0)</f>
        <v>Q4</v>
      </c>
      <c r="W926" s="19" t="str">
        <f>IF(SalesData[[#This Row],[Sales]]&gt;=50000,"High",IF(AND(SalesData[[#This Row],[Sales]]&gt;= 20000, SalesData[[#This Row],[Sales]]&lt; 50000),"Medium","Low"))</f>
        <v>High</v>
      </c>
      <c r="X926" s="19" t="str">
        <f>IF(SalesData[[#This Row],[Profit]]&gt;0,"Profit","Loss")</f>
        <v>Profit</v>
      </c>
      <c r="Y926" s="19" t="str">
        <f>IF(AND(SalesData[[#This Row],[Sales]]&gt;= 50000, SalesData[[#This Row],[Quantity]]&gt;=2),"Yes","No")</f>
        <v>Yes</v>
      </c>
      <c r="Z926" s="19" t="str">
        <f>UPPER(SalesData[[#This Row],[Customer_Name]])</f>
        <v>AKASH CHAUHAN</v>
      </c>
      <c r="AA926" s="19" t="str">
        <f>LOWER(SalesData[[#This Row],[Customer_Name]])</f>
        <v>akash chauhan</v>
      </c>
      <c r="AB926" s="19">
        <f>LEN(SalesData[[#This Row],[Customer_Name]])</f>
        <v>13</v>
      </c>
      <c r="AC926" s="19" t="str">
        <f>LEFT(SalesData[[#This Row],[Order_ID]],3)</f>
        <v>ORD</v>
      </c>
      <c r="AD926" s="19" t="str">
        <f>RIGHT(SalesData[[#This Row],[Order_ID]],4)</f>
        <v>0097</v>
      </c>
      <c r="AE926" s="19" t="str">
        <f>_xlfn.CONCAT(SalesData[[#This Row],[Clean_Customer_Name]],"-",SalesData[[#This Row],[Region]])</f>
        <v>Akash Chauhan-West</v>
      </c>
      <c r="AF926" s="19" t="str">
        <f>MID(SalesData[[#This Row],[Order_ID]],4,4)</f>
        <v>0097</v>
      </c>
      <c r="AG926" s="19" t="e">
        <f ca="1">_xlfn.SINGLE(_xlfn.XLOOKUP(SalesData[[#This Row],[Product]],Product_Master!A:A,Product_Master!B:B,"Not Found"))</f>
        <v>#NAME?</v>
      </c>
      <c r="AH926" s="19" t="str">
        <f>VLOOKUP(SalesData[[#This Row],[Product]],Product_Master!$A$1:$B$21,2,FALSE)</f>
        <v>Simran</v>
      </c>
      <c r="AI926" s="16"/>
    </row>
    <row r="927" spans="1:35" ht="13.8">
      <c r="A927" s="16" t="s">
        <v>618</v>
      </c>
      <c r="B927" s="17">
        <v>45985</v>
      </c>
      <c r="C927" s="16" t="s">
        <v>17</v>
      </c>
      <c r="D927" s="16" t="s">
        <v>18</v>
      </c>
      <c r="E927" s="16" t="s">
        <v>152</v>
      </c>
      <c r="F927" s="16" t="s">
        <v>153</v>
      </c>
      <c r="G927" s="16" t="s">
        <v>21</v>
      </c>
      <c r="H927" s="16" t="s">
        <v>32</v>
      </c>
      <c r="I927" s="16" t="s">
        <v>84</v>
      </c>
      <c r="J927" s="16" t="s">
        <v>142</v>
      </c>
      <c r="K927" s="18">
        <v>21692.400000000001</v>
      </c>
      <c r="L927" s="18">
        <v>26195.49</v>
      </c>
      <c r="M927" s="19">
        <v>3</v>
      </c>
      <c r="N927" s="20">
        <v>0.2</v>
      </c>
      <c r="O927" s="19" t="s">
        <v>76</v>
      </c>
      <c r="P927" s="19" t="s">
        <v>58</v>
      </c>
      <c r="Q927" s="19" t="str">
        <f>TRIM(SalesData[[#This Row],[Customer_Name]])</f>
        <v>Akash Chauhan</v>
      </c>
      <c r="R927" s="21">
        <f>SalesData[[#This Row],[Sales]]-SalesData[[#This Row],[Cost]]</f>
        <v>-4503.09</v>
      </c>
      <c r="S927" s="22">
        <f>IFERROR(SalesData[[#This Row],[Profit]]/SalesData[[#This Row],[Sales]],0)</f>
        <v>-0.2075883719643746</v>
      </c>
      <c r="T927" s="19">
        <f>YEAR(SalesData[[#This Row],[Order_Date]])</f>
        <v>2025</v>
      </c>
      <c r="U927" s="19" t="str">
        <f>TEXT(SalesData[[#This Row],[Order_Date]],"mmm")</f>
        <v>Nov</v>
      </c>
      <c r="V927" s="19" t="str">
        <f>"Q"&amp;ROUNDUP(MONTH(SalesData[[#This Row],[Order_Date]])/3,0)</f>
        <v>Q4</v>
      </c>
      <c r="W927" s="19" t="str">
        <f>IF(SalesData[[#This Row],[Sales]]&gt;=50000,"High",IF(AND(SalesData[[#This Row],[Sales]]&gt;= 20000, SalesData[[#This Row],[Sales]]&lt; 50000),"Medium","Low"))</f>
        <v>Medium</v>
      </c>
      <c r="X927" s="19" t="str">
        <f>IF(SalesData[[#This Row],[Profit]]&gt;0,"Profit","Loss")</f>
        <v>Loss</v>
      </c>
      <c r="Y927" s="19" t="str">
        <f>IF(AND(SalesData[[#This Row],[Sales]]&gt;= 50000, SalesData[[#This Row],[Quantity]]&gt;=2),"Yes","No")</f>
        <v>No</v>
      </c>
      <c r="Z927" s="19" t="str">
        <f>UPPER(SalesData[[#This Row],[Customer_Name]])</f>
        <v>AKASH CHAUHAN</v>
      </c>
      <c r="AA927" s="19" t="str">
        <f>LOWER(SalesData[[#This Row],[Customer_Name]])</f>
        <v>akash chauhan</v>
      </c>
      <c r="AB927" s="19">
        <f>LEN(SalesData[[#This Row],[Customer_Name]])</f>
        <v>13</v>
      </c>
      <c r="AC927" s="19" t="str">
        <f>LEFT(SalesData[[#This Row],[Order_ID]],3)</f>
        <v>ORD</v>
      </c>
      <c r="AD927" s="19" t="str">
        <f>RIGHT(SalesData[[#This Row],[Order_ID]],4)</f>
        <v>0465</v>
      </c>
      <c r="AE927" s="19" t="str">
        <f>_xlfn.CONCAT(SalesData[[#This Row],[Clean_Customer_Name]],"-",SalesData[[#This Row],[Region]])</f>
        <v>Akash Chauhan-South</v>
      </c>
      <c r="AF927" s="19" t="str">
        <f>MID(SalesData[[#This Row],[Order_ID]],4,4)</f>
        <v>0465</v>
      </c>
      <c r="AG927" s="19" t="e">
        <f ca="1">_xlfn.SINGLE(_xlfn.XLOOKUP(SalesData[[#This Row],[Product]],Product_Master!A:A,Product_Master!B:B,"Not Found"))</f>
        <v>#NAME?</v>
      </c>
      <c r="AH927" s="19" t="str">
        <f>VLOOKUP(SalesData[[#This Row],[Product]],Product_Master!$A$1:$B$21,2,FALSE)</f>
        <v>Simran</v>
      </c>
      <c r="AI927" s="16"/>
    </row>
    <row r="928" spans="1:35" ht="13.8">
      <c r="A928" s="16" t="s">
        <v>702</v>
      </c>
      <c r="B928" s="17">
        <v>45841</v>
      </c>
      <c r="C928" s="16" t="s">
        <v>17</v>
      </c>
      <c r="D928" s="16" t="s">
        <v>18</v>
      </c>
      <c r="E928" s="16" t="s">
        <v>152</v>
      </c>
      <c r="F928" s="16" t="s">
        <v>153</v>
      </c>
      <c r="G928" s="16" t="s">
        <v>21</v>
      </c>
      <c r="H928" s="16" t="s">
        <v>32</v>
      </c>
      <c r="I928" s="16" t="s">
        <v>42</v>
      </c>
      <c r="J928" s="16" t="s">
        <v>162</v>
      </c>
      <c r="K928" s="18">
        <v>8478.42</v>
      </c>
      <c r="L928" s="18">
        <v>7401.32</v>
      </c>
      <c r="M928" s="19">
        <v>1</v>
      </c>
      <c r="N928" s="20">
        <v>0.2</v>
      </c>
      <c r="O928" s="19" t="s">
        <v>44</v>
      </c>
      <c r="P928" s="19" t="s">
        <v>98</v>
      </c>
      <c r="Q928" s="19" t="str">
        <f>TRIM(SalesData[[#This Row],[Customer_Name]])</f>
        <v>Akash Chauhan</v>
      </c>
      <c r="R928" s="21">
        <f>SalesData[[#This Row],[Sales]]-SalesData[[#This Row],[Cost]]</f>
        <v>1077.1000000000004</v>
      </c>
      <c r="S928" s="22">
        <f>IFERROR(SalesData[[#This Row],[Profit]]/SalesData[[#This Row],[Sales]],0)</f>
        <v>0.12704017965611522</v>
      </c>
      <c r="T928" s="19">
        <f>YEAR(SalesData[[#This Row],[Order_Date]])</f>
        <v>2025</v>
      </c>
      <c r="U928" s="19" t="str">
        <f>TEXT(SalesData[[#This Row],[Order_Date]],"mmm")</f>
        <v>Jul</v>
      </c>
      <c r="V928" s="19" t="str">
        <f>"Q"&amp;ROUNDUP(MONTH(SalesData[[#This Row],[Order_Date]])/3,0)</f>
        <v>Q3</v>
      </c>
      <c r="W928" s="19" t="str">
        <f>IF(SalesData[[#This Row],[Sales]]&gt;=50000,"High",IF(AND(SalesData[[#This Row],[Sales]]&gt;= 20000, SalesData[[#This Row],[Sales]]&lt; 50000),"Medium","Low"))</f>
        <v>Low</v>
      </c>
      <c r="X928" s="19" t="str">
        <f>IF(SalesData[[#This Row],[Profit]]&gt;0,"Profit","Loss")</f>
        <v>Profit</v>
      </c>
      <c r="Y928" s="19" t="str">
        <f>IF(AND(SalesData[[#This Row],[Sales]]&gt;= 50000, SalesData[[#This Row],[Quantity]]&gt;=2),"Yes","No")</f>
        <v>No</v>
      </c>
      <c r="Z928" s="19" t="str">
        <f>UPPER(SalesData[[#This Row],[Customer_Name]])</f>
        <v>AKASH CHAUHAN</v>
      </c>
      <c r="AA928" s="19" t="str">
        <f>LOWER(SalesData[[#This Row],[Customer_Name]])</f>
        <v>akash chauhan</v>
      </c>
      <c r="AB928" s="19">
        <f>LEN(SalesData[[#This Row],[Customer_Name]])</f>
        <v>13</v>
      </c>
      <c r="AC928" s="19" t="str">
        <f>LEFT(SalesData[[#This Row],[Order_ID]],3)</f>
        <v>ORD</v>
      </c>
      <c r="AD928" s="19" t="str">
        <f>RIGHT(SalesData[[#This Row],[Order_ID]],4)</f>
        <v>0549</v>
      </c>
      <c r="AE928" s="19" t="str">
        <f>_xlfn.CONCAT(SalesData[[#This Row],[Clean_Customer_Name]],"-",SalesData[[#This Row],[Region]])</f>
        <v>Akash Chauhan-East</v>
      </c>
      <c r="AF928" s="19" t="str">
        <f>MID(SalesData[[#This Row],[Order_ID]],4,4)</f>
        <v>0549</v>
      </c>
      <c r="AG928" s="19" t="e">
        <f ca="1">_xlfn.SINGLE(_xlfn.XLOOKUP(SalesData[[#This Row],[Product]],Product_Master!A:A,Product_Master!B:B,"Not Found"))</f>
        <v>#NAME?</v>
      </c>
      <c r="AH928" s="19" t="str">
        <f>VLOOKUP(SalesData[[#This Row],[Product]],Product_Master!$A$1:$B$21,2,FALSE)</f>
        <v>Simran</v>
      </c>
      <c r="AI928" s="16"/>
    </row>
    <row r="929" spans="1:35" ht="13.8">
      <c r="A929" s="16" t="s">
        <v>774</v>
      </c>
      <c r="B929" s="17">
        <v>45451</v>
      </c>
      <c r="C929" s="16" t="s">
        <v>17</v>
      </c>
      <c r="D929" s="16" t="s">
        <v>18</v>
      </c>
      <c r="E929" s="16" t="s">
        <v>152</v>
      </c>
      <c r="F929" s="16" t="s">
        <v>153</v>
      </c>
      <c r="G929" s="16" t="s">
        <v>21</v>
      </c>
      <c r="H929" s="16" t="s">
        <v>32</v>
      </c>
      <c r="I929" s="16" t="s">
        <v>56</v>
      </c>
      <c r="J929" s="16" t="s">
        <v>191</v>
      </c>
      <c r="K929" s="18">
        <v>45864.9</v>
      </c>
      <c r="L929" s="18">
        <v>34509.160000000003</v>
      </c>
      <c r="M929" s="19">
        <v>4</v>
      </c>
      <c r="N929" s="20">
        <v>0.1</v>
      </c>
      <c r="O929" s="19" t="s">
        <v>136</v>
      </c>
      <c r="P929" s="19" t="s">
        <v>26</v>
      </c>
      <c r="Q929" s="19" t="str">
        <f>TRIM(SalesData[[#This Row],[Customer_Name]])</f>
        <v>Akash Chauhan</v>
      </c>
      <c r="R929" s="21">
        <f>SalesData[[#This Row],[Sales]]-SalesData[[#This Row],[Cost]]</f>
        <v>11355.739999999998</v>
      </c>
      <c r="S929" s="22">
        <f>IFERROR(SalesData[[#This Row],[Profit]]/SalesData[[#This Row],[Sales]],0)</f>
        <v>0.24759107727259838</v>
      </c>
      <c r="T929" s="19">
        <f>YEAR(SalesData[[#This Row],[Order_Date]])</f>
        <v>2024</v>
      </c>
      <c r="U929" s="19" t="str">
        <f>TEXT(SalesData[[#This Row],[Order_Date]],"mmm")</f>
        <v>Jun</v>
      </c>
      <c r="V929" s="19" t="str">
        <f>"Q"&amp;ROUNDUP(MONTH(SalesData[[#This Row],[Order_Date]])/3,0)</f>
        <v>Q2</v>
      </c>
      <c r="W929" s="19" t="str">
        <f>IF(SalesData[[#This Row],[Sales]]&gt;=50000,"High",IF(AND(SalesData[[#This Row],[Sales]]&gt;= 20000, SalesData[[#This Row],[Sales]]&lt; 50000),"Medium","Low"))</f>
        <v>Medium</v>
      </c>
      <c r="X929" s="19" t="str">
        <f>IF(SalesData[[#This Row],[Profit]]&gt;0,"Profit","Loss")</f>
        <v>Profit</v>
      </c>
      <c r="Y929" s="19" t="str">
        <f>IF(AND(SalesData[[#This Row],[Sales]]&gt;= 50000, SalesData[[#This Row],[Quantity]]&gt;=2),"Yes","No")</f>
        <v>No</v>
      </c>
      <c r="Z929" s="19" t="str">
        <f>UPPER(SalesData[[#This Row],[Customer_Name]])</f>
        <v>AKASH CHAUHAN</v>
      </c>
      <c r="AA929" s="19" t="str">
        <f>LOWER(SalesData[[#This Row],[Customer_Name]])</f>
        <v>akash chauhan</v>
      </c>
      <c r="AB929" s="19">
        <f>LEN(SalesData[[#This Row],[Customer_Name]])</f>
        <v>13</v>
      </c>
      <c r="AC929" s="19" t="str">
        <f>LEFT(SalesData[[#This Row],[Order_ID]],3)</f>
        <v>ORD</v>
      </c>
      <c r="AD929" s="19" t="str">
        <f>RIGHT(SalesData[[#This Row],[Order_ID]],4)</f>
        <v>0621</v>
      </c>
      <c r="AE929" s="19" t="str">
        <f>_xlfn.CONCAT(SalesData[[#This Row],[Clean_Customer_Name]],"-",SalesData[[#This Row],[Region]])</f>
        <v>Akash Chauhan-West</v>
      </c>
      <c r="AF929" s="19" t="str">
        <f>MID(SalesData[[#This Row],[Order_ID]],4,4)</f>
        <v>0621</v>
      </c>
      <c r="AG929" s="19" t="e">
        <f ca="1">_xlfn.SINGLE(_xlfn.XLOOKUP(SalesData[[#This Row],[Product]],Product_Master!A:A,Product_Master!B:B,"Not Found"))</f>
        <v>#NAME?</v>
      </c>
      <c r="AH929" s="19" t="str">
        <f>VLOOKUP(SalesData[[#This Row],[Product]],Product_Master!$A$1:$B$21,2,FALSE)</f>
        <v>Simran</v>
      </c>
      <c r="AI929" s="16"/>
    </row>
    <row r="930" spans="1:35" ht="13.8">
      <c r="A930" s="16" t="s">
        <v>949</v>
      </c>
      <c r="B930" s="17">
        <v>45702</v>
      </c>
      <c r="C930" s="16" t="s">
        <v>17</v>
      </c>
      <c r="D930" s="16" t="s">
        <v>18</v>
      </c>
      <c r="E930" s="16" t="s">
        <v>152</v>
      </c>
      <c r="F930" s="16" t="s">
        <v>153</v>
      </c>
      <c r="G930" s="16" t="s">
        <v>21</v>
      </c>
      <c r="H930" s="16" t="s">
        <v>32</v>
      </c>
      <c r="I930" s="16" t="s">
        <v>23</v>
      </c>
      <c r="J930" s="16" t="s">
        <v>24</v>
      </c>
      <c r="K930" s="18">
        <v>22337.200000000001</v>
      </c>
      <c r="L930" s="18">
        <v>16410.54</v>
      </c>
      <c r="M930" s="19">
        <v>2</v>
      </c>
      <c r="N930" s="20">
        <v>0</v>
      </c>
      <c r="O930" s="19" t="s">
        <v>25</v>
      </c>
      <c r="P930" s="19" t="s">
        <v>58</v>
      </c>
      <c r="Q930" s="19" t="str">
        <f>TRIM(SalesData[[#This Row],[Customer_Name]])</f>
        <v>Akash Chauhan</v>
      </c>
      <c r="R930" s="21">
        <f>SalesData[[#This Row],[Sales]]-SalesData[[#This Row],[Cost]]</f>
        <v>5926.66</v>
      </c>
      <c r="S930" s="22">
        <f>IFERROR(SalesData[[#This Row],[Profit]]/SalesData[[#This Row],[Sales]],0)</f>
        <v>0.26532689862650644</v>
      </c>
      <c r="T930" s="19">
        <f>YEAR(SalesData[[#This Row],[Order_Date]])</f>
        <v>2025</v>
      </c>
      <c r="U930" s="19" t="str">
        <f>TEXT(SalesData[[#This Row],[Order_Date]],"mmm")</f>
        <v>Feb</v>
      </c>
      <c r="V930" s="19" t="str">
        <f>"Q"&amp;ROUNDUP(MONTH(SalesData[[#This Row],[Order_Date]])/3,0)</f>
        <v>Q1</v>
      </c>
      <c r="W930" s="19" t="str">
        <f>IF(SalesData[[#This Row],[Sales]]&gt;=50000,"High",IF(AND(SalesData[[#This Row],[Sales]]&gt;= 20000, SalesData[[#This Row],[Sales]]&lt; 50000),"Medium","Low"))</f>
        <v>Medium</v>
      </c>
      <c r="X930" s="19" t="str">
        <f>IF(SalesData[[#This Row],[Profit]]&gt;0,"Profit","Loss")</f>
        <v>Profit</v>
      </c>
      <c r="Y930" s="19" t="str">
        <f>IF(AND(SalesData[[#This Row],[Sales]]&gt;= 50000, SalesData[[#This Row],[Quantity]]&gt;=2),"Yes","No")</f>
        <v>No</v>
      </c>
      <c r="Z930" s="19" t="str">
        <f>UPPER(SalesData[[#This Row],[Customer_Name]])</f>
        <v>AKASH CHAUHAN</v>
      </c>
      <c r="AA930" s="19" t="str">
        <f>LOWER(SalesData[[#This Row],[Customer_Name]])</f>
        <v>akash chauhan</v>
      </c>
      <c r="AB930" s="19">
        <f>LEN(SalesData[[#This Row],[Customer_Name]])</f>
        <v>13</v>
      </c>
      <c r="AC930" s="19" t="str">
        <f>LEFT(SalesData[[#This Row],[Order_ID]],3)</f>
        <v>ORD</v>
      </c>
      <c r="AD930" s="19" t="str">
        <f>RIGHT(SalesData[[#This Row],[Order_ID]],4)</f>
        <v>0796</v>
      </c>
      <c r="AE930" s="19" t="str">
        <f>_xlfn.CONCAT(SalesData[[#This Row],[Clean_Customer_Name]],"-",SalesData[[#This Row],[Region]])</f>
        <v>Akash Chauhan-North</v>
      </c>
      <c r="AF930" s="19" t="str">
        <f>MID(SalesData[[#This Row],[Order_ID]],4,4)</f>
        <v>0796</v>
      </c>
      <c r="AG930" s="19" t="e">
        <f ca="1">_xlfn.SINGLE(_xlfn.XLOOKUP(SalesData[[#This Row],[Product]],Product_Master!A:A,Product_Master!B:B,"Not Found"))</f>
        <v>#NAME?</v>
      </c>
      <c r="AH930" s="19" t="str">
        <f>VLOOKUP(SalesData[[#This Row],[Product]],Product_Master!$A$1:$B$21,2,FALSE)</f>
        <v>Simran</v>
      </c>
      <c r="AI930" s="16"/>
    </row>
    <row r="931" spans="1:35" ht="13.8">
      <c r="A931" s="16" t="s">
        <v>973</v>
      </c>
      <c r="B931" s="17">
        <v>45597</v>
      </c>
      <c r="C931" s="16" t="s">
        <v>17</v>
      </c>
      <c r="D931" s="16" t="s">
        <v>18</v>
      </c>
      <c r="E931" s="16" t="s">
        <v>152</v>
      </c>
      <c r="F931" s="16" t="s">
        <v>153</v>
      </c>
      <c r="G931" s="16" t="s">
        <v>21</v>
      </c>
      <c r="H931" s="16" t="s">
        <v>32</v>
      </c>
      <c r="I931" s="16" t="s">
        <v>23</v>
      </c>
      <c r="J931" s="16" t="s">
        <v>33</v>
      </c>
      <c r="K931" s="18">
        <v>50906.38</v>
      </c>
      <c r="L931" s="18">
        <v>33927.040000000001</v>
      </c>
      <c r="M931" s="19">
        <v>4</v>
      </c>
      <c r="N931" s="20">
        <v>0.1</v>
      </c>
      <c r="O931" s="19" t="s">
        <v>34</v>
      </c>
      <c r="P931" s="19" t="s">
        <v>58</v>
      </c>
      <c r="Q931" s="19" t="str">
        <f>TRIM(SalesData[[#This Row],[Customer_Name]])</f>
        <v>Akash Chauhan</v>
      </c>
      <c r="R931" s="21">
        <f>SalesData[[#This Row],[Sales]]-SalesData[[#This Row],[Cost]]</f>
        <v>16979.339999999997</v>
      </c>
      <c r="S931" s="22">
        <f>IFERROR(SalesData[[#This Row],[Profit]]/SalesData[[#This Row],[Sales]],0)</f>
        <v>0.33354051103221244</v>
      </c>
      <c r="T931" s="19">
        <f>YEAR(SalesData[[#This Row],[Order_Date]])</f>
        <v>2024</v>
      </c>
      <c r="U931" s="19" t="str">
        <f>TEXT(SalesData[[#This Row],[Order_Date]],"mmm")</f>
        <v>Nov</v>
      </c>
      <c r="V931" s="19" t="str">
        <f>"Q"&amp;ROUNDUP(MONTH(SalesData[[#This Row],[Order_Date]])/3,0)</f>
        <v>Q4</v>
      </c>
      <c r="W931" s="19" t="str">
        <f>IF(SalesData[[#This Row],[Sales]]&gt;=50000,"High",IF(AND(SalesData[[#This Row],[Sales]]&gt;= 20000, SalesData[[#This Row],[Sales]]&lt; 50000),"Medium","Low"))</f>
        <v>High</v>
      </c>
      <c r="X931" s="19" t="str">
        <f>IF(SalesData[[#This Row],[Profit]]&gt;0,"Profit","Loss")</f>
        <v>Profit</v>
      </c>
      <c r="Y931" s="19" t="str">
        <f>IF(AND(SalesData[[#This Row],[Sales]]&gt;= 50000, SalesData[[#This Row],[Quantity]]&gt;=2),"Yes","No")</f>
        <v>Yes</v>
      </c>
      <c r="Z931" s="19" t="str">
        <f>UPPER(SalesData[[#This Row],[Customer_Name]])</f>
        <v>AKASH CHAUHAN</v>
      </c>
      <c r="AA931" s="19" t="str">
        <f>LOWER(SalesData[[#This Row],[Customer_Name]])</f>
        <v>akash chauhan</v>
      </c>
      <c r="AB931" s="19">
        <f>LEN(SalesData[[#This Row],[Customer_Name]])</f>
        <v>13</v>
      </c>
      <c r="AC931" s="19" t="str">
        <f>LEFT(SalesData[[#This Row],[Order_ID]],3)</f>
        <v>ORD</v>
      </c>
      <c r="AD931" s="19" t="str">
        <f>RIGHT(SalesData[[#This Row],[Order_ID]],4)</f>
        <v>0820</v>
      </c>
      <c r="AE931" s="19" t="str">
        <f>_xlfn.CONCAT(SalesData[[#This Row],[Clean_Customer_Name]],"-",SalesData[[#This Row],[Region]])</f>
        <v>Akash Chauhan-North</v>
      </c>
      <c r="AF931" s="19" t="str">
        <f>MID(SalesData[[#This Row],[Order_ID]],4,4)</f>
        <v>0820</v>
      </c>
      <c r="AG931" s="19" t="e">
        <f ca="1">_xlfn.SINGLE(_xlfn.XLOOKUP(SalesData[[#This Row],[Product]],Product_Master!A:A,Product_Master!B:B,"Not Found"))</f>
        <v>#NAME?</v>
      </c>
      <c r="AH931" s="19" t="str">
        <f>VLOOKUP(SalesData[[#This Row],[Product]],Product_Master!$A$1:$B$21,2,FALSE)</f>
        <v>Simran</v>
      </c>
      <c r="AI931" s="16"/>
    </row>
    <row r="932" spans="1:35" ht="13.8">
      <c r="A932" s="16" t="s">
        <v>561</v>
      </c>
      <c r="B932" s="17">
        <v>45941</v>
      </c>
      <c r="C932" s="16" t="s">
        <v>17</v>
      </c>
      <c r="D932" s="16" t="s">
        <v>18</v>
      </c>
      <c r="E932" s="16" t="s">
        <v>117</v>
      </c>
      <c r="F932" s="16" t="s">
        <v>118</v>
      </c>
      <c r="G932" s="16" t="s">
        <v>51</v>
      </c>
      <c r="H932" s="16" t="s">
        <v>119</v>
      </c>
      <c r="I932" s="16" t="s">
        <v>84</v>
      </c>
      <c r="J932" s="16" t="s">
        <v>134</v>
      </c>
      <c r="K932" s="18">
        <v>6336.72</v>
      </c>
      <c r="L932" s="18">
        <v>4054.24</v>
      </c>
      <c r="M932" s="19">
        <v>1</v>
      </c>
      <c r="N932" s="20">
        <v>0.05</v>
      </c>
      <c r="O932" s="19" t="s">
        <v>34</v>
      </c>
      <c r="P932" s="19" t="s">
        <v>58</v>
      </c>
      <c r="Q932" s="19" t="str">
        <f>TRIM(SalesData[[#This Row],[Customer_Name]])</f>
        <v>Akash Chauhan</v>
      </c>
      <c r="R932" s="21">
        <f>SalesData[[#This Row],[Sales]]-SalesData[[#This Row],[Cost]]</f>
        <v>2282.4800000000005</v>
      </c>
      <c r="S932" s="22">
        <f>IFERROR(SalesData[[#This Row],[Profit]]/SalesData[[#This Row],[Sales]],0)</f>
        <v>0.36019896728907075</v>
      </c>
      <c r="T932" s="19">
        <f>YEAR(SalesData[[#This Row],[Order_Date]])</f>
        <v>2025</v>
      </c>
      <c r="U932" s="19" t="str">
        <f>TEXT(SalesData[[#This Row],[Order_Date]],"mmm")</f>
        <v>Oct</v>
      </c>
      <c r="V932" s="19" t="str">
        <f>"Q"&amp;ROUNDUP(MONTH(SalesData[[#This Row],[Order_Date]])/3,0)</f>
        <v>Q4</v>
      </c>
      <c r="W932" s="19" t="str">
        <f>IF(SalesData[[#This Row],[Sales]]&gt;=50000,"High",IF(AND(SalesData[[#This Row],[Sales]]&gt;= 20000, SalesData[[#This Row],[Sales]]&lt; 50000),"Medium","Low"))</f>
        <v>Low</v>
      </c>
      <c r="X932" s="19" t="str">
        <f>IF(SalesData[[#This Row],[Profit]]&gt;0,"Profit","Loss")</f>
        <v>Profit</v>
      </c>
      <c r="Y932" s="19" t="str">
        <f>IF(AND(SalesData[[#This Row],[Sales]]&gt;= 50000, SalesData[[#This Row],[Quantity]]&gt;=2),"Yes","No")</f>
        <v>No</v>
      </c>
      <c r="Z932" s="19" t="str">
        <f>UPPER(SalesData[[#This Row],[Customer_Name]])</f>
        <v>AKASH CHAUHAN</v>
      </c>
      <c r="AA932" s="19" t="str">
        <f>LOWER(SalesData[[#This Row],[Customer_Name]])</f>
        <v>akash chauhan</v>
      </c>
      <c r="AB932" s="19">
        <f>LEN(SalesData[[#This Row],[Customer_Name]])</f>
        <v>13</v>
      </c>
      <c r="AC932" s="19" t="str">
        <f>LEFT(SalesData[[#This Row],[Order_ID]],3)</f>
        <v>ORD</v>
      </c>
      <c r="AD932" s="19" t="str">
        <f>RIGHT(SalesData[[#This Row],[Order_ID]],4)</f>
        <v>0408</v>
      </c>
      <c r="AE932" s="19" t="str">
        <f>_xlfn.CONCAT(SalesData[[#This Row],[Clean_Customer_Name]],"-",SalesData[[#This Row],[Region]])</f>
        <v>Akash Chauhan-South</v>
      </c>
      <c r="AF932" s="19" t="str">
        <f>MID(SalesData[[#This Row],[Order_ID]],4,4)</f>
        <v>0408</v>
      </c>
      <c r="AG932" s="19" t="e">
        <f ca="1">_xlfn.SINGLE(_xlfn.XLOOKUP(SalesData[[#This Row],[Product]],Product_Master!A:A,Product_Master!B:B,"Not Found"))</f>
        <v>#NAME?</v>
      </c>
      <c r="AH932" s="19" t="str">
        <f>VLOOKUP(SalesData[[#This Row],[Product]],Product_Master!$A$1:$B$21,2,FALSE)</f>
        <v>Karan</v>
      </c>
      <c r="AI932" s="16"/>
    </row>
    <row r="933" spans="1:35" ht="13.8">
      <c r="A933" s="16" t="s">
        <v>578</v>
      </c>
      <c r="B933" s="17">
        <v>45427</v>
      </c>
      <c r="C933" s="16" t="s">
        <v>17</v>
      </c>
      <c r="D933" s="16" t="s">
        <v>18</v>
      </c>
      <c r="E933" s="16" t="s">
        <v>117</v>
      </c>
      <c r="F933" s="16" t="s">
        <v>118</v>
      </c>
      <c r="G933" s="16" t="s">
        <v>51</v>
      </c>
      <c r="H933" s="16" t="s">
        <v>119</v>
      </c>
      <c r="I933" s="16" t="s">
        <v>23</v>
      </c>
      <c r="J933" s="16" t="s">
        <v>33</v>
      </c>
      <c r="K933" s="18">
        <v>10072.33</v>
      </c>
      <c r="L933" s="18">
        <v>4933.41</v>
      </c>
      <c r="M933" s="19">
        <v>1</v>
      </c>
      <c r="N933" s="20">
        <v>0</v>
      </c>
      <c r="O933" s="19" t="s">
        <v>136</v>
      </c>
      <c r="P933" s="19" t="s">
        <v>98</v>
      </c>
      <c r="Q933" s="19" t="str">
        <f>TRIM(SalesData[[#This Row],[Customer_Name]])</f>
        <v>Akash Chauhan</v>
      </c>
      <c r="R933" s="21">
        <f>SalesData[[#This Row],[Sales]]-SalesData[[#This Row],[Cost]]</f>
        <v>5138.92</v>
      </c>
      <c r="S933" s="22">
        <f>IFERROR(SalesData[[#This Row],[Profit]]/SalesData[[#This Row],[Sales]],0)</f>
        <v>0.51020171102416223</v>
      </c>
      <c r="T933" s="19">
        <f>YEAR(SalesData[[#This Row],[Order_Date]])</f>
        <v>2024</v>
      </c>
      <c r="U933" s="19" t="str">
        <f>TEXT(SalesData[[#This Row],[Order_Date]],"mmm")</f>
        <v>May</v>
      </c>
      <c r="V933" s="19" t="str">
        <f>"Q"&amp;ROUNDUP(MONTH(SalesData[[#This Row],[Order_Date]])/3,0)</f>
        <v>Q2</v>
      </c>
      <c r="W933" s="19" t="str">
        <f>IF(SalesData[[#This Row],[Sales]]&gt;=50000,"High",IF(AND(SalesData[[#This Row],[Sales]]&gt;= 20000, SalesData[[#This Row],[Sales]]&lt; 50000),"Medium","Low"))</f>
        <v>Low</v>
      </c>
      <c r="X933" s="19" t="str">
        <f>IF(SalesData[[#This Row],[Profit]]&gt;0,"Profit","Loss")</f>
        <v>Profit</v>
      </c>
      <c r="Y933" s="19" t="str">
        <f>IF(AND(SalesData[[#This Row],[Sales]]&gt;= 50000, SalesData[[#This Row],[Quantity]]&gt;=2),"Yes","No")</f>
        <v>No</v>
      </c>
      <c r="Z933" s="19" t="str">
        <f>UPPER(SalesData[[#This Row],[Customer_Name]])</f>
        <v>AKASH CHAUHAN</v>
      </c>
      <c r="AA933" s="19" t="str">
        <f>LOWER(SalesData[[#This Row],[Customer_Name]])</f>
        <v>akash chauhan</v>
      </c>
      <c r="AB933" s="19">
        <f>LEN(SalesData[[#This Row],[Customer_Name]])</f>
        <v>13</v>
      </c>
      <c r="AC933" s="19" t="str">
        <f>LEFT(SalesData[[#This Row],[Order_ID]],3)</f>
        <v>ORD</v>
      </c>
      <c r="AD933" s="19" t="str">
        <f>RIGHT(SalesData[[#This Row],[Order_ID]],4)</f>
        <v>0425</v>
      </c>
      <c r="AE933" s="19" t="str">
        <f>_xlfn.CONCAT(SalesData[[#This Row],[Clean_Customer_Name]],"-",SalesData[[#This Row],[Region]])</f>
        <v>Akash Chauhan-North</v>
      </c>
      <c r="AF933" s="19" t="str">
        <f>MID(SalesData[[#This Row],[Order_ID]],4,4)</f>
        <v>0425</v>
      </c>
      <c r="AG933" s="19" t="e">
        <f ca="1">_xlfn.SINGLE(_xlfn.XLOOKUP(SalesData[[#This Row],[Product]],Product_Master!A:A,Product_Master!B:B,"Not Found"))</f>
        <v>#NAME?</v>
      </c>
      <c r="AH933" s="19" t="str">
        <f>VLOOKUP(SalesData[[#This Row],[Product]],Product_Master!$A$1:$B$21,2,FALSE)</f>
        <v>Karan</v>
      </c>
      <c r="AI933" s="16"/>
    </row>
    <row r="934" spans="1:35" ht="13.8">
      <c r="A934" s="16" t="s">
        <v>1140</v>
      </c>
      <c r="B934" s="17">
        <v>45592</v>
      </c>
      <c r="C934" s="16" t="s">
        <v>17</v>
      </c>
      <c r="D934" s="16" t="s">
        <v>18</v>
      </c>
      <c r="E934" s="16" t="s">
        <v>117</v>
      </c>
      <c r="F934" s="16" t="s">
        <v>118</v>
      </c>
      <c r="G934" s="16" t="s">
        <v>51</v>
      </c>
      <c r="H934" s="16" t="s">
        <v>119</v>
      </c>
      <c r="I934" s="16" t="s">
        <v>23</v>
      </c>
      <c r="J934" s="16" t="s">
        <v>33</v>
      </c>
      <c r="K934" s="18">
        <v>6020.55</v>
      </c>
      <c r="L934" s="18">
        <v>4389.96</v>
      </c>
      <c r="M934" s="19">
        <v>1</v>
      </c>
      <c r="N934" s="20">
        <v>0.1</v>
      </c>
      <c r="O934" s="19" t="s">
        <v>25</v>
      </c>
      <c r="P934" s="19" t="s">
        <v>58</v>
      </c>
      <c r="Q934" s="19" t="str">
        <f>TRIM(SalesData[[#This Row],[Customer_Name]])</f>
        <v>Akash Chauhan</v>
      </c>
      <c r="R934" s="21">
        <f>SalesData[[#This Row],[Sales]]-SalesData[[#This Row],[Cost]]</f>
        <v>1630.5900000000001</v>
      </c>
      <c r="S934" s="22">
        <f>IFERROR(SalesData[[#This Row],[Profit]]/SalesData[[#This Row],[Sales]],0)</f>
        <v>0.27083738196676382</v>
      </c>
      <c r="T934" s="19">
        <f>YEAR(SalesData[[#This Row],[Order_Date]])</f>
        <v>2024</v>
      </c>
      <c r="U934" s="19" t="str">
        <f>TEXT(SalesData[[#This Row],[Order_Date]],"mmm")</f>
        <v>Oct</v>
      </c>
      <c r="V934" s="19" t="str">
        <f>"Q"&amp;ROUNDUP(MONTH(SalesData[[#This Row],[Order_Date]])/3,0)</f>
        <v>Q4</v>
      </c>
      <c r="W934" s="19" t="str">
        <f>IF(SalesData[[#This Row],[Sales]]&gt;=50000,"High",IF(AND(SalesData[[#This Row],[Sales]]&gt;= 20000, SalesData[[#This Row],[Sales]]&lt; 50000),"Medium","Low"))</f>
        <v>Low</v>
      </c>
      <c r="X934" s="19" t="str">
        <f>IF(SalesData[[#This Row],[Profit]]&gt;0,"Profit","Loss")</f>
        <v>Profit</v>
      </c>
      <c r="Y934" s="19" t="str">
        <f>IF(AND(SalesData[[#This Row],[Sales]]&gt;= 50000, SalesData[[#This Row],[Quantity]]&gt;=2),"Yes","No")</f>
        <v>No</v>
      </c>
      <c r="Z934" s="19" t="str">
        <f>UPPER(SalesData[[#This Row],[Customer_Name]])</f>
        <v>AKASH CHAUHAN</v>
      </c>
      <c r="AA934" s="19" t="str">
        <f>LOWER(SalesData[[#This Row],[Customer_Name]])</f>
        <v>akash chauhan</v>
      </c>
      <c r="AB934" s="19">
        <f>LEN(SalesData[[#This Row],[Customer_Name]])</f>
        <v>13</v>
      </c>
      <c r="AC934" s="19" t="str">
        <f>LEFT(SalesData[[#This Row],[Order_ID]],3)</f>
        <v>ORD</v>
      </c>
      <c r="AD934" s="19" t="str">
        <f>RIGHT(SalesData[[#This Row],[Order_ID]],4)</f>
        <v>0987</v>
      </c>
      <c r="AE934" s="19" t="str">
        <f>_xlfn.CONCAT(SalesData[[#This Row],[Clean_Customer_Name]],"-",SalesData[[#This Row],[Region]])</f>
        <v>Akash Chauhan-North</v>
      </c>
      <c r="AF934" s="19" t="str">
        <f>MID(SalesData[[#This Row],[Order_ID]],4,4)</f>
        <v>0987</v>
      </c>
      <c r="AG934" s="19" t="e">
        <f ca="1">_xlfn.SINGLE(_xlfn.XLOOKUP(SalesData[[#This Row],[Product]],Product_Master!A:A,Product_Master!B:B,"Not Found"))</f>
        <v>#NAME?</v>
      </c>
      <c r="AH934" s="19" t="str">
        <f>VLOOKUP(SalesData[[#This Row],[Product]],Product_Master!$A$1:$B$21,2,FALSE)</f>
        <v>Karan</v>
      </c>
      <c r="AI934" s="16"/>
    </row>
    <row r="935" spans="1:35" ht="13.8">
      <c r="A935" s="16" t="s">
        <v>204</v>
      </c>
      <c r="B935" s="17">
        <v>45742</v>
      </c>
      <c r="C935" s="16" t="s">
        <v>17</v>
      </c>
      <c r="D935" s="16" t="s">
        <v>18</v>
      </c>
      <c r="E935" s="16" t="s">
        <v>72</v>
      </c>
      <c r="F935" s="16" t="s">
        <v>73</v>
      </c>
      <c r="G935" s="16" t="s">
        <v>51</v>
      </c>
      <c r="H935" s="16" t="s">
        <v>74</v>
      </c>
      <c r="I935" s="16" t="s">
        <v>84</v>
      </c>
      <c r="J935" s="16" t="s">
        <v>142</v>
      </c>
      <c r="K935" s="18">
        <v>5196.96</v>
      </c>
      <c r="L935" s="18">
        <v>4170.84</v>
      </c>
      <c r="M935" s="19">
        <v>1</v>
      </c>
      <c r="N935" s="20">
        <v>0.1</v>
      </c>
      <c r="O935" s="19" t="s">
        <v>44</v>
      </c>
      <c r="P935" s="19" t="s">
        <v>58</v>
      </c>
      <c r="Q935" s="19" t="str">
        <f>TRIM(SalesData[[#This Row],[Customer_Name]])</f>
        <v>Akash Chauhan</v>
      </c>
      <c r="R935" s="21">
        <f>SalesData[[#This Row],[Sales]]-SalesData[[#This Row],[Cost]]</f>
        <v>1026.1199999999999</v>
      </c>
      <c r="S935" s="22">
        <f>IFERROR(SalesData[[#This Row],[Profit]]/SalesData[[#This Row],[Sales]],0)</f>
        <v>0.19744619931652349</v>
      </c>
      <c r="T935" s="19">
        <f>YEAR(SalesData[[#This Row],[Order_Date]])</f>
        <v>2025</v>
      </c>
      <c r="U935" s="19" t="str">
        <f>TEXT(SalesData[[#This Row],[Order_Date]],"mmm")</f>
        <v>Mar</v>
      </c>
      <c r="V935" s="19" t="str">
        <f>"Q"&amp;ROUNDUP(MONTH(SalesData[[#This Row],[Order_Date]])/3,0)</f>
        <v>Q1</v>
      </c>
      <c r="W935" s="19" t="str">
        <f>IF(SalesData[[#This Row],[Sales]]&gt;=50000,"High",IF(AND(SalesData[[#This Row],[Sales]]&gt;= 20000, SalesData[[#This Row],[Sales]]&lt; 50000),"Medium","Low"))</f>
        <v>Low</v>
      </c>
      <c r="X935" s="19" t="str">
        <f>IF(SalesData[[#This Row],[Profit]]&gt;0,"Profit","Loss")</f>
        <v>Profit</v>
      </c>
      <c r="Y935" s="19" t="str">
        <f>IF(AND(SalesData[[#This Row],[Sales]]&gt;= 50000, SalesData[[#This Row],[Quantity]]&gt;=2),"Yes","No")</f>
        <v>No</v>
      </c>
      <c r="Z935" s="19" t="str">
        <f>UPPER(SalesData[[#This Row],[Customer_Name]])</f>
        <v>AKASH CHAUHAN</v>
      </c>
      <c r="AA935" s="19" t="str">
        <f>LOWER(SalesData[[#This Row],[Customer_Name]])</f>
        <v>akash chauhan</v>
      </c>
      <c r="AB935" s="19">
        <f>LEN(SalesData[[#This Row],[Customer_Name]])</f>
        <v>13</v>
      </c>
      <c r="AC935" s="19" t="str">
        <f>LEFT(SalesData[[#This Row],[Order_ID]],3)</f>
        <v>ORD</v>
      </c>
      <c r="AD935" s="19" t="str">
        <f>RIGHT(SalesData[[#This Row],[Order_ID]],4)</f>
        <v>0057</v>
      </c>
      <c r="AE935" s="19" t="str">
        <f>_xlfn.CONCAT(SalesData[[#This Row],[Clean_Customer_Name]],"-",SalesData[[#This Row],[Region]])</f>
        <v>Akash Chauhan-South</v>
      </c>
      <c r="AF935" s="19" t="str">
        <f>MID(SalesData[[#This Row],[Order_ID]],4,4)</f>
        <v>0057</v>
      </c>
      <c r="AG935" s="19" t="e">
        <f ca="1">_xlfn.SINGLE(_xlfn.XLOOKUP(SalesData[[#This Row],[Product]],Product_Master!A:A,Product_Master!B:B,"Not Found"))</f>
        <v>#NAME?</v>
      </c>
      <c r="AH935" s="19" t="str">
        <f>VLOOKUP(SalesData[[#This Row],[Product]],Product_Master!$A$1:$B$21,2,FALSE)</f>
        <v>Anjali</v>
      </c>
      <c r="AI935" s="16"/>
    </row>
    <row r="936" spans="1:35" ht="13.8">
      <c r="A936" s="16" t="s">
        <v>1073</v>
      </c>
      <c r="B936" s="17">
        <v>45922</v>
      </c>
      <c r="C936" s="16" t="s">
        <v>17</v>
      </c>
      <c r="D936" s="16" t="s">
        <v>18</v>
      </c>
      <c r="E936" s="16" t="s">
        <v>72</v>
      </c>
      <c r="F936" s="16" t="s">
        <v>73</v>
      </c>
      <c r="G936" s="16" t="s">
        <v>51</v>
      </c>
      <c r="H936" s="16" t="s">
        <v>74</v>
      </c>
      <c r="I936" s="16" t="s">
        <v>23</v>
      </c>
      <c r="J936" s="16" t="s">
        <v>24</v>
      </c>
      <c r="K936" s="18">
        <v>35320</v>
      </c>
      <c r="L936" s="18">
        <v>18756.400000000001</v>
      </c>
      <c r="M936" s="19">
        <v>5</v>
      </c>
      <c r="N936" s="20">
        <v>0.05</v>
      </c>
      <c r="O936" s="19" t="s">
        <v>44</v>
      </c>
      <c r="P936" s="19" t="s">
        <v>58</v>
      </c>
      <c r="Q936" s="19" t="str">
        <f>TRIM(SalesData[[#This Row],[Customer_Name]])</f>
        <v>Akash Chauhan</v>
      </c>
      <c r="R936" s="21">
        <f>SalesData[[#This Row],[Sales]]-SalesData[[#This Row],[Cost]]</f>
        <v>16563.599999999999</v>
      </c>
      <c r="S936" s="22">
        <f>IFERROR(SalesData[[#This Row],[Profit]]/SalesData[[#This Row],[Sales]],0)</f>
        <v>0.46895809739524347</v>
      </c>
      <c r="T936" s="19">
        <f>YEAR(SalesData[[#This Row],[Order_Date]])</f>
        <v>2025</v>
      </c>
      <c r="U936" s="19" t="str">
        <f>TEXT(SalesData[[#This Row],[Order_Date]],"mmm")</f>
        <v>Sept</v>
      </c>
      <c r="V936" s="19" t="str">
        <f>"Q"&amp;ROUNDUP(MONTH(SalesData[[#This Row],[Order_Date]])/3,0)</f>
        <v>Q3</v>
      </c>
      <c r="W936" s="19" t="str">
        <f>IF(SalesData[[#This Row],[Sales]]&gt;=50000,"High",IF(AND(SalesData[[#This Row],[Sales]]&gt;= 20000, SalesData[[#This Row],[Sales]]&lt; 50000),"Medium","Low"))</f>
        <v>Medium</v>
      </c>
      <c r="X936" s="19" t="str">
        <f>IF(SalesData[[#This Row],[Profit]]&gt;0,"Profit","Loss")</f>
        <v>Profit</v>
      </c>
      <c r="Y936" s="19" t="str">
        <f>IF(AND(SalesData[[#This Row],[Sales]]&gt;= 50000, SalesData[[#This Row],[Quantity]]&gt;=2),"Yes","No")</f>
        <v>No</v>
      </c>
      <c r="Z936" s="19" t="str">
        <f>UPPER(SalesData[[#This Row],[Customer_Name]])</f>
        <v>AKASH CHAUHAN</v>
      </c>
      <c r="AA936" s="19" t="str">
        <f>LOWER(SalesData[[#This Row],[Customer_Name]])</f>
        <v>akash chauhan</v>
      </c>
      <c r="AB936" s="19">
        <f>LEN(SalesData[[#This Row],[Customer_Name]])</f>
        <v>13</v>
      </c>
      <c r="AC936" s="19" t="str">
        <f>LEFT(SalesData[[#This Row],[Order_ID]],3)</f>
        <v>ORD</v>
      </c>
      <c r="AD936" s="19" t="str">
        <f>RIGHT(SalesData[[#This Row],[Order_ID]],4)</f>
        <v>0920</v>
      </c>
      <c r="AE936" s="19" t="str">
        <f>_xlfn.CONCAT(SalesData[[#This Row],[Clean_Customer_Name]],"-",SalesData[[#This Row],[Region]])</f>
        <v>Akash Chauhan-North</v>
      </c>
      <c r="AF936" s="19" t="str">
        <f>MID(SalesData[[#This Row],[Order_ID]],4,4)</f>
        <v>0920</v>
      </c>
      <c r="AG936" s="19" t="e">
        <f ca="1">_xlfn.SINGLE(_xlfn.XLOOKUP(SalesData[[#This Row],[Product]],Product_Master!A:A,Product_Master!B:B,"Not Found"))</f>
        <v>#NAME?</v>
      </c>
      <c r="AH936" s="19" t="str">
        <f>VLOOKUP(SalesData[[#This Row],[Product]],Product_Master!$A$1:$B$21,2,FALSE)</f>
        <v>Anjali</v>
      </c>
      <c r="AI936" s="16"/>
    </row>
    <row r="937" spans="1:35" ht="13.8">
      <c r="A937" s="16" t="s">
        <v>437</v>
      </c>
      <c r="B937" s="17">
        <v>45550</v>
      </c>
      <c r="C937" s="16" t="s">
        <v>17</v>
      </c>
      <c r="D937" s="16" t="s">
        <v>18</v>
      </c>
      <c r="E937" s="16" t="s">
        <v>123</v>
      </c>
      <c r="F937" s="16" t="s">
        <v>124</v>
      </c>
      <c r="G937" s="16" t="s">
        <v>51</v>
      </c>
      <c r="H937" s="16" t="s">
        <v>125</v>
      </c>
      <c r="I937" s="16" t="s">
        <v>84</v>
      </c>
      <c r="J937" s="16" t="s">
        <v>85</v>
      </c>
      <c r="K937" s="18">
        <v>68474.259999999995</v>
      </c>
      <c r="L937" s="18">
        <v>37549.699999999997</v>
      </c>
      <c r="M937" s="19">
        <v>2</v>
      </c>
      <c r="N937" s="20">
        <v>0</v>
      </c>
      <c r="O937" s="19" t="s">
        <v>136</v>
      </c>
      <c r="P937" s="19" t="s">
        <v>98</v>
      </c>
      <c r="Q937" s="19" t="str">
        <f>TRIM(SalesData[[#This Row],[Customer_Name]])</f>
        <v>Akash Chauhan</v>
      </c>
      <c r="R937" s="21">
        <f>SalesData[[#This Row],[Sales]]-SalesData[[#This Row],[Cost]]</f>
        <v>30924.559999999998</v>
      </c>
      <c r="S937" s="22">
        <f>IFERROR(SalesData[[#This Row],[Profit]]/SalesData[[#This Row],[Sales]],0)</f>
        <v>0.45162313546725441</v>
      </c>
      <c r="T937" s="19">
        <f>YEAR(SalesData[[#This Row],[Order_Date]])</f>
        <v>2024</v>
      </c>
      <c r="U937" s="19" t="str">
        <f>TEXT(SalesData[[#This Row],[Order_Date]],"mmm")</f>
        <v>Sept</v>
      </c>
      <c r="V937" s="19" t="str">
        <f>"Q"&amp;ROUNDUP(MONTH(SalesData[[#This Row],[Order_Date]])/3,0)</f>
        <v>Q3</v>
      </c>
      <c r="W937" s="19" t="str">
        <f>IF(SalesData[[#This Row],[Sales]]&gt;=50000,"High",IF(AND(SalesData[[#This Row],[Sales]]&gt;= 20000, SalesData[[#This Row],[Sales]]&lt; 50000),"Medium","Low"))</f>
        <v>High</v>
      </c>
      <c r="X937" s="19" t="str">
        <f>IF(SalesData[[#This Row],[Profit]]&gt;0,"Profit","Loss")</f>
        <v>Profit</v>
      </c>
      <c r="Y937" s="19" t="str">
        <f>IF(AND(SalesData[[#This Row],[Sales]]&gt;= 50000, SalesData[[#This Row],[Quantity]]&gt;=2),"Yes","No")</f>
        <v>Yes</v>
      </c>
      <c r="Z937" s="19" t="str">
        <f>UPPER(SalesData[[#This Row],[Customer_Name]])</f>
        <v>AKASH CHAUHAN</v>
      </c>
      <c r="AA937" s="19" t="str">
        <f>LOWER(SalesData[[#This Row],[Customer_Name]])</f>
        <v>akash chauhan</v>
      </c>
      <c r="AB937" s="19">
        <f>LEN(SalesData[[#This Row],[Customer_Name]])</f>
        <v>13</v>
      </c>
      <c r="AC937" s="19" t="str">
        <f>LEFT(SalesData[[#This Row],[Order_ID]],3)</f>
        <v>ORD</v>
      </c>
      <c r="AD937" s="19" t="str">
        <f>RIGHT(SalesData[[#This Row],[Order_ID]],4)</f>
        <v>0284</v>
      </c>
      <c r="AE937" s="19" t="str">
        <f>_xlfn.CONCAT(SalesData[[#This Row],[Clean_Customer_Name]],"-",SalesData[[#This Row],[Region]])</f>
        <v>Akash Chauhan-South</v>
      </c>
      <c r="AF937" s="19" t="str">
        <f>MID(SalesData[[#This Row],[Order_ID]],4,4)</f>
        <v>0284</v>
      </c>
      <c r="AG937" s="19" t="e">
        <f ca="1">_xlfn.SINGLE(_xlfn.XLOOKUP(SalesData[[#This Row],[Product]],Product_Master!A:A,Product_Master!B:B,"Not Found"))</f>
        <v>#NAME?</v>
      </c>
      <c r="AH937" s="19" t="str">
        <f>VLOOKUP(SalesData[[#This Row],[Product]],Product_Master!$A$1:$B$21,2,FALSE)</f>
        <v>Sneha</v>
      </c>
      <c r="AI937" s="16"/>
    </row>
    <row r="938" spans="1:35" ht="13.8">
      <c r="A938" s="16" t="s">
        <v>468</v>
      </c>
      <c r="B938" s="17">
        <v>46008</v>
      </c>
      <c r="C938" s="16" t="s">
        <v>17</v>
      </c>
      <c r="D938" s="16" t="s">
        <v>18</v>
      </c>
      <c r="E938" s="16" t="s">
        <v>123</v>
      </c>
      <c r="F938" s="16" t="s">
        <v>124</v>
      </c>
      <c r="G938" s="16" t="s">
        <v>51</v>
      </c>
      <c r="H938" s="16" t="s">
        <v>125</v>
      </c>
      <c r="I938" s="16" t="s">
        <v>42</v>
      </c>
      <c r="J938" s="16" t="s">
        <v>162</v>
      </c>
      <c r="K938" s="18">
        <v>43573.98</v>
      </c>
      <c r="L938" s="18">
        <v>35490.46</v>
      </c>
      <c r="M938" s="19">
        <v>2</v>
      </c>
      <c r="N938" s="20">
        <v>0</v>
      </c>
      <c r="O938" s="19" t="s">
        <v>25</v>
      </c>
      <c r="P938" s="19" t="s">
        <v>58</v>
      </c>
      <c r="Q938" s="19" t="str">
        <f>TRIM(SalesData[[#This Row],[Customer_Name]])</f>
        <v>Akash Chauhan</v>
      </c>
      <c r="R938" s="21">
        <f>SalesData[[#This Row],[Sales]]-SalesData[[#This Row],[Cost]]</f>
        <v>8083.5200000000041</v>
      </c>
      <c r="S938" s="22">
        <f>IFERROR(SalesData[[#This Row],[Profit]]/SalesData[[#This Row],[Sales]],0)</f>
        <v>0.18551254670792072</v>
      </c>
      <c r="T938" s="19">
        <f>YEAR(SalesData[[#This Row],[Order_Date]])</f>
        <v>2025</v>
      </c>
      <c r="U938" s="19" t="str">
        <f>TEXT(SalesData[[#This Row],[Order_Date]],"mmm")</f>
        <v>Dec</v>
      </c>
      <c r="V938" s="19" t="str">
        <f>"Q"&amp;ROUNDUP(MONTH(SalesData[[#This Row],[Order_Date]])/3,0)</f>
        <v>Q4</v>
      </c>
      <c r="W938" s="19" t="str">
        <f>IF(SalesData[[#This Row],[Sales]]&gt;=50000,"High",IF(AND(SalesData[[#This Row],[Sales]]&gt;= 20000, SalesData[[#This Row],[Sales]]&lt; 50000),"Medium","Low"))</f>
        <v>Medium</v>
      </c>
      <c r="X938" s="19" t="str">
        <f>IF(SalesData[[#This Row],[Profit]]&gt;0,"Profit","Loss")</f>
        <v>Profit</v>
      </c>
      <c r="Y938" s="19" t="str">
        <f>IF(AND(SalesData[[#This Row],[Sales]]&gt;= 50000, SalesData[[#This Row],[Quantity]]&gt;=2),"Yes","No")</f>
        <v>No</v>
      </c>
      <c r="Z938" s="19" t="str">
        <f>UPPER(SalesData[[#This Row],[Customer_Name]])</f>
        <v>AKASH CHAUHAN</v>
      </c>
      <c r="AA938" s="19" t="str">
        <f>LOWER(SalesData[[#This Row],[Customer_Name]])</f>
        <v>akash chauhan</v>
      </c>
      <c r="AB938" s="19">
        <f>LEN(SalesData[[#This Row],[Customer_Name]])</f>
        <v>13</v>
      </c>
      <c r="AC938" s="19" t="str">
        <f>LEFT(SalesData[[#This Row],[Order_ID]],3)</f>
        <v>ORD</v>
      </c>
      <c r="AD938" s="19" t="str">
        <f>RIGHT(SalesData[[#This Row],[Order_ID]],4)</f>
        <v>0315</v>
      </c>
      <c r="AE938" s="19" t="str">
        <f>_xlfn.CONCAT(SalesData[[#This Row],[Clean_Customer_Name]],"-",SalesData[[#This Row],[Region]])</f>
        <v>Akash Chauhan-East</v>
      </c>
      <c r="AF938" s="19" t="str">
        <f>MID(SalesData[[#This Row],[Order_ID]],4,4)</f>
        <v>0315</v>
      </c>
      <c r="AG938" s="19" t="e">
        <f ca="1">_xlfn.SINGLE(_xlfn.XLOOKUP(SalesData[[#This Row],[Product]],Product_Master!A:A,Product_Master!B:B,"Not Found"))</f>
        <v>#NAME?</v>
      </c>
      <c r="AH938" s="19" t="str">
        <f>VLOOKUP(SalesData[[#This Row],[Product]],Product_Master!$A$1:$B$21,2,FALSE)</f>
        <v>Sneha</v>
      </c>
      <c r="AI938" s="16"/>
    </row>
    <row r="939" spans="1:35" ht="13.8">
      <c r="A939" s="16" t="s">
        <v>506</v>
      </c>
      <c r="B939" s="17">
        <v>45713</v>
      </c>
      <c r="C939" s="16" t="s">
        <v>17</v>
      </c>
      <c r="D939" s="16" t="s">
        <v>18</v>
      </c>
      <c r="E939" s="16" t="s">
        <v>123</v>
      </c>
      <c r="F939" s="16" t="s">
        <v>124</v>
      </c>
      <c r="G939" s="16" t="s">
        <v>51</v>
      </c>
      <c r="H939" s="16" t="s">
        <v>125</v>
      </c>
      <c r="I939" s="16" t="s">
        <v>56</v>
      </c>
      <c r="J939" s="16" t="s">
        <v>191</v>
      </c>
      <c r="K939" s="18">
        <v>92331.04</v>
      </c>
      <c r="L939" s="18">
        <v>89622.55</v>
      </c>
      <c r="M939" s="19">
        <v>5</v>
      </c>
      <c r="N939" s="20">
        <v>0.15</v>
      </c>
      <c r="O939" s="19" t="s">
        <v>76</v>
      </c>
      <c r="P939" s="19" t="s">
        <v>26</v>
      </c>
      <c r="Q939" s="19" t="str">
        <f>TRIM(SalesData[[#This Row],[Customer_Name]])</f>
        <v>Akash Chauhan</v>
      </c>
      <c r="R939" s="21">
        <f>SalesData[[#This Row],[Sales]]-SalesData[[#This Row],[Cost]]</f>
        <v>2708.4899999999907</v>
      </c>
      <c r="S939" s="22">
        <f>IFERROR(SalesData[[#This Row],[Profit]]/SalesData[[#This Row],[Sales]],0)</f>
        <v>2.9334555313142698E-2</v>
      </c>
      <c r="T939" s="19">
        <f>YEAR(SalesData[[#This Row],[Order_Date]])</f>
        <v>2025</v>
      </c>
      <c r="U939" s="19" t="str">
        <f>TEXT(SalesData[[#This Row],[Order_Date]],"mmm")</f>
        <v>Feb</v>
      </c>
      <c r="V939" s="19" t="str">
        <f>"Q"&amp;ROUNDUP(MONTH(SalesData[[#This Row],[Order_Date]])/3,0)</f>
        <v>Q1</v>
      </c>
      <c r="W939" s="19" t="str">
        <f>IF(SalesData[[#This Row],[Sales]]&gt;=50000,"High",IF(AND(SalesData[[#This Row],[Sales]]&gt;= 20000, SalesData[[#This Row],[Sales]]&lt; 50000),"Medium","Low"))</f>
        <v>High</v>
      </c>
      <c r="X939" s="19" t="str">
        <f>IF(SalesData[[#This Row],[Profit]]&gt;0,"Profit","Loss")</f>
        <v>Profit</v>
      </c>
      <c r="Y939" s="19" t="str">
        <f>IF(AND(SalesData[[#This Row],[Sales]]&gt;= 50000, SalesData[[#This Row],[Quantity]]&gt;=2),"Yes","No")</f>
        <v>Yes</v>
      </c>
      <c r="Z939" s="19" t="str">
        <f>UPPER(SalesData[[#This Row],[Customer_Name]])</f>
        <v>AKASH CHAUHAN</v>
      </c>
      <c r="AA939" s="19" t="str">
        <f>LOWER(SalesData[[#This Row],[Customer_Name]])</f>
        <v>akash chauhan</v>
      </c>
      <c r="AB939" s="19">
        <f>LEN(SalesData[[#This Row],[Customer_Name]])</f>
        <v>13</v>
      </c>
      <c r="AC939" s="19" t="str">
        <f>LEFT(SalesData[[#This Row],[Order_ID]],3)</f>
        <v>ORD</v>
      </c>
      <c r="AD939" s="19" t="str">
        <f>RIGHT(SalesData[[#This Row],[Order_ID]],4)</f>
        <v>0353</v>
      </c>
      <c r="AE939" s="19" t="str">
        <f>_xlfn.CONCAT(SalesData[[#This Row],[Clean_Customer_Name]],"-",SalesData[[#This Row],[Region]])</f>
        <v>Akash Chauhan-West</v>
      </c>
      <c r="AF939" s="19" t="str">
        <f>MID(SalesData[[#This Row],[Order_ID]],4,4)</f>
        <v>0353</v>
      </c>
      <c r="AG939" s="19" t="e">
        <f ca="1">_xlfn.SINGLE(_xlfn.XLOOKUP(SalesData[[#This Row],[Product]],Product_Master!A:A,Product_Master!B:B,"Not Found"))</f>
        <v>#NAME?</v>
      </c>
      <c r="AH939" s="19" t="str">
        <f>VLOOKUP(SalesData[[#This Row],[Product]],Product_Master!$A$1:$B$21,2,FALSE)</f>
        <v>Sneha</v>
      </c>
      <c r="AI939" s="16"/>
    </row>
    <row r="940" spans="1:35" ht="13.8">
      <c r="A940" s="16" t="s">
        <v>879</v>
      </c>
      <c r="B940" s="17">
        <v>45588</v>
      </c>
      <c r="C940" s="16" t="s">
        <v>17</v>
      </c>
      <c r="D940" s="16" t="s">
        <v>18</v>
      </c>
      <c r="E940" s="16" t="s">
        <v>123</v>
      </c>
      <c r="F940" s="16" t="s">
        <v>124</v>
      </c>
      <c r="G940" s="16" t="s">
        <v>51</v>
      </c>
      <c r="H940" s="16" t="s">
        <v>125</v>
      </c>
      <c r="I940" s="16" t="s">
        <v>56</v>
      </c>
      <c r="J940" s="16" t="s">
        <v>191</v>
      </c>
      <c r="K940" s="18">
        <v>146303.87</v>
      </c>
      <c r="L940" s="18">
        <v>93004</v>
      </c>
      <c r="M940" s="19">
        <v>5</v>
      </c>
      <c r="N940" s="20">
        <v>0.15</v>
      </c>
      <c r="O940" s="19" t="s">
        <v>44</v>
      </c>
      <c r="P940" s="19" t="s">
        <v>58</v>
      </c>
      <c r="Q940" s="19" t="str">
        <f>TRIM(SalesData[[#This Row],[Customer_Name]])</f>
        <v>Akash Chauhan</v>
      </c>
      <c r="R940" s="21">
        <f>SalesData[[#This Row],[Sales]]-SalesData[[#This Row],[Cost]]</f>
        <v>53299.869999999995</v>
      </c>
      <c r="S940" s="22">
        <f>IFERROR(SalesData[[#This Row],[Profit]]/SalesData[[#This Row],[Sales]],0)</f>
        <v>0.36430936515896672</v>
      </c>
      <c r="T940" s="19">
        <f>YEAR(SalesData[[#This Row],[Order_Date]])</f>
        <v>2024</v>
      </c>
      <c r="U940" s="19" t="str">
        <f>TEXT(SalesData[[#This Row],[Order_Date]],"mmm")</f>
        <v>Oct</v>
      </c>
      <c r="V940" s="19" t="str">
        <f>"Q"&amp;ROUNDUP(MONTH(SalesData[[#This Row],[Order_Date]])/3,0)</f>
        <v>Q4</v>
      </c>
      <c r="W940" s="19" t="str">
        <f>IF(SalesData[[#This Row],[Sales]]&gt;=50000,"High",IF(AND(SalesData[[#This Row],[Sales]]&gt;= 20000, SalesData[[#This Row],[Sales]]&lt; 50000),"Medium","Low"))</f>
        <v>High</v>
      </c>
      <c r="X940" s="19" t="str">
        <f>IF(SalesData[[#This Row],[Profit]]&gt;0,"Profit","Loss")</f>
        <v>Profit</v>
      </c>
      <c r="Y940" s="19" t="str">
        <f>IF(AND(SalesData[[#This Row],[Sales]]&gt;= 50000, SalesData[[#This Row],[Quantity]]&gt;=2),"Yes","No")</f>
        <v>Yes</v>
      </c>
      <c r="Z940" s="19" t="str">
        <f>UPPER(SalesData[[#This Row],[Customer_Name]])</f>
        <v>AKASH CHAUHAN</v>
      </c>
      <c r="AA940" s="19" t="str">
        <f>LOWER(SalesData[[#This Row],[Customer_Name]])</f>
        <v>akash chauhan</v>
      </c>
      <c r="AB940" s="19">
        <f>LEN(SalesData[[#This Row],[Customer_Name]])</f>
        <v>13</v>
      </c>
      <c r="AC940" s="19" t="str">
        <f>LEFT(SalesData[[#This Row],[Order_ID]],3)</f>
        <v>ORD</v>
      </c>
      <c r="AD940" s="19" t="str">
        <f>RIGHT(SalesData[[#This Row],[Order_ID]],4)</f>
        <v>0726</v>
      </c>
      <c r="AE940" s="19" t="str">
        <f>_xlfn.CONCAT(SalesData[[#This Row],[Clean_Customer_Name]],"-",SalesData[[#This Row],[Region]])</f>
        <v>Akash Chauhan-West</v>
      </c>
      <c r="AF940" s="19" t="str">
        <f>MID(SalesData[[#This Row],[Order_ID]],4,4)</f>
        <v>0726</v>
      </c>
      <c r="AG940" s="19" t="e">
        <f ca="1">_xlfn.SINGLE(_xlfn.XLOOKUP(SalesData[[#This Row],[Product]],Product_Master!A:A,Product_Master!B:B,"Not Found"))</f>
        <v>#NAME?</v>
      </c>
      <c r="AH940" s="19" t="str">
        <f>VLOOKUP(SalesData[[#This Row],[Product]],Product_Master!$A$1:$B$21,2,FALSE)</f>
        <v>Sneha</v>
      </c>
      <c r="AI940" s="16"/>
    </row>
    <row r="941" spans="1:35" ht="13.8">
      <c r="A941" s="16" t="s">
        <v>930</v>
      </c>
      <c r="B941" s="17">
        <v>45599</v>
      </c>
      <c r="C941" s="16" t="s">
        <v>17</v>
      </c>
      <c r="D941" s="16" t="s">
        <v>18</v>
      </c>
      <c r="E941" s="16" t="s">
        <v>123</v>
      </c>
      <c r="F941" s="16" t="s">
        <v>124</v>
      </c>
      <c r="G941" s="16" t="s">
        <v>51</v>
      </c>
      <c r="H941" s="16" t="s">
        <v>125</v>
      </c>
      <c r="I941" s="16" t="s">
        <v>56</v>
      </c>
      <c r="J941" s="16" t="s">
        <v>57</v>
      </c>
      <c r="K941" s="18">
        <v>87550.75</v>
      </c>
      <c r="L941" s="18">
        <v>74353.759999999995</v>
      </c>
      <c r="M941" s="19">
        <v>4</v>
      </c>
      <c r="N941" s="20">
        <v>0.15</v>
      </c>
      <c r="O941" s="19" t="s">
        <v>136</v>
      </c>
      <c r="P941" s="19" t="s">
        <v>45</v>
      </c>
      <c r="Q941" s="19" t="str">
        <f>TRIM(SalesData[[#This Row],[Customer_Name]])</f>
        <v>Akash Chauhan</v>
      </c>
      <c r="R941" s="21">
        <f>SalesData[[#This Row],[Sales]]-SalesData[[#This Row],[Cost]]</f>
        <v>13196.990000000005</v>
      </c>
      <c r="S941" s="22">
        <f>IFERROR(SalesData[[#This Row],[Profit]]/SalesData[[#This Row],[Sales]],0)</f>
        <v>0.15073531637364621</v>
      </c>
      <c r="T941" s="19">
        <f>YEAR(SalesData[[#This Row],[Order_Date]])</f>
        <v>2024</v>
      </c>
      <c r="U941" s="19" t="str">
        <f>TEXT(SalesData[[#This Row],[Order_Date]],"mmm")</f>
        <v>Nov</v>
      </c>
      <c r="V941" s="19" t="str">
        <f>"Q"&amp;ROUNDUP(MONTH(SalesData[[#This Row],[Order_Date]])/3,0)</f>
        <v>Q4</v>
      </c>
      <c r="W941" s="19" t="str">
        <f>IF(SalesData[[#This Row],[Sales]]&gt;=50000,"High",IF(AND(SalesData[[#This Row],[Sales]]&gt;= 20000, SalesData[[#This Row],[Sales]]&lt; 50000),"Medium","Low"))</f>
        <v>High</v>
      </c>
      <c r="X941" s="19" t="str">
        <f>IF(SalesData[[#This Row],[Profit]]&gt;0,"Profit","Loss")</f>
        <v>Profit</v>
      </c>
      <c r="Y941" s="19" t="str">
        <f>IF(AND(SalesData[[#This Row],[Sales]]&gt;= 50000, SalesData[[#This Row],[Quantity]]&gt;=2),"Yes","No")</f>
        <v>Yes</v>
      </c>
      <c r="Z941" s="19" t="str">
        <f>UPPER(SalesData[[#This Row],[Customer_Name]])</f>
        <v>AKASH CHAUHAN</v>
      </c>
      <c r="AA941" s="19" t="str">
        <f>LOWER(SalesData[[#This Row],[Customer_Name]])</f>
        <v>akash chauhan</v>
      </c>
      <c r="AB941" s="19">
        <f>LEN(SalesData[[#This Row],[Customer_Name]])</f>
        <v>13</v>
      </c>
      <c r="AC941" s="19" t="str">
        <f>LEFT(SalesData[[#This Row],[Order_ID]],3)</f>
        <v>ORD</v>
      </c>
      <c r="AD941" s="19" t="str">
        <f>RIGHT(SalesData[[#This Row],[Order_ID]],4)</f>
        <v>0777</v>
      </c>
      <c r="AE941" s="19" t="str">
        <f>_xlfn.CONCAT(SalesData[[#This Row],[Clean_Customer_Name]],"-",SalesData[[#This Row],[Region]])</f>
        <v>Akash Chauhan-West</v>
      </c>
      <c r="AF941" s="19" t="str">
        <f>MID(SalesData[[#This Row],[Order_ID]],4,4)</f>
        <v>0777</v>
      </c>
      <c r="AG941" s="19" t="e">
        <f ca="1">_xlfn.SINGLE(_xlfn.XLOOKUP(SalesData[[#This Row],[Product]],Product_Master!A:A,Product_Master!B:B,"Not Found"))</f>
        <v>#NAME?</v>
      </c>
      <c r="AH941" s="19" t="str">
        <f>VLOOKUP(SalesData[[#This Row],[Product]],Product_Master!$A$1:$B$21,2,FALSE)</f>
        <v>Sneha</v>
      </c>
      <c r="AI941" s="16"/>
    </row>
    <row r="942" spans="1:35" ht="13.8">
      <c r="A942" s="16" t="s">
        <v>1091</v>
      </c>
      <c r="B942" s="17">
        <v>45467</v>
      </c>
      <c r="C942" s="16" t="s">
        <v>17</v>
      </c>
      <c r="D942" s="16" t="s">
        <v>18</v>
      </c>
      <c r="E942" s="16" t="s">
        <v>123</v>
      </c>
      <c r="F942" s="16" t="s">
        <v>124</v>
      </c>
      <c r="G942" s="16" t="s">
        <v>51</v>
      </c>
      <c r="H942" s="16" t="s">
        <v>125</v>
      </c>
      <c r="I942" s="16" t="s">
        <v>23</v>
      </c>
      <c r="J942" s="16" t="s">
        <v>33</v>
      </c>
      <c r="K942" s="18">
        <v>18663.22</v>
      </c>
      <c r="L942" s="18">
        <v>18629.59</v>
      </c>
      <c r="M942" s="19">
        <v>1</v>
      </c>
      <c r="N942" s="20">
        <v>0.2</v>
      </c>
      <c r="O942" s="19" t="s">
        <v>136</v>
      </c>
      <c r="P942" s="19" t="s">
        <v>58</v>
      </c>
      <c r="Q942" s="19" t="str">
        <f>TRIM(SalesData[[#This Row],[Customer_Name]])</f>
        <v>Akash Chauhan</v>
      </c>
      <c r="R942" s="21">
        <f>SalesData[[#This Row],[Sales]]-SalesData[[#This Row],[Cost]]</f>
        <v>33.630000000001019</v>
      </c>
      <c r="S942" s="22">
        <f>IFERROR(SalesData[[#This Row],[Profit]]/SalesData[[#This Row],[Sales]],0)</f>
        <v>1.8019398581810115E-3</v>
      </c>
      <c r="T942" s="19">
        <f>YEAR(SalesData[[#This Row],[Order_Date]])</f>
        <v>2024</v>
      </c>
      <c r="U942" s="19" t="str">
        <f>TEXT(SalesData[[#This Row],[Order_Date]],"mmm")</f>
        <v>Jun</v>
      </c>
      <c r="V942" s="19" t="str">
        <f>"Q"&amp;ROUNDUP(MONTH(SalesData[[#This Row],[Order_Date]])/3,0)</f>
        <v>Q2</v>
      </c>
      <c r="W942" s="19" t="str">
        <f>IF(SalesData[[#This Row],[Sales]]&gt;=50000,"High",IF(AND(SalesData[[#This Row],[Sales]]&gt;= 20000, SalesData[[#This Row],[Sales]]&lt; 50000),"Medium","Low"))</f>
        <v>Low</v>
      </c>
      <c r="X942" s="19" t="str">
        <f>IF(SalesData[[#This Row],[Profit]]&gt;0,"Profit","Loss")</f>
        <v>Profit</v>
      </c>
      <c r="Y942" s="19" t="str">
        <f>IF(AND(SalesData[[#This Row],[Sales]]&gt;= 50000, SalesData[[#This Row],[Quantity]]&gt;=2),"Yes","No")</f>
        <v>No</v>
      </c>
      <c r="Z942" s="19" t="str">
        <f>UPPER(SalesData[[#This Row],[Customer_Name]])</f>
        <v>AKASH CHAUHAN</v>
      </c>
      <c r="AA942" s="19" t="str">
        <f>LOWER(SalesData[[#This Row],[Customer_Name]])</f>
        <v>akash chauhan</v>
      </c>
      <c r="AB942" s="19">
        <f>LEN(SalesData[[#This Row],[Customer_Name]])</f>
        <v>13</v>
      </c>
      <c r="AC942" s="19" t="str">
        <f>LEFT(SalesData[[#This Row],[Order_ID]],3)</f>
        <v>ORD</v>
      </c>
      <c r="AD942" s="19" t="str">
        <f>RIGHT(SalesData[[#This Row],[Order_ID]],4)</f>
        <v>0938</v>
      </c>
      <c r="AE942" s="19" t="str">
        <f>_xlfn.CONCAT(SalesData[[#This Row],[Clean_Customer_Name]],"-",SalesData[[#This Row],[Region]])</f>
        <v>Akash Chauhan-North</v>
      </c>
      <c r="AF942" s="19" t="str">
        <f>MID(SalesData[[#This Row],[Order_ID]],4,4)</f>
        <v>0938</v>
      </c>
      <c r="AG942" s="19" t="e">
        <f ca="1">_xlfn.SINGLE(_xlfn.XLOOKUP(SalesData[[#This Row],[Product]],Product_Master!A:A,Product_Master!B:B,"Not Found"))</f>
        <v>#NAME?</v>
      </c>
      <c r="AH942" s="19" t="str">
        <f>VLOOKUP(SalesData[[#This Row],[Product]],Product_Master!$A$1:$B$21,2,FALSE)</f>
        <v>Sneha</v>
      </c>
      <c r="AI942" s="16"/>
    </row>
    <row r="943" spans="1:35" ht="13.8">
      <c r="A943" s="16" t="s">
        <v>873</v>
      </c>
      <c r="B943" s="17">
        <v>45899</v>
      </c>
      <c r="C943" s="16" t="s">
        <v>17</v>
      </c>
      <c r="D943" s="16" t="s">
        <v>18</v>
      </c>
      <c r="E943" s="16" t="s">
        <v>110</v>
      </c>
      <c r="F943" s="16" t="s">
        <v>111</v>
      </c>
      <c r="G943" s="16" t="s">
        <v>40</v>
      </c>
      <c r="H943" s="16" t="s">
        <v>112</v>
      </c>
      <c r="I943" s="16" t="s">
        <v>56</v>
      </c>
      <c r="J943" s="16" t="s">
        <v>191</v>
      </c>
      <c r="K943" s="18">
        <v>13373.37</v>
      </c>
      <c r="L943" s="18">
        <v>6410.3</v>
      </c>
      <c r="M943" s="19">
        <v>5</v>
      </c>
      <c r="N943" s="20">
        <v>0.1</v>
      </c>
      <c r="O943" s="19" t="s">
        <v>34</v>
      </c>
      <c r="P943" s="19" t="s">
        <v>58</v>
      </c>
      <c r="Q943" s="19" t="str">
        <f>TRIM(SalesData[[#This Row],[Customer_Name]])</f>
        <v>Akash Chauhan</v>
      </c>
      <c r="R943" s="21">
        <f>SalesData[[#This Row],[Sales]]-SalesData[[#This Row],[Cost]]</f>
        <v>6963.0700000000006</v>
      </c>
      <c r="S943" s="22">
        <f>IFERROR(SalesData[[#This Row],[Profit]]/SalesData[[#This Row],[Sales]],0)</f>
        <v>0.52066681771311196</v>
      </c>
      <c r="T943" s="19">
        <f>YEAR(SalesData[[#This Row],[Order_Date]])</f>
        <v>2025</v>
      </c>
      <c r="U943" s="19" t="str">
        <f>TEXT(SalesData[[#This Row],[Order_Date]],"mmm")</f>
        <v>Aug</v>
      </c>
      <c r="V943" s="19" t="str">
        <f>"Q"&amp;ROUNDUP(MONTH(SalesData[[#This Row],[Order_Date]])/3,0)</f>
        <v>Q3</v>
      </c>
      <c r="W943" s="19" t="str">
        <f>IF(SalesData[[#This Row],[Sales]]&gt;=50000,"High",IF(AND(SalesData[[#This Row],[Sales]]&gt;= 20000, SalesData[[#This Row],[Sales]]&lt; 50000),"Medium","Low"))</f>
        <v>Low</v>
      </c>
      <c r="X943" s="19" t="str">
        <f>IF(SalesData[[#This Row],[Profit]]&gt;0,"Profit","Loss")</f>
        <v>Profit</v>
      </c>
      <c r="Y943" s="19" t="str">
        <f>IF(AND(SalesData[[#This Row],[Sales]]&gt;= 50000, SalesData[[#This Row],[Quantity]]&gt;=2),"Yes","No")</f>
        <v>No</v>
      </c>
      <c r="Z943" s="19" t="str">
        <f>UPPER(SalesData[[#This Row],[Customer_Name]])</f>
        <v>AKASH CHAUHAN</v>
      </c>
      <c r="AA943" s="19" t="str">
        <f>LOWER(SalesData[[#This Row],[Customer_Name]])</f>
        <v>akash chauhan</v>
      </c>
      <c r="AB943" s="19">
        <f>LEN(SalesData[[#This Row],[Customer_Name]])</f>
        <v>13</v>
      </c>
      <c r="AC943" s="19" t="str">
        <f>LEFT(SalesData[[#This Row],[Order_ID]],3)</f>
        <v>ORD</v>
      </c>
      <c r="AD943" s="19" t="str">
        <f>RIGHT(SalesData[[#This Row],[Order_ID]],4)</f>
        <v>0720</v>
      </c>
      <c r="AE943" s="19" t="str">
        <f>_xlfn.CONCAT(SalesData[[#This Row],[Clean_Customer_Name]],"-",SalesData[[#This Row],[Region]])</f>
        <v>Akash Chauhan-West</v>
      </c>
      <c r="AF943" s="19" t="str">
        <f>MID(SalesData[[#This Row],[Order_ID]],4,4)</f>
        <v>0720</v>
      </c>
      <c r="AG943" s="19" t="e">
        <f ca="1">_xlfn.SINGLE(_xlfn.XLOOKUP(SalesData[[#This Row],[Product]],Product_Master!A:A,Product_Master!B:B,"Not Found"))</f>
        <v>#NAME?</v>
      </c>
      <c r="AH943" s="19" t="str">
        <f>VLOOKUP(SalesData[[#This Row],[Product]],Product_Master!$A$1:$B$21,2,FALSE)</f>
        <v>Vikas</v>
      </c>
      <c r="AI943" s="16"/>
    </row>
    <row r="944" spans="1:35" ht="13.8">
      <c r="A944" s="16" t="s">
        <v>1115</v>
      </c>
      <c r="B944" s="17">
        <v>45974</v>
      </c>
      <c r="C944" s="16" t="s">
        <v>17</v>
      </c>
      <c r="D944" s="16" t="s">
        <v>18</v>
      </c>
      <c r="E944" s="16" t="s">
        <v>110</v>
      </c>
      <c r="F944" s="16" t="s">
        <v>111</v>
      </c>
      <c r="G944" s="16" t="s">
        <v>40</v>
      </c>
      <c r="H944" s="16" t="s">
        <v>112</v>
      </c>
      <c r="I944" s="16" t="s">
        <v>53</v>
      </c>
      <c r="J944" s="16" t="s">
        <v>102</v>
      </c>
      <c r="K944" s="18">
        <v>4507.26</v>
      </c>
      <c r="L944" s="18">
        <v>4384.8</v>
      </c>
      <c r="M944" s="19">
        <v>4</v>
      </c>
      <c r="N944" s="20">
        <v>0.2</v>
      </c>
      <c r="O944" s="19" t="s">
        <v>136</v>
      </c>
      <c r="P944" s="19" t="s">
        <v>26</v>
      </c>
      <c r="Q944" s="19" t="str">
        <f>TRIM(SalesData[[#This Row],[Customer_Name]])</f>
        <v>Akash Chauhan</v>
      </c>
      <c r="R944" s="21">
        <f>SalesData[[#This Row],[Sales]]-SalesData[[#This Row],[Cost]]</f>
        <v>122.46000000000004</v>
      </c>
      <c r="S944" s="22">
        <f>IFERROR(SalesData[[#This Row],[Profit]]/SalesData[[#This Row],[Sales]],0)</f>
        <v>2.7169499873537367E-2</v>
      </c>
      <c r="T944" s="19">
        <f>YEAR(SalesData[[#This Row],[Order_Date]])</f>
        <v>2025</v>
      </c>
      <c r="U944" s="19" t="str">
        <f>TEXT(SalesData[[#This Row],[Order_Date]],"mmm")</f>
        <v>Nov</v>
      </c>
      <c r="V944" s="19" t="str">
        <f>"Q"&amp;ROUNDUP(MONTH(SalesData[[#This Row],[Order_Date]])/3,0)</f>
        <v>Q4</v>
      </c>
      <c r="W944" s="19" t="str">
        <f>IF(SalesData[[#This Row],[Sales]]&gt;=50000,"High",IF(AND(SalesData[[#This Row],[Sales]]&gt;= 20000, SalesData[[#This Row],[Sales]]&lt; 50000),"Medium","Low"))</f>
        <v>Low</v>
      </c>
      <c r="X944" s="19" t="str">
        <f>IF(SalesData[[#This Row],[Profit]]&gt;0,"Profit","Loss")</f>
        <v>Profit</v>
      </c>
      <c r="Y944" s="19" t="str">
        <f>IF(AND(SalesData[[#This Row],[Sales]]&gt;= 50000, SalesData[[#This Row],[Quantity]]&gt;=2),"Yes","No")</f>
        <v>No</v>
      </c>
      <c r="Z944" s="19" t="str">
        <f>UPPER(SalesData[[#This Row],[Customer_Name]])</f>
        <v>AKASH CHAUHAN</v>
      </c>
      <c r="AA944" s="19" t="str">
        <f>LOWER(SalesData[[#This Row],[Customer_Name]])</f>
        <v>akash chauhan</v>
      </c>
      <c r="AB944" s="19">
        <f>LEN(SalesData[[#This Row],[Customer_Name]])</f>
        <v>13</v>
      </c>
      <c r="AC944" s="19" t="str">
        <f>LEFT(SalesData[[#This Row],[Order_ID]],3)</f>
        <v>ORD</v>
      </c>
      <c r="AD944" s="19" t="str">
        <f>RIGHT(SalesData[[#This Row],[Order_ID]],4)</f>
        <v>0962</v>
      </c>
      <c r="AE944" s="19" t="str">
        <f>_xlfn.CONCAT(SalesData[[#This Row],[Clean_Customer_Name]],"-",SalesData[[#This Row],[Region]])</f>
        <v>Akash Chauhan-Central</v>
      </c>
      <c r="AF944" s="19" t="str">
        <f>MID(SalesData[[#This Row],[Order_ID]],4,4)</f>
        <v>0962</v>
      </c>
      <c r="AG944" s="19" t="e">
        <f ca="1">_xlfn.SINGLE(_xlfn.XLOOKUP(SalesData[[#This Row],[Product]],Product_Master!A:A,Product_Master!B:B,"Not Found"))</f>
        <v>#NAME?</v>
      </c>
      <c r="AH944" s="19" t="str">
        <f>VLOOKUP(SalesData[[#This Row],[Product]],Product_Master!$A$1:$B$21,2,FALSE)</f>
        <v>Vikas</v>
      </c>
      <c r="AI944" s="16"/>
    </row>
    <row r="945" spans="1:35" ht="13.8">
      <c r="A945" s="16" t="s">
        <v>1153</v>
      </c>
      <c r="B945" s="17">
        <v>45682</v>
      </c>
      <c r="C945" s="16" t="s">
        <v>17</v>
      </c>
      <c r="D945" s="16" t="s">
        <v>18</v>
      </c>
      <c r="E945" s="16" t="s">
        <v>110</v>
      </c>
      <c r="F945" s="16" t="s">
        <v>111</v>
      </c>
      <c r="G945" s="16" t="s">
        <v>40</v>
      </c>
      <c r="H945" s="16" t="s">
        <v>112</v>
      </c>
      <c r="I945" s="16" t="s">
        <v>56</v>
      </c>
      <c r="J945" s="16" t="s">
        <v>91</v>
      </c>
      <c r="K945" s="18">
        <v>13972.27</v>
      </c>
      <c r="L945" s="18">
        <v>6559.5</v>
      </c>
      <c r="M945" s="19">
        <v>5</v>
      </c>
      <c r="N945" s="20">
        <v>0.05</v>
      </c>
      <c r="O945" s="19" t="s">
        <v>76</v>
      </c>
      <c r="P945" s="19" t="s">
        <v>45</v>
      </c>
      <c r="Q945" s="19" t="str">
        <f>TRIM(SalesData[[#This Row],[Customer_Name]])</f>
        <v>Akash Chauhan</v>
      </c>
      <c r="R945" s="21">
        <f>SalesData[[#This Row],[Sales]]-SalesData[[#This Row],[Cost]]</f>
        <v>7412.77</v>
      </c>
      <c r="S945" s="22">
        <f>IFERROR(SalesData[[#This Row],[Profit]]/SalesData[[#This Row],[Sales]],0)</f>
        <v>0.53053440851057132</v>
      </c>
      <c r="T945" s="19">
        <f>YEAR(SalesData[[#This Row],[Order_Date]])</f>
        <v>2025</v>
      </c>
      <c r="U945" s="19" t="str">
        <f>TEXT(SalesData[[#This Row],[Order_Date]],"mmm")</f>
        <v>Jan</v>
      </c>
      <c r="V945" s="19" t="str">
        <f>"Q"&amp;ROUNDUP(MONTH(SalesData[[#This Row],[Order_Date]])/3,0)</f>
        <v>Q1</v>
      </c>
      <c r="W945" s="19" t="str">
        <f>IF(SalesData[[#This Row],[Sales]]&gt;=50000,"High",IF(AND(SalesData[[#This Row],[Sales]]&gt;= 20000, SalesData[[#This Row],[Sales]]&lt; 50000),"Medium","Low"))</f>
        <v>Low</v>
      </c>
      <c r="X945" s="19" t="str">
        <f>IF(SalesData[[#This Row],[Profit]]&gt;0,"Profit","Loss")</f>
        <v>Profit</v>
      </c>
      <c r="Y945" s="19" t="str">
        <f>IF(AND(SalesData[[#This Row],[Sales]]&gt;= 50000, SalesData[[#This Row],[Quantity]]&gt;=2),"Yes","No")</f>
        <v>No</v>
      </c>
      <c r="Z945" s="19" t="str">
        <f>UPPER(SalesData[[#This Row],[Customer_Name]])</f>
        <v>AKASH CHAUHAN</v>
      </c>
      <c r="AA945" s="19" t="str">
        <f>LOWER(SalesData[[#This Row],[Customer_Name]])</f>
        <v>akash chauhan</v>
      </c>
      <c r="AB945" s="19">
        <f>LEN(SalesData[[#This Row],[Customer_Name]])</f>
        <v>13</v>
      </c>
      <c r="AC945" s="19" t="str">
        <f>LEFT(SalesData[[#This Row],[Order_ID]],3)</f>
        <v>ORD</v>
      </c>
      <c r="AD945" s="19" t="str">
        <f>RIGHT(SalesData[[#This Row],[Order_ID]],4)</f>
        <v>1000</v>
      </c>
      <c r="AE945" s="19" t="str">
        <f>_xlfn.CONCAT(SalesData[[#This Row],[Clean_Customer_Name]],"-",SalesData[[#This Row],[Region]])</f>
        <v>Akash Chauhan-West</v>
      </c>
      <c r="AF945" s="19" t="str">
        <f>MID(SalesData[[#This Row],[Order_ID]],4,4)</f>
        <v>1000</v>
      </c>
      <c r="AG945" s="19" t="e">
        <f ca="1">_xlfn.SINGLE(_xlfn.XLOOKUP(SalesData[[#This Row],[Product]],Product_Master!A:A,Product_Master!B:B,"Not Found"))</f>
        <v>#NAME?</v>
      </c>
      <c r="AH945" s="19" t="str">
        <f>VLOOKUP(SalesData[[#This Row],[Product]],Product_Master!$A$1:$B$21,2,FALSE)</f>
        <v>Vikas</v>
      </c>
      <c r="AI945" s="16"/>
    </row>
    <row r="946" spans="1:35" ht="13.8">
      <c r="A946" s="16" t="s">
        <v>271</v>
      </c>
      <c r="B946" s="17">
        <v>45983</v>
      </c>
      <c r="C946" s="16" t="s">
        <v>17</v>
      </c>
      <c r="D946" s="16" t="s">
        <v>18</v>
      </c>
      <c r="E946" s="16" t="s">
        <v>172</v>
      </c>
      <c r="F946" s="16" t="s">
        <v>173</v>
      </c>
      <c r="G946" s="16" t="s">
        <v>40</v>
      </c>
      <c r="H946" s="16" t="s">
        <v>41</v>
      </c>
      <c r="I946" s="16" t="s">
        <v>23</v>
      </c>
      <c r="J946" s="16" t="s">
        <v>33</v>
      </c>
      <c r="K946" s="18">
        <v>4578.6899999999996</v>
      </c>
      <c r="L946" s="18">
        <v>1789.74</v>
      </c>
      <c r="M946" s="19">
        <v>2</v>
      </c>
      <c r="N946" s="20">
        <v>0.2</v>
      </c>
      <c r="O946" s="19" t="s">
        <v>44</v>
      </c>
      <c r="P946" s="19" t="s">
        <v>58</v>
      </c>
      <c r="Q946" s="19" t="str">
        <f>TRIM(SalesData[[#This Row],[Customer_Name]])</f>
        <v>Akash Chauhan</v>
      </c>
      <c r="R946" s="21">
        <f>SalesData[[#This Row],[Sales]]-SalesData[[#This Row],[Cost]]</f>
        <v>2788.95</v>
      </c>
      <c r="S946" s="22">
        <f>IFERROR(SalesData[[#This Row],[Profit]]/SalesData[[#This Row],[Sales]],0)</f>
        <v>0.60911527096178164</v>
      </c>
      <c r="T946" s="19">
        <f>YEAR(SalesData[[#This Row],[Order_Date]])</f>
        <v>2025</v>
      </c>
      <c r="U946" s="19" t="str">
        <f>TEXT(SalesData[[#This Row],[Order_Date]],"mmm")</f>
        <v>Nov</v>
      </c>
      <c r="V946" s="19" t="str">
        <f>"Q"&amp;ROUNDUP(MONTH(SalesData[[#This Row],[Order_Date]])/3,0)</f>
        <v>Q4</v>
      </c>
      <c r="W946" s="19" t="str">
        <f>IF(SalesData[[#This Row],[Sales]]&gt;=50000,"High",IF(AND(SalesData[[#This Row],[Sales]]&gt;= 20000, SalesData[[#This Row],[Sales]]&lt; 50000),"Medium","Low"))</f>
        <v>Low</v>
      </c>
      <c r="X946" s="19" t="str">
        <f>IF(SalesData[[#This Row],[Profit]]&gt;0,"Profit","Loss")</f>
        <v>Profit</v>
      </c>
      <c r="Y946" s="19" t="str">
        <f>IF(AND(SalesData[[#This Row],[Sales]]&gt;= 50000, SalesData[[#This Row],[Quantity]]&gt;=2),"Yes","No")</f>
        <v>No</v>
      </c>
      <c r="Z946" s="19" t="str">
        <f>UPPER(SalesData[[#This Row],[Customer_Name]])</f>
        <v>AKASH CHAUHAN</v>
      </c>
      <c r="AA946" s="19" t="str">
        <f>LOWER(SalesData[[#This Row],[Customer_Name]])</f>
        <v>akash chauhan</v>
      </c>
      <c r="AB946" s="19">
        <f>LEN(SalesData[[#This Row],[Customer_Name]])</f>
        <v>13</v>
      </c>
      <c r="AC946" s="19" t="str">
        <f>LEFT(SalesData[[#This Row],[Order_ID]],3)</f>
        <v>ORD</v>
      </c>
      <c r="AD946" s="19" t="str">
        <f>RIGHT(SalesData[[#This Row],[Order_ID]],4)</f>
        <v>0118</v>
      </c>
      <c r="AE946" s="19" t="str">
        <f>_xlfn.CONCAT(SalesData[[#This Row],[Clean_Customer_Name]],"-",SalesData[[#This Row],[Region]])</f>
        <v>Akash Chauhan-North</v>
      </c>
      <c r="AF946" s="19" t="str">
        <f>MID(SalesData[[#This Row],[Order_ID]],4,4)</f>
        <v>0118</v>
      </c>
      <c r="AG946" s="19" t="e">
        <f ca="1">_xlfn.SINGLE(_xlfn.XLOOKUP(SalesData[[#This Row],[Product]],Product_Master!A:A,Product_Master!B:B,"Not Found"))</f>
        <v>#NAME?</v>
      </c>
      <c r="AH946" s="19" t="str">
        <f>VLOOKUP(SalesData[[#This Row],[Product]],Product_Master!$A$1:$B$21,2,FALSE)</f>
        <v>Pooja</v>
      </c>
      <c r="AI946" s="16"/>
    </row>
    <row r="947" spans="1:35" ht="13.8">
      <c r="A947" s="16" t="s">
        <v>384</v>
      </c>
      <c r="B947" s="17">
        <v>45533</v>
      </c>
      <c r="C947" s="16" t="s">
        <v>17</v>
      </c>
      <c r="D947" s="16" t="s">
        <v>18</v>
      </c>
      <c r="E947" s="16" t="s">
        <v>172</v>
      </c>
      <c r="F947" s="16" t="s">
        <v>173</v>
      </c>
      <c r="G947" s="16" t="s">
        <v>40</v>
      </c>
      <c r="H947" s="16" t="s">
        <v>41</v>
      </c>
      <c r="I947" s="16" t="s">
        <v>42</v>
      </c>
      <c r="J947" s="16" t="s">
        <v>162</v>
      </c>
      <c r="K947" s="18">
        <v>2280.44</v>
      </c>
      <c r="L947" s="18">
        <v>930.2</v>
      </c>
      <c r="M947" s="19">
        <v>1</v>
      </c>
      <c r="N947" s="20">
        <v>0.05</v>
      </c>
      <c r="O947" s="19" t="s">
        <v>136</v>
      </c>
      <c r="P947" s="19" t="s">
        <v>45</v>
      </c>
      <c r="Q947" s="19" t="str">
        <f>TRIM(SalesData[[#This Row],[Customer_Name]])</f>
        <v>Akash Chauhan</v>
      </c>
      <c r="R947" s="21">
        <f>SalesData[[#This Row],[Sales]]-SalesData[[#This Row],[Cost]]</f>
        <v>1350.24</v>
      </c>
      <c r="S947" s="22">
        <f>IFERROR(SalesData[[#This Row],[Profit]]/SalesData[[#This Row],[Sales]],0)</f>
        <v>0.59209626212485311</v>
      </c>
      <c r="T947" s="19">
        <f>YEAR(SalesData[[#This Row],[Order_Date]])</f>
        <v>2024</v>
      </c>
      <c r="U947" s="19" t="str">
        <f>TEXT(SalesData[[#This Row],[Order_Date]],"mmm")</f>
        <v>Aug</v>
      </c>
      <c r="V947" s="19" t="str">
        <f>"Q"&amp;ROUNDUP(MONTH(SalesData[[#This Row],[Order_Date]])/3,0)</f>
        <v>Q3</v>
      </c>
      <c r="W947" s="19" t="str">
        <f>IF(SalesData[[#This Row],[Sales]]&gt;=50000,"High",IF(AND(SalesData[[#This Row],[Sales]]&gt;= 20000, SalesData[[#This Row],[Sales]]&lt; 50000),"Medium","Low"))</f>
        <v>Low</v>
      </c>
      <c r="X947" s="19" t="str">
        <f>IF(SalesData[[#This Row],[Profit]]&gt;0,"Profit","Loss")</f>
        <v>Profit</v>
      </c>
      <c r="Y947" s="19" t="str">
        <f>IF(AND(SalesData[[#This Row],[Sales]]&gt;= 50000, SalesData[[#This Row],[Quantity]]&gt;=2),"Yes","No")</f>
        <v>No</v>
      </c>
      <c r="Z947" s="19" t="str">
        <f>UPPER(SalesData[[#This Row],[Customer_Name]])</f>
        <v>AKASH CHAUHAN</v>
      </c>
      <c r="AA947" s="19" t="str">
        <f>LOWER(SalesData[[#This Row],[Customer_Name]])</f>
        <v>akash chauhan</v>
      </c>
      <c r="AB947" s="19">
        <f>LEN(SalesData[[#This Row],[Customer_Name]])</f>
        <v>13</v>
      </c>
      <c r="AC947" s="19" t="str">
        <f>LEFT(SalesData[[#This Row],[Order_ID]],3)</f>
        <v>ORD</v>
      </c>
      <c r="AD947" s="19" t="str">
        <f>RIGHT(SalesData[[#This Row],[Order_ID]],4)</f>
        <v>0231</v>
      </c>
      <c r="AE947" s="19" t="str">
        <f>_xlfn.CONCAT(SalesData[[#This Row],[Clean_Customer_Name]],"-",SalesData[[#This Row],[Region]])</f>
        <v>Akash Chauhan-East</v>
      </c>
      <c r="AF947" s="19" t="str">
        <f>MID(SalesData[[#This Row],[Order_ID]],4,4)</f>
        <v>0231</v>
      </c>
      <c r="AG947" s="19" t="e">
        <f ca="1">_xlfn.SINGLE(_xlfn.XLOOKUP(SalesData[[#This Row],[Product]],Product_Master!A:A,Product_Master!B:B,"Not Found"))</f>
        <v>#NAME?</v>
      </c>
      <c r="AH947" s="19" t="str">
        <f>VLOOKUP(SalesData[[#This Row],[Product]],Product_Master!$A$1:$B$21,2,FALSE)</f>
        <v>Pooja</v>
      </c>
      <c r="AI947" s="16"/>
    </row>
    <row r="948" spans="1:35" ht="13.8">
      <c r="A948" s="16" t="s">
        <v>763</v>
      </c>
      <c r="B948" s="17">
        <v>45440</v>
      </c>
      <c r="C948" s="16" t="s">
        <v>17</v>
      </c>
      <c r="D948" s="16" t="s">
        <v>18</v>
      </c>
      <c r="E948" s="16" t="s">
        <v>172</v>
      </c>
      <c r="F948" s="16" t="s">
        <v>173</v>
      </c>
      <c r="G948" s="16" t="s">
        <v>40</v>
      </c>
      <c r="H948" s="16" t="s">
        <v>41</v>
      </c>
      <c r="I948" s="16" t="s">
        <v>23</v>
      </c>
      <c r="J948" s="16" t="s">
        <v>24</v>
      </c>
      <c r="K948" s="18">
        <v>3163.81</v>
      </c>
      <c r="L948" s="18">
        <v>930.06</v>
      </c>
      <c r="M948" s="19">
        <v>1</v>
      </c>
      <c r="N948" s="20">
        <v>0.1</v>
      </c>
      <c r="O948" s="19" t="s">
        <v>44</v>
      </c>
      <c r="P948" s="19" t="s">
        <v>58</v>
      </c>
      <c r="Q948" s="19" t="str">
        <f>TRIM(SalesData[[#This Row],[Customer_Name]])</f>
        <v>Akash Chauhan</v>
      </c>
      <c r="R948" s="21">
        <f>SalesData[[#This Row],[Sales]]-SalesData[[#This Row],[Cost]]</f>
        <v>2233.75</v>
      </c>
      <c r="S948" s="22">
        <f>IFERROR(SalesData[[#This Row],[Profit]]/SalesData[[#This Row],[Sales]],0)</f>
        <v>0.70603165171106985</v>
      </c>
      <c r="T948" s="19">
        <f>YEAR(SalesData[[#This Row],[Order_Date]])</f>
        <v>2024</v>
      </c>
      <c r="U948" s="19" t="str">
        <f>TEXT(SalesData[[#This Row],[Order_Date]],"mmm")</f>
        <v>May</v>
      </c>
      <c r="V948" s="19" t="str">
        <f>"Q"&amp;ROUNDUP(MONTH(SalesData[[#This Row],[Order_Date]])/3,0)</f>
        <v>Q2</v>
      </c>
      <c r="W948" s="19" t="str">
        <f>IF(SalesData[[#This Row],[Sales]]&gt;=50000,"High",IF(AND(SalesData[[#This Row],[Sales]]&gt;= 20000, SalesData[[#This Row],[Sales]]&lt; 50000),"Medium","Low"))</f>
        <v>Low</v>
      </c>
      <c r="X948" s="19" t="str">
        <f>IF(SalesData[[#This Row],[Profit]]&gt;0,"Profit","Loss")</f>
        <v>Profit</v>
      </c>
      <c r="Y948" s="19" t="str">
        <f>IF(AND(SalesData[[#This Row],[Sales]]&gt;= 50000, SalesData[[#This Row],[Quantity]]&gt;=2),"Yes","No")</f>
        <v>No</v>
      </c>
      <c r="Z948" s="19" t="str">
        <f>UPPER(SalesData[[#This Row],[Customer_Name]])</f>
        <v>AKASH CHAUHAN</v>
      </c>
      <c r="AA948" s="19" t="str">
        <f>LOWER(SalesData[[#This Row],[Customer_Name]])</f>
        <v>akash chauhan</v>
      </c>
      <c r="AB948" s="19">
        <f>LEN(SalesData[[#This Row],[Customer_Name]])</f>
        <v>13</v>
      </c>
      <c r="AC948" s="19" t="str">
        <f>LEFT(SalesData[[#This Row],[Order_ID]],3)</f>
        <v>ORD</v>
      </c>
      <c r="AD948" s="19" t="str">
        <f>RIGHT(SalesData[[#This Row],[Order_ID]],4)</f>
        <v>0610</v>
      </c>
      <c r="AE948" s="19" t="str">
        <f>_xlfn.CONCAT(SalesData[[#This Row],[Clean_Customer_Name]],"-",SalesData[[#This Row],[Region]])</f>
        <v>Akash Chauhan-North</v>
      </c>
      <c r="AF948" s="19" t="str">
        <f>MID(SalesData[[#This Row],[Order_ID]],4,4)</f>
        <v>0610</v>
      </c>
      <c r="AG948" s="19" t="e">
        <f ca="1">_xlfn.SINGLE(_xlfn.XLOOKUP(SalesData[[#This Row],[Product]],Product_Master!A:A,Product_Master!B:B,"Not Found"))</f>
        <v>#NAME?</v>
      </c>
      <c r="AH948" s="19" t="str">
        <f>VLOOKUP(SalesData[[#This Row],[Product]],Product_Master!$A$1:$B$21,2,FALSE)</f>
        <v>Pooja</v>
      </c>
      <c r="AI948" s="16"/>
    </row>
    <row r="949" spans="1:35" ht="13.8">
      <c r="A949" s="16" t="s">
        <v>1131</v>
      </c>
      <c r="B949" s="17">
        <v>45351</v>
      </c>
      <c r="C949" s="16" t="s">
        <v>17</v>
      </c>
      <c r="D949" s="16" t="s">
        <v>18</v>
      </c>
      <c r="E949" s="16" t="s">
        <v>172</v>
      </c>
      <c r="F949" s="16" t="s">
        <v>173</v>
      </c>
      <c r="G949" s="16" t="s">
        <v>40</v>
      </c>
      <c r="H949" s="16" t="s">
        <v>41</v>
      </c>
      <c r="I949" s="16" t="s">
        <v>42</v>
      </c>
      <c r="J949" s="16" t="s">
        <v>162</v>
      </c>
      <c r="K949" s="18">
        <v>12194.62</v>
      </c>
      <c r="L949" s="18">
        <v>3907.08</v>
      </c>
      <c r="M949" s="19">
        <v>4</v>
      </c>
      <c r="N949" s="20">
        <v>0.05</v>
      </c>
      <c r="O949" s="19" t="s">
        <v>136</v>
      </c>
      <c r="P949" s="19" t="s">
        <v>58</v>
      </c>
      <c r="Q949" s="19" t="str">
        <f>TRIM(SalesData[[#This Row],[Customer_Name]])</f>
        <v>Akash Chauhan</v>
      </c>
      <c r="R949" s="21">
        <f>SalesData[[#This Row],[Sales]]-SalesData[[#This Row],[Cost]]</f>
        <v>8287.5400000000009</v>
      </c>
      <c r="S949" s="22">
        <f>IFERROR(SalesData[[#This Row],[Profit]]/SalesData[[#This Row],[Sales]],0)</f>
        <v>0.67960625259335672</v>
      </c>
      <c r="T949" s="19">
        <f>YEAR(SalesData[[#This Row],[Order_Date]])</f>
        <v>2024</v>
      </c>
      <c r="U949" s="19" t="str">
        <f>TEXT(SalesData[[#This Row],[Order_Date]],"mmm")</f>
        <v>Feb</v>
      </c>
      <c r="V949" s="19" t="str">
        <f>"Q"&amp;ROUNDUP(MONTH(SalesData[[#This Row],[Order_Date]])/3,0)</f>
        <v>Q1</v>
      </c>
      <c r="W949" s="19" t="str">
        <f>IF(SalesData[[#This Row],[Sales]]&gt;=50000,"High",IF(AND(SalesData[[#This Row],[Sales]]&gt;= 20000, SalesData[[#This Row],[Sales]]&lt; 50000),"Medium","Low"))</f>
        <v>Low</v>
      </c>
      <c r="X949" s="19" t="str">
        <f>IF(SalesData[[#This Row],[Profit]]&gt;0,"Profit","Loss")</f>
        <v>Profit</v>
      </c>
      <c r="Y949" s="19" t="str">
        <f>IF(AND(SalesData[[#This Row],[Sales]]&gt;= 50000, SalesData[[#This Row],[Quantity]]&gt;=2),"Yes","No")</f>
        <v>No</v>
      </c>
      <c r="Z949" s="19" t="str">
        <f>UPPER(SalesData[[#This Row],[Customer_Name]])</f>
        <v>AKASH CHAUHAN</v>
      </c>
      <c r="AA949" s="19" t="str">
        <f>LOWER(SalesData[[#This Row],[Customer_Name]])</f>
        <v>akash chauhan</v>
      </c>
      <c r="AB949" s="19">
        <f>LEN(SalesData[[#This Row],[Customer_Name]])</f>
        <v>13</v>
      </c>
      <c r="AC949" s="19" t="str">
        <f>LEFT(SalesData[[#This Row],[Order_ID]],3)</f>
        <v>ORD</v>
      </c>
      <c r="AD949" s="19" t="str">
        <f>RIGHT(SalesData[[#This Row],[Order_ID]],4)</f>
        <v>0978</v>
      </c>
      <c r="AE949" s="19" t="str">
        <f>_xlfn.CONCAT(SalesData[[#This Row],[Clean_Customer_Name]],"-",SalesData[[#This Row],[Region]])</f>
        <v>Akash Chauhan-East</v>
      </c>
      <c r="AF949" s="19" t="str">
        <f>MID(SalesData[[#This Row],[Order_ID]],4,4)</f>
        <v>0978</v>
      </c>
      <c r="AG949" s="19" t="e">
        <f ca="1">_xlfn.SINGLE(_xlfn.XLOOKUP(SalesData[[#This Row],[Product]],Product_Master!A:A,Product_Master!B:B,"Not Found"))</f>
        <v>#NAME?</v>
      </c>
      <c r="AH949" s="19" t="str">
        <f>VLOOKUP(SalesData[[#This Row],[Product]],Product_Master!$A$1:$B$21,2,FALSE)</f>
        <v>Pooja</v>
      </c>
      <c r="AI949" s="16"/>
    </row>
    <row r="950" spans="1:35" ht="13.8">
      <c r="A950" s="16" t="s">
        <v>1147</v>
      </c>
      <c r="B950" s="17">
        <v>45338</v>
      </c>
      <c r="C950" s="16" t="s">
        <v>17</v>
      </c>
      <c r="D950" s="16" t="s">
        <v>18</v>
      </c>
      <c r="E950" s="16" t="s">
        <v>172</v>
      </c>
      <c r="F950" s="16" t="s">
        <v>173</v>
      </c>
      <c r="G950" s="16" t="s">
        <v>40</v>
      </c>
      <c r="H950" s="16" t="s">
        <v>41</v>
      </c>
      <c r="I950" s="16" t="s">
        <v>53</v>
      </c>
      <c r="J950" s="16" t="s">
        <v>102</v>
      </c>
      <c r="K950" s="18">
        <v>4352.37</v>
      </c>
      <c r="L950" s="18">
        <v>2796.09</v>
      </c>
      <c r="M950" s="19">
        <v>3</v>
      </c>
      <c r="N950" s="20">
        <v>0.15</v>
      </c>
      <c r="O950" s="19" t="s">
        <v>136</v>
      </c>
      <c r="P950" s="19" t="s">
        <v>58</v>
      </c>
      <c r="Q950" s="19" t="str">
        <f>TRIM(SalesData[[#This Row],[Customer_Name]])</f>
        <v>Akash Chauhan</v>
      </c>
      <c r="R950" s="21">
        <f>SalesData[[#This Row],[Sales]]-SalesData[[#This Row],[Cost]]</f>
        <v>1556.2799999999997</v>
      </c>
      <c r="S950" s="22">
        <f>IFERROR(SalesData[[#This Row],[Profit]]/SalesData[[#This Row],[Sales]],0)</f>
        <v>0.35757070285844261</v>
      </c>
      <c r="T950" s="19">
        <f>YEAR(SalesData[[#This Row],[Order_Date]])</f>
        <v>2024</v>
      </c>
      <c r="U950" s="19" t="str">
        <f>TEXT(SalesData[[#This Row],[Order_Date]],"mmm")</f>
        <v>Feb</v>
      </c>
      <c r="V950" s="19" t="str">
        <f>"Q"&amp;ROUNDUP(MONTH(SalesData[[#This Row],[Order_Date]])/3,0)</f>
        <v>Q1</v>
      </c>
      <c r="W950" s="19" t="str">
        <f>IF(SalesData[[#This Row],[Sales]]&gt;=50000,"High",IF(AND(SalesData[[#This Row],[Sales]]&gt;= 20000, SalesData[[#This Row],[Sales]]&lt; 50000),"Medium","Low"))</f>
        <v>Low</v>
      </c>
      <c r="X950" s="19" t="str">
        <f>IF(SalesData[[#This Row],[Profit]]&gt;0,"Profit","Loss")</f>
        <v>Profit</v>
      </c>
      <c r="Y950" s="19" t="str">
        <f>IF(AND(SalesData[[#This Row],[Sales]]&gt;= 50000, SalesData[[#This Row],[Quantity]]&gt;=2),"Yes","No")</f>
        <v>No</v>
      </c>
      <c r="Z950" s="19" t="str">
        <f>UPPER(SalesData[[#This Row],[Customer_Name]])</f>
        <v>AKASH CHAUHAN</v>
      </c>
      <c r="AA950" s="19" t="str">
        <f>LOWER(SalesData[[#This Row],[Customer_Name]])</f>
        <v>akash chauhan</v>
      </c>
      <c r="AB950" s="19">
        <f>LEN(SalesData[[#This Row],[Customer_Name]])</f>
        <v>13</v>
      </c>
      <c r="AC950" s="19" t="str">
        <f>LEFT(SalesData[[#This Row],[Order_ID]],3)</f>
        <v>ORD</v>
      </c>
      <c r="AD950" s="19" t="str">
        <f>RIGHT(SalesData[[#This Row],[Order_ID]],4)</f>
        <v>0994</v>
      </c>
      <c r="AE950" s="19" t="str">
        <f>_xlfn.CONCAT(SalesData[[#This Row],[Clean_Customer_Name]],"-",SalesData[[#This Row],[Region]])</f>
        <v>Akash Chauhan-Central</v>
      </c>
      <c r="AF950" s="19" t="str">
        <f>MID(SalesData[[#This Row],[Order_ID]],4,4)</f>
        <v>0994</v>
      </c>
      <c r="AG950" s="19" t="e">
        <f ca="1">_xlfn.SINGLE(_xlfn.XLOOKUP(SalesData[[#This Row],[Product]],Product_Master!A:A,Product_Master!B:B,"Not Found"))</f>
        <v>#NAME?</v>
      </c>
      <c r="AH950" s="19" t="str">
        <f>VLOOKUP(SalesData[[#This Row],[Product]],Product_Master!$A$1:$B$21,2,FALSE)</f>
        <v>Pooja</v>
      </c>
      <c r="AI950" s="16"/>
    </row>
    <row r="951" spans="1:35" ht="13.8">
      <c r="A951" s="16" t="s">
        <v>724</v>
      </c>
      <c r="B951" s="17">
        <v>45604</v>
      </c>
      <c r="C951" s="16" t="s">
        <v>17</v>
      </c>
      <c r="D951" s="16" t="s">
        <v>18</v>
      </c>
      <c r="E951" s="16" t="s">
        <v>106</v>
      </c>
      <c r="F951" s="16" t="s">
        <v>107</v>
      </c>
      <c r="G951" s="16" t="s">
        <v>40</v>
      </c>
      <c r="H951" s="16" t="s">
        <v>108</v>
      </c>
      <c r="I951" s="16" t="s">
        <v>23</v>
      </c>
      <c r="J951" s="16" t="s">
        <v>24</v>
      </c>
      <c r="K951" s="18">
        <v>9442.2900000000009</v>
      </c>
      <c r="L951" s="18">
        <v>3178.85</v>
      </c>
      <c r="M951" s="19">
        <v>5</v>
      </c>
      <c r="N951" s="20">
        <v>0.05</v>
      </c>
      <c r="O951" s="19" t="s">
        <v>44</v>
      </c>
      <c r="P951" s="19" t="s">
        <v>58</v>
      </c>
      <c r="Q951" s="19" t="str">
        <f>TRIM(SalesData[[#This Row],[Customer_Name]])</f>
        <v>Akash Chauhan</v>
      </c>
      <c r="R951" s="21">
        <f>SalesData[[#This Row],[Sales]]-SalesData[[#This Row],[Cost]]</f>
        <v>6263.4400000000005</v>
      </c>
      <c r="S951" s="22">
        <f>IFERROR(SalesData[[#This Row],[Profit]]/SalesData[[#This Row],[Sales]],0)</f>
        <v>0.66333908405693953</v>
      </c>
      <c r="T951" s="19">
        <f>YEAR(SalesData[[#This Row],[Order_Date]])</f>
        <v>2024</v>
      </c>
      <c r="U951" s="19" t="str">
        <f>TEXT(SalesData[[#This Row],[Order_Date]],"mmm")</f>
        <v>Nov</v>
      </c>
      <c r="V951" s="19" t="str">
        <f>"Q"&amp;ROUNDUP(MONTH(SalesData[[#This Row],[Order_Date]])/3,0)</f>
        <v>Q4</v>
      </c>
      <c r="W951" s="19" t="str">
        <f>IF(SalesData[[#This Row],[Sales]]&gt;=50000,"High",IF(AND(SalesData[[#This Row],[Sales]]&gt;= 20000, SalesData[[#This Row],[Sales]]&lt; 50000),"Medium","Low"))</f>
        <v>Low</v>
      </c>
      <c r="X951" s="19" t="str">
        <f>IF(SalesData[[#This Row],[Profit]]&gt;0,"Profit","Loss")</f>
        <v>Profit</v>
      </c>
      <c r="Y951" s="19" t="str">
        <f>IF(AND(SalesData[[#This Row],[Sales]]&gt;= 50000, SalesData[[#This Row],[Quantity]]&gt;=2),"Yes","No")</f>
        <v>No</v>
      </c>
      <c r="Z951" s="19" t="str">
        <f>UPPER(SalesData[[#This Row],[Customer_Name]])</f>
        <v>AKASH CHAUHAN</v>
      </c>
      <c r="AA951" s="19" t="str">
        <f>LOWER(SalesData[[#This Row],[Customer_Name]])</f>
        <v>akash chauhan</v>
      </c>
      <c r="AB951" s="19">
        <f>LEN(SalesData[[#This Row],[Customer_Name]])</f>
        <v>13</v>
      </c>
      <c r="AC951" s="19" t="str">
        <f>LEFT(SalesData[[#This Row],[Order_ID]],3)</f>
        <v>ORD</v>
      </c>
      <c r="AD951" s="19" t="str">
        <f>RIGHT(SalesData[[#This Row],[Order_ID]],4)</f>
        <v>0571</v>
      </c>
      <c r="AE951" s="19" t="str">
        <f>_xlfn.CONCAT(SalesData[[#This Row],[Clean_Customer_Name]],"-",SalesData[[#This Row],[Region]])</f>
        <v>Akash Chauhan-North</v>
      </c>
      <c r="AF951" s="19" t="str">
        <f>MID(SalesData[[#This Row],[Order_ID]],4,4)</f>
        <v>0571</v>
      </c>
      <c r="AG951" s="19" t="e">
        <f ca="1">_xlfn.SINGLE(_xlfn.XLOOKUP(SalesData[[#This Row],[Product]],Product_Master!A:A,Product_Master!B:B,"Not Found"))</f>
        <v>#NAME?</v>
      </c>
      <c r="AH951" s="19" t="str">
        <f>VLOOKUP(SalesData[[#This Row],[Product]],Product_Master!$A$1:$B$21,2,FALSE)</f>
        <v>Aditya</v>
      </c>
      <c r="AI951" s="16"/>
    </row>
    <row r="952" spans="1:35" ht="13.8">
      <c r="A952" s="16" t="s">
        <v>1008</v>
      </c>
      <c r="B952" s="17">
        <v>45494</v>
      </c>
      <c r="C952" s="16" t="s">
        <v>17</v>
      </c>
      <c r="D952" s="16" t="s">
        <v>18</v>
      </c>
      <c r="E952" s="16" t="s">
        <v>106</v>
      </c>
      <c r="F952" s="16" t="s">
        <v>107</v>
      </c>
      <c r="G952" s="16" t="s">
        <v>40</v>
      </c>
      <c r="H952" s="16" t="s">
        <v>108</v>
      </c>
      <c r="I952" s="16" t="s">
        <v>53</v>
      </c>
      <c r="J952" s="16" t="s">
        <v>54</v>
      </c>
      <c r="K952" s="18">
        <v>5054.99</v>
      </c>
      <c r="L952" s="18">
        <v>1925.4</v>
      </c>
      <c r="M952" s="19">
        <v>3</v>
      </c>
      <c r="N952" s="20">
        <v>0.15</v>
      </c>
      <c r="O952" s="19" t="s">
        <v>76</v>
      </c>
      <c r="P952" s="19" t="s">
        <v>45</v>
      </c>
      <c r="Q952" s="19" t="str">
        <f>TRIM(SalesData[[#This Row],[Customer_Name]])</f>
        <v>Akash Chauhan</v>
      </c>
      <c r="R952" s="21">
        <f>SalesData[[#This Row],[Sales]]-SalesData[[#This Row],[Cost]]</f>
        <v>3129.5899999999997</v>
      </c>
      <c r="S952" s="22">
        <f>IFERROR(SalesData[[#This Row],[Profit]]/SalesData[[#This Row],[Sales]],0)</f>
        <v>0.61910903879137247</v>
      </c>
      <c r="T952" s="19">
        <f>YEAR(SalesData[[#This Row],[Order_Date]])</f>
        <v>2024</v>
      </c>
      <c r="U952" s="19" t="str">
        <f>TEXT(SalesData[[#This Row],[Order_Date]],"mmm")</f>
        <v>Jul</v>
      </c>
      <c r="V952" s="19" t="str">
        <f>"Q"&amp;ROUNDUP(MONTH(SalesData[[#This Row],[Order_Date]])/3,0)</f>
        <v>Q3</v>
      </c>
      <c r="W952" s="19" t="str">
        <f>IF(SalesData[[#This Row],[Sales]]&gt;=50000,"High",IF(AND(SalesData[[#This Row],[Sales]]&gt;= 20000, SalesData[[#This Row],[Sales]]&lt; 50000),"Medium","Low"))</f>
        <v>Low</v>
      </c>
      <c r="X952" s="19" t="str">
        <f>IF(SalesData[[#This Row],[Profit]]&gt;0,"Profit","Loss")</f>
        <v>Profit</v>
      </c>
      <c r="Y952" s="19" t="str">
        <f>IF(AND(SalesData[[#This Row],[Sales]]&gt;= 50000, SalesData[[#This Row],[Quantity]]&gt;=2),"Yes","No")</f>
        <v>No</v>
      </c>
      <c r="Z952" s="19" t="str">
        <f>UPPER(SalesData[[#This Row],[Customer_Name]])</f>
        <v>AKASH CHAUHAN</v>
      </c>
      <c r="AA952" s="19" t="str">
        <f>LOWER(SalesData[[#This Row],[Customer_Name]])</f>
        <v>akash chauhan</v>
      </c>
      <c r="AB952" s="19">
        <f>LEN(SalesData[[#This Row],[Customer_Name]])</f>
        <v>13</v>
      </c>
      <c r="AC952" s="19" t="str">
        <f>LEFT(SalesData[[#This Row],[Order_ID]],3)</f>
        <v>ORD</v>
      </c>
      <c r="AD952" s="19" t="str">
        <f>RIGHT(SalesData[[#This Row],[Order_ID]],4)</f>
        <v>0855</v>
      </c>
      <c r="AE952" s="19" t="str">
        <f>_xlfn.CONCAT(SalesData[[#This Row],[Clean_Customer_Name]],"-",SalesData[[#This Row],[Region]])</f>
        <v>Akash Chauhan-Central</v>
      </c>
      <c r="AF952" s="19" t="str">
        <f>MID(SalesData[[#This Row],[Order_ID]],4,4)</f>
        <v>0855</v>
      </c>
      <c r="AG952" s="19" t="e">
        <f ca="1">_xlfn.SINGLE(_xlfn.XLOOKUP(SalesData[[#This Row],[Product]],Product_Master!A:A,Product_Master!B:B,"Not Found"))</f>
        <v>#NAME?</v>
      </c>
      <c r="AH952" s="19" t="str">
        <f>VLOOKUP(SalesData[[#This Row],[Product]],Product_Master!$A$1:$B$21,2,FALSE)</f>
        <v>Aditya</v>
      </c>
      <c r="AI952" s="16"/>
    </row>
    <row r="953" spans="1:35" ht="13.8">
      <c r="A953" s="16" t="s">
        <v>1046</v>
      </c>
      <c r="B953" s="17">
        <v>45576</v>
      </c>
      <c r="C953" s="16" t="s">
        <v>17</v>
      </c>
      <c r="D953" s="16" t="s">
        <v>18</v>
      </c>
      <c r="E953" s="16" t="s">
        <v>106</v>
      </c>
      <c r="F953" s="16" t="s">
        <v>107</v>
      </c>
      <c r="G953" s="16" t="s">
        <v>40</v>
      </c>
      <c r="H953" s="16" t="s">
        <v>108</v>
      </c>
      <c r="I953" s="16" t="s">
        <v>23</v>
      </c>
      <c r="J953" s="16" t="s">
        <v>33</v>
      </c>
      <c r="K953" s="18">
        <v>5581.49</v>
      </c>
      <c r="L953" s="18">
        <v>3500.25</v>
      </c>
      <c r="M953" s="19">
        <v>5</v>
      </c>
      <c r="N953" s="20">
        <v>0.05</v>
      </c>
      <c r="O953" s="19" t="s">
        <v>34</v>
      </c>
      <c r="P953" s="19" t="s">
        <v>58</v>
      </c>
      <c r="Q953" s="19" t="str">
        <f>TRIM(SalesData[[#This Row],[Customer_Name]])</f>
        <v>Akash Chauhan</v>
      </c>
      <c r="R953" s="21">
        <f>SalesData[[#This Row],[Sales]]-SalesData[[#This Row],[Cost]]</f>
        <v>2081.2399999999998</v>
      </c>
      <c r="S953" s="22">
        <f>IFERROR(SalesData[[#This Row],[Profit]]/SalesData[[#This Row],[Sales]],0)</f>
        <v>0.37288250986743682</v>
      </c>
      <c r="T953" s="19">
        <f>YEAR(SalesData[[#This Row],[Order_Date]])</f>
        <v>2024</v>
      </c>
      <c r="U953" s="19" t="str">
        <f>TEXT(SalesData[[#This Row],[Order_Date]],"mmm")</f>
        <v>Oct</v>
      </c>
      <c r="V953" s="19" t="str">
        <f>"Q"&amp;ROUNDUP(MONTH(SalesData[[#This Row],[Order_Date]])/3,0)</f>
        <v>Q4</v>
      </c>
      <c r="W953" s="19" t="str">
        <f>IF(SalesData[[#This Row],[Sales]]&gt;=50000,"High",IF(AND(SalesData[[#This Row],[Sales]]&gt;= 20000, SalesData[[#This Row],[Sales]]&lt; 50000),"Medium","Low"))</f>
        <v>Low</v>
      </c>
      <c r="X953" s="19" t="str">
        <f>IF(SalesData[[#This Row],[Profit]]&gt;0,"Profit","Loss")</f>
        <v>Profit</v>
      </c>
      <c r="Y953" s="19" t="str">
        <f>IF(AND(SalesData[[#This Row],[Sales]]&gt;= 50000, SalesData[[#This Row],[Quantity]]&gt;=2),"Yes","No")</f>
        <v>No</v>
      </c>
      <c r="Z953" s="19" t="str">
        <f>UPPER(SalesData[[#This Row],[Customer_Name]])</f>
        <v>AKASH CHAUHAN</v>
      </c>
      <c r="AA953" s="19" t="str">
        <f>LOWER(SalesData[[#This Row],[Customer_Name]])</f>
        <v>akash chauhan</v>
      </c>
      <c r="AB953" s="19">
        <f>LEN(SalesData[[#This Row],[Customer_Name]])</f>
        <v>13</v>
      </c>
      <c r="AC953" s="19" t="str">
        <f>LEFT(SalesData[[#This Row],[Order_ID]],3)</f>
        <v>ORD</v>
      </c>
      <c r="AD953" s="19" t="str">
        <f>RIGHT(SalesData[[#This Row],[Order_ID]],4)</f>
        <v>0893</v>
      </c>
      <c r="AE953" s="19" t="str">
        <f>_xlfn.CONCAT(SalesData[[#This Row],[Clean_Customer_Name]],"-",SalesData[[#This Row],[Region]])</f>
        <v>Akash Chauhan-North</v>
      </c>
      <c r="AF953" s="19" t="str">
        <f>MID(SalesData[[#This Row],[Order_ID]],4,4)</f>
        <v>0893</v>
      </c>
      <c r="AG953" s="19" t="e">
        <f ca="1">_xlfn.SINGLE(_xlfn.XLOOKUP(SalesData[[#This Row],[Product]],Product_Master!A:A,Product_Master!B:B,"Not Found"))</f>
        <v>#NAME?</v>
      </c>
      <c r="AH953" s="19" t="str">
        <f>VLOOKUP(SalesData[[#This Row],[Product]],Product_Master!$A$1:$B$21,2,FALSE)</f>
        <v>Aditya</v>
      </c>
      <c r="AI953" s="16"/>
    </row>
    <row r="954" spans="1:35" ht="13.8">
      <c r="A954" s="16" t="s">
        <v>86</v>
      </c>
      <c r="B954" s="17">
        <v>45950</v>
      </c>
      <c r="C954" s="16" t="s">
        <v>17</v>
      </c>
      <c r="D954" s="16" t="s">
        <v>18</v>
      </c>
      <c r="E954" s="16" t="s">
        <v>87</v>
      </c>
      <c r="F954" s="16" t="s">
        <v>88</v>
      </c>
      <c r="G954" s="16" t="s">
        <v>89</v>
      </c>
      <c r="H954" s="16" t="s">
        <v>90</v>
      </c>
      <c r="I954" s="16" t="s">
        <v>56</v>
      </c>
      <c r="J954" s="16" t="s">
        <v>91</v>
      </c>
      <c r="K954" s="18">
        <v>8007.9</v>
      </c>
      <c r="L954" s="18">
        <v>6685.72</v>
      </c>
      <c r="M954" s="19">
        <v>4</v>
      </c>
      <c r="N954" s="20">
        <v>0.2</v>
      </c>
      <c r="O954" s="19" t="s">
        <v>34</v>
      </c>
      <c r="P954" s="19" t="s">
        <v>45</v>
      </c>
      <c r="Q954" s="19" t="str">
        <f>TRIM(SalesData[[#This Row],[Customer_Name]])</f>
        <v>Akash Chauhan</v>
      </c>
      <c r="R954" s="21">
        <f>SalesData[[#This Row],[Sales]]-SalesData[[#This Row],[Cost]]</f>
        <v>1322.1799999999994</v>
      </c>
      <c r="S954" s="22">
        <f>IFERROR(SalesData[[#This Row],[Profit]]/SalesData[[#This Row],[Sales]],0)</f>
        <v>0.16510945441376634</v>
      </c>
      <c r="T954" s="19">
        <f>YEAR(SalesData[[#This Row],[Order_Date]])</f>
        <v>2025</v>
      </c>
      <c r="U954" s="19" t="str">
        <f>TEXT(SalesData[[#This Row],[Order_Date]],"mmm")</f>
        <v>Oct</v>
      </c>
      <c r="V954" s="19" t="str">
        <f>"Q"&amp;ROUNDUP(MONTH(SalesData[[#This Row],[Order_Date]])/3,0)</f>
        <v>Q4</v>
      </c>
      <c r="W954" s="19" t="str">
        <f>IF(SalesData[[#This Row],[Sales]]&gt;=50000,"High",IF(AND(SalesData[[#This Row],[Sales]]&gt;= 20000, SalesData[[#This Row],[Sales]]&lt; 50000),"Medium","Low"))</f>
        <v>Low</v>
      </c>
      <c r="X954" s="19" t="str">
        <f>IF(SalesData[[#This Row],[Profit]]&gt;0,"Profit","Loss")</f>
        <v>Profit</v>
      </c>
      <c r="Y954" s="19" t="str">
        <f>IF(AND(SalesData[[#This Row],[Sales]]&gt;= 50000, SalesData[[#This Row],[Quantity]]&gt;=2),"Yes","No")</f>
        <v>No</v>
      </c>
      <c r="Z954" s="19" t="str">
        <f>UPPER(SalesData[[#This Row],[Customer_Name]])</f>
        <v>AKASH CHAUHAN</v>
      </c>
      <c r="AA954" s="19" t="str">
        <f>LOWER(SalesData[[#This Row],[Customer_Name]])</f>
        <v>akash chauhan</v>
      </c>
      <c r="AB954" s="19">
        <f>LEN(SalesData[[#This Row],[Customer_Name]])</f>
        <v>13</v>
      </c>
      <c r="AC954" s="19" t="str">
        <f>LEFT(SalesData[[#This Row],[Order_ID]],3)</f>
        <v>ORD</v>
      </c>
      <c r="AD954" s="19" t="str">
        <f>RIGHT(SalesData[[#This Row],[Order_ID]],4)</f>
        <v>0010</v>
      </c>
      <c r="AE954" s="19" t="str">
        <f>_xlfn.CONCAT(SalesData[[#This Row],[Clean_Customer_Name]],"-",SalesData[[#This Row],[Region]])</f>
        <v>Akash Chauhan-West</v>
      </c>
      <c r="AF954" s="19" t="str">
        <f>MID(SalesData[[#This Row],[Order_ID]],4,4)</f>
        <v>0010</v>
      </c>
      <c r="AG954" s="19" t="e">
        <f ca="1">_xlfn.SINGLE(_xlfn.XLOOKUP(SalesData[[#This Row],[Product]],Product_Master!A:A,Product_Master!B:B,"Not Found"))</f>
        <v>#NAME?</v>
      </c>
      <c r="AH954" s="19" t="str">
        <f>VLOOKUP(SalesData[[#This Row],[Product]],Product_Master!$A$1:$B$21,2,FALSE)</f>
        <v>Rahul</v>
      </c>
      <c r="AI954" s="16"/>
    </row>
    <row r="955" spans="1:35" ht="13.8">
      <c r="A955" s="16" t="s">
        <v>256</v>
      </c>
      <c r="B955" s="17">
        <v>45846</v>
      </c>
      <c r="C955" s="16" t="s">
        <v>17</v>
      </c>
      <c r="D955" s="16" t="s">
        <v>18</v>
      </c>
      <c r="E955" s="16" t="s">
        <v>87</v>
      </c>
      <c r="F955" s="16" t="s">
        <v>88</v>
      </c>
      <c r="G955" s="16" t="s">
        <v>89</v>
      </c>
      <c r="H955" s="16" t="s">
        <v>90</v>
      </c>
      <c r="I955" s="16" t="s">
        <v>53</v>
      </c>
      <c r="J955" s="16" t="s">
        <v>102</v>
      </c>
      <c r="K955" s="18">
        <v>2550.5500000000002</v>
      </c>
      <c r="L955" s="18">
        <v>1842.29</v>
      </c>
      <c r="M955" s="19">
        <v>1</v>
      </c>
      <c r="N955" s="20">
        <v>0.1</v>
      </c>
      <c r="O955" s="19" t="s">
        <v>76</v>
      </c>
      <c r="P955" s="19" t="s">
        <v>58</v>
      </c>
      <c r="Q955" s="19" t="str">
        <f>TRIM(SalesData[[#This Row],[Customer_Name]])</f>
        <v>Akash Chauhan</v>
      </c>
      <c r="R955" s="21">
        <f>SalesData[[#This Row],[Sales]]-SalesData[[#This Row],[Cost]]</f>
        <v>708.26000000000022</v>
      </c>
      <c r="S955" s="22">
        <f>IFERROR(SalesData[[#This Row],[Profit]]/SalesData[[#This Row],[Sales]],0)</f>
        <v>0.27768912587481137</v>
      </c>
      <c r="T955" s="19">
        <f>YEAR(SalesData[[#This Row],[Order_Date]])</f>
        <v>2025</v>
      </c>
      <c r="U955" s="19" t="str">
        <f>TEXT(SalesData[[#This Row],[Order_Date]],"mmm")</f>
        <v>Jul</v>
      </c>
      <c r="V955" s="19" t="str">
        <f>"Q"&amp;ROUNDUP(MONTH(SalesData[[#This Row],[Order_Date]])/3,0)</f>
        <v>Q3</v>
      </c>
      <c r="W955" s="19" t="str">
        <f>IF(SalesData[[#This Row],[Sales]]&gt;=50000,"High",IF(AND(SalesData[[#This Row],[Sales]]&gt;= 20000, SalesData[[#This Row],[Sales]]&lt; 50000),"Medium","Low"))</f>
        <v>Low</v>
      </c>
      <c r="X955" s="19" t="str">
        <f>IF(SalesData[[#This Row],[Profit]]&gt;0,"Profit","Loss")</f>
        <v>Profit</v>
      </c>
      <c r="Y955" s="19" t="str">
        <f>IF(AND(SalesData[[#This Row],[Sales]]&gt;= 50000, SalesData[[#This Row],[Quantity]]&gt;=2),"Yes","No")</f>
        <v>No</v>
      </c>
      <c r="Z955" s="19" t="str">
        <f>UPPER(SalesData[[#This Row],[Customer_Name]])</f>
        <v>AKASH CHAUHAN</v>
      </c>
      <c r="AA955" s="19" t="str">
        <f>LOWER(SalesData[[#This Row],[Customer_Name]])</f>
        <v>akash chauhan</v>
      </c>
      <c r="AB955" s="19">
        <f>LEN(SalesData[[#This Row],[Customer_Name]])</f>
        <v>13</v>
      </c>
      <c r="AC955" s="19" t="str">
        <f>LEFT(SalesData[[#This Row],[Order_ID]],3)</f>
        <v>ORD</v>
      </c>
      <c r="AD955" s="19" t="str">
        <f>RIGHT(SalesData[[#This Row],[Order_ID]],4)</f>
        <v>0105</v>
      </c>
      <c r="AE955" s="19" t="str">
        <f>_xlfn.CONCAT(SalesData[[#This Row],[Clean_Customer_Name]],"-",SalesData[[#This Row],[Region]])</f>
        <v>Akash Chauhan-Central</v>
      </c>
      <c r="AF955" s="19" t="str">
        <f>MID(SalesData[[#This Row],[Order_ID]],4,4)</f>
        <v>0105</v>
      </c>
      <c r="AG955" s="19" t="e">
        <f ca="1">_xlfn.SINGLE(_xlfn.XLOOKUP(SalesData[[#This Row],[Product]],Product_Master!A:A,Product_Master!B:B,"Not Found"))</f>
        <v>#NAME?</v>
      </c>
      <c r="AH955" s="19" t="str">
        <f>VLOOKUP(SalesData[[#This Row],[Product]],Product_Master!$A$1:$B$21,2,FALSE)</f>
        <v>Rahul</v>
      </c>
      <c r="AI955" s="16"/>
    </row>
    <row r="956" spans="1:35" ht="13.8">
      <c r="A956" s="16" t="s">
        <v>479</v>
      </c>
      <c r="B956" s="17">
        <v>45717</v>
      </c>
      <c r="C956" s="16" t="s">
        <v>17</v>
      </c>
      <c r="D956" s="16" t="s">
        <v>18</v>
      </c>
      <c r="E956" s="16" t="s">
        <v>182</v>
      </c>
      <c r="F956" s="16" t="s">
        <v>183</v>
      </c>
      <c r="G956" s="16" t="s">
        <v>89</v>
      </c>
      <c r="H956" s="16" t="s">
        <v>90</v>
      </c>
      <c r="I956" s="16" t="s">
        <v>53</v>
      </c>
      <c r="J956" s="16" t="s">
        <v>54</v>
      </c>
      <c r="K956" s="18">
        <v>23424.22</v>
      </c>
      <c r="L956" s="18">
        <v>24968.68</v>
      </c>
      <c r="M956" s="19">
        <v>4</v>
      </c>
      <c r="N956" s="20">
        <v>0.2</v>
      </c>
      <c r="O956" s="19" t="s">
        <v>34</v>
      </c>
      <c r="P956" s="19" t="s">
        <v>58</v>
      </c>
      <c r="Q956" s="19" t="str">
        <f>TRIM(SalesData[[#This Row],[Customer_Name]])</f>
        <v>Akash Chauhan</v>
      </c>
      <c r="R956" s="21">
        <f>SalesData[[#This Row],[Sales]]-SalesData[[#This Row],[Cost]]</f>
        <v>-1544.4599999999991</v>
      </c>
      <c r="S956" s="22">
        <f>IFERROR(SalesData[[#This Row],[Profit]]/SalesData[[#This Row],[Sales]],0)</f>
        <v>-6.5934319264419436E-2</v>
      </c>
      <c r="T956" s="19">
        <f>YEAR(SalesData[[#This Row],[Order_Date]])</f>
        <v>2025</v>
      </c>
      <c r="U956" s="19" t="str">
        <f>TEXT(SalesData[[#This Row],[Order_Date]],"mmm")</f>
        <v>Mar</v>
      </c>
      <c r="V956" s="19" t="str">
        <f>"Q"&amp;ROUNDUP(MONTH(SalesData[[#This Row],[Order_Date]])/3,0)</f>
        <v>Q1</v>
      </c>
      <c r="W956" s="19" t="str">
        <f>IF(SalesData[[#This Row],[Sales]]&gt;=50000,"High",IF(AND(SalesData[[#This Row],[Sales]]&gt;= 20000, SalesData[[#This Row],[Sales]]&lt; 50000),"Medium","Low"))</f>
        <v>Medium</v>
      </c>
      <c r="X956" s="19" t="str">
        <f>IF(SalesData[[#This Row],[Profit]]&gt;0,"Profit","Loss")</f>
        <v>Loss</v>
      </c>
      <c r="Y956" s="19" t="str">
        <f>IF(AND(SalesData[[#This Row],[Sales]]&gt;= 50000, SalesData[[#This Row],[Quantity]]&gt;=2),"Yes","No")</f>
        <v>No</v>
      </c>
      <c r="Z956" s="19" t="str">
        <f>UPPER(SalesData[[#This Row],[Customer_Name]])</f>
        <v>AKASH CHAUHAN</v>
      </c>
      <c r="AA956" s="19" t="str">
        <f>LOWER(SalesData[[#This Row],[Customer_Name]])</f>
        <v>akash chauhan</v>
      </c>
      <c r="AB956" s="19">
        <f>LEN(SalesData[[#This Row],[Customer_Name]])</f>
        <v>13</v>
      </c>
      <c r="AC956" s="19" t="str">
        <f>LEFT(SalesData[[#This Row],[Order_ID]],3)</f>
        <v>ORD</v>
      </c>
      <c r="AD956" s="19" t="str">
        <f>RIGHT(SalesData[[#This Row],[Order_ID]],4)</f>
        <v>0326</v>
      </c>
      <c r="AE956" s="19" t="str">
        <f>_xlfn.CONCAT(SalesData[[#This Row],[Clean_Customer_Name]],"-",SalesData[[#This Row],[Region]])</f>
        <v>Akash Chauhan-Central</v>
      </c>
      <c r="AF956" s="19" t="str">
        <f>MID(SalesData[[#This Row],[Order_ID]],4,4)</f>
        <v>0326</v>
      </c>
      <c r="AG956" s="19" t="e">
        <f ca="1">_xlfn.SINGLE(_xlfn.XLOOKUP(SalesData[[#This Row],[Product]],Product_Master!A:A,Product_Master!B:B,"Not Found"))</f>
        <v>#NAME?</v>
      </c>
      <c r="AH956" s="19" t="str">
        <f>VLOOKUP(SalesData[[#This Row],[Product]],Product_Master!$A$1:$B$21,2,FALSE)</f>
        <v>Priya</v>
      </c>
      <c r="AI956" s="16"/>
    </row>
    <row r="957" spans="1:35" ht="13.8">
      <c r="A957" s="16" t="s">
        <v>1060</v>
      </c>
      <c r="B957" s="17">
        <v>45655</v>
      </c>
      <c r="C957" s="16" t="s">
        <v>17</v>
      </c>
      <c r="D957" s="16" t="s">
        <v>18</v>
      </c>
      <c r="E957" s="16" t="s">
        <v>182</v>
      </c>
      <c r="F957" s="16" t="s">
        <v>183</v>
      </c>
      <c r="G957" s="16" t="s">
        <v>89</v>
      </c>
      <c r="H957" s="16" t="s">
        <v>90</v>
      </c>
      <c r="I957" s="16" t="s">
        <v>84</v>
      </c>
      <c r="J957" s="16" t="s">
        <v>142</v>
      </c>
      <c r="K957" s="18">
        <v>42711.199999999997</v>
      </c>
      <c r="L957" s="18">
        <v>23910.720000000001</v>
      </c>
      <c r="M957" s="19">
        <v>4</v>
      </c>
      <c r="N957" s="20">
        <v>0.05</v>
      </c>
      <c r="O957" s="19" t="s">
        <v>76</v>
      </c>
      <c r="P957" s="19" t="s">
        <v>58</v>
      </c>
      <c r="Q957" s="19" t="str">
        <f>TRIM(SalesData[[#This Row],[Customer_Name]])</f>
        <v>Akash Chauhan</v>
      </c>
      <c r="R957" s="21">
        <f>SalesData[[#This Row],[Sales]]-SalesData[[#This Row],[Cost]]</f>
        <v>18800.479999999996</v>
      </c>
      <c r="S957" s="22">
        <f>IFERROR(SalesData[[#This Row],[Profit]]/SalesData[[#This Row],[Sales]],0)</f>
        <v>0.44017681544887516</v>
      </c>
      <c r="T957" s="19">
        <f>YEAR(SalesData[[#This Row],[Order_Date]])</f>
        <v>2024</v>
      </c>
      <c r="U957" s="19" t="str">
        <f>TEXT(SalesData[[#This Row],[Order_Date]],"mmm")</f>
        <v>Dec</v>
      </c>
      <c r="V957" s="19" t="str">
        <f>"Q"&amp;ROUNDUP(MONTH(SalesData[[#This Row],[Order_Date]])/3,0)</f>
        <v>Q4</v>
      </c>
      <c r="W957" s="19" t="str">
        <f>IF(SalesData[[#This Row],[Sales]]&gt;=50000,"High",IF(AND(SalesData[[#This Row],[Sales]]&gt;= 20000, SalesData[[#This Row],[Sales]]&lt; 50000),"Medium","Low"))</f>
        <v>Medium</v>
      </c>
      <c r="X957" s="19" t="str">
        <f>IF(SalesData[[#This Row],[Profit]]&gt;0,"Profit","Loss")</f>
        <v>Profit</v>
      </c>
      <c r="Y957" s="19" t="str">
        <f>IF(AND(SalesData[[#This Row],[Sales]]&gt;= 50000, SalesData[[#This Row],[Quantity]]&gt;=2),"Yes","No")</f>
        <v>No</v>
      </c>
      <c r="Z957" s="19" t="str">
        <f>UPPER(SalesData[[#This Row],[Customer_Name]])</f>
        <v>AKASH CHAUHAN</v>
      </c>
      <c r="AA957" s="19" t="str">
        <f>LOWER(SalesData[[#This Row],[Customer_Name]])</f>
        <v>akash chauhan</v>
      </c>
      <c r="AB957" s="19">
        <f>LEN(SalesData[[#This Row],[Customer_Name]])</f>
        <v>13</v>
      </c>
      <c r="AC957" s="19" t="str">
        <f>LEFT(SalesData[[#This Row],[Order_ID]],3)</f>
        <v>ORD</v>
      </c>
      <c r="AD957" s="19" t="str">
        <f>RIGHT(SalesData[[#This Row],[Order_ID]],4)</f>
        <v>0907</v>
      </c>
      <c r="AE957" s="19" t="str">
        <f>_xlfn.CONCAT(SalesData[[#This Row],[Clean_Customer_Name]],"-",SalesData[[#This Row],[Region]])</f>
        <v>Akash Chauhan-South</v>
      </c>
      <c r="AF957" s="19" t="str">
        <f>MID(SalesData[[#This Row],[Order_ID]],4,4)</f>
        <v>0907</v>
      </c>
      <c r="AG957" s="19" t="e">
        <f ca="1">_xlfn.SINGLE(_xlfn.XLOOKUP(SalesData[[#This Row],[Product]],Product_Master!A:A,Product_Master!B:B,"Not Found"))</f>
        <v>#NAME?</v>
      </c>
      <c r="AH957" s="19" t="str">
        <f>VLOOKUP(SalesData[[#This Row],[Product]],Product_Master!$A$1:$B$21,2,FALSE)</f>
        <v>Priya</v>
      </c>
      <c r="AI957" s="16"/>
    </row>
    <row r="958" spans="1:35" ht="13.8">
      <c r="A958" s="16" t="s">
        <v>777</v>
      </c>
      <c r="B958" s="17">
        <v>45461</v>
      </c>
      <c r="C958" s="16" t="s">
        <v>17</v>
      </c>
      <c r="D958" s="16" t="s">
        <v>18</v>
      </c>
      <c r="E958" s="16" t="s">
        <v>187</v>
      </c>
      <c r="F958" s="16" t="s">
        <v>188</v>
      </c>
      <c r="G958" s="16" t="s">
        <v>89</v>
      </c>
      <c r="H958" s="16" t="s">
        <v>189</v>
      </c>
      <c r="I958" s="16" t="s">
        <v>53</v>
      </c>
      <c r="J958" s="16" t="s">
        <v>102</v>
      </c>
      <c r="K958" s="18">
        <v>37208.35</v>
      </c>
      <c r="L958" s="18">
        <v>28081.3</v>
      </c>
      <c r="M958" s="19">
        <v>5</v>
      </c>
      <c r="N958" s="20">
        <v>0</v>
      </c>
      <c r="O958" s="19" t="s">
        <v>44</v>
      </c>
      <c r="P958" s="19" t="s">
        <v>77</v>
      </c>
      <c r="Q958" s="19" t="str">
        <f>TRIM(SalesData[[#This Row],[Customer_Name]])</f>
        <v>Akash Chauhan</v>
      </c>
      <c r="R958" s="21">
        <f>SalesData[[#This Row],[Sales]]-SalesData[[#This Row],[Cost]]</f>
        <v>9127.0499999999993</v>
      </c>
      <c r="S958" s="22">
        <f>IFERROR(SalesData[[#This Row],[Profit]]/SalesData[[#This Row],[Sales]],0)</f>
        <v>0.24529574678801935</v>
      </c>
      <c r="T958" s="19">
        <f>YEAR(SalesData[[#This Row],[Order_Date]])</f>
        <v>2024</v>
      </c>
      <c r="U958" s="19" t="str">
        <f>TEXT(SalesData[[#This Row],[Order_Date]],"mmm")</f>
        <v>Jun</v>
      </c>
      <c r="V958" s="19" t="str">
        <f>"Q"&amp;ROUNDUP(MONTH(SalesData[[#This Row],[Order_Date]])/3,0)</f>
        <v>Q2</v>
      </c>
      <c r="W958" s="19" t="str">
        <f>IF(SalesData[[#This Row],[Sales]]&gt;=50000,"High",IF(AND(SalesData[[#This Row],[Sales]]&gt;= 20000, SalesData[[#This Row],[Sales]]&lt; 50000),"Medium","Low"))</f>
        <v>Medium</v>
      </c>
      <c r="X958" s="19" t="str">
        <f>IF(SalesData[[#This Row],[Profit]]&gt;0,"Profit","Loss")</f>
        <v>Profit</v>
      </c>
      <c r="Y958" s="19" t="str">
        <f>IF(AND(SalesData[[#This Row],[Sales]]&gt;= 50000, SalesData[[#This Row],[Quantity]]&gt;=2),"Yes","No")</f>
        <v>No</v>
      </c>
      <c r="Z958" s="19" t="str">
        <f>UPPER(SalesData[[#This Row],[Customer_Name]])</f>
        <v>AKASH CHAUHAN</v>
      </c>
      <c r="AA958" s="19" t="str">
        <f>LOWER(SalesData[[#This Row],[Customer_Name]])</f>
        <v>akash chauhan</v>
      </c>
      <c r="AB958" s="19">
        <f>LEN(SalesData[[#This Row],[Customer_Name]])</f>
        <v>13</v>
      </c>
      <c r="AC958" s="19" t="str">
        <f>LEFT(SalesData[[#This Row],[Order_ID]],3)</f>
        <v>ORD</v>
      </c>
      <c r="AD958" s="19" t="str">
        <f>RIGHT(SalesData[[#This Row],[Order_ID]],4)</f>
        <v>0624</v>
      </c>
      <c r="AE958" s="19" t="str">
        <f>_xlfn.CONCAT(SalesData[[#This Row],[Clean_Customer_Name]],"-",SalesData[[#This Row],[Region]])</f>
        <v>Akash Chauhan-Central</v>
      </c>
      <c r="AF958" s="19" t="str">
        <f>MID(SalesData[[#This Row],[Order_ID]],4,4)</f>
        <v>0624</v>
      </c>
      <c r="AG958" s="19" t="e">
        <f ca="1">_xlfn.SINGLE(_xlfn.XLOOKUP(SalesData[[#This Row],[Product]],Product_Master!A:A,Product_Master!B:B,"Not Found"))</f>
        <v>#NAME?</v>
      </c>
      <c r="AH958" s="19" t="str">
        <f>VLOOKUP(SalesData[[#This Row],[Product]],Product_Master!$A$1:$B$21,2,FALSE)</f>
        <v>Amit</v>
      </c>
      <c r="AI958" s="16"/>
    </row>
    <row r="959" spans="1:35" ht="13.8">
      <c r="A959" s="16" t="s">
        <v>1100</v>
      </c>
      <c r="B959" s="17">
        <v>45974</v>
      </c>
      <c r="C959" s="16" t="s">
        <v>17</v>
      </c>
      <c r="D959" s="16" t="s">
        <v>18</v>
      </c>
      <c r="E959" s="16" t="s">
        <v>187</v>
      </c>
      <c r="F959" s="16" t="s">
        <v>188</v>
      </c>
      <c r="G959" s="16" t="s">
        <v>89</v>
      </c>
      <c r="H959" s="16" t="s">
        <v>189</v>
      </c>
      <c r="I959" s="16" t="s">
        <v>84</v>
      </c>
      <c r="J959" s="16" t="s">
        <v>142</v>
      </c>
      <c r="K959" s="18">
        <v>10546.22</v>
      </c>
      <c r="L959" s="18">
        <v>5717.85</v>
      </c>
      <c r="M959" s="19">
        <v>1</v>
      </c>
      <c r="N959" s="20">
        <v>0.05</v>
      </c>
      <c r="O959" s="19" t="s">
        <v>136</v>
      </c>
      <c r="P959" s="19" t="s">
        <v>26</v>
      </c>
      <c r="Q959" s="19" t="str">
        <f>TRIM(SalesData[[#This Row],[Customer_Name]])</f>
        <v>Akash Chauhan</v>
      </c>
      <c r="R959" s="21">
        <f>SalesData[[#This Row],[Sales]]-SalesData[[#This Row],[Cost]]</f>
        <v>4828.369999999999</v>
      </c>
      <c r="S959" s="22">
        <f>IFERROR(SalesData[[#This Row],[Profit]]/SalesData[[#This Row],[Sales]],0)</f>
        <v>0.45782944031131528</v>
      </c>
      <c r="T959" s="19">
        <f>YEAR(SalesData[[#This Row],[Order_Date]])</f>
        <v>2025</v>
      </c>
      <c r="U959" s="19" t="str">
        <f>TEXT(SalesData[[#This Row],[Order_Date]],"mmm")</f>
        <v>Nov</v>
      </c>
      <c r="V959" s="19" t="str">
        <f>"Q"&amp;ROUNDUP(MONTH(SalesData[[#This Row],[Order_Date]])/3,0)</f>
        <v>Q4</v>
      </c>
      <c r="W959" s="19" t="str">
        <f>IF(SalesData[[#This Row],[Sales]]&gt;=50000,"High",IF(AND(SalesData[[#This Row],[Sales]]&gt;= 20000, SalesData[[#This Row],[Sales]]&lt; 50000),"Medium","Low"))</f>
        <v>Low</v>
      </c>
      <c r="X959" s="19" t="str">
        <f>IF(SalesData[[#This Row],[Profit]]&gt;0,"Profit","Loss")</f>
        <v>Profit</v>
      </c>
      <c r="Y959" s="19" t="str">
        <f>IF(AND(SalesData[[#This Row],[Sales]]&gt;= 50000, SalesData[[#This Row],[Quantity]]&gt;=2),"Yes","No")</f>
        <v>No</v>
      </c>
      <c r="Z959" s="19" t="str">
        <f>UPPER(SalesData[[#This Row],[Customer_Name]])</f>
        <v>AKASH CHAUHAN</v>
      </c>
      <c r="AA959" s="19" t="str">
        <f>LOWER(SalesData[[#This Row],[Customer_Name]])</f>
        <v>akash chauhan</v>
      </c>
      <c r="AB959" s="19">
        <f>LEN(SalesData[[#This Row],[Customer_Name]])</f>
        <v>13</v>
      </c>
      <c r="AC959" s="19" t="str">
        <f>LEFT(SalesData[[#This Row],[Order_ID]],3)</f>
        <v>ORD</v>
      </c>
      <c r="AD959" s="19" t="str">
        <f>RIGHT(SalesData[[#This Row],[Order_ID]],4)</f>
        <v>0947</v>
      </c>
      <c r="AE959" s="19" t="str">
        <f>_xlfn.CONCAT(SalesData[[#This Row],[Clean_Customer_Name]],"-",SalesData[[#This Row],[Region]])</f>
        <v>Akash Chauhan-South</v>
      </c>
      <c r="AF959" s="19" t="str">
        <f>MID(SalesData[[#This Row],[Order_ID]],4,4)</f>
        <v>0947</v>
      </c>
      <c r="AG959" s="19" t="e">
        <f ca="1">_xlfn.SINGLE(_xlfn.XLOOKUP(SalesData[[#This Row],[Product]],Product_Master!A:A,Product_Master!B:B,"Not Found"))</f>
        <v>#NAME?</v>
      </c>
      <c r="AH959" s="19" t="str">
        <f>VLOOKUP(SalesData[[#This Row],[Product]],Product_Master!$A$1:$B$21,2,FALSE)</f>
        <v>Amit</v>
      </c>
      <c r="AI959" s="16"/>
    </row>
    <row r="960" spans="1:35" ht="13.8">
      <c r="A960" s="16" t="s">
        <v>856</v>
      </c>
      <c r="B960" s="17">
        <v>45883</v>
      </c>
      <c r="C960" s="16" t="s">
        <v>17</v>
      </c>
      <c r="D960" s="16" t="s">
        <v>18</v>
      </c>
      <c r="E960" s="16" t="s">
        <v>193</v>
      </c>
      <c r="F960" s="16" t="s">
        <v>194</v>
      </c>
      <c r="G960" s="16" t="s">
        <v>89</v>
      </c>
      <c r="H960" s="16" t="s">
        <v>90</v>
      </c>
      <c r="I960" s="16" t="s">
        <v>23</v>
      </c>
      <c r="J960" s="16" t="s">
        <v>75</v>
      </c>
      <c r="K960" s="18">
        <v>2815.08</v>
      </c>
      <c r="L960" s="18">
        <v>2677.5</v>
      </c>
      <c r="M960" s="19">
        <v>5</v>
      </c>
      <c r="N960" s="20">
        <v>0.2</v>
      </c>
      <c r="O960" s="19" t="s">
        <v>136</v>
      </c>
      <c r="P960" s="19" t="s">
        <v>58</v>
      </c>
      <c r="Q960" s="19" t="str">
        <f>TRIM(SalesData[[#This Row],[Customer_Name]])</f>
        <v>Akash Chauhan</v>
      </c>
      <c r="R960" s="21">
        <f>SalesData[[#This Row],[Sales]]-SalesData[[#This Row],[Cost]]</f>
        <v>137.57999999999993</v>
      </c>
      <c r="S960" s="22">
        <f>IFERROR(SalesData[[#This Row],[Profit]]/SalesData[[#This Row],[Sales]],0)</f>
        <v>4.8872500959120144E-2</v>
      </c>
      <c r="T960" s="19">
        <f>YEAR(SalesData[[#This Row],[Order_Date]])</f>
        <v>2025</v>
      </c>
      <c r="U960" s="19" t="str">
        <f>TEXT(SalesData[[#This Row],[Order_Date]],"mmm")</f>
        <v>Aug</v>
      </c>
      <c r="V960" s="19" t="str">
        <f>"Q"&amp;ROUNDUP(MONTH(SalesData[[#This Row],[Order_Date]])/3,0)</f>
        <v>Q3</v>
      </c>
      <c r="W960" s="19" t="str">
        <f>IF(SalesData[[#This Row],[Sales]]&gt;=50000,"High",IF(AND(SalesData[[#This Row],[Sales]]&gt;= 20000, SalesData[[#This Row],[Sales]]&lt; 50000),"Medium","Low"))</f>
        <v>Low</v>
      </c>
      <c r="X960" s="19" t="str">
        <f>IF(SalesData[[#This Row],[Profit]]&gt;0,"Profit","Loss")</f>
        <v>Profit</v>
      </c>
      <c r="Y960" s="19" t="str">
        <f>IF(AND(SalesData[[#This Row],[Sales]]&gt;= 50000, SalesData[[#This Row],[Quantity]]&gt;=2),"Yes","No")</f>
        <v>No</v>
      </c>
      <c r="Z960" s="19" t="str">
        <f>UPPER(SalesData[[#This Row],[Customer_Name]])</f>
        <v>AKASH CHAUHAN</v>
      </c>
      <c r="AA960" s="19" t="str">
        <f>LOWER(SalesData[[#This Row],[Customer_Name]])</f>
        <v>akash chauhan</v>
      </c>
      <c r="AB960" s="19">
        <f>LEN(SalesData[[#This Row],[Customer_Name]])</f>
        <v>13</v>
      </c>
      <c r="AC960" s="19" t="str">
        <f>LEFT(SalesData[[#This Row],[Order_ID]],3)</f>
        <v>ORD</v>
      </c>
      <c r="AD960" s="19" t="str">
        <f>RIGHT(SalesData[[#This Row],[Order_ID]],4)</f>
        <v>0703</v>
      </c>
      <c r="AE960" s="19" t="str">
        <f>_xlfn.CONCAT(SalesData[[#This Row],[Clean_Customer_Name]],"-",SalesData[[#This Row],[Region]])</f>
        <v>Akash Chauhan-North</v>
      </c>
      <c r="AF960" s="19" t="str">
        <f>MID(SalesData[[#This Row],[Order_ID]],4,4)</f>
        <v>0703</v>
      </c>
      <c r="AG960" s="19" t="e">
        <f ca="1">_xlfn.SINGLE(_xlfn.XLOOKUP(SalesData[[#This Row],[Product]],Product_Master!A:A,Product_Master!B:B,"Not Found"))</f>
        <v>#NAME?</v>
      </c>
      <c r="AH960" s="19" t="str">
        <f>VLOOKUP(SalesData[[#This Row],[Product]],Product_Master!$A$1:$B$21,2,FALSE)</f>
        <v>Simran</v>
      </c>
      <c r="AI960" s="16"/>
    </row>
    <row r="961" spans="1:35" ht="13.8">
      <c r="A961" s="16" t="s">
        <v>300</v>
      </c>
      <c r="B961" s="17">
        <v>45467</v>
      </c>
      <c r="C961" s="16" t="s">
        <v>104</v>
      </c>
      <c r="D961" s="16" t="s">
        <v>105</v>
      </c>
      <c r="E961" s="16" t="s">
        <v>30</v>
      </c>
      <c r="F961" s="16" t="s">
        <v>31</v>
      </c>
      <c r="G961" s="16" t="s">
        <v>21</v>
      </c>
      <c r="H961" s="16" t="s">
        <v>32</v>
      </c>
      <c r="I961" s="16" t="s">
        <v>84</v>
      </c>
      <c r="J961" s="16" t="s">
        <v>134</v>
      </c>
      <c r="K961" s="18">
        <v>276800.49</v>
      </c>
      <c r="L961" s="18">
        <v>238084.65</v>
      </c>
      <c r="M961" s="19">
        <v>5</v>
      </c>
      <c r="N961" s="20">
        <v>0.1</v>
      </c>
      <c r="O961" s="19" t="s">
        <v>25</v>
      </c>
      <c r="P961" s="19" t="s">
        <v>26</v>
      </c>
      <c r="Q961" s="19" t="str">
        <f>TRIM(SalesData[[#This Row],[Customer_Name]])</f>
        <v>Aditya Jain</v>
      </c>
      <c r="R961" s="21">
        <f>SalesData[[#This Row],[Sales]]-SalesData[[#This Row],[Cost]]</f>
        <v>38715.839999999997</v>
      </c>
      <c r="S961" s="22">
        <f>IFERROR(SalesData[[#This Row],[Profit]]/SalesData[[#This Row],[Sales]],0)</f>
        <v>0.13986911656117371</v>
      </c>
      <c r="T961" s="19">
        <f>YEAR(SalesData[[#This Row],[Order_Date]])</f>
        <v>2024</v>
      </c>
      <c r="U961" s="19" t="str">
        <f>TEXT(SalesData[[#This Row],[Order_Date]],"mmm")</f>
        <v>Jun</v>
      </c>
      <c r="V961" s="19" t="str">
        <f>"Q"&amp;ROUNDUP(MONTH(SalesData[[#This Row],[Order_Date]])/3,0)</f>
        <v>Q2</v>
      </c>
      <c r="W961" s="19" t="str">
        <f>IF(SalesData[[#This Row],[Sales]]&gt;=50000,"High",IF(AND(SalesData[[#This Row],[Sales]]&gt;= 20000, SalesData[[#This Row],[Sales]]&lt; 50000),"Medium","Low"))</f>
        <v>High</v>
      </c>
      <c r="X961" s="19" t="str">
        <f>IF(SalesData[[#This Row],[Profit]]&gt;0,"Profit","Loss")</f>
        <v>Profit</v>
      </c>
      <c r="Y961" s="19" t="str">
        <f>IF(AND(SalesData[[#This Row],[Sales]]&gt;= 50000, SalesData[[#This Row],[Quantity]]&gt;=2),"Yes","No")</f>
        <v>Yes</v>
      </c>
      <c r="Z961" s="19" t="str">
        <f>UPPER(SalesData[[#This Row],[Customer_Name]])</f>
        <v>ADITYA JAIN</v>
      </c>
      <c r="AA961" s="19" t="str">
        <f>LOWER(SalesData[[#This Row],[Customer_Name]])</f>
        <v>aditya jain</v>
      </c>
      <c r="AB961" s="19">
        <f>LEN(SalesData[[#This Row],[Customer_Name]])</f>
        <v>11</v>
      </c>
      <c r="AC961" s="19" t="str">
        <f>LEFT(SalesData[[#This Row],[Order_ID]],3)</f>
        <v>ORD</v>
      </c>
      <c r="AD961" s="19" t="str">
        <f>RIGHT(SalesData[[#This Row],[Order_ID]],4)</f>
        <v>0147</v>
      </c>
      <c r="AE961" s="19" t="str">
        <f>_xlfn.CONCAT(SalesData[[#This Row],[Clean_Customer_Name]],"-",SalesData[[#This Row],[Region]])</f>
        <v>Aditya Jain-South</v>
      </c>
      <c r="AF961" s="19" t="str">
        <f>MID(SalesData[[#This Row],[Order_ID]],4,4)</f>
        <v>0147</v>
      </c>
      <c r="AG961" s="19" t="e">
        <f ca="1">_xlfn.SINGLE(_xlfn.XLOOKUP(SalesData[[#This Row],[Product]],Product_Master!A:A,Product_Master!B:B,"Not Found"))</f>
        <v>#NAME?</v>
      </c>
      <c r="AH961" s="19" t="str">
        <f>VLOOKUP(SalesData[[#This Row],[Product]],Product_Master!$A$1:$B$21,2,FALSE)</f>
        <v>Rahul</v>
      </c>
      <c r="AI961" s="16"/>
    </row>
    <row r="962" spans="1:35" ht="13.8">
      <c r="A962" s="16" t="s">
        <v>554</v>
      </c>
      <c r="B962" s="17">
        <v>46017</v>
      </c>
      <c r="C962" s="16" t="s">
        <v>104</v>
      </c>
      <c r="D962" s="16" t="s">
        <v>105</v>
      </c>
      <c r="E962" s="16" t="s">
        <v>81</v>
      </c>
      <c r="F962" s="16" t="s">
        <v>82</v>
      </c>
      <c r="G962" s="16" t="s">
        <v>21</v>
      </c>
      <c r="H962" s="16" t="s">
        <v>83</v>
      </c>
      <c r="I962" s="16" t="s">
        <v>42</v>
      </c>
      <c r="J962" s="16" t="s">
        <v>43</v>
      </c>
      <c r="K962" s="18">
        <v>119949.85</v>
      </c>
      <c r="L962" s="18">
        <v>95688.25</v>
      </c>
      <c r="M962" s="19">
        <v>5</v>
      </c>
      <c r="N962" s="20">
        <v>0.05</v>
      </c>
      <c r="O962" s="19" t="s">
        <v>34</v>
      </c>
      <c r="P962" s="19" t="s">
        <v>98</v>
      </c>
      <c r="Q962" s="19" t="str">
        <f>TRIM(SalesData[[#This Row],[Customer_Name]])</f>
        <v>Aditya Jain</v>
      </c>
      <c r="R962" s="21">
        <f>SalesData[[#This Row],[Sales]]-SalesData[[#This Row],[Cost]]</f>
        <v>24261.600000000006</v>
      </c>
      <c r="S962" s="22">
        <f>IFERROR(SalesData[[#This Row],[Profit]]/SalesData[[#This Row],[Sales]],0)</f>
        <v>0.20226452971804471</v>
      </c>
      <c r="T962" s="19">
        <f>YEAR(SalesData[[#This Row],[Order_Date]])</f>
        <v>2025</v>
      </c>
      <c r="U962" s="19" t="str">
        <f>TEXT(SalesData[[#This Row],[Order_Date]],"mmm")</f>
        <v>Dec</v>
      </c>
      <c r="V962" s="19" t="str">
        <f>"Q"&amp;ROUNDUP(MONTH(SalesData[[#This Row],[Order_Date]])/3,0)</f>
        <v>Q4</v>
      </c>
      <c r="W962" s="19" t="str">
        <f>IF(SalesData[[#This Row],[Sales]]&gt;=50000,"High",IF(AND(SalesData[[#This Row],[Sales]]&gt;= 20000, SalesData[[#This Row],[Sales]]&lt; 50000),"Medium","Low"))</f>
        <v>High</v>
      </c>
      <c r="X962" s="19" t="str">
        <f>IF(SalesData[[#This Row],[Profit]]&gt;0,"Profit","Loss")</f>
        <v>Profit</v>
      </c>
      <c r="Y962" s="19" t="str">
        <f>IF(AND(SalesData[[#This Row],[Sales]]&gt;= 50000, SalesData[[#This Row],[Quantity]]&gt;=2),"Yes","No")</f>
        <v>Yes</v>
      </c>
      <c r="Z962" s="19" t="str">
        <f>UPPER(SalesData[[#This Row],[Customer_Name]])</f>
        <v>ADITYA JAIN</v>
      </c>
      <c r="AA962" s="19" t="str">
        <f>LOWER(SalesData[[#This Row],[Customer_Name]])</f>
        <v>aditya jain</v>
      </c>
      <c r="AB962" s="19">
        <f>LEN(SalesData[[#This Row],[Customer_Name]])</f>
        <v>11</v>
      </c>
      <c r="AC962" s="19" t="str">
        <f>LEFT(SalesData[[#This Row],[Order_ID]],3)</f>
        <v>ORD</v>
      </c>
      <c r="AD962" s="19" t="str">
        <f>RIGHT(SalesData[[#This Row],[Order_ID]],4)</f>
        <v>0401</v>
      </c>
      <c r="AE962" s="19" t="str">
        <f>_xlfn.CONCAT(SalesData[[#This Row],[Clean_Customer_Name]],"-",SalesData[[#This Row],[Region]])</f>
        <v>Aditya Jain-East</v>
      </c>
      <c r="AF962" s="19" t="str">
        <f>MID(SalesData[[#This Row],[Order_ID]],4,4)</f>
        <v>0401</v>
      </c>
      <c r="AG962" s="19" t="e">
        <f ca="1">_xlfn.SINGLE(_xlfn.XLOOKUP(SalesData[[#This Row],[Product]],Product_Master!A:A,Product_Master!B:B,"Not Found"))</f>
        <v>#NAME?</v>
      </c>
      <c r="AH962" s="19" t="str">
        <f>VLOOKUP(SalesData[[#This Row],[Product]],Product_Master!$A$1:$B$21,2,FALSE)</f>
        <v>Priya</v>
      </c>
      <c r="AI962" s="16"/>
    </row>
    <row r="963" spans="1:35" ht="13.8">
      <c r="A963" s="16" t="s">
        <v>604</v>
      </c>
      <c r="B963" s="17">
        <v>45577</v>
      </c>
      <c r="C963" s="16" t="s">
        <v>104</v>
      </c>
      <c r="D963" s="16" t="s">
        <v>105</v>
      </c>
      <c r="E963" s="16" t="s">
        <v>81</v>
      </c>
      <c r="F963" s="16" t="s">
        <v>82</v>
      </c>
      <c r="G963" s="16" t="s">
        <v>21</v>
      </c>
      <c r="H963" s="16" t="s">
        <v>83</v>
      </c>
      <c r="I963" s="16" t="s">
        <v>56</v>
      </c>
      <c r="J963" s="16" t="s">
        <v>91</v>
      </c>
      <c r="K963" s="18">
        <v>101466.81</v>
      </c>
      <c r="L963" s="18">
        <v>85756.3</v>
      </c>
      <c r="M963" s="19">
        <v>5</v>
      </c>
      <c r="N963" s="20">
        <v>0.1</v>
      </c>
      <c r="O963" s="19" t="s">
        <v>25</v>
      </c>
      <c r="P963" s="19" t="s">
        <v>77</v>
      </c>
      <c r="Q963" s="19" t="str">
        <f>TRIM(SalesData[[#This Row],[Customer_Name]])</f>
        <v>Aditya Jain</v>
      </c>
      <c r="R963" s="21">
        <f>SalesData[[#This Row],[Sales]]-SalesData[[#This Row],[Cost]]</f>
        <v>15710.509999999995</v>
      </c>
      <c r="S963" s="22">
        <f>IFERROR(SalesData[[#This Row],[Profit]]/SalesData[[#This Row],[Sales]],0)</f>
        <v>0.15483397970232823</v>
      </c>
      <c r="T963" s="19">
        <f>YEAR(SalesData[[#This Row],[Order_Date]])</f>
        <v>2024</v>
      </c>
      <c r="U963" s="19" t="str">
        <f>TEXT(SalesData[[#This Row],[Order_Date]],"mmm")</f>
        <v>Oct</v>
      </c>
      <c r="V963" s="19" t="str">
        <f>"Q"&amp;ROUNDUP(MONTH(SalesData[[#This Row],[Order_Date]])/3,0)</f>
        <v>Q4</v>
      </c>
      <c r="W963" s="19" t="str">
        <f>IF(SalesData[[#This Row],[Sales]]&gt;=50000,"High",IF(AND(SalesData[[#This Row],[Sales]]&gt;= 20000, SalesData[[#This Row],[Sales]]&lt; 50000),"Medium","Low"))</f>
        <v>High</v>
      </c>
      <c r="X963" s="19" t="str">
        <f>IF(SalesData[[#This Row],[Profit]]&gt;0,"Profit","Loss")</f>
        <v>Profit</v>
      </c>
      <c r="Y963" s="19" t="str">
        <f>IF(AND(SalesData[[#This Row],[Sales]]&gt;= 50000, SalesData[[#This Row],[Quantity]]&gt;=2),"Yes","No")</f>
        <v>Yes</v>
      </c>
      <c r="Z963" s="19" t="str">
        <f>UPPER(SalesData[[#This Row],[Customer_Name]])</f>
        <v>ADITYA JAIN</v>
      </c>
      <c r="AA963" s="19" t="str">
        <f>LOWER(SalesData[[#This Row],[Customer_Name]])</f>
        <v>aditya jain</v>
      </c>
      <c r="AB963" s="19">
        <f>LEN(SalesData[[#This Row],[Customer_Name]])</f>
        <v>11</v>
      </c>
      <c r="AC963" s="19" t="str">
        <f>LEFT(SalesData[[#This Row],[Order_ID]],3)</f>
        <v>ORD</v>
      </c>
      <c r="AD963" s="19" t="str">
        <f>RIGHT(SalesData[[#This Row],[Order_ID]],4)</f>
        <v>0451</v>
      </c>
      <c r="AE963" s="19" t="str">
        <f>_xlfn.CONCAT(SalesData[[#This Row],[Clean_Customer_Name]],"-",SalesData[[#This Row],[Region]])</f>
        <v>Aditya Jain-West</v>
      </c>
      <c r="AF963" s="19" t="str">
        <f>MID(SalesData[[#This Row],[Order_ID]],4,4)</f>
        <v>0451</v>
      </c>
      <c r="AG963" s="19" t="e">
        <f ca="1">_xlfn.SINGLE(_xlfn.XLOOKUP(SalesData[[#This Row],[Product]],Product_Master!A:A,Product_Master!B:B,"Not Found"))</f>
        <v>#NAME?</v>
      </c>
      <c r="AH963" s="19" t="str">
        <f>VLOOKUP(SalesData[[#This Row],[Product]],Product_Master!$A$1:$B$21,2,FALSE)</f>
        <v>Priya</v>
      </c>
      <c r="AI963" s="16"/>
    </row>
    <row r="964" spans="1:35" ht="13.8">
      <c r="A964" s="16" t="s">
        <v>1005</v>
      </c>
      <c r="B964" s="17">
        <v>45948</v>
      </c>
      <c r="C964" s="16" t="s">
        <v>104</v>
      </c>
      <c r="D964" s="16" t="s">
        <v>105</v>
      </c>
      <c r="E964" s="16" t="s">
        <v>81</v>
      </c>
      <c r="F964" s="16" t="s">
        <v>82</v>
      </c>
      <c r="G964" s="16" t="s">
        <v>21</v>
      </c>
      <c r="H964" s="16" t="s">
        <v>83</v>
      </c>
      <c r="I964" s="16" t="s">
        <v>42</v>
      </c>
      <c r="J964" s="16" t="s">
        <v>68</v>
      </c>
      <c r="K964" s="18">
        <v>33628.639999999999</v>
      </c>
      <c r="L964" s="18">
        <v>38898.080000000002</v>
      </c>
      <c r="M964" s="19">
        <v>2</v>
      </c>
      <c r="N964" s="20">
        <v>0.2</v>
      </c>
      <c r="O964" s="19" t="s">
        <v>44</v>
      </c>
      <c r="P964" s="19" t="s">
        <v>26</v>
      </c>
      <c r="Q964" s="19" t="str">
        <f>TRIM(SalesData[[#This Row],[Customer_Name]])</f>
        <v>Aditya Jain</v>
      </c>
      <c r="R964" s="21">
        <f>SalesData[[#This Row],[Sales]]-SalesData[[#This Row],[Cost]]</f>
        <v>-5269.4400000000023</v>
      </c>
      <c r="S964" s="22">
        <f>IFERROR(SalesData[[#This Row],[Profit]]/SalesData[[#This Row],[Sales]],0)</f>
        <v>-0.15669500758876964</v>
      </c>
      <c r="T964" s="19">
        <f>YEAR(SalesData[[#This Row],[Order_Date]])</f>
        <v>2025</v>
      </c>
      <c r="U964" s="19" t="str">
        <f>TEXT(SalesData[[#This Row],[Order_Date]],"mmm")</f>
        <v>Oct</v>
      </c>
      <c r="V964" s="19" t="str">
        <f>"Q"&amp;ROUNDUP(MONTH(SalesData[[#This Row],[Order_Date]])/3,0)</f>
        <v>Q4</v>
      </c>
      <c r="W964" s="19" t="str">
        <f>IF(SalesData[[#This Row],[Sales]]&gt;=50000,"High",IF(AND(SalesData[[#This Row],[Sales]]&gt;= 20000, SalesData[[#This Row],[Sales]]&lt; 50000),"Medium","Low"))</f>
        <v>Medium</v>
      </c>
      <c r="X964" s="19" t="str">
        <f>IF(SalesData[[#This Row],[Profit]]&gt;0,"Profit","Loss")</f>
        <v>Loss</v>
      </c>
      <c r="Y964" s="19" t="str">
        <f>IF(AND(SalesData[[#This Row],[Sales]]&gt;= 50000, SalesData[[#This Row],[Quantity]]&gt;=2),"Yes","No")</f>
        <v>No</v>
      </c>
      <c r="Z964" s="19" t="str">
        <f>UPPER(SalesData[[#This Row],[Customer_Name]])</f>
        <v>ADITYA JAIN</v>
      </c>
      <c r="AA964" s="19" t="str">
        <f>LOWER(SalesData[[#This Row],[Customer_Name]])</f>
        <v>aditya jain</v>
      </c>
      <c r="AB964" s="19">
        <f>LEN(SalesData[[#This Row],[Customer_Name]])</f>
        <v>11</v>
      </c>
      <c r="AC964" s="19" t="str">
        <f>LEFT(SalesData[[#This Row],[Order_ID]],3)</f>
        <v>ORD</v>
      </c>
      <c r="AD964" s="19" t="str">
        <f>RIGHT(SalesData[[#This Row],[Order_ID]],4)</f>
        <v>0852</v>
      </c>
      <c r="AE964" s="19" t="str">
        <f>_xlfn.CONCAT(SalesData[[#This Row],[Clean_Customer_Name]],"-",SalesData[[#This Row],[Region]])</f>
        <v>Aditya Jain-East</v>
      </c>
      <c r="AF964" s="19" t="str">
        <f>MID(SalesData[[#This Row],[Order_ID]],4,4)</f>
        <v>0852</v>
      </c>
      <c r="AG964" s="19" t="e">
        <f ca="1">_xlfn.SINGLE(_xlfn.XLOOKUP(SalesData[[#This Row],[Product]],Product_Master!A:A,Product_Master!B:B,"Not Found"))</f>
        <v>#NAME?</v>
      </c>
      <c r="AH964" s="19" t="str">
        <f>VLOOKUP(SalesData[[#This Row],[Product]],Product_Master!$A$1:$B$21,2,FALSE)</f>
        <v>Priya</v>
      </c>
      <c r="AI964" s="16"/>
    </row>
    <row r="965" spans="1:35" ht="13.8">
      <c r="A965" s="16" t="s">
        <v>794</v>
      </c>
      <c r="B965" s="17">
        <v>45505</v>
      </c>
      <c r="C965" s="16" t="s">
        <v>104</v>
      </c>
      <c r="D965" s="16" t="s">
        <v>105</v>
      </c>
      <c r="E965" s="16" t="s">
        <v>62</v>
      </c>
      <c r="F965" s="16" t="s">
        <v>63</v>
      </c>
      <c r="G965" s="16" t="s">
        <v>21</v>
      </c>
      <c r="H965" s="16" t="s">
        <v>64</v>
      </c>
      <c r="I965" s="16" t="s">
        <v>84</v>
      </c>
      <c r="J965" s="16" t="s">
        <v>134</v>
      </c>
      <c r="K965" s="18">
        <v>25644.959999999999</v>
      </c>
      <c r="L965" s="18">
        <v>8876.0499999999993</v>
      </c>
      <c r="M965" s="19">
        <v>5</v>
      </c>
      <c r="N965" s="20">
        <v>0.2</v>
      </c>
      <c r="O965" s="19" t="s">
        <v>44</v>
      </c>
      <c r="P965" s="19" t="s">
        <v>58</v>
      </c>
      <c r="Q965" s="19" t="str">
        <f>TRIM(SalesData[[#This Row],[Customer_Name]])</f>
        <v>Aditya Jain</v>
      </c>
      <c r="R965" s="21">
        <f>SalesData[[#This Row],[Sales]]-SalesData[[#This Row],[Cost]]</f>
        <v>16768.91</v>
      </c>
      <c r="S965" s="22">
        <f>IFERROR(SalesData[[#This Row],[Profit]]/SalesData[[#This Row],[Sales]],0)</f>
        <v>0.65388715755454485</v>
      </c>
      <c r="T965" s="19">
        <f>YEAR(SalesData[[#This Row],[Order_Date]])</f>
        <v>2024</v>
      </c>
      <c r="U965" s="19" t="str">
        <f>TEXT(SalesData[[#This Row],[Order_Date]],"mmm")</f>
        <v>Aug</v>
      </c>
      <c r="V965" s="19" t="str">
        <f>"Q"&amp;ROUNDUP(MONTH(SalesData[[#This Row],[Order_Date]])/3,0)</f>
        <v>Q3</v>
      </c>
      <c r="W965" s="19" t="str">
        <f>IF(SalesData[[#This Row],[Sales]]&gt;=50000,"High",IF(AND(SalesData[[#This Row],[Sales]]&gt;= 20000, SalesData[[#This Row],[Sales]]&lt; 50000),"Medium","Low"))</f>
        <v>Medium</v>
      </c>
      <c r="X965" s="19" t="str">
        <f>IF(SalesData[[#This Row],[Profit]]&gt;0,"Profit","Loss")</f>
        <v>Profit</v>
      </c>
      <c r="Y965" s="19" t="str">
        <f>IF(AND(SalesData[[#This Row],[Sales]]&gt;= 50000, SalesData[[#This Row],[Quantity]]&gt;=2),"Yes","No")</f>
        <v>No</v>
      </c>
      <c r="Z965" s="19" t="str">
        <f>UPPER(SalesData[[#This Row],[Customer_Name]])</f>
        <v>ADITYA JAIN</v>
      </c>
      <c r="AA965" s="19" t="str">
        <f>LOWER(SalesData[[#This Row],[Customer_Name]])</f>
        <v>aditya jain</v>
      </c>
      <c r="AB965" s="19">
        <f>LEN(SalesData[[#This Row],[Customer_Name]])</f>
        <v>11</v>
      </c>
      <c r="AC965" s="19" t="str">
        <f>LEFT(SalesData[[#This Row],[Order_ID]],3)</f>
        <v>ORD</v>
      </c>
      <c r="AD965" s="19" t="str">
        <f>RIGHT(SalesData[[#This Row],[Order_ID]],4)</f>
        <v>0641</v>
      </c>
      <c r="AE965" s="19" t="str">
        <f>_xlfn.CONCAT(SalesData[[#This Row],[Clean_Customer_Name]],"-",SalesData[[#This Row],[Region]])</f>
        <v>Aditya Jain-South</v>
      </c>
      <c r="AF965" s="19" t="str">
        <f>MID(SalesData[[#This Row],[Order_ID]],4,4)</f>
        <v>0641</v>
      </c>
      <c r="AG965" s="19" t="e">
        <f ca="1">_xlfn.SINGLE(_xlfn.XLOOKUP(SalesData[[#This Row],[Product]],Product_Master!A:A,Product_Master!B:B,"Not Found"))</f>
        <v>#NAME?</v>
      </c>
      <c r="AH965" s="19" t="str">
        <f>VLOOKUP(SalesData[[#This Row],[Product]],Product_Master!$A$1:$B$21,2,FALSE)</f>
        <v>Amit</v>
      </c>
      <c r="AI965" s="16"/>
    </row>
    <row r="966" spans="1:35" ht="13.8">
      <c r="A966" s="16" t="s">
        <v>831</v>
      </c>
      <c r="B966" s="17">
        <v>45523</v>
      </c>
      <c r="C966" s="16" t="s">
        <v>104</v>
      </c>
      <c r="D966" s="16" t="s">
        <v>105</v>
      </c>
      <c r="E966" s="16" t="s">
        <v>62</v>
      </c>
      <c r="F966" s="16" t="s">
        <v>63</v>
      </c>
      <c r="G966" s="16" t="s">
        <v>21</v>
      </c>
      <c r="H966" s="16" t="s">
        <v>64</v>
      </c>
      <c r="I966" s="16" t="s">
        <v>56</v>
      </c>
      <c r="J966" s="16" t="s">
        <v>57</v>
      </c>
      <c r="K966" s="18">
        <v>4340.6499999999996</v>
      </c>
      <c r="L966" s="18">
        <v>1758.39</v>
      </c>
      <c r="M966" s="19">
        <v>1</v>
      </c>
      <c r="N966" s="20">
        <v>0.15</v>
      </c>
      <c r="O966" s="19" t="s">
        <v>25</v>
      </c>
      <c r="P966" s="19" t="s">
        <v>77</v>
      </c>
      <c r="Q966" s="19" t="str">
        <f>TRIM(SalesData[[#This Row],[Customer_Name]])</f>
        <v>Aditya Jain</v>
      </c>
      <c r="R966" s="21">
        <f>SalesData[[#This Row],[Sales]]-SalesData[[#This Row],[Cost]]</f>
        <v>2582.2599999999993</v>
      </c>
      <c r="S966" s="22">
        <f>IFERROR(SalesData[[#This Row],[Profit]]/SalesData[[#This Row],[Sales]],0)</f>
        <v>0.59490168523147446</v>
      </c>
      <c r="T966" s="19">
        <f>YEAR(SalesData[[#This Row],[Order_Date]])</f>
        <v>2024</v>
      </c>
      <c r="U966" s="19" t="str">
        <f>TEXT(SalesData[[#This Row],[Order_Date]],"mmm")</f>
        <v>Aug</v>
      </c>
      <c r="V966" s="19" t="str">
        <f>"Q"&amp;ROUNDUP(MONTH(SalesData[[#This Row],[Order_Date]])/3,0)</f>
        <v>Q3</v>
      </c>
      <c r="W966" s="19" t="str">
        <f>IF(SalesData[[#This Row],[Sales]]&gt;=50000,"High",IF(AND(SalesData[[#This Row],[Sales]]&gt;= 20000, SalesData[[#This Row],[Sales]]&lt; 50000),"Medium","Low"))</f>
        <v>Low</v>
      </c>
      <c r="X966" s="19" t="str">
        <f>IF(SalesData[[#This Row],[Profit]]&gt;0,"Profit","Loss")</f>
        <v>Profit</v>
      </c>
      <c r="Y966" s="19" t="str">
        <f>IF(AND(SalesData[[#This Row],[Sales]]&gt;= 50000, SalesData[[#This Row],[Quantity]]&gt;=2),"Yes","No")</f>
        <v>No</v>
      </c>
      <c r="Z966" s="19" t="str">
        <f>UPPER(SalesData[[#This Row],[Customer_Name]])</f>
        <v>ADITYA JAIN</v>
      </c>
      <c r="AA966" s="19" t="str">
        <f>LOWER(SalesData[[#This Row],[Customer_Name]])</f>
        <v>aditya jain</v>
      </c>
      <c r="AB966" s="19">
        <f>LEN(SalesData[[#This Row],[Customer_Name]])</f>
        <v>11</v>
      </c>
      <c r="AC966" s="19" t="str">
        <f>LEFT(SalesData[[#This Row],[Order_ID]],3)</f>
        <v>ORD</v>
      </c>
      <c r="AD966" s="19" t="str">
        <f>RIGHT(SalesData[[#This Row],[Order_ID]],4)</f>
        <v>0678</v>
      </c>
      <c r="AE966" s="19" t="str">
        <f>_xlfn.CONCAT(SalesData[[#This Row],[Clean_Customer_Name]],"-",SalesData[[#This Row],[Region]])</f>
        <v>Aditya Jain-West</v>
      </c>
      <c r="AF966" s="19" t="str">
        <f>MID(SalesData[[#This Row],[Order_ID]],4,4)</f>
        <v>0678</v>
      </c>
      <c r="AG966" s="19" t="e">
        <f ca="1">_xlfn.SINGLE(_xlfn.XLOOKUP(SalesData[[#This Row],[Product]],Product_Master!A:A,Product_Master!B:B,"Not Found"))</f>
        <v>#NAME?</v>
      </c>
      <c r="AH966" s="19" t="str">
        <f>VLOOKUP(SalesData[[#This Row],[Product]],Product_Master!$A$1:$B$21,2,FALSE)</f>
        <v>Amit</v>
      </c>
      <c r="AI966" s="16"/>
    </row>
    <row r="967" spans="1:35" ht="13.8">
      <c r="A967" s="16" t="s">
        <v>1032</v>
      </c>
      <c r="B967" s="17">
        <v>45499</v>
      </c>
      <c r="C967" s="16" t="s">
        <v>104</v>
      </c>
      <c r="D967" s="16" t="s">
        <v>105</v>
      </c>
      <c r="E967" s="16" t="s">
        <v>19</v>
      </c>
      <c r="F967" s="16" t="s">
        <v>20</v>
      </c>
      <c r="G967" s="16" t="s">
        <v>21</v>
      </c>
      <c r="H967" s="16" t="s">
        <v>22</v>
      </c>
      <c r="I967" s="16" t="s">
        <v>23</v>
      </c>
      <c r="J967" s="16" t="s">
        <v>24</v>
      </c>
      <c r="K967" s="18">
        <v>11330.84</v>
      </c>
      <c r="L967" s="18">
        <v>6302.56</v>
      </c>
      <c r="M967" s="19">
        <v>2</v>
      </c>
      <c r="N967" s="20">
        <v>0.15</v>
      </c>
      <c r="O967" s="19" t="s">
        <v>34</v>
      </c>
      <c r="P967" s="19" t="s">
        <v>26</v>
      </c>
      <c r="Q967" s="19" t="str">
        <f>TRIM(SalesData[[#This Row],[Customer_Name]])</f>
        <v>Aditya Jain</v>
      </c>
      <c r="R967" s="21">
        <f>SalesData[[#This Row],[Sales]]-SalesData[[#This Row],[Cost]]</f>
        <v>5028.28</v>
      </c>
      <c r="S967" s="22">
        <f>IFERROR(SalesData[[#This Row],[Profit]]/SalesData[[#This Row],[Sales]],0)</f>
        <v>0.44376939397255627</v>
      </c>
      <c r="T967" s="19">
        <f>YEAR(SalesData[[#This Row],[Order_Date]])</f>
        <v>2024</v>
      </c>
      <c r="U967" s="19" t="str">
        <f>TEXT(SalesData[[#This Row],[Order_Date]],"mmm")</f>
        <v>Jul</v>
      </c>
      <c r="V967" s="19" t="str">
        <f>"Q"&amp;ROUNDUP(MONTH(SalesData[[#This Row],[Order_Date]])/3,0)</f>
        <v>Q3</v>
      </c>
      <c r="W967" s="19" t="str">
        <f>IF(SalesData[[#This Row],[Sales]]&gt;=50000,"High",IF(AND(SalesData[[#This Row],[Sales]]&gt;= 20000, SalesData[[#This Row],[Sales]]&lt; 50000),"Medium","Low"))</f>
        <v>Low</v>
      </c>
      <c r="X967" s="19" t="str">
        <f>IF(SalesData[[#This Row],[Profit]]&gt;0,"Profit","Loss")</f>
        <v>Profit</v>
      </c>
      <c r="Y967" s="19" t="str">
        <f>IF(AND(SalesData[[#This Row],[Sales]]&gt;= 50000, SalesData[[#This Row],[Quantity]]&gt;=2),"Yes","No")</f>
        <v>No</v>
      </c>
      <c r="Z967" s="19" t="str">
        <f>UPPER(SalesData[[#This Row],[Customer_Name]])</f>
        <v>ADITYA JAIN</v>
      </c>
      <c r="AA967" s="19" t="str">
        <f>LOWER(SalesData[[#This Row],[Customer_Name]])</f>
        <v>aditya jain</v>
      </c>
      <c r="AB967" s="19">
        <f>LEN(SalesData[[#This Row],[Customer_Name]])</f>
        <v>11</v>
      </c>
      <c r="AC967" s="19" t="str">
        <f>LEFT(SalesData[[#This Row],[Order_ID]],3)</f>
        <v>ORD</v>
      </c>
      <c r="AD967" s="19" t="str">
        <f>RIGHT(SalesData[[#This Row],[Order_ID]],4)</f>
        <v>0879</v>
      </c>
      <c r="AE967" s="19" t="str">
        <f>_xlfn.CONCAT(SalesData[[#This Row],[Clean_Customer_Name]],"-",SalesData[[#This Row],[Region]])</f>
        <v>Aditya Jain-North</v>
      </c>
      <c r="AF967" s="19" t="str">
        <f>MID(SalesData[[#This Row],[Order_ID]],4,4)</f>
        <v>0879</v>
      </c>
      <c r="AG967" s="19" t="e">
        <f ca="1">_xlfn.SINGLE(_xlfn.XLOOKUP(SalesData[[#This Row],[Product]],Product_Master!A:A,Product_Master!B:B,"Not Found"))</f>
        <v>#NAME?</v>
      </c>
      <c r="AH967" s="19" t="str">
        <f>VLOOKUP(SalesData[[#This Row],[Product]],Product_Master!$A$1:$B$21,2,FALSE)</f>
        <v>Neha</v>
      </c>
      <c r="AI967" s="16"/>
    </row>
    <row r="968" spans="1:35" ht="13.8">
      <c r="A968" s="16" t="s">
        <v>151</v>
      </c>
      <c r="B968" s="17">
        <v>45952</v>
      </c>
      <c r="C968" s="16" t="s">
        <v>104</v>
      </c>
      <c r="D968" s="16" t="s">
        <v>105</v>
      </c>
      <c r="E968" s="16" t="s">
        <v>152</v>
      </c>
      <c r="F968" s="16" t="s">
        <v>153</v>
      </c>
      <c r="G968" s="16" t="s">
        <v>21</v>
      </c>
      <c r="H968" s="16" t="s">
        <v>32</v>
      </c>
      <c r="I968" s="16" t="s">
        <v>42</v>
      </c>
      <c r="J968" s="16" t="s">
        <v>68</v>
      </c>
      <c r="K968" s="18">
        <v>46500.87</v>
      </c>
      <c r="L968" s="18">
        <v>23794.68</v>
      </c>
      <c r="M968" s="19">
        <v>3</v>
      </c>
      <c r="N968" s="20">
        <v>0</v>
      </c>
      <c r="O968" s="19" t="s">
        <v>25</v>
      </c>
      <c r="P968" s="19" t="s">
        <v>98</v>
      </c>
      <c r="Q968" s="19" t="str">
        <f>TRIM(SalesData[[#This Row],[Customer_Name]])</f>
        <v>Aditya Jain</v>
      </c>
      <c r="R968" s="21">
        <f>SalesData[[#This Row],[Sales]]-SalesData[[#This Row],[Cost]]</f>
        <v>22706.190000000002</v>
      </c>
      <c r="S968" s="22">
        <f>IFERROR(SalesData[[#This Row],[Profit]]/SalesData[[#This Row],[Sales]],0)</f>
        <v>0.4882960254292017</v>
      </c>
      <c r="T968" s="19">
        <f>YEAR(SalesData[[#This Row],[Order_Date]])</f>
        <v>2025</v>
      </c>
      <c r="U968" s="19" t="str">
        <f>TEXT(SalesData[[#This Row],[Order_Date]],"mmm")</f>
        <v>Oct</v>
      </c>
      <c r="V968" s="19" t="str">
        <f>"Q"&amp;ROUNDUP(MONTH(SalesData[[#This Row],[Order_Date]])/3,0)</f>
        <v>Q4</v>
      </c>
      <c r="W968" s="19" t="str">
        <f>IF(SalesData[[#This Row],[Sales]]&gt;=50000,"High",IF(AND(SalesData[[#This Row],[Sales]]&gt;= 20000, SalesData[[#This Row],[Sales]]&lt; 50000),"Medium","Low"))</f>
        <v>Medium</v>
      </c>
      <c r="X968" s="19" t="str">
        <f>IF(SalesData[[#This Row],[Profit]]&gt;0,"Profit","Loss")</f>
        <v>Profit</v>
      </c>
      <c r="Y968" s="19" t="str">
        <f>IF(AND(SalesData[[#This Row],[Sales]]&gt;= 50000, SalesData[[#This Row],[Quantity]]&gt;=2),"Yes","No")</f>
        <v>No</v>
      </c>
      <c r="Z968" s="19" t="str">
        <f>UPPER(SalesData[[#This Row],[Customer_Name]])</f>
        <v>ADITYA JAIN</v>
      </c>
      <c r="AA968" s="19" t="str">
        <f>LOWER(SalesData[[#This Row],[Customer_Name]])</f>
        <v>aditya jain</v>
      </c>
      <c r="AB968" s="19">
        <f>LEN(SalesData[[#This Row],[Customer_Name]])</f>
        <v>11</v>
      </c>
      <c r="AC968" s="19" t="str">
        <f>LEFT(SalesData[[#This Row],[Order_ID]],3)</f>
        <v>ORD</v>
      </c>
      <c r="AD968" s="19" t="str">
        <f>RIGHT(SalesData[[#This Row],[Order_ID]],4)</f>
        <v>0032</v>
      </c>
      <c r="AE968" s="19" t="str">
        <f>_xlfn.CONCAT(SalesData[[#This Row],[Clean_Customer_Name]],"-",SalesData[[#This Row],[Region]])</f>
        <v>Aditya Jain-East</v>
      </c>
      <c r="AF968" s="19" t="str">
        <f>MID(SalesData[[#This Row],[Order_ID]],4,4)</f>
        <v>0032</v>
      </c>
      <c r="AG968" s="19" t="e">
        <f ca="1">_xlfn.SINGLE(_xlfn.XLOOKUP(SalesData[[#This Row],[Product]],Product_Master!A:A,Product_Master!B:B,"Not Found"))</f>
        <v>#NAME?</v>
      </c>
      <c r="AH968" s="19" t="str">
        <f>VLOOKUP(SalesData[[#This Row],[Product]],Product_Master!$A$1:$B$21,2,FALSE)</f>
        <v>Simran</v>
      </c>
      <c r="AI968" s="16"/>
    </row>
    <row r="969" spans="1:35" ht="13.8">
      <c r="A969" s="16" t="s">
        <v>253</v>
      </c>
      <c r="B969" s="17">
        <v>45329</v>
      </c>
      <c r="C969" s="16" t="s">
        <v>104</v>
      </c>
      <c r="D969" s="16" t="s">
        <v>105</v>
      </c>
      <c r="E969" s="16" t="s">
        <v>152</v>
      </c>
      <c r="F969" s="16" t="s">
        <v>153</v>
      </c>
      <c r="G969" s="16" t="s">
        <v>21</v>
      </c>
      <c r="H969" s="16" t="s">
        <v>32</v>
      </c>
      <c r="I969" s="16" t="s">
        <v>56</v>
      </c>
      <c r="J969" s="16" t="s">
        <v>191</v>
      </c>
      <c r="K969" s="18">
        <v>26229.74</v>
      </c>
      <c r="L969" s="18">
        <v>16007.34</v>
      </c>
      <c r="M969" s="19">
        <v>2</v>
      </c>
      <c r="N969" s="20">
        <v>0</v>
      </c>
      <c r="O969" s="19" t="s">
        <v>136</v>
      </c>
      <c r="P969" s="19" t="s">
        <v>58</v>
      </c>
      <c r="Q969" s="19" t="str">
        <f>TRIM(SalesData[[#This Row],[Customer_Name]])</f>
        <v>Aditya Jain</v>
      </c>
      <c r="R969" s="21">
        <f>SalesData[[#This Row],[Sales]]-SalesData[[#This Row],[Cost]]</f>
        <v>10222.400000000001</v>
      </c>
      <c r="S969" s="22">
        <f>IFERROR(SalesData[[#This Row],[Profit]]/SalesData[[#This Row],[Sales]],0)</f>
        <v>0.38972555580040064</v>
      </c>
      <c r="T969" s="19">
        <f>YEAR(SalesData[[#This Row],[Order_Date]])</f>
        <v>2024</v>
      </c>
      <c r="U969" s="19" t="str">
        <f>TEXT(SalesData[[#This Row],[Order_Date]],"mmm")</f>
        <v>Feb</v>
      </c>
      <c r="V969" s="19" t="str">
        <f>"Q"&amp;ROUNDUP(MONTH(SalesData[[#This Row],[Order_Date]])/3,0)</f>
        <v>Q1</v>
      </c>
      <c r="W969" s="19" t="str">
        <f>IF(SalesData[[#This Row],[Sales]]&gt;=50000,"High",IF(AND(SalesData[[#This Row],[Sales]]&gt;= 20000, SalesData[[#This Row],[Sales]]&lt; 50000),"Medium","Low"))</f>
        <v>Medium</v>
      </c>
      <c r="X969" s="19" t="str">
        <f>IF(SalesData[[#This Row],[Profit]]&gt;0,"Profit","Loss")</f>
        <v>Profit</v>
      </c>
      <c r="Y969" s="19" t="str">
        <f>IF(AND(SalesData[[#This Row],[Sales]]&gt;= 50000, SalesData[[#This Row],[Quantity]]&gt;=2),"Yes","No")</f>
        <v>No</v>
      </c>
      <c r="Z969" s="19" t="str">
        <f>UPPER(SalesData[[#This Row],[Customer_Name]])</f>
        <v>ADITYA JAIN</v>
      </c>
      <c r="AA969" s="19" t="str">
        <f>LOWER(SalesData[[#This Row],[Customer_Name]])</f>
        <v>aditya jain</v>
      </c>
      <c r="AB969" s="19">
        <f>LEN(SalesData[[#This Row],[Customer_Name]])</f>
        <v>11</v>
      </c>
      <c r="AC969" s="19" t="str">
        <f>LEFT(SalesData[[#This Row],[Order_ID]],3)</f>
        <v>ORD</v>
      </c>
      <c r="AD969" s="19" t="str">
        <f>RIGHT(SalesData[[#This Row],[Order_ID]],4)</f>
        <v>0102</v>
      </c>
      <c r="AE969" s="19" t="str">
        <f>_xlfn.CONCAT(SalesData[[#This Row],[Clean_Customer_Name]],"-",SalesData[[#This Row],[Region]])</f>
        <v>Aditya Jain-West</v>
      </c>
      <c r="AF969" s="19" t="str">
        <f>MID(SalesData[[#This Row],[Order_ID]],4,4)</f>
        <v>0102</v>
      </c>
      <c r="AG969" s="19" t="e">
        <f ca="1">_xlfn.SINGLE(_xlfn.XLOOKUP(SalesData[[#This Row],[Product]],Product_Master!A:A,Product_Master!B:B,"Not Found"))</f>
        <v>#NAME?</v>
      </c>
      <c r="AH969" s="19" t="str">
        <f>VLOOKUP(SalesData[[#This Row],[Product]],Product_Master!$A$1:$B$21,2,FALSE)</f>
        <v>Simran</v>
      </c>
      <c r="AI969" s="16"/>
    </row>
    <row r="970" spans="1:35" ht="13.8">
      <c r="A970" s="16" t="s">
        <v>668</v>
      </c>
      <c r="B970" s="17">
        <v>45415</v>
      </c>
      <c r="C970" s="16" t="s">
        <v>104</v>
      </c>
      <c r="D970" s="16" t="s">
        <v>105</v>
      </c>
      <c r="E970" s="16" t="s">
        <v>117</v>
      </c>
      <c r="F970" s="16" t="s">
        <v>118</v>
      </c>
      <c r="G970" s="16" t="s">
        <v>51</v>
      </c>
      <c r="H970" s="16" t="s">
        <v>119</v>
      </c>
      <c r="I970" s="16" t="s">
        <v>56</v>
      </c>
      <c r="J970" s="16" t="s">
        <v>191</v>
      </c>
      <c r="K970" s="18">
        <v>45738.45</v>
      </c>
      <c r="L970" s="18">
        <v>22320.3</v>
      </c>
      <c r="M970" s="19">
        <v>5</v>
      </c>
      <c r="N970" s="20">
        <v>0</v>
      </c>
      <c r="O970" s="19" t="s">
        <v>76</v>
      </c>
      <c r="P970" s="19" t="s">
        <v>26</v>
      </c>
      <c r="Q970" s="19" t="str">
        <f>TRIM(SalesData[[#This Row],[Customer_Name]])</f>
        <v>Aditya Jain</v>
      </c>
      <c r="R970" s="21">
        <f>SalesData[[#This Row],[Sales]]-SalesData[[#This Row],[Cost]]</f>
        <v>23418.149999999998</v>
      </c>
      <c r="S970" s="22">
        <f>IFERROR(SalesData[[#This Row],[Profit]]/SalesData[[#This Row],[Sales]],0)</f>
        <v>0.5120013905149825</v>
      </c>
      <c r="T970" s="19">
        <f>YEAR(SalesData[[#This Row],[Order_Date]])</f>
        <v>2024</v>
      </c>
      <c r="U970" s="19" t="str">
        <f>TEXT(SalesData[[#This Row],[Order_Date]],"mmm")</f>
        <v>May</v>
      </c>
      <c r="V970" s="19" t="str">
        <f>"Q"&amp;ROUNDUP(MONTH(SalesData[[#This Row],[Order_Date]])/3,0)</f>
        <v>Q2</v>
      </c>
      <c r="W970" s="19" t="str">
        <f>IF(SalesData[[#This Row],[Sales]]&gt;=50000,"High",IF(AND(SalesData[[#This Row],[Sales]]&gt;= 20000, SalesData[[#This Row],[Sales]]&lt; 50000),"Medium","Low"))</f>
        <v>Medium</v>
      </c>
      <c r="X970" s="19" t="str">
        <f>IF(SalesData[[#This Row],[Profit]]&gt;0,"Profit","Loss")</f>
        <v>Profit</v>
      </c>
      <c r="Y970" s="19" t="str">
        <f>IF(AND(SalesData[[#This Row],[Sales]]&gt;= 50000, SalesData[[#This Row],[Quantity]]&gt;=2),"Yes","No")</f>
        <v>No</v>
      </c>
      <c r="Z970" s="19" t="str">
        <f>UPPER(SalesData[[#This Row],[Customer_Name]])</f>
        <v>ADITYA JAIN</v>
      </c>
      <c r="AA970" s="19" t="str">
        <f>LOWER(SalesData[[#This Row],[Customer_Name]])</f>
        <v>aditya jain</v>
      </c>
      <c r="AB970" s="19">
        <f>LEN(SalesData[[#This Row],[Customer_Name]])</f>
        <v>11</v>
      </c>
      <c r="AC970" s="19" t="str">
        <f>LEFT(SalesData[[#This Row],[Order_ID]],3)</f>
        <v>ORD</v>
      </c>
      <c r="AD970" s="19" t="str">
        <f>RIGHT(SalesData[[#This Row],[Order_ID]],4)</f>
        <v>0515</v>
      </c>
      <c r="AE970" s="19" t="str">
        <f>_xlfn.CONCAT(SalesData[[#This Row],[Clean_Customer_Name]],"-",SalesData[[#This Row],[Region]])</f>
        <v>Aditya Jain-West</v>
      </c>
      <c r="AF970" s="19" t="str">
        <f>MID(SalesData[[#This Row],[Order_ID]],4,4)</f>
        <v>0515</v>
      </c>
      <c r="AG970" s="19" t="e">
        <f ca="1">_xlfn.SINGLE(_xlfn.XLOOKUP(SalesData[[#This Row],[Product]],Product_Master!A:A,Product_Master!B:B,"Not Found"))</f>
        <v>#NAME?</v>
      </c>
      <c r="AH970" s="19" t="str">
        <f>VLOOKUP(SalesData[[#This Row],[Product]],Product_Master!$A$1:$B$21,2,FALSE)</f>
        <v>Karan</v>
      </c>
      <c r="AI970" s="16"/>
    </row>
    <row r="971" spans="1:35" ht="13.8">
      <c r="A971" s="16" t="s">
        <v>1043</v>
      </c>
      <c r="B971" s="17">
        <v>46005</v>
      </c>
      <c r="C971" s="16" t="s">
        <v>104</v>
      </c>
      <c r="D971" s="16" t="s">
        <v>105</v>
      </c>
      <c r="E971" s="16" t="s">
        <v>117</v>
      </c>
      <c r="F971" s="16" t="s">
        <v>118</v>
      </c>
      <c r="G971" s="16" t="s">
        <v>51</v>
      </c>
      <c r="H971" s="16" t="s">
        <v>119</v>
      </c>
      <c r="I971" s="16" t="s">
        <v>53</v>
      </c>
      <c r="J971" s="16" t="s">
        <v>102</v>
      </c>
      <c r="K971" s="18">
        <v>6885.66</v>
      </c>
      <c r="L971" s="18">
        <v>4162.29</v>
      </c>
      <c r="M971" s="19">
        <v>1</v>
      </c>
      <c r="N971" s="20">
        <v>0.05</v>
      </c>
      <c r="O971" s="19" t="s">
        <v>136</v>
      </c>
      <c r="P971" s="19" t="s">
        <v>58</v>
      </c>
      <c r="Q971" s="19" t="str">
        <f>TRIM(SalesData[[#This Row],[Customer_Name]])</f>
        <v>Aditya Jain</v>
      </c>
      <c r="R971" s="21">
        <f>SalesData[[#This Row],[Sales]]-SalesData[[#This Row],[Cost]]</f>
        <v>2723.37</v>
      </c>
      <c r="S971" s="22">
        <f>IFERROR(SalesData[[#This Row],[Profit]]/SalesData[[#This Row],[Sales]],0)</f>
        <v>0.39551328412962589</v>
      </c>
      <c r="T971" s="19">
        <f>YEAR(SalesData[[#This Row],[Order_Date]])</f>
        <v>2025</v>
      </c>
      <c r="U971" s="19" t="str">
        <f>TEXT(SalesData[[#This Row],[Order_Date]],"mmm")</f>
        <v>Dec</v>
      </c>
      <c r="V971" s="19" t="str">
        <f>"Q"&amp;ROUNDUP(MONTH(SalesData[[#This Row],[Order_Date]])/3,0)</f>
        <v>Q4</v>
      </c>
      <c r="W971" s="19" t="str">
        <f>IF(SalesData[[#This Row],[Sales]]&gt;=50000,"High",IF(AND(SalesData[[#This Row],[Sales]]&gt;= 20000, SalesData[[#This Row],[Sales]]&lt; 50000),"Medium","Low"))</f>
        <v>Low</v>
      </c>
      <c r="X971" s="19" t="str">
        <f>IF(SalesData[[#This Row],[Profit]]&gt;0,"Profit","Loss")</f>
        <v>Profit</v>
      </c>
      <c r="Y971" s="19" t="str">
        <f>IF(AND(SalesData[[#This Row],[Sales]]&gt;= 50000, SalesData[[#This Row],[Quantity]]&gt;=2),"Yes","No")</f>
        <v>No</v>
      </c>
      <c r="Z971" s="19" t="str">
        <f>UPPER(SalesData[[#This Row],[Customer_Name]])</f>
        <v>ADITYA JAIN</v>
      </c>
      <c r="AA971" s="19" t="str">
        <f>LOWER(SalesData[[#This Row],[Customer_Name]])</f>
        <v>aditya jain</v>
      </c>
      <c r="AB971" s="19">
        <f>LEN(SalesData[[#This Row],[Customer_Name]])</f>
        <v>11</v>
      </c>
      <c r="AC971" s="19" t="str">
        <f>LEFT(SalesData[[#This Row],[Order_ID]],3)</f>
        <v>ORD</v>
      </c>
      <c r="AD971" s="19" t="str">
        <f>RIGHT(SalesData[[#This Row],[Order_ID]],4)</f>
        <v>0890</v>
      </c>
      <c r="AE971" s="19" t="str">
        <f>_xlfn.CONCAT(SalesData[[#This Row],[Clean_Customer_Name]],"-",SalesData[[#This Row],[Region]])</f>
        <v>Aditya Jain-Central</v>
      </c>
      <c r="AF971" s="19" t="str">
        <f>MID(SalesData[[#This Row],[Order_ID]],4,4)</f>
        <v>0890</v>
      </c>
      <c r="AG971" s="19" t="e">
        <f ca="1">_xlfn.SINGLE(_xlfn.XLOOKUP(SalesData[[#This Row],[Product]],Product_Master!A:A,Product_Master!B:B,"Not Found"))</f>
        <v>#NAME?</v>
      </c>
      <c r="AH971" s="19" t="str">
        <f>VLOOKUP(SalesData[[#This Row],[Product]],Product_Master!$A$1:$B$21,2,FALSE)</f>
        <v>Karan</v>
      </c>
      <c r="AI971" s="16"/>
    </row>
    <row r="972" spans="1:35" ht="13.8">
      <c r="A972" s="16" t="s">
        <v>1067</v>
      </c>
      <c r="B972" s="17">
        <v>45298</v>
      </c>
      <c r="C972" s="16" t="s">
        <v>104</v>
      </c>
      <c r="D972" s="16" t="s">
        <v>105</v>
      </c>
      <c r="E972" s="16" t="s">
        <v>117</v>
      </c>
      <c r="F972" s="16" t="s">
        <v>118</v>
      </c>
      <c r="G972" s="16" t="s">
        <v>51</v>
      </c>
      <c r="H972" s="16" t="s">
        <v>119</v>
      </c>
      <c r="I972" s="16" t="s">
        <v>53</v>
      </c>
      <c r="J972" s="16" t="s">
        <v>102</v>
      </c>
      <c r="K972" s="18">
        <v>17215.2</v>
      </c>
      <c r="L972" s="18">
        <v>12176.7</v>
      </c>
      <c r="M972" s="19">
        <v>3</v>
      </c>
      <c r="N972" s="20">
        <v>0.2</v>
      </c>
      <c r="O972" s="19" t="s">
        <v>25</v>
      </c>
      <c r="P972" s="19" t="s">
        <v>58</v>
      </c>
      <c r="Q972" s="19" t="str">
        <f>TRIM(SalesData[[#This Row],[Customer_Name]])</f>
        <v>Aditya Jain</v>
      </c>
      <c r="R972" s="21">
        <f>SalesData[[#This Row],[Sales]]-SalesData[[#This Row],[Cost]]</f>
        <v>5038.5</v>
      </c>
      <c r="S972" s="22">
        <f>IFERROR(SalesData[[#This Row],[Profit]]/SalesData[[#This Row],[Sales]],0)</f>
        <v>0.29267740136623449</v>
      </c>
      <c r="T972" s="19">
        <f>YEAR(SalesData[[#This Row],[Order_Date]])</f>
        <v>2024</v>
      </c>
      <c r="U972" s="19" t="str">
        <f>TEXT(SalesData[[#This Row],[Order_Date]],"mmm")</f>
        <v>Jan</v>
      </c>
      <c r="V972" s="19" t="str">
        <f>"Q"&amp;ROUNDUP(MONTH(SalesData[[#This Row],[Order_Date]])/3,0)</f>
        <v>Q1</v>
      </c>
      <c r="W972" s="19" t="str">
        <f>IF(SalesData[[#This Row],[Sales]]&gt;=50000,"High",IF(AND(SalesData[[#This Row],[Sales]]&gt;= 20000, SalesData[[#This Row],[Sales]]&lt; 50000),"Medium","Low"))</f>
        <v>Low</v>
      </c>
      <c r="X972" s="19" t="str">
        <f>IF(SalesData[[#This Row],[Profit]]&gt;0,"Profit","Loss")</f>
        <v>Profit</v>
      </c>
      <c r="Y972" s="19" t="str">
        <f>IF(AND(SalesData[[#This Row],[Sales]]&gt;= 50000, SalesData[[#This Row],[Quantity]]&gt;=2),"Yes","No")</f>
        <v>No</v>
      </c>
      <c r="Z972" s="19" t="str">
        <f>UPPER(SalesData[[#This Row],[Customer_Name]])</f>
        <v>ADITYA JAIN</v>
      </c>
      <c r="AA972" s="19" t="str">
        <f>LOWER(SalesData[[#This Row],[Customer_Name]])</f>
        <v>aditya jain</v>
      </c>
      <c r="AB972" s="19">
        <f>LEN(SalesData[[#This Row],[Customer_Name]])</f>
        <v>11</v>
      </c>
      <c r="AC972" s="19" t="str">
        <f>LEFT(SalesData[[#This Row],[Order_ID]],3)</f>
        <v>ORD</v>
      </c>
      <c r="AD972" s="19" t="str">
        <f>RIGHT(SalesData[[#This Row],[Order_ID]],4)</f>
        <v>0914</v>
      </c>
      <c r="AE972" s="19" t="str">
        <f>_xlfn.CONCAT(SalesData[[#This Row],[Clean_Customer_Name]],"-",SalesData[[#This Row],[Region]])</f>
        <v>Aditya Jain-Central</v>
      </c>
      <c r="AF972" s="19" t="str">
        <f>MID(SalesData[[#This Row],[Order_ID]],4,4)</f>
        <v>0914</v>
      </c>
      <c r="AG972" s="19" t="e">
        <f ca="1">_xlfn.SINGLE(_xlfn.XLOOKUP(SalesData[[#This Row],[Product]],Product_Master!A:A,Product_Master!B:B,"Not Found"))</f>
        <v>#NAME?</v>
      </c>
      <c r="AH972" s="19" t="str">
        <f>VLOOKUP(SalesData[[#This Row],[Product]],Product_Master!$A$1:$B$21,2,FALSE)</f>
        <v>Karan</v>
      </c>
      <c r="AI972" s="16"/>
    </row>
    <row r="973" spans="1:35" ht="13.8">
      <c r="A973" s="16" t="s">
        <v>1099</v>
      </c>
      <c r="B973" s="17">
        <v>45874</v>
      </c>
      <c r="C973" s="16" t="s">
        <v>104</v>
      </c>
      <c r="D973" s="16" t="s">
        <v>105</v>
      </c>
      <c r="E973" s="16" t="s">
        <v>117</v>
      </c>
      <c r="F973" s="16" t="s">
        <v>118</v>
      </c>
      <c r="G973" s="16" t="s">
        <v>51</v>
      </c>
      <c r="H973" s="16" t="s">
        <v>119</v>
      </c>
      <c r="I973" s="16" t="s">
        <v>42</v>
      </c>
      <c r="J973" s="16" t="s">
        <v>162</v>
      </c>
      <c r="K973" s="18">
        <v>10142.48</v>
      </c>
      <c r="L973" s="18">
        <v>4404.2</v>
      </c>
      <c r="M973" s="19">
        <v>1</v>
      </c>
      <c r="N973" s="20">
        <v>0.05</v>
      </c>
      <c r="O973" s="19" t="s">
        <v>76</v>
      </c>
      <c r="P973" s="19" t="s">
        <v>45</v>
      </c>
      <c r="Q973" s="19" t="str">
        <f>TRIM(SalesData[[#This Row],[Customer_Name]])</f>
        <v>Aditya Jain</v>
      </c>
      <c r="R973" s="21">
        <f>SalesData[[#This Row],[Sales]]-SalesData[[#This Row],[Cost]]</f>
        <v>5738.28</v>
      </c>
      <c r="S973" s="22">
        <f>IFERROR(SalesData[[#This Row],[Profit]]/SalesData[[#This Row],[Sales]],0)</f>
        <v>0.56576695246133091</v>
      </c>
      <c r="T973" s="19">
        <f>YEAR(SalesData[[#This Row],[Order_Date]])</f>
        <v>2025</v>
      </c>
      <c r="U973" s="19" t="str">
        <f>TEXT(SalesData[[#This Row],[Order_Date]],"mmm")</f>
        <v>Aug</v>
      </c>
      <c r="V973" s="19" t="str">
        <f>"Q"&amp;ROUNDUP(MONTH(SalesData[[#This Row],[Order_Date]])/3,0)</f>
        <v>Q3</v>
      </c>
      <c r="W973" s="19" t="str">
        <f>IF(SalesData[[#This Row],[Sales]]&gt;=50000,"High",IF(AND(SalesData[[#This Row],[Sales]]&gt;= 20000, SalesData[[#This Row],[Sales]]&lt; 50000),"Medium","Low"))</f>
        <v>Low</v>
      </c>
      <c r="X973" s="19" t="str">
        <f>IF(SalesData[[#This Row],[Profit]]&gt;0,"Profit","Loss")</f>
        <v>Profit</v>
      </c>
      <c r="Y973" s="19" t="str">
        <f>IF(AND(SalesData[[#This Row],[Sales]]&gt;= 50000, SalesData[[#This Row],[Quantity]]&gt;=2),"Yes","No")</f>
        <v>No</v>
      </c>
      <c r="Z973" s="19" t="str">
        <f>UPPER(SalesData[[#This Row],[Customer_Name]])</f>
        <v>ADITYA JAIN</v>
      </c>
      <c r="AA973" s="19" t="str">
        <f>LOWER(SalesData[[#This Row],[Customer_Name]])</f>
        <v>aditya jain</v>
      </c>
      <c r="AB973" s="19">
        <f>LEN(SalesData[[#This Row],[Customer_Name]])</f>
        <v>11</v>
      </c>
      <c r="AC973" s="19" t="str">
        <f>LEFT(SalesData[[#This Row],[Order_ID]],3)</f>
        <v>ORD</v>
      </c>
      <c r="AD973" s="19" t="str">
        <f>RIGHT(SalesData[[#This Row],[Order_ID]],4)</f>
        <v>0946</v>
      </c>
      <c r="AE973" s="19" t="str">
        <f>_xlfn.CONCAT(SalesData[[#This Row],[Clean_Customer_Name]],"-",SalesData[[#This Row],[Region]])</f>
        <v>Aditya Jain-East</v>
      </c>
      <c r="AF973" s="19" t="str">
        <f>MID(SalesData[[#This Row],[Order_ID]],4,4)</f>
        <v>0946</v>
      </c>
      <c r="AG973" s="19" t="e">
        <f ca="1">_xlfn.SINGLE(_xlfn.XLOOKUP(SalesData[[#This Row],[Product]],Product_Master!A:A,Product_Master!B:B,"Not Found"))</f>
        <v>#NAME?</v>
      </c>
      <c r="AH973" s="19" t="str">
        <f>VLOOKUP(SalesData[[#This Row],[Product]],Product_Master!$A$1:$B$21,2,FALSE)</f>
        <v>Karan</v>
      </c>
      <c r="AI973" s="16"/>
    </row>
    <row r="974" spans="1:35" ht="13.8">
      <c r="A974" s="16" t="s">
        <v>1090</v>
      </c>
      <c r="B974" s="17">
        <v>45357</v>
      </c>
      <c r="C974" s="16" t="s">
        <v>104</v>
      </c>
      <c r="D974" s="16" t="s">
        <v>105</v>
      </c>
      <c r="E974" s="16" t="s">
        <v>49</v>
      </c>
      <c r="F974" s="16" t="s">
        <v>50</v>
      </c>
      <c r="G974" s="16" t="s">
        <v>51</v>
      </c>
      <c r="H974" s="16" t="s">
        <v>52</v>
      </c>
      <c r="I974" s="16" t="s">
        <v>56</v>
      </c>
      <c r="J974" s="16" t="s">
        <v>91</v>
      </c>
      <c r="K974" s="18">
        <v>56986.83</v>
      </c>
      <c r="L974" s="18">
        <v>34205.050000000003</v>
      </c>
      <c r="M974" s="19">
        <v>5</v>
      </c>
      <c r="N974" s="20">
        <v>0.1</v>
      </c>
      <c r="O974" s="19" t="s">
        <v>34</v>
      </c>
      <c r="P974" s="19" t="s">
        <v>98</v>
      </c>
      <c r="Q974" s="19" t="str">
        <f>TRIM(SalesData[[#This Row],[Customer_Name]])</f>
        <v>Aditya Jain</v>
      </c>
      <c r="R974" s="21">
        <f>SalesData[[#This Row],[Sales]]-SalesData[[#This Row],[Cost]]</f>
        <v>22781.78</v>
      </c>
      <c r="S974" s="22">
        <f>IFERROR(SalesData[[#This Row],[Profit]]/SalesData[[#This Row],[Sales]],0)</f>
        <v>0.39977271941604747</v>
      </c>
      <c r="T974" s="19">
        <f>YEAR(SalesData[[#This Row],[Order_Date]])</f>
        <v>2024</v>
      </c>
      <c r="U974" s="19" t="str">
        <f>TEXT(SalesData[[#This Row],[Order_Date]],"mmm")</f>
        <v>Mar</v>
      </c>
      <c r="V974" s="19" t="str">
        <f>"Q"&amp;ROUNDUP(MONTH(SalesData[[#This Row],[Order_Date]])/3,0)</f>
        <v>Q1</v>
      </c>
      <c r="W974" s="19" t="str">
        <f>IF(SalesData[[#This Row],[Sales]]&gt;=50000,"High",IF(AND(SalesData[[#This Row],[Sales]]&gt;= 20000, SalesData[[#This Row],[Sales]]&lt; 50000),"Medium","Low"))</f>
        <v>High</v>
      </c>
      <c r="X974" s="19" t="str">
        <f>IF(SalesData[[#This Row],[Profit]]&gt;0,"Profit","Loss")</f>
        <v>Profit</v>
      </c>
      <c r="Y974" s="19" t="str">
        <f>IF(AND(SalesData[[#This Row],[Sales]]&gt;= 50000, SalesData[[#This Row],[Quantity]]&gt;=2),"Yes","No")</f>
        <v>Yes</v>
      </c>
      <c r="Z974" s="19" t="str">
        <f>UPPER(SalesData[[#This Row],[Customer_Name]])</f>
        <v>ADITYA JAIN</v>
      </c>
      <c r="AA974" s="19" t="str">
        <f>LOWER(SalesData[[#This Row],[Customer_Name]])</f>
        <v>aditya jain</v>
      </c>
      <c r="AB974" s="19">
        <f>LEN(SalesData[[#This Row],[Customer_Name]])</f>
        <v>11</v>
      </c>
      <c r="AC974" s="19" t="str">
        <f>LEFT(SalesData[[#This Row],[Order_ID]],3)</f>
        <v>ORD</v>
      </c>
      <c r="AD974" s="19" t="str">
        <f>RIGHT(SalesData[[#This Row],[Order_ID]],4)</f>
        <v>0937</v>
      </c>
      <c r="AE974" s="19" t="str">
        <f>_xlfn.CONCAT(SalesData[[#This Row],[Clean_Customer_Name]],"-",SalesData[[#This Row],[Region]])</f>
        <v>Aditya Jain-West</v>
      </c>
      <c r="AF974" s="19" t="str">
        <f>MID(SalesData[[#This Row],[Order_ID]],4,4)</f>
        <v>0937</v>
      </c>
      <c r="AG974" s="19" t="e">
        <f ca="1">_xlfn.SINGLE(_xlfn.XLOOKUP(SalesData[[#This Row],[Product]],Product_Master!A:A,Product_Master!B:B,"Not Found"))</f>
        <v>#NAME?</v>
      </c>
      <c r="AH974" s="19" t="str">
        <f>VLOOKUP(SalesData[[#This Row],[Product]],Product_Master!$A$1:$B$21,2,FALSE)</f>
        <v>Rohan</v>
      </c>
      <c r="AI974" s="16"/>
    </row>
    <row r="975" spans="1:35" ht="13.8">
      <c r="A975" s="16" t="s">
        <v>634</v>
      </c>
      <c r="B975" s="17">
        <v>45707</v>
      </c>
      <c r="C975" s="16" t="s">
        <v>104</v>
      </c>
      <c r="D975" s="16" t="s">
        <v>105</v>
      </c>
      <c r="E975" s="16" t="s">
        <v>72</v>
      </c>
      <c r="F975" s="16" t="s">
        <v>73</v>
      </c>
      <c r="G975" s="16" t="s">
        <v>51</v>
      </c>
      <c r="H975" s="16" t="s">
        <v>74</v>
      </c>
      <c r="I975" s="16" t="s">
        <v>56</v>
      </c>
      <c r="J975" s="16" t="s">
        <v>57</v>
      </c>
      <c r="K975" s="18">
        <v>16280.68</v>
      </c>
      <c r="L975" s="18">
        <v>12761.37</v>
      </c>
      <c r="M975" s="19">
        <v>3</v>
      </c>
      <c r="N975" s="20">
        <v>0.15</v>
      </c>
      <c r="O975" s="19" t="s">
        <v>34</v>
      </c>
      <c r="P975" s="19" t="s">
        <v>58</v>
      </c>
      <c r="Q975" s="19" t="str">
        <f>TRIM(SalesData[[#This Row],[Customer_Name]])</f>
        <v>Aditya Jain</v>
      </c>
      <c r="R975" s="21">
        <f>SalesData[[#This Row],[Sales]]-SalesData[[#This Row],[Cost]]</f>
        <v>3519.3099999999995</v>
      </c>
      <c r="S975" s="22">
        <f>IFERROR(SalesData[[#This Row],[Profit]]/SalesData[[#This Row],[Sales]],0)</f>
        <v>0.21616480392710866</v>
      </c>
      <c r="T975" s="19">
        <f>YEAR(SalesData[[#This Row],[Order_Date]])</f>
        <v>2025</v>
      </c>
      <c r="U975" s="19" t="str">
        <f>TEXT(SalesData[[#This Row],[Order_Date]],"mmm")</f>
        <v>Feb</v>
      </c>
      <c r="V975" s="19" t="str">
        <f>"Q"&amp;ROUNDUP(MONTH(SalesData[[#This Row],[Order_Date]])/3,0)</f>
        <v>Q1</v>
      </c>
      <c r="W975" s="19" t="str">
        <f>IF(SalesData[[#This Row],[Sales]]&gt;=50000,"High",IF(AND(SalesData[[#This Row],[Sales]]&gt;= 20000, SalesData[[#This Row],[Sales]]&lt; 50000),"Medium","Low"))</f>
        <v>Low</v>
      </c>
      <c r="X975" s="19" t="str">
        <f>IF(SalesData[[#This Row],[Profit]]&gt;0,"Profit","Loss")</f>
        <v>Profit</v>
      </c>
      <c r="Y975" s="19" t="str">
        <f>IF(AND(SalesData[[#This Row],[Sales]]&gt;= 50000, SalesData[[#This Row],[Quantity]]&gt;=2),"Yes","No")</f>
        <v>No</v>
      </c>
      <c r="Z975" s="19" t="str">
        <f>UPPER(SalesData[[#This Row],[Customer_Name]])</f>
        <v>ADITYA JAIN</v>
      </c>
      <c r="AA975" s="19" t="str">
        <f>LOWER(SalesData[[#This Row],[Customer_Name]])</f>
        <v>aditya jain</v>
      </c>
      <c r="AB975" s="19">
        <f>LEN(SalesData[[#This Row],[Customer_Name]])</f>
        <v>11</v>
      </c>
      <c r="AC975" s="19" t="str">
        <f>LEFT(SalesData[[#This Row],[Order_ID]],3)</f>
        <v>ORD</v>
      </c>
      <c r="AD975" s="19" t="str">
        <f>RIGHT(SalesData[[#This Row],[Order_ID]],4)</f>
        <v>0481</v>
      </c>
      <c r="AE975" s="19" t="str">
        <f>_xlfn.CONCAT(SalesData[[#This Row],[Clean_Customer_Name]],"-",SalesData[[#This Row],[Region]])</f>
        <v>Aditya Jain-West</v>
      </c>
      <c r="AF975" s="19" t="str">
        <f>MID(SalesData[[#This Row],[Order_ID]],4,4)</f>
        <v>0481</v>
      </c>
      <c r="AG975" s="19" t="e">
        <f ca="1">_xlfn.SINGLE(_xlfn.XLOOKUP(SalesData[[#This Row],[Product]],Product_Master!A:A,Product_Master!B:B,"Not Found"))</f>
        <v>#NAME?</v>
      </c>
      <c r="AH975" s="19" t="str">
        <f>VLOOKUP(SalesData[[#This Row],[Product]],Product_Master!$A$1:$B$21,2,FALSE)</f>
        <v>Anjali</v>
      </c>
      <c r="AI975" s="16"/>
    </row>
    <row r="976" spans="1:35" ht="13.8">
      <c r="A976" s="16" t="s">
        <v>700</v>
      </c>
      <c r="B976" s="17">
        <v>45335</v>
      </c>
      <c r="C976" s="16" t="s">
        <v>104</v>
      </c>
      <c r="D976" s="16" t="s">
        <v>105</v>
      </c>
      <c r="E976" s="16" t="s">
        <v>72</v>
      </c>
      <c r="F976" s="16" t="s">
        <v>73</v>
      </c>
      <c r="G976" s="16" t="s">
        <v>51</v>
      </c>
      <c r="H976" s="16" t="s">
        <v>74</v>
      </c>
      <c r="I976" s="16" t="s">
        <v>23</v>
      </c>
      <c r="J976" s="16" t="s">
        <v>24</v>
      </c>
      <c r="K976" s="18">
        <v>28413.96</v>
      </c>
      <c r="L976" s="18">
        <v>21133.9</v>
      </c>
      <c r="M976" s="19">
        <v>5</v>
      </c>
      <c r="N976" s="20">
        <v>0.2</v>
      </c>
      <c r="O976" s="19" t="s">
        <v>76</v>
      </c>
      <c r="P976" s="19" t="s">
        <v>77</v>
      </c>
      <c r="Q976" s="19" t="str">
        <f>TRIM(SalesData[[#This Row],[Customer_Name]])</f>
        <v>Aditya Jain</v>
      </c>
      <c r="R976" s="21">
        <f>SalesData[[#This Row],[Sales]]-SalesData[[#This Row],[Cost]]</f>
        <v>7280.0599999999977</v>
      </c>
      <c r="S976" s="22">
        <f>IFERROR(SalesData[[#This Row],[Profit]]/SalesData[[#This Row],[Sales]],0)</f>
        <v>0.25621419893601588</v>
      </c>
      <c r="T976" s="19">
        <f>YEAR(SalesData[[#This Row],[Order_Date]])</f>
        <v>2024</v>
      </c>
      <c r="U976" s="19" t="str">
        <f>TEXT(SalesData[[#This Row],[Order_Date]],"mmm")</f>
        <v>Feb</v>
      </c>
      <c r="V976" s="19" t="str">
        <f>"Q"&amp;ROUNDUP(MONTH(SalesData[[#This Row],[Order_Date]])/3,0)</f>
        <v>Q1</v>
      </c>
      <c r="W976" s="19" t="str">
        <f>IF(SalesData[[#This Row],[Sales]]&gt;=50000,"High",IF(AND(SalesData[[#This Row],[Sales]]&gt;= 20000, SalesData[[#This Row],[Sales]]&lt; 50000),"Medium","Low"))</f>
        <v>Medium</v>
      </c>
      <c r="X976" s="19" t="str">
        <f>IF(SalesData[[#This Row],[Profit]]&gt;0,"Profit","Loss")</f>
        <v>Profit</v>
      </c>
      <c r="Y976" s="19" t="str">
        <f>IF(AND(SalesData[[#This Row],[Sales]]&gt;= 50000, SalesData[[#This Row],[Quantity]]&gt;=2),"Yes","No")</f>
        <v>No</v>
      </c>
      <c r="Z976" s="19" t="str">
        <f>UPPER(SalesData[[#This Row],[Customer_Name]])</f>
        <v>ADITYA JAIN</v>
      </c>
      <c r="AA976" s="19" t="str">
        <f>LOWER(SalesData[[#This Row],[Customer_Name]])</f>
        <v>aditya jain</v>
      </c>
      <c r="AB976" s="19">
        <f>LEN(SalesData[[#This Row],[Customer_Name]])</f>
        <v>11</v>
      </c>
      <c r="AC976" s="19" t="str">
        <f>LEFT(SalesData[[#This Row],[Order_ID]],3)</f>
        <v>ORD</v>
      </c>
      <c r="AD976" s="19" t="str">
        <f>RIGHT(SalesData[[#This Row],[Order_ID]],4)</f>
        <v>0547</v>
      </c>
      <c r="AE976" s="19" t="str">
        <f>_xlfn.CONCAT(SalesData[[#This Row],[Clean_Customer_Name]],"-",SalesData[[#This Row],[Region]])</f>
        <v>Aditya Jain-North</v>
      </c>
      <c r="AF976" s="19" t="str">
        <f>MID(SalesData[[#This Row],[Order_ID]],4,4)</f>
        <v>0547</v>
      </c>
      <c r="AG976" s="19" t="e">
        <f ca="1">_xlfn.SINGLE(_xlfn.XLOOKUP(SalesData[[#This Row],[Product]],Product_Master!A:A,Product_Master!B:B,"Not Found"))</f>
        <v>#NAME?</v>
      </c>
      <c r="AH976" s="19" t="str">
        <f>VLOOKUP(SalesData[[#This Row],[Product]],Product_Master!$A$1:$B$21,2,FALSE)</f>
        <v>Anjali</v>
      </c>
      <c r="AI976" s="16"/>
    </row>
    <row r="977" spans="1:35" ht="13.8">
      <c r="A977" s="16" t="s">
        <v>935</v>
      </c>
      <c r="B977" s="17">
        <v>45445</v>
      </c>
      <c r="C977" s="16" t="s">
        <v>104</v>
      </c>
      <c r="D977" s="16" t="s">
        <v>105</v>
      </c>
      <c r="E977" s="16" t="s">
        <v>72</v>
      </c>
      <c r="F977" s="16" t="s">
        <v>73</v>
      </c>
      <c r="G977" s="16" t="s">
        <v>51</v>
      </c>
      <c r="H977" s="16" t="s">
        <v>74</v>
      </c>
      <c r="I977" s="16" t="s">
        <v>23</v>
      </c>
      <c r="J977" s="16" t="s">
        <v>33</v>
      </c>
      <c r="K977" s="18">
        <v>15983.44</v>
      </c>
      <c r="L977" s="18">
        <v>7244.32</v>
      </c>
      <c r="M977" s="19">
        <v>2</v>
      </c>
      <c r="N977" s="20">
        <v>0.1</v>
      </c>
      <c r="O977" s="19" t="s">
        <v>136</v>
      </c>
      <c r="P977" s="19" t="s">
        <v>98</v>
      </c>
      <c r="Q977" s="19" t="str">
        <f>TRIM(SalesData[[#This Row],[Customer_Name]])</f>
        <v>Aditya Jain</v>
      </c>
      <c r="R977" s="21">
        <f>SalesData[[#This Row],[Sales]]-SalesData[[#This Row],[Cost]]</f>
        <v>8739.1200000000008</v>
      </c>
      <c r="S977" s="22">
        <f>IFERROR(SalesData[[#This Row],[Profit]]/SalesData[[#This Row],[Sales]],0)</f>
        <v>0.54676089752894252</v>
      </c>
      <c r="T977" s="19">
        <f>YEAR(SalesData[[#This Row],[Order_Date]])</f>
        <v>2024</v>
      </c>
      <c r="U977" s="19" t="str">
        <f>TEXT(SalesData[[#This Row],[Order_Date]],"mmm")</f>
        <v>Jun</v>
      </c>
      <c r="V977" s="19" t="str">
        <f>"Q"&amp;ROUNDUP(MONTH(SalesData[[#This Row],[Order_Date]])/3,0)</f>
        <v>Q2</v>
      </c>
      <c r="W977" s="19" t="str">
        <f>IF(SalesData[[#This Row],[Sales]]&gt;=50000,"High",IF(AND(SalesData[[#This Row],[Sales]]&gt;= 20000, SalesData[[#This Row],[Sales]]&lt; 50000),"Medium","Low"))</f>
        <v>Low</v>
      </c>
      <c r="X977" s="19" t="str">
        <f>IF(SalesData[[#This Row],[Profit]]&gt;0,"Profit","Loss")</f>
        <v>Profit</v>
      </c>
      <c r="Y977" s="19" t="str">
        <f>IF(AND(SalesData[[#This Row],[Sales]]&gt;= 50000, SalesData[[#This Row],[Quantity]]&gt;=2),"Yes","No")</f>
        <v>No</v>
      </c>
      <c r="Z977" s="19" t="str">
        <f>UPPER(SalesData[[#This Row],[Customer_Name]])</f>
        <v>ADITYA JAIN</v>
      </c>
      <c r="AA977" s="19" t="str">
        <f>LOWER(SalesData[[#This Row],[Customer_Name]])</f>
        <v>aditya jain</v>
      </c>
      <c r="AB977" s="19">
        <f>LEN(SalesData[[#This Row],[Customer_Name]])</f>
        <v>11</v>
      </c>
      <c r="AC977" s="19" t="str">
        <f>LEFT(SalesData[[#This Row],[Order_ID]],3)</f>
        <v>ORD</v>
      </c>
      <c r="AD977" s="19" t="str">
        <f>RIGHT(SalesData[[#This Row],[Order_ID]],4)</f>
        <v>0782</v>
      </c>
      <c r="AE977" s="19" t="str">
        <f>_xlfn.CONCAT(SalesData[[#This Row],[Clean_Customer_Name]],"-",SalesData[[#This Row],[Region]])</f>
        <v>Aditya Jain-North</v>
      </c>
      <c r="AF977" s="19" t="str">
        <f>MID(SalesData[[#This Row],[Order_ID]],4,4)</f>
        <v>0782</v>
      </c>
      <c r="AG977" s="19" t="e">
        <f ca="1">_xlfn.SINGLE(_xlfn.XLOOKUP(SalesData[[#This Row],[Product]],Product_Master!A:A,Product_Master!B:B,"Not Found"))</f>
        <v>#NAME?</v>
      </c>
      <c r="AH977" s="19" t="str">
        <f>VLOOKUP(SalesData[[#This Row],[Product]],Product_Master!$A$1:$B$21,2,FALSE)</f>
        <v>Anjali</v>
      </c>
      <c r="AI977" s="16"/>
    </row>
    <row r="978" spans="1:35" ht="13.8">
      <c r="A978" s="16" t="s">
        <v>1024</v>
      </c>
      <c r="B978" s="17">
        <v>45639</v>
      </c>
      <c r="C978" s="16" t="s">
        <v>104</v>
      </c>
      <c r="D978" s="16" t="s">
        <v>105</v>
      </c>
      <c r="E978" s="16" t="s">
        <v>72</v>
      </c>
      <c r="F978" s="16" t="s">
        <v>73</v>
      </c>
      <c r="G978" s="16" t="s">
        <v>51</v>
      </c>
      <c r="H978" s="16" t="s">
        <v>74</v>
      </c>
      <c r="I978" s="16" t="s">
        <v>56</v>
      </c>
      <c r="J978" s="16" t="s">
        <v>91</v>
      </c>
      <c r="K978" s="18">
        <v>34768.61</v>
      </c>
      <c r="L978" s="18">
        <v>18183.3</v>
      </c>
      <c r="M978" s="19">
        <v>5</v>
      </c>
      <c r="N978" s="20">
        <v>0.15</v>
      </c>
      <c r="O978" s="19" t="s">
        <v>44</v>
      </c>
      <c r="P978" s="19" t="s">
        <v>58</v>
      </c>
      <c r="Q978" s="19" t="str">
        <f>TRIM(SalesData[[#This Row],[Customer_Name]])</f>
        <v>Aditya Jain</v>
      </c>
      <c r="R978" s="21">
        <f>SalesData[[#This Row],[Sales]]-SalesData[[#This Row],[Cost]]</f>
        <v>16585.310000000001</v>
      </c>
      <c r="S978" s="22">
        <f>IFERROR(SalesData[[#This Row],[Profit]]/SalesData[[#This Row],[Sales]],0)</f>
        <v>0.47701964501888344</v>
      </c>
      <c r="T978" s="19">
        <f>YEAR(SalesData[[#This Row],[Order_Date]])</f>
        <v>2024</v>
      </c>
      <c r="U978" s="19" t="str">
        <f>TEXT(SalesData[[#This Row],[Order_Date]],"mmm")</f>
        <v>Dec</v>
      </c>
      <c r="V978" s="19" t="str">
        <f>"Q"&amp;ROUNDUP(MONTH(SalesData[[#This Row],[Order_Date]])/3,0)</f>
        <v>Q4</v>
      </c>
      <c r="W978" s="19" t="str">
        <f>IF(SalesData[[#This Row],[Sales]]&gt;=50000,"High",IF(AND(SalesData[[#This Row],[Sales]]&gt;= 20000, SalesData[[#This Row],[Sales]]&lt; 50000),"Medium","Low"))</f>
        <v>Medium</v>
      </c>
      <c r="X978" s="19" t="str">
        <f>IF(SalesData[[#This Row],[Profit]]&gt;0,"Profit","Loss")</f>
        <v>Profit</v>
      </c>
      <c r="Y978" s="19" t="str">
        <f>IF(AND(SalesData[[#This Row],[Sales]]&gt;= 50000, SalesData[[#This Row],[Quantity]]&gt;=2),"Yes","No")</f>
        <v>No</v>
      </c>
      <c r="Z978" s="19" t="str">
        <f>UPPER(SalesData[[#This Row],[Customer_Name]])</f>
        <v>ADITYA JAIN</v>
      </c>
      <c r="AA978" s="19" t="str">
        <f>LOWER(SalesData[[#This Row],[Customer_Name]])</f>
        <v>aditya jain</v>
      </c>
      <c r="AB978" s="19">
        <f>LEN(SalesData[[#This Row],[Customer_Name]])</f>
        <v>11</v>
      </c>
      <c r="AC978" s="19" t="str">
        <f>LEFT(SalesData[[#This Row],[Order_ID]],3)</f>
        <v>ORD</v>
      </c>
      <c r="AD978" s="19" t="str">
        <f>RIGHT(SalesData[[#This Row],[Order_ID]],4)</f>
        <v>0871</v>
      </c>
      <c r="AE978" s="19" t="str">
        <f>_xlfn.CONCAT(SalesData[[#This Row],[Clean_Customer_Name]],"-",SalesData[[#This Row],[Region]])</f>
        <v>Aditya Jain-West</v>
      </c>
      <c r="AF978" s="19" t="str">
        <f>MID(SalesData[[#This Row],[Order_ID]],4,4)</f>
        <v>0871</v>
      </c>
      <c r="AG978" s="19" t="e">
        <f ca="1">_xlfn.SINGLE(_xlfn.XLOOKUP(SalesData[[#This Row],[Product]],Product_Master!A:A,Product_Master!B:B,"Not Found"))</f>
        <v>#NAME?</v>
      </c>
      <c r="AH978" s="19" t="str">
        <f>VLOOKUP(SalesData[[#This Row],[Product]],Product_Master!$A$1:$B$21,2,FALSE)</f>
        <v>Anjali</v>
      </c>
      <c r="AI978" s="16"/>
    </row>
    <row r="979" spans="1:35" ht="13.8">
      <c r="A979" s="16" t="s">
        <v>1085</v>
      </c>
      <c r="B979" s="17">
        <v>45506</v>
      </c>
      <c r="C979" s="16" t="s">
        <v>104</v>
      </c>
      <c r="D979" s="16" t="s">
        <v>105</v>
      </c>
      <c r="E979" s="16" t="s">
        <v>72</v>
      </c>
      <c r="F979" s="16" t="s">
        <v>73</v>
      </c>
      <c r="G979" s="16" t="s">
        <v>51</v>
      </c>
      <c r="H979" s="16" t="s">
        <v>74</v>
      </c>
      <c r="I979" s="16" t="s">
        <v>84</v>
      </c>
      <c r="J979" s="16" t="s">
        <v>85</v>
      </c>
      <c r="K979" s="18">
        <v>24704.83</v>
      </c>
      <c r="L979" s="18">
        <v>15147.92</v>
      </c>
      <c r="M979" s="19">
        <v>4</v>
      </c>
      <c r="N979" s="20">
        <v>0.2</v>
      </c>
      <c r="O979" s="19" t="s">
        <v>136</v>
      </c>
      <c r="P979" s="19" t="s">
        <v>98</v>
      </c>
      <c r="Q979" s="19" t="str">
        <f>TRIM(SalesData[[#This Row],[Customer_Name]])</f>
        <v>Aditya Jain</v>
      </c>
      <c r="R979" s="21">
        <f>SalesData[[#This Row],[Sales]]-SalesData[[#This Row],[Cost]]</f>
        <v>9556.9100000000017</v>
      </c>
      <c r="S979" s="22">
        <f>IFERROR(SalesData[[#This Row],[Profit]]/SalesData[[#This Row],[Sales]],0)</f>
        <v>0.38684378722703217</v>
      </c>
      <c r="T979" s="19">
        <f>YEAR(SalesData[[#This Row],[Order_Date]])</f>
        <v>2024</v>
      </c>
      <c r="U979" s="19" t="str">
        <f>TEXT(SalesData[[#This Row],[Order_Date]],"mmm")</f>
        <v>Aug</v>
      </c>
      <c r="V979" s="19" t="str">
        <f>"Q"&amp;ROUNDUP(MONTH(SalesData[[#This Row],[Order_Date]])/3,0)</f>
        <v>Q3</v>
      </c>
      <c r="W979" s="19" t="str">
        <f>IF(SalesData[[#This Row],[Sales]]&gt;=50000,"High",IF(AND(SalesData[[#This Row],[Sales]]&gt;= 20000, SalesData[[#This Row],[Sales]]&lt; 50000),"Medium","Low"))</f>
        <v>Medium</v>
      </c>
      <c r="X979" s="19" t="str">
        <f>IF(SalesData[[#This Row],[Profit]]&gt;0,"Profit","Loss")</f>
        <v>Profit</v>
      </c>
      <c r="Y979" s="19" t="str">
        <f>IF(AND(SalesData[[#This Row],[Sales]]&gt;= 50000, SalesData[[#This Row],[Quantity]]&gt;=2),"Yes","No")</f>
        <v>No</v>
      </c>
      <c r="Z979" s="19" t="str">
        <f>UPPER(SalesData[[#This Row],[Customer_Name]])</f>
        <v>ADITYA JAIN</v>
      </c>
      <c r="AA979" s="19" t="str">
        <f>LOWER(SalesData[[#This Row],[Customer_Name]])</f>
        <v>aditya jain</v>
      </c>
      <c r="AB979" s="19">
        <f>LEN(SalesData[[#This Row],[Customer_Name]])</f>
        <v>11</v>
      </c>
      <c r="AC979" s="19" t="str">
        <f>LEFT(SalesData[[#This Row],[Order_ID]],3)</f>
        <v>ORD</v>
      </c>
      <c r="AD979" s="19" t="str">
        <f>RIGHT(SalesData[[#This Row],[Order_ID]],4)</f>
        <v>0932</v>
      </c>
      <c r="AE979" s="19" t="str">
        <f>_xlfn.CONCAT(SalesData[[#This Row],[Clean_Customer_Name]],"-",SalesData[[#This Row],[Region]])</f>
        <v>Aditya Jain-South</v>
      </c>
      <c r="AF979" s="19" t="str">
        <f>MID(SalesData[[#This Row],[Order_ID]],4,4)</f>
        <v>0932</v>
      </c>
      <c r="AG979" s="19" t="e">
        <f ca="1">_xlfn.SINGLE(_xlfn.XLOOKUP(SalesData[[#This Row],[Product]],Product_Master!A:A,Product_Master!B:B,"Not Found"))</f>
        <v>#NAME?</v>
      </c>
      <c r="AH979" s="19" t="str">
        <f>VLOOKUP(SalesData[[#This Row],[Product]],Product_Master!$A$1:$B$21,2,FALSE)</f>
        <v>Anjali</v>
      </c>
      <c r="AI979" s="16"/>
    </row>
    <row r="980" spans="1:35" ht="13.8">
      <c r="A980" s="16" t="s">
        <v>610</v>
      </c>
      <c r="B980" s="17">
        <v>45581</v>
      </c>
      <c r="C980" s="16" t="s">
        <v>104</v>
      </c>
      <c r="D980" s="16" t="s">
        <v>105</v>
      </c>
      <c r="E980" s="16" t="s">
        <v>175</v>
      </c>
      <c r="F980" s="16" t="s">
        <v>176</v>
      </c>
      <c r="G980" s="16" t="s">
        <v>51</v>
      </c>
      <c r="H980" s="16" t="s">
        <v>177</v>
      </c>
      <c r="I980" s="16" t="s">
        <v>56</v>
      </c>
      <c r="J980" s="16" t="s">
        <v>57</v>
      </c>
      <c r="K980" s="18">
        <v>26545.77</v>
      </c>
      <c r="L980" s="18">
        <v>17316.27</v>
      </c>
      <c r="M980" s="19">
        <v>1</v>
      </c>
      <c r="N980" s="20">
        <v>0.1</v>
      </c>
      <c r="O980" s="19" t="s">
        <v>34</v>
      </c>
      <c r="P980" s="19" t="s">
        <v>98</v>
      </c>
      <c r="Q980" s="19" t="str">
        <f>TRIM(SalesData[[#This Row],[Customer_Name]])</f>
        <v>Aditya Jain</v>
      </c>
      <c r="R980" s="21">
        <f>SalesData[[#This Row],[Sales]]-SalesData[[#This Row],[Cost]]</f>
        <v>9229.5</v>
      </c>
      <c r="S980" s="22">
        <f>IFERROR(SalesData[[#This Row],[Profit]]/SalesData[[#This Row],[Sales]],0)</f>
        <v>0.34768251212905105</v>
      </c>
      <c r="T980" s="19">
        <f>YEAR(SalesData[[#This Row],[Order_Date]])</f>
        <v>2024</v>
      </c>
      <c r="U980" s="19" t="str">
        <f>TEXT(SalesData[[#This Row],[Order_Date]],"mmm")</f>
        <v>Oct</v>
      </c>
      <c r="V980" s="19" t="str">
        <f>"Q"&amp;ROUNDUP(MONTH(SalesData[[#This Row],[Order_Date]])/3,0)</f>
        <v>Q4</v>
      </c>
      <c r="W980" s="19" t="str">
        <f>IF(SalesData[[#This Row],[Sales]]&gt;=50000,"High",IF(AND(SalesData[[#This Row],[Sales]]&gt;= 20000, SalesData[[#This Row],[Sales]]&lt; 50000),"Medium","Low"))</f>
        <v>Medium</v>
      </c>
      <c r="X980" s="19" t="str">
        <f>IF(SalesData[[#This Row],[Profit]]&gt;0,"Profit","Loss")</f>
        <v>Profit</v>
      </c>
      <c r="Y980" s="19" t="str">
        <f>IF(AND(SalesData[[#This Row],[Sales]]&gt;= 50000, SalesData[[#This Row],[Quantity]]&gt;=2),"Yes","No")</f>
        <v>No</v>
      </c>
      <c r="Z980" s="19" t="str">
        <f>UPPER(SalesData[[#This Row],[Customer_Name]])</f>
        <v>ADITYA JAIN</v>
      </c>
      <c r="AA980" s="19" t="str">
        <f>LOWER(SalesData[[#This Row],[Customer_Name]])</f>
        <v>aditya jain</v>
      </c>
      <c r="AB980" s="19">
        <f>LEN(SalesData[[#This Row],[Customer_Name]])</f>
        <v>11</v>
      </c>
      <c r="AC980" s="19" t="str">
        <f>LEFT(SalesData[[#This Row],[Order_ID]],3)</f>
        <v>ORD</v>
      </c>
      <c r="AD980" s="19" t="str">
        <f>RIGHT(SalesData[[#This Row],[Order_ID]],4)</f>
        <v>0457</v>
      </c>
      <c r="AE980" s="19" t="str">
        <f>_xlfn.CONCAT(SalesData[[#This Row],[Clean_Customer_Name]],"-",SalesData[[#This Row],[Region]])</f>
        <v>Aditya Jain-West</v>
      </c>
      <c r="AF980" s="19" t="str">
        <f>MID(SalesData[[#This Row],[Order_ID]],4,4)</f>
        <v>0457</v>
      </c>
      <c r="AG980" s="19" t="e">
        <f ca="1">_xlfn.SINGLE(_xlfn.XLOOKUP(SalesData[[#This Row],[Product]],Product_Master!A:A,Product_Master!B:B,"Not Found"))</f>
        <v>#NAME?</v>
      </c>
      <c r="AH980" s="19" t="str">
        <f>VLOOKUP(SalesData[[#This Row],[Product]],Product_Master!$A$1:$B$21,2,FALSE)</f>
        <v>Arjun</v>
      </c>
      <c r="AI980" s="16"/>
    </row>
    <row r="981" spans="1:35" ht="13.8">
      <c r="A981" s="16" t="s">
        <v>334</v>
      </c>
      <c r="B981" s="17">
        <v>45800</v>
      </c>
      <c r="C981" s="16" t="s">
        <v>104</v>
      </c>
      <c r="D981" s="16" t="s">
        <v>105</v>
      </c>
      <c r="E981" s="16" t="s">
        <v>110</v>
      </c>
      <c r="F981" s="16" t="s">
        <v>111</v>
      </c>
      <c r="G981" s="16" t="s">
        <v>40</v>
      </c>
      <c r="H981" s="16" t="s">
        <v>112</v>
      </c>
      <c r="I981" s="16" t="s">
        <v>23</v>
      </c>
      <c r="J981" s="16" t="s">
        <v>75</v>
      </c>
      <c r="K981" s="18">
        <v>15332.04</v>
      </c>
      <c r="L981" s="18">
        <v>4672.6400000000003</v>
      </c>
      <c r="M981" s="19">
        <v>4</v>
      </c>
      <c r="N981" s="20">
        <v>0.1</v>
      </c>
      <c r="O981" s="19" t="s">
        <v>25</v>
      </c>
      <c r="P981" s="19" t="s">
        <v>26</v>
      </c>
      <c r="Q981" s="19" t="str">
        <f>TRIM(SalesData[[#This Row],[Customer_Name]])</f>
        <v>Aditya Jain</v>
      </c>
      <c r="R981" s="21">
        <f>SalesData[[#This Row],[Sales]]-SalesData[[#This Row],[Cost]]</f>
        <v>10659.400000000001</v>
      </c>
      <c r="S981" s="22">
        <f>IFERROR(SalesData[[#This Row],[Profit]]/SalesData[[#This Row],[Sales]],0)</f>
        <v>0.6952369025909142</v>
      </c>
      <c r="T981" s="19">
        <f>YEAR(SalesData[[#This Row],[Order_Date]])</f>
        <v>2025</v>
      </c>
      <c r="U981" s="19" t="str">
        <f>TEXT(SalesData[[#This Row],[Order_Date]],"mmm")</f>
        <v>May</v>
      </c>
      <c r="V981" s="19" t="str">
        <f>"Q"&amp;ROUNDUP(MONTH(SalesData[[#This Row],[Order_Date]])/3,0)</f>
        <v>Q2</v>
      </c>
      <c r="W981" s="19" t="str">
        <f>IF(SalesData[[#This Row],[Sales]]&gt;=50000,"High",IF(AND(SalesData[[#This Row],[Sales]]&gt;= 20000, SalesData[[#This Row],[Sales]]&lt; 50000),"Medium","Low"))</f>
        <v>Low</v>
      </c>
      <c r="X981" s="19" t="str">
        <f>IF(SalesData[[#This Row],[Profit]]&gt;0,"Profit","Loss")</f>
        <v>Profit</v>
      </c>
      <c r="Y981" s="19" t="str">
        <f>IF(AND(SalesData[[#This Row],[Sales]]&gt;= 50000, SalesData[[#This Row],[Quantity]]&gt;=2),"Yes","No")</f>
        <v>No</v>
      </c>
      <c r="Z981" s="19" t="str">
        <f>UPPER(SalesData[[#This Row],[Customer_Name]])</f>
        <v>ADITYA JAIN</v>
      </c>
      <c r="AA981" s="19" t="str">
        <f>LOWER(SalesData[[#This Row],[Customer_Name]])</f>
        <v>aditya jain</v>
      </c>
      <c r="AB981" s="19">
        <f>LEN(SalesData[[#This Row],[Customer_Name]])</f>
        <v>11</v>
      </c>
      <c r="AC981" s="19" t="str">
        <f>LEFT(SalesData[[#This Row],[Order_ID]],3)</f>
        <v>ORD</v>
      </c>
      <c r="AD981" s="19" t="str">
        <f>RIGHT(SalesData[[#This Row],[Order_ID]],4)</f>
        <v>0181</v>
      </c>
      <c r="AE981" s="19" t="str">
        <f>_xlfn.CONCAT(SalesData[[#This Row],[Clean_Customer_Name]],"-",SalesData[[#This Row],[Region]])</f>
        <v>Aditya Jain-North</v>
      </c>
      <c r="AF981" s="19" t="str">
        <f>MID(SalesData[[#This Row],[Order_ID]],4,4)</f>
        <v>0181</v>
      </c>
      <c r="AG981" s="19" t="e">
        <f ca="1">_xlfn.SINGLE(_xlfn.XLOOKUP(SalesData[[#This Row],[Product]],Product_Master!A:A,Product_Master!B:B,"Not Found"))</f>
        <v>#NAME?</v>
      </c>
      <c r="AH981" s="19" t="str">
        <f>VLOOKUP(SalesData[[#This Row],[Product]],Product_Master!$A$1:$B$21,2,FALSE)</f>
        <v>Vikas</v>
      </c>
      <c r="AI981" s="16"/>
    </row>
    <row r="982" spans="1:35" ht="13.8">
      <c r="A982" s="16" t="s">
        <v>340</v>
      </c>
      <c r="B982" s="17">
        <v>45577</v>
      </c>
      <c r="C982" s="16" t="s">
        <v>104</v>
      </c>
      <c r="D982" s="16" t="s">
        <v>105</v>
      </c>
      <c r="E982" s="16" t="s">
        <v>110</v>
      </c>
      <c r="F982" s="16" t="s">
        <v>111</v>
      </c>
      <c r="G982" s="16" t="s">
        <v>40</v>
      </c>
      <c r="H982" s="16" t="s">
        <v>112</v>
      </c>
      <c r="I982" s="16" t="s">
        <v>42</v>
      </c>
      <c r="J982" s="16" t="s">
        <v>68</v>
      </c>
      <c r="K982" s="18">
        <v>2733.61</v>
      </c>
      <c r="L982" s="18">
        <v>2621.04</v>
      </c>
      <c r="M982" s="19">
        <v>2</v>
      </c>
      <c r="N982" s="20">
        <v>0.05</v>
      </c>
      <c r="O982" s="19" t="s">
        <v>136</v>
      </c>
      <c r="P982" s="19" t="s">
        <v>26</v>
      </c>
      <c r="Q982" s="19" t="str">
        <f>TRIM(SalesData[[#This Row],[Customer_Name]])</f>
        <v>Aditya Jain</v>
      </c>
      <c r="R982" s="21">
        <f>SalesData[[#This Row],[Sales]]-SalesData[[#This Row],[Cost]]</f>
        <v>112.57000000000016</v>
      </c>
      <c r="S982" s="22">
        <f>IFERROR(SalesData[[#This Row],[Profit]]/SalesData[[#This Row],[Sales]],0)</f>
        <v>4.1179978124165538E-2</v>
      </c>
      <c r="T982" s="19">
        <f>YEAR(SalesData[[#This Row],[Order_Date]])</f>
        <v>2024</v>
      </c>
      <c r="U982" s="19" t="str">
        <f>TEXT(SalesData[[#This Row],[Order_Date]],"mmm")</f>
        <v>Oct</v>
      </c>
      <c r="V982" s="19" t="str">
        <f>"Q"&amp;ROUNDUP(MONTH(SalesData[[#This Row],[Order_Date]])/3,0)</f>
        <v>Q4</v>
      </c>
      <c r="W982" s="19" t="str">
        <f>IF(SalesData[[#This Row],[Sales]]&gt;=50000,"High",IF(AND(SalesData[[#This Row],[Sales]]&gt;= 20000, SalesData[[#This Row],[Sales]]&lt; 50000),"Medium","Low"))</f>
        <v>Low</v>
      </c>
      <c r="X982" s="19" t="str">
        <f>IF(SalesData[[#This Row],[Profit]]&gt;0,"Profit","Loss")</f>
        <v>Profit</v>
      </c>
      <c r="Y982" s="19" t="str">
        <f>IF(AND(SalesData[[#This Row],[Sales]]&gt;= 50000, SalesData[[#This Row],[Quantity]]&gt;=2),"Yes","No")</f>
        <v>No</v>
      </c>
      <c r="Z982" s="19" t="str">
        <f>UPPER(SalesData[[#This Row],[Customer_Name]])</f>
        <v>ADITYA JAIN</v>
      </c>
      <c r="AA982" s="19" t="str">
        <f>LOWER(SalesData[[#This Row],[Customer_Name]])</f>
        <v>aditya jain</v>
      </c>
      <c r="AB982" s="19">
        <f>LEN(SalesData[[#This Row],[Customer_Name]])</f>
        <v>11</v>
      </c>
      <c r="AC982" s="19" t="str">
        <f>LEFT(SalesData[[#This Row],[Order_ID]],3)</f>
        <v>ORD</v>
      </c>
      <c r="AD982" s="19" t="str">
        <f>RIGHT(SalesData[[#This Row],[Order_ID]],4)</f>
        <v>0187</v>
      </c>
      <c r="AE982" s="19" t="str">
        <f>_xlfn.CONCAT(SalesData[[#This Row],[Clean_Customer_Name]],"-",SalesData[[#This Row],[Region]])</f>
        <v>Aditya Jain-East</v>
      </c>
      <c r="AF982" s="19" t="str">
        <f>MID(SalesData[[#This Row],[Order_ID]],4,4)</f>
        <v>0187</v>
      </c>
      <c r="AG982" s="19" t="e">
        <f ca="1">_xlfn.SINGLE(_xlfn.XLOOKUP(SalesData[[#This Row],[Product]],Product_Master!A:A,Product_Master!B:B,"Not Found"))</f>
        <v>#NAME?</v>
      </c>
      <c r="AH982" s="19" t="str">
        <f>VLOOKUP(SalesData[[#This Row],[Product]],Product_Master!$A$1:$B$21,2,FALSE)</f>
        <v>Vikas</v>
      </c>
      <c r="AI982" s="16"/>
    </row>
    <row r="983" spans="1:35" ht="13.8">
      <c r="A983" s="16" t="s">
        <v>863</v>
      </c>
      <c r="B983" s="17">
        <v>45325</v>
      </c>
      <c r="C983" s="16" t="s">
        <v>104</v>
      </c>
      <c r="D983" s="16" t="s">
        <v>105</v>
      </c>
      <c r="E983" s="16" t="s">
        <v>110</v>
      </c>
      <c r="F983" s="16" t="s">
        <v>111</v>
      </c>
      <c r="G983" s="16" t="s">
        <v>40</v>
      </c>
      <c r="H983" s="16" t="s">
        <v>112</v>
      </c>
      <c r="I983" s="16" t="s">
        <v>56</v>
      </c>
      <c r="J983" s="16" t="s">
        <v>57</v>
      </c>
      <c r="K983" s="18">
        <v>5592.84</v>
      </c>
      <c r="L983" s="18">
        <v>3546.66</v>
      </c>
      <c r="M983" s="19">
        <v>3</v>
      </c>
      <c r="N983" s="20">
        <v>0.2</v>
      </c>
      <c r="O983" s="19" t="s">
        <v>34</v>
      </c>
      <c r="P983" s="19" t="s">
        <v>58</v>
      </c>
      <c r="Q983" s="19" t="str">
        <f>TRIM(SalesData[[#This Row],[Customer_Name]])</f>
        <v>Aditya Jain</v>
      </c>
      <c r="R983" s="21">
        <f>SalesData[[#This Row],[Sales]]-SalesData[[#This Row],[Cost]]</f>
        <v>2046.1800000000003</v>
      </c>
      <c r="S983" s="22">
        <f>IFERROR(SalesData[[#This Row],[Profit]]/SalesData[[#This Row],[Sales]],0)</f>
        <v>0.36585706009826852</v>
      </c>
      <c r="T983" s="19">
        <f>YEAR(SalesData[[#This Row],[Order_Date]])</f>
        <v>2024</v>
      </c>
      <c r="U983" s="19" t="str">
        <f>TEXT(SalesData[[#This Row],[Order_Date]],"mmm")</f>
        <v>Feb</v>
      </c>
      <c r="V983" s="19" t="str">
        <f>"Q"&amp;ROUNDUP(MONTH(SalesData[[#This Row],[Order_Date]])/3,0)</f>
        <v>Q1</v>
      </c>
      <c r="W983" s="19" t="str">
        <f>IF(SalesData[[#This Row],[Sales]]&gt;=50000,"High",IF(AND(SalesData[[#This Row],[Sales]]&gt;= 20000, SalesData[[#This Row],[Sales]]&lt; 50000),"Medium","Low"))</f>
        <v>Low</v>
      </c>
      <c r="X983" s="19" t="str">
        <f>IF(SalesData[[#This Row],[Profit]]&gt;0,"Profit","Loss")</f>
        <v>Profit</v>
      </c>
      <c r="Y983" s="19" t="str">
        <f>IF(AND(SalesData[[#This Row],[Sales]]&gt;= 50000, SalesData[[#This Row],[Quantity]]&gt;=2),"Yes","No")</f>
        <v>No</v>
      </c>
      <c r="Z983" s="19" t="str">
        <f>UPPER(SalesData[[#This Row],[Customer_Name]])</f>
        <v>ADITYA JAIN</v>
      </c>
      <c r="AA983" s="19" t="str">
        <f>LOWER(SalesData[[#This Row],[Customer_Name]])</f>
        <v>aditya jain</v>
      </c>
      <c r="AB983" s="19">
        <f>LEN(SalesData[[#This Row],[Customer_Name]])</f>
        <v>11</v>
      </c>
      <c r="AC983" s="19" t="str">
        <f>LEFT(SalesData[[#This Row],[Order_ID]],3)</f>
        <v>ORD</v>
      </c>
      <c r="AD983" s="19" t="str">
        <f>RIGHT(SalesData[[#This Row],[Order_ID]],4)</f>
        <v>0710</v>
      </c>
      <c r="AE983" s="19" t="str">
        <f>_xlfn.CONCAT(SalesData[[#This Row],[Clean_Customer_Name]],"-",SalesData[[#This Row],[Region]])</f>
        <v>Aditya Jain-West</v>
      </c>
      <c r="AF983" s="19" t="str">
        <f>MID(SalesData[[#This Row],[Order_ID]],4,4)</f>
        <v>0710</v>
      </c>
      <c r="AG983" s="19" t="e">
        <f ca="1">_xlfn.SINGLE(_xlfn.XLOOKUP(SalesData[[#This Row],[Product]],Product_Master!A:A,Product_Master!B:B,"Not Found"))</f>
        <v>#NAME?</v>
      </c>
      <c r="AH983" s="19" t="str">
        <f>VLOOKUP(SalesData[[#This Row],[Product]],Product_Master!$A$1:$B$21,2,FALSE)</f>
        <v>Vikas</v>
      </c>
      <c r="AI983" s="16"/>
    </row>
    <row r="984" spans="1:35" ht="13.8">
      <c r="A984" s="16" t="s">
        <v>435</v>
      </c>
      <c r="B984" s="17">
        <v>45869</v>
      </c>
      <c r="C984" s="16" t="s">
        <v>104</v>
      </c>
      <c r="D984" s="16" t="s">
        <v>105</v>
      </c>
      <c r="E984" s="16" t="s">
        <v>172</v>
      </c>
      <c r="F984" s="16" t="s">
        <v>173</v>
      </c>
      <c r="G984" s="16" t="s">
        <v>40</v>
      </c>
      <c r="H984" s="16" t="s">
        <v>41</v>
      </c>
      <c r="I984" s="16" t="s">
        <v>23</v>
      </c>
      <c r="J984" s="16" t="s">
        <v>33</v>
      </c>
      <c r="K984" s="18">
        <v>4224.83</v>
      </c>
      <c r="L984" s="18">
        <v>1833.2</v>
      </c>
      <c r="M984" s="19">
        <v>2</v>
      </c>
      <c r="N984" s="20">
        <v>0.2</v>
      </c>
      <c r="O984" s="19" t="s">
        <v>25</v>
      </c>
      <c r="P984" s="19" t="s">
        <v>98</v>
      </c>
      <c r="Q984" s="19" t="str">
        <f>TRIM(SalesData[[#This Row],[Customer_Name]])</f>
        <v>Aditya Jain</v>
      </c>
      <c r="R984" s="21">
        <f>SalesData[[#This Row],[Sales]]-SalesData[[#This Row],[Cost]]</f>
        <v>2391.63</v>
      </c>
      <c r="S984" s="22">
        <f>IFERROR(SalesData[[#This Row],[Profit]]/SalesData[[#This Row],[Sales]],0)</f>
        <v>0.56608904973691254</v>
      </c>
      <c r="T984" s="19">
        <f>YEAR(SalesData[[#This Row],[Order_Date]])</f>
        <v>2025</v>
      </c>
      <c r="U984" s="19" t="str">
        <f>TEXT(SalesData[[#This Row],[Order_Date]],"mmm")</f>
        <v>Jul</v>
      </c>
      <c r="V984" s="19" t="str">
        <f>"Q"&amp;ROUNDUP(MONTH(SalesData[[#This Row],[Order_Date]])/3,0)</f>
        <v>Q3</v>
      </c>
      <c r="W984" s="19" t="str">
        <f>IF(SalesData[[#This Row],[Sales]]&gt;=50000,"High",IF(AND(SalesData[[#This Row],[Sales]]&gt;= 20000, SalesData[[#This Row],[Sales]]&lt; 50000),"Medium","Low"))</f>
        <v>Low</v>
      </c>
      <c r="X984" s="19" t="str">
        <f>IF(SalesData[[#This Row],[Profit]]&gt;0,"Profit","Loss")</f>
        <v>Profit</v>
      </c>
      <c r="Y984" s="19" t="str">
        <f>IF(AND(SalesData[[#This Row],[Sales]]&gt;= 50000, SalesData[[#This Row],[Quantity]]&gt;=2),"Yes","No")</f>
        <v>No</v>
      </c>
      <c r="Z984" s="19" t="str">
        <f>UPPER(SalesData[[#This Row],[Customer_Name]])</f>
        <v>ADITYA JAIN</v>
      </c>
      <c r="AA984" s="19" t="str">
        <f>LOWER(SalesData[[#This Row],[Customer_Name]])</f>
        <v>aditya jain</v>
      </c>
      <c r="AB984" s="19">
        <f>LEN(SalesData[[#This Row],[Customer_Name]])</f>
        <v>11</v>
      </c>
      <c r="AC984" s="19" t="str">
        <f>LEFT(SalesData[[#This Row],[Order_ID]],3)</f>
        <v>ORD</v>
      </c>
      <c r="AD984" s="19" t="str">
        <f>RIGHT(SalesData[[#This Row],[Order_ID]],4)</f>
        <v>0282</v>
      </c>
      <c r="AE984" s="19" t="str">
        <f>_xlfn.CONCAT(SalesData[[#This Row],[Clean_Customer_Name]],"-",SalesData[[#This Row],[Region]])</f>
        <v>Aditya Jain-North</v>
      </c>
      <c r="AF984" s="19" t="str">
        <f>MID(SalesData[[#This Row],[Order_ID]],4,4)</f>
        <v>0282</v>
      </c>
      <c r="AG984" s="19" t="e">
        <f ca="1">_xlfn.SINGLE(_xlfn.XLOOKUP(SalesData[[#This Row],[Product]],Product_Master!A:A,Product_Master!B:B,"Not Found"))</f>
        <v>#NAME?</v>
      </c>
      <c r="AH984" s="19" t="str">
        <f>VLOOKUP(SalesData[[#This Row],[Product]],Product_Master!$A$1:$B$21,2,FALSE)</f>
        <v>Pooja</v>
      </c>
      <c r="AI984" s="16"/>
    </row>
    <row r="985" spans="1:35" ht="13.8">
      <c r="A985" s="16" t="s">
        <v>865</v>
      </c>
      <c r="B985" s="17">
        <v>45925</v>
      </c>
      <c r="C985" s="16" t="s">
        <v>104</v>
      </c>
      <c r="D985" s="16" t="s">
        <v>105</v>
      </c>
      <c r="E985" s="16" t="s">
        <v>172</v>
      </c>
      <c r="F985" s="16" t="s">
        <v>173</v>
      </c>
      <c r="G985" s="16" t="s">
        <v>40</v>
      </c>
      <c r="H985" s="16" t="s">
        <v>41</v>
      </c>
      <c r="I985" s="16" t="s">
        <v>56</v>
      </c>
      <c r="J985" s="16" t="s">
        <v>191</v>
      </c>
      <c r="K985" s="18">
        <v>1225.92</v>
      </c>
      <c r="L985" s="18">
        <v>875.8</v>
      </c>
      <c r="M985" s="19">
        <v>1</v>
      </c>
      <c r="N985" s="20">
        <v>0.2</v>
      </c>
      <c r="O985" s="19" t="s">
        <v>25</v>
      </c>
      <c r="P985" s="19" t="s">
        <v>58</v>
      </c>
      <c r="Q985" s="19" t="str">
        <f>TRIM(SalesData[[#This Row],[Customer_Name]])</f>
        <v>Aditya Jain</v>
      </c>
      <c r="R985" s="21">
        <f>SalesData[[#This Row],[Sales]]-SalesData[[#This Row],[Cost]]</f>
        <v>350.12000000000012</v>
      </c>
      <c r="S985" s="22">
        <f>IFERROR(SalesData[[#This Row],[Profit]]/SalesData[[#This Row],[Sales]],0)</f>
        <v>0.28559775515531199</v>
      </c>
      <c r="T985" s="19">
        <f>YEAR(SalesData[[#This Row],[Order_Date]])</f>
        <v>2025</v>
      </c>
      <c r="U985" s="19" t="str">
        <f>TEXT(SalesData[[#This Row],[Order_Date]],"mmm")</f>
        <v>Sept</v>
      </c>
      <c r="V985" s="19" t="str">
        <f>"Q"&amp;ROUNDUP(MONTH(SalesData[[#This Row],[Order_Date]])/3,0)</f>
        <v>Q3</v>
      </c>
      <c r="W985" s="19" t="str">
        <f>IF(SalesData[[#This Row],[Sales]]&gt;=50000,"High",IF(AND(SalesData[[#This Row],[Sales]]&gt;= 20000, SalesData[[#This Row],[Sales]]&lt; 50000),"Medium","Low"))</f>
        <v>Low</v>
      </c>
      <c r="X985" s="19" t="str">
        <f>IF(SalesData[[#This Row],[Profit]]&gt;0,"Profit","Loss")</f>
        <v>Profit</v>
      </c>
      <c r="Y985" s="19" t="str">
        <f>IF(AND(SalesData[[#This Row],[Sales]]&gt;= 50000, SalesData[[#This Row],[Quantity]]&gt;=2),"Yes","No")</f>
        <v>No</v>
      </c>
      <c r="Z985" s="19" t="str">
        <f>UPPER(SalesData[[#This Row],[Customer_Name]])</f>
        <v>ADITYA JAIN</v>
      </c>
      <c r="AA985" s="19" t="str">
        <f>LOWER(SalesData[[#This Row],[Customer_Name]])</f>
        <v>aditya jain</v>
      </c>
      <c r="AB985" s="19">
        <f>LEN(SalesData[[#This Row],[Customer_Name]])</f>
        <v>11</v>
      </c>
      <c r="AC985" s="19" t="str">
        <f>LEFT(SalesData[[#This Row],[Order_ID]],3)</f>
        <v>ORD</v>
      </c>
      <c r="AD985" s="19" t="str">
        <f>RIGHT(SalesData[[#This Row],[Order_ID]],4)</f>
        <v>0712</v>
      </c>
      <c r="AE985" s="19" t="str">
        <f>_xlfn.CONCAT(SalesData[[#This Row],[Clean_Customer_Name]],"-",SalesData[[#This Row],[Region]])</f>
        <v>Aditya Jain-West</v>
      </c>
      <c r="AF985" s="19" t="str">
        <f>MID(SalesData[[#This Row],[Order_ID]],4,4)</f>
        <v>0712</v>
      </c>
      <c r="AG985" s="19" t="e">
        <f ca="1">_xlfn.SINGLE(_xlfn.XLOOKUP(SalesData[[#This Row],[Product]],Product_Master!A:A,Product_Master!B:B,"Not Found"))</f>
        <v>#NAME?</v>
      </c>
      <c r="AH985" s="19" t="str">
        <f>VLOOKUP(SalesData[[#This Row],[Product]],Product_Master!$A$1:$B$21,2,FALSE)</f>
        <v>Pooja</v>
      </c>
      <c r="AI985" s="16"/>
    </row>
    <row r="986" spans="1:35" ht="13.8">
      <c r="A986" s="16" t="s">
        <v>103</v>
      </c>
      <c r="B986" s="17">
        <v>45771</v>
      </c>
      <c r="C986" s="16" t="s">
        <v>104</v>
      </c>
      <c r="D986" s="16" t="s">
        <v>105</v>
      </c>
      <c r="E986" s="16" t="s">
        <v>106</v>
      </c>
      <c r="F986" s="16" t="s">
        <v>107</v>
      </c>
      <c r="G986" s="16" t="s">
        <v>40</v>
      </c>
      <c r="H986" s="16" t="s">
        <v>108</v>
      </c>
      <c r="I986" s="16" t="s">
        <v>42</v>
      </c>
      <c r="J986" s="16" t="s">
        <v>43</v>
      </c>
      <c r="K986" s="18">
        <v>10085.5</v>
      </c>
      <c r="L986" s="18">
        <v>3326</v>
      </c>
      <c r="M986" s="19">
        <v>5</v>
      </c>
      <c r="N986" s="20">
        <v>0</v>
      </c>
      <c r="O986" s="19" t="s">
        <v>25</v>
      </c>
      <c r="P986" s="19" t="s">
        <v>45</v>
      </c>
      <c r="Q986" s="19" t="str">
        <f>TRIM(SalesData[[#This Row],[Customer_Name]])</f>
        <v>Aditya Jain</v>
      </c>
      <c r="R986" s="21">
        <f>SalesData[[#This Row],[Sales]]-SalesData[[#This Row],[Cost]]</f>
        <v>6759.5</v>
      </c>
      <c r="S986" s="22">
        <f>IFERROR(SalesData[[#This Row],[Profit]]/SalesData[[#This Row],[Sales]],0)</f>
        <v>0.67021962222993403</v>
      </c>
      <c r="T986" s="19">
        <f>YEAR(SalesData[[#This Row],[Order_Date]])</f>
        <v>2025</v>
      </c>
      <c r="U986" s="19" t="str">
        <f>TEXT(SalesData[[#This Row],[Order_Date]],"mmm")</f>
        <v>Apr</v>
      </c>
      <c r="V986" s="19" t="str">
        <f>"Q"&amp;ROUNDUP(MONTH(SalesData[[#This Row],[Order_Date]])/3,0)</f>
        <v>Q2</v>
      </c>
      <c r="W986" s="19" t="str">
        <f>IF(SalesData[[#This Row],[Sales]]&gt;=50000,"High",IF(AND(SalesData[[#This Row],[Sales]]&gt;= 20000, SalesData[[#This Row],[Sales]]&lt; 50000),"Medium","Low"))</f>
        <v>Low</v>
      </c>
      <c r="X986" s="19" t="str">
        <f>IF(SalesData[[#This Row],[Profit]]&gt;0,"Profit","Loss")</f>
        <v>Profit</v>
      </c>
      <c r="Y986" s="19" t="str">
        <f>IF(AND(SalesData[[#This Row],[Sales]]&gt;= 50000, SalesData[[#This Row],[Quantity]]&gt;=2),"Yes","No")</f>
        <v>No</v>
      </c>
      <c r="Z986" s="19" t="str">
        <f>UPPER(SalesData[[#This Row],[Customer_Name]])</f>
        <v>ADITYA JAIN</v>
      </c>
      <c r="AA986" s="19" t="str">
        <f>LOWER(SalesData[[#This Row],[Customer_Name]])</f>
        <v>aditya jain</v>
      </c>
      <c r="AB986" s="19">
        <f>LEN(SalesData[[#This Row],[Customer_Name]])</f>
        <v>11</v>
      </c>
      <c r="AC986" s="19" t="str">
        <f>LEFT(SalesData[[#This Row],[Order_ID]],3)</f>
        <v>ORD</v>
      </c>
      <c r="AD986" s="19" t="str">
        <f>RIGHT(SalesData[[#This Row],[Order_ID]],4)</f>
        <v>0013</v>
      </c>
      <c r="AE986" s="19" t="str">
        <f>_xlfn.CONCAT(SalesData[[#This Row],[Clean_Customer_Name]],"-",SalesData[[#This Row],[Region]])</f>
        <v>Aditya Jain-East</v>
      </c>
      <c r="AF986" s="19" t="str">
        <f>MID(SalesData[[#This Row],[Order_ID]],4,4)</f>
        <v>0013</v>
      </c>
      <c r="AG986" s="19" t="e">
        <f ca="1">_xlfn.SINGLE(_xlfn.XLOOKUP(SalesData[[#This Row],[Product]],Product_Master!A:A,Product_Master!B:B,"Not Found"))</f>
        <v>#NAME?</v>
      </c>
      <c r="AH986" s="19" t="str">
        <f>VLOOKUP(SalesData[[#This Row],[Product]],Product_Master!$A$1:$B$21,2,FALSE)</f>
        <v>Aditya</v>
      </c>
      <c r="AI986" s="16"/>
    </row>
    <row r="987" spans="1:35" ht="13.8">
      <c r="A987" s="16" t="s">
        <v>418</v>
      </c>
      <c r="B987" s="17">
        <v>45857</v>
      </c>
      <c r="C987" s="16" t="s">
        <v>104</v>
      </c>
      <c r="D987" s="16" t="s">
        <v>105</v>
      </c>
      <c r="E987" s="16" t="s">
        <v>106</v>
      </c>
      <c r="F987" s="16" t="s">
        <v>107</v>
      </c>
      <c r="G987" s="16" t="s">
        <v>40</v>
      </c>
      <c r="H987" s="16" t="s">
        <v>108</v>
      </c>
      <c r="I987" s="16" t="s">
        <v>56</v>
      </c>
      <c r="J987" s="16" t="s">
        <v>91</v>
      </c>
      <c r="K987" s="18">
        <v>3119</v>
      </c>
      <c r="L987" s="18">
        <v>2551.44</v>
      </c>
      <c r="M987" s="19">
        <v>4</v>
      </c>
      <c r="N987" s="20">
        <v>0.05</v>
      </c>
      <c r="O987" s="19" t="s">
        <v>25</v>
      </c>
      <c r="P987" s="19" t="s">
        <v>98</v>
      </c>
      <c r="Q987" s="19" t="str">
        <f>TRIM(SalesData[[#This Row],[Customer_Name]])</f>
        <v>Aditya Jain</v>
      </c>
      <c r="R987" s="21">
        <f>SalesData[[#This Row],[Sales]]-SalesData[[#This Row],[Cost]]</f>
        <v>567.55999999999995</v>
      </c>
      <c r="S987" s="22">
        <f>IFERROR(SalesData[[#This Row],[Profit]]/SalesData[[#This Row],[Sales]],0)</f>
        <v>0.18196857967297209</v>
      </c>
      <c r="T987" s="19">
        <f>YEAR(SalesData[[#This Row],[Order_Date]])</f>
        <v>2025</v>
      </c>
      <c r="U987" s="19" t="str">
        <f>TEXT(SalesData[[#This Row],[Order_Date]],"mmm")</f>
        <v>Jul</v>
      </c>
      <c r="V987" s="19" t="str">
        <f>"Q"&amp;ROUNDUP(MONTH(SalesData[[#This Row],[Order_Date]])/3,0)</f>
        <v>Q3</v>
      </c>
      <c r="W987" s="19" t="str">
        <f>IF(SalesData[[#This Row],[Sales]]&gt;=50000,"High",IF(AND(SalesData[[#This Row],[Sales]]&gt;= 20000, SalesData[[#This Row],[Sales]]&lt; 50000),"Medium","Low"))</f>
        <v>Low</v>
      </c>
      <c r="X987" s="19" t="str">
        <f>IF(SalesData[[#This Row],[Profit]]&gt;0,"Profit","Loss")</f>
        <v>Profit</v>
      </c>
      <c r="Y987" s="19" t="str">
        <f>IF(AND(SalesData[[#This Row],[Sales]]&gt;= 50000, SalesData[[#This Row],[Quantity]]&gt;=2),"Yes","No")</f>
        <v>No</v>
      </c>
      <c r="Z987" s="19" t="str">
        <f>UPPER(SalesData[[#This Row],[Customer_Name]])</f>
        <v>ADITYA JAIN</v>
      </c>
      <c r="AA987" s="19" t="str">
        <f>LOWER(SalesData[[#This Row],[Customer_Name]])</f>
        <v>aditya jain</v>
      </c>
      <c r="AB987" s="19">
        <f>LEN(SalesData[[#This Row],[Customer_Name]])</f>
        <v>11</v>
      </c>
      <c r="AC987" s="19" t="str">
        <f>LEFT(SalesData[[#This Row],[Order_ID]],3)</f>
        <v>ORD</v>
      </c>
      <c r="AD987" s="19" t="str">
        <f>RIGHT(SalesData[[#This Row],[Order_ID]],4)</f>
        <v>0265</v>
      </c>
      <c r="AE987" s="19" t="str">
        <f>_xlfn.CONCAT(SalesData[[#This Row],[Clean_Customer_Name]],"-",SalesData[[#This Row],[Region]])</f>
        <v>Aditya Jain-West</v>
      </c>
      <c r="AF987" s="19" t="str">
        <f>MID(SalesData[[#This Row],[Order_ID]],4,4)</f>
        <v>0265</v>
      </c>
      <c r="AG987" s="19" t="e">
        <f ca="1">_xlfn.SINGLE(_xlfn.XLOOKUP(SalesData[[#This Row],[Product]],Product_Master!A:A,Product_Master!B:B,"Not Found"))</f>
        <v>#NAME?</v>
      </c>
      <c r="AH987" s="19" t="str">
        <f>VLOOKUP(SalesData[[#This Row],[Product]],Product_Master!$A$1:$B$21,2,FALSE)</f>
        <v>Aditya</v>
      </c>
      <c r="AI987" s="16"/>
    </row>
    <row r="988" spans="1:35" ht="13.8">
      <c r="A988" s="16" t="s">
        <v>1057</v>
      </c>
      <c r="B988" s="17">
        <v>45924</v>
      </c>
      <c r="C988" s="16" t="s">
        <v>104</v>
      </c>
      <c r="D988" s="16" t="s">
        <v>105</v>
      </c>
      <c r="E988" s="16" t="s">
        <v>106</v>
      </c>
      <c r="F988" s="16" t="s">
        <v>107</v>
      </c>
      <c r="G988" s="16" t="s">
        <v>40</v>
      </c>
      <c r="H988" s="16" t="s">
        <v>108</v>
      </c>
      <c r="I988" s="16" t="s">
        <v>23</v>
      </c>
      <c r="J988" s="16" t="s">
        <v>33</v>
      </c>
      <c r="K988" s="18">
        <v>6781.02</v>
      </c>
      <c r="L988" s="18">
        <v>2650.56</v>
      </c>
      <c r="M988" s="19">
        <v>4</v>
      </c>
      <c r="N988" s="20">
        <v>0.2</v>
      </c>
      <c r="O988" s="19" t="s">
        <v>25</v>
      </c>
      <c r="P988" s="19" t="s">
        <v>98</v>
      </c>
      <c r="Q988" s="19" t="str">
        <f>TRIM(SalesData[[#This Row],[Customer_Name]])</f>
        <v>Aditya Jain</v>
      </c>
      <c r="R988" s="21">
        <f>SalesData[[#This Row],[Sales]]-SalesData[[#This Row],[Cost]]</f>
        <v>4130.4600000000009</v>
      </c>
      <c r="S988" s="22">
        <f>IFERROR(SalesData[[#This Row],[Profit]]/SalesData[[#This Row],[Sales]],0)</f>
        <v>0.60912075174531277</v>
      </c>
      <c r="T988" s="19">
        <f>YEAR(SalesData[[#This Row],[Order_Date]])</f>
        <v>2025</v>
      </c>
      <c r="U988" s="19" t="str">
        <f>TEXT(SalesData[[#This Row],[Order_Date]],"mmm")</f>
        <v>Sept</v>
      </c>
      <c r="V988" s="19" t="str">
        <f>"Q"&amp;ROUNDUP(MONTH(SalesData[[#This Row],[Order_Date]])/3,0)</f>
        <v>Q3</v>
      </c>
      <c r="W988" s="19" t="str">
        <f>IF(SalesData[[#This Row],[Sales]]&gt;=50000,"High",IF(AND(SalesData[[#This Row],[Sales]]&gt;= 20000, SalesData[[#This Row],[Sales]]&lt; 50000),"Medium","Low"))</f>
        <v>Low</v>
      </c>
      <c r="X988" s="19" t="str">
        <f>IF(SalesData[[#This Row],[Profit]]&gt;0,"Profit","Loss")</f>
        <v>Profit</v>
      </c>
      <c r="Y988" s="19" t="str">
        <f>IF(AND(SalesData[[#This Row],[Sales]]&gt;= 50000, SalesData[[#This Row],[Quantity]]&gt;=2),"Yes","No")</f>
        <v>No</v>
      </c>
      <c r="Z988" s="19" t="str">
        <f>UPPER(SalesData[[#This Row],[Customer_Name]])</f>
        <v>ADITYA JAIN</v>
      </c>
      <c r="AA988" s="19" t="str">
        <f>LOWER(SalesData[[#This Row],[Customer_Name]])</f>
        <v>aditya jain</v>
      </c>
      <c r="AB988" s="19">
        <f>LEN(SalesData[[#This Row],[Customer_Name]])</f>
        <v>11</v>
      </c>
      <c r="AC988" s="19" t="str">
        <f>LEFT(SalesData[[#This Row],[Order_ID]],3)</f>
        <v>ORD</v>
      </c>
      <c r="AD988" s="19" t="str">
        <f>RIGHT(SalesData[[#This Row],[Order_ID]],4)</f>
        <v>0904</v>
      </c>
      <c r="AE988" s="19" t="str">
        <f>_xlfn.CONCAT(SalesData[[#This Row],[Clean_Customer_Name]],"-",SalesData[[#This Row],[Region]])</f>
        <v>Aditya Jain-North</v>
      </c>
      <c r="AF988" s="19" t="str">
        <f>MID(SalesData[[#This Row],[Order_ID]],4,4)</f>
        <v>0904</v>
      </c>
      <c r="AG988" s="19" t="e">
        <f ca="1">_xlfn.SINGLE(_xlfn.XLOOKUP(SalesData[[#This Row],[Product]],Product_Master!A:A,Product_Master!B:B,"Not Found"))</f>
        <v>#NAME?</v>
      </c>
      <c r="AH988" s="19" t="str">
        <f>VLOOKUP(SalesData[[#This Row],[Product]],Product_Master!$A$1:$B$21,2,FALSE)</f>
        <v>Aditya</v>
      </c>
      <c r="AI988" s="16"/>
    </row>
    <row r="989" spans="1:35" ht="13.8">
      <c r="A989" s="16" t="s">
        <v>293</v>
      </c>
      <c r="B989" s="17">
        <v>45641</v>
      </c>
      <c r="C989" s="16" t="s">
        <v>104</v>
      </c>
      <c r="D989" s="16" t="s">
        <v>105</v>
      </c>
      <c r="E989" s="16" t="s">
        <v>132</v>
      </c>
      <c r="F989" s="16" t="s">
        <v>133</v>
      </c>
      <c r="G989" s="16" t="s">
        <v>40</v>
      </c>
      <c r="H989" s="16" t="s">
        <v>41</v>
      </c>
      <c r="I989" s="16" t="s">
        <v>56</v>
      </c>
      <c r="J989" s="16" t="s">
        <v>191</v>
      </c>
      <c r="K989" s="18">
        <v>1541.38</v>
      </c>
      <c r="L989" s="18">
        <v>487</v>
      </c>
      <c r="M989" s="19">
        <v>2</v>
      </c>
      <c r="N989" s="20">
        <v>0.2</v>
      </c>
      <c r="O989" s="19" t="s">
        <v>34</v>
      </c>
      <c r="P989" s="19" t="s">
        <v>58</v>
      </c>
      <c r="Q989" s="19" t="str">
        <f>TRIM(SalesData[[#This Row],[Customer_Name]])</f>
        <v>Aditya Jain</v>
      </c>
      <c r="R989" s="21">
        <f>SalesData[[#This Row],[Sales]]-SalesData[[#This Row],[Cost]]</f>
        <v>1054.3800000000001</v>
      </c>
      <c r="S989" s="22">
        <f>IFERROR(SalesData[[#This Row],[Profit]]/SalesData[[#This Row],[Sales]],0)</f>
        <v>0.68404935836717751</v>
      </c>
      <c r="T989" s="19">
        <f>YEAR(SalesData[[#This Row],[Order_Date]])</f>
        <v>2024</v>
      </c>
      <c r="U989" s="19" t="str">
        <f>TEXT(SalesData[[#This Row],[Order_Date]],"mmm")</f>
        <v>Dec</v>
      </c>
      <c r="V989" s="19" t="str">
        <f>"Q"&amp;ROUNDUP(MONTH(SalesData[[#This Row],[Order_Date]])/3,0)</f>
        <v>Q4</v>
      </c>
      <c r="W989" s="19" t="str">
        <f>IF(SalesData[[#This Row],[Sales]]&gt;=50000,"High",IF(AND(SalesData[[#This Row],[Sales]]&gt;= 20000, SalesData[[#This Row],[Sales]]&lt; 50000),"Medium","Low"))</f>
        <v>Low</v>
      </c>
      <c r="X989" s="19" t="str">
        <f>IF(SalesData[[#This Row],[Profit]]&gt;0,"Profit","Loss")</f>
        <v>Profit</v>
      </c>
      <c r="Y989" s="19" t="str">
        <f>IF(AND(SalesData[[#This Row],[Sales]]&gt;= 50000, SalesData[[#This Row],[Quantity]]&gt;=2),"Yes","No")</f>
        <v>No</v>
      </c>
      <c r="Z989" s="19" t="str">
        <f>UPPER(SalesData[[#This Row],[Customer_Name]])</f>
        <v>ADITYA JAIN</v>
      </c>
      <c r="AA989" s="19" t="str">
        <f>LOWER(SalesData[[#This Row],[Customer_Name]])</f>
        <v>aditya jain</v>
      </c>
      <c r="AB989" s="19">
        <f>LEN(SalesData[[#This Row],[Customer_Name]])</f>
        <v>11</v>
      </c>
      <c r="AC989" s="19" t="str">
        <f>LEFT(SalesData[[#This Row],[Order_ID]],3)</f>
        <v>ORD</v>
      </c>
      <c r="AD989" s="19" t="str">
        <f>RIGHT(SalesData[[#This Row],[Order_ID]],4)</f>
        <v>0140</v>
      </c>
      <c r="AE989" s="19" t="str">
        <f>_xlfn.CONCAT(SalesData[[#This Row],[Clean_Customer_Name]],"-",SalesData[[#This Row],[Region]])</f>
        <v>Aditya Jain-West</v>
      </c>
      <c r="AF989" s="19" t="str">
        <f>MID(SalesData[[#This Row],[Order_ID]],4,4)</f>
        <v>0140</v>
      </c>
      <c r="AG989" s="19" t="e">
        <f ca="1">_xlfn.SINGLE(_xlfn.XLOOKUP(SalesData[[#This Row],[Product]],Product_Master!A:A,Product_Master!B:B,"Not Found"))</f>
        <v>#NAME?</v>
      </c>
      <c r="AH989" s="19" t="str">
        <f>VLOOKUP(SalesData[[#This Row],[Product]],Product_Master!$A$1:$B$21,2,FALSE)</f>
        <v>Kavya</v>
      </c>
      <c r="AI989" s="16"/>
    </row>
    <row r="990" spans="1:35" ht="13.8">
      <c r="A990" s="16" t="s">
        <v>310</v>
      </c>
      <c r="B990" s="17">
        <v>45638</v>
      </c>
      <c r="C990" s="16" t="s">
        <v>104</v>
      </c>
      <c r="D990" s="16" t="s">
        <v>105</v>
      </c>
      <c r="E990" s="16" t="s">
        <v>132</v>
      </c>
      <c r="F990" s="16" t="s">
        <v>133</v>
      </c>
      <c r="G990" s="16" t="s">
        <v>40</v>
      </c>
      <c r="H990" s="16" t="s">
        <v>41</v>
      </c>
      <c r="I990" s="16" t="s">
        <v>53</v>
      </c>
      <c r="J990" s="16" t="s">
        <v>54</v>
      </c>
      <c r="K990" s="18">
        <v>3988.12</v>
      </c>
      <c r="L990" s="18">
        <v>1138.0999999999999</v>
      </c>
      <c r="M990" s="19">
        <v>5</v>
      </c>
      <c r="N990" s="20">
        <v>0.1</v>
      </c>
      <c r="O990" s="19" t="s">
        <v>25</v>
      </c>
      <c r="P990" s="19" t="s">
        <v>77</v>
      </c>
      <c r="Q990" s="19" t="str">
        <f>TRIM(SalesData[[#This Row],[Customer_Name]])</f>
        <v>Aditya Jain</v>
      </c>
      <c r="R990" s="21">
        <f>SalesData[[#This Row],[Sales]]-SalesData[[#This Row],[Cost]]</f>
        <v>2850.02</v>
      </c>
      <c r="S990" s="22">
        <f>IFERROR(SalesData[[#This Row],[Profit]]/SalesData[[#This Row],[Sales]],0)</f>
        <v>0.71462744350721641</v>
      </c>
      <c r="T990" s="19">
        <f>YEAR(SalesData[[#This Row],[Order_Date]])</f>
        <v>2024</v>
      </c>
      <c r="U990" s="19" t="str">
        <f>TEXT(SalesData[[#This Row],[Order_Date]],"mmm")</f>
        <v>Dec</v>
      </c>
      <c r="V990" s="19" t="str">
        <f>"Q"&amp;ROUNDUP(MONTH(SalesData[[#This Row],[Order_Date]])/3,0)</f>
        <v>Q4</v>
      </c>
      <c r="W990" s="19" t="str">
        <f>IF(SalesData[[#This Row],[Sales]]&gt;=50000,"High",IF(AND(SalesData[[#This Row],[Sales]]&gt;= 20000, SalesData[[#This Row],[Sales]]&lt; 50000),"Medium","Low"))</f>
        <v>Low</v>
      </c>
      <c r="X990" s="19" t="str">
        <f>IF(SalesData[[#This Row],[Profit]]&gt;0,"Profit","Loss")</f>
        <v>Profit</v>
      </c>
      <c r="Y990" s="19" t="str">
        <f>IF(AND(SalesData[[#This Row],[Sales]]&gt;= 50000, SalesData[[#This Row],[Quantity]]&gt;=2),"Yes","No")</f>
        <v>No</v>
      </c>
      <c r="Z990" s="19" t="str">
        <f>UPPER(SalesData[[#This Row],[Customer_Name]])</f>
        <v>ADITYA JAIN</v>
      </c>
      <c r="AA990" s="19" t="str">
        <f>LOWER(SalesData[[#This Row],[Customer_Name]])</f>
        <v>aditya jain</v>
      </c>
      <c r="AB990" s="19">
        <f>LEN(SalesData[[#This Row],[Customer_Name]])</f>
        <v>11</v>
      </c>
      <c r="AC990" s="19" t="str">
        <f>LEFT(SalesData[[#This Row],[Order_ID]],3)</f>
        <v>ORD</v>
      </c>
      <c r="AD990" s="19" t="str">
        <f>RIGHT(SalesData[[#This Row],[Order_ID]],4)</f>
        <v>0157</v>
      </c>
      <c r="AE990" s="19" t="str">
        <f>_xlfn.CONCAT(SalesData[[#This Row],[Clean_Customer_Name]],"-",SalesData[[#This Row],[Region]])</f>
        <v>Aditya Jain-Central</v>
      </c>
      <c r="AF990" s="19" t="str">
        <f>MID(SalesData[[#This Row],[Order_ID]],4,4)</f>
        <v>0157</v>
      </c>
      <c r="AG990" s="19" t="e">
        <f ca="1">_xlfn.SINGLE(_xlfn.XLOOKUP(SalesData[[#This Row],[Product]],Product_Master!A:A,Product_Master!B:B,"Not Found"))</f>
        <v>#NAME?</v>
      </c>
      <c r="AH990" s="19" t="str">
        <f>VLOOKUP(SalesData[[#This Row],[Product]],Product_Master!$A$1:$B$21,2,FALSE)</f>
        <v>Kavya</v>
      </c>
      <c r="AI990" s="16"/>
    </row>
    <row r="991" spans="1:35" ht="13.8">
      <c r="A991" s="16" t="s">
        <v>802</v>
      </c>
      <c r="B991" s="17">
        <v>45508</v>
      </c>
      <c r="C991" s="16" t="s">
        <v>104</v>
      </c>
      <c r="D991" s="16" t="s">
        <v>105</v>
      </c>
      <c r="E991" s="16" t="s">
        <v>132</v>
      </c>
      <c r="F991" s="16" t="s">
        <v>133</v>
      </c>
      <c r="G991" s="16" t="s">
        <v>40</v>
      </c>
      <c r="H991" s="16" t="s">
        <v>41</v>
      </c>
      <c r="I991" s="16" t="s">
        <v>56</v>
      </c>
      <c r="J991" s="16" t="s">
        <v>57</v>
      </c>
      <c r="K991" s="18">
        <v>866.98</v>
      </c>
      <c r="L991" s="18">
        <v>497.48</v>
      </c>
      <c r="M991" s="19">
        <v>2</v>
      </c>
      <c r="N991" s="20">
        <v>0.15</v>
      </c>
      <c r="O991" s="19" t="s">
        <v>44</v>
      </c>
      <c r="P991" s="19" t="s">
        <v>26</v>
      </c>
      <c r="Q991" s="19" t="str">
        <f>TRIM(SalesData[[#This Row],[Customer_Name]])</f>
        <v>Aditya Jain</v>
      </c>
      <c r="R991" s="21">
        <f>SalesData[[#This Row],[Sales]]-SalesData[[#This Row],[Cost]]</f>
        <v>369.5</v>
      </c>
      <c r="S991" s="22">
        <f>IFERROR(SalesData[[#This Row],[Profit]]/SalesData[[#This Row],[Sales]],0)</f>
        <v>0.42619206902119999</v>
      </c>
      <c r="T991" s="19">
        <f>YEAR(SalesData[[#This Row],[Order_Date]])</f>
        <v>2024</v>
      </c>
      <c r="U991" s="19" t="str">
        <f>TEXT(SalesData[[#This Row],[Order_Date]],"mmm")</f>
        <v>Aug</v>
      </c>
      <c r="V991" s="19" t="str">
        <f>"Q"&amp;ROUNDUP(MONTH(SalesData[[#This Row],[Order_Date]])/3,0)</f>
        <v>Q3</v>
      </c>
      <c r="W991" s="19" t="str">
        <f>IF(SalesData[[#This Row],[Sales]]&gt;=50000,"High",IF(AND(SalesData[[#This Row],[Sales]]&gt;= 20000, SalesData[[#This Row],[Sales]]&lt; 50000),"Medium","Low"))</f>
        <v>Low</v>
      </c>
      <c r="X991" s="19" t="str">
        <f>IF(SalesData[[#This Row],[Profit]]&gt;0,"Profit","Loss")</f>
        <v>Profit</v>
      </c>
      <c r="Y991" s="19" t="str">
        <f>IF(AND(SalesData[[#This Row],[Sales]]&gt;= 50000, SalesData[[#This Row],[Quantity]]&gt;=2),"Yes","No")</f>
        <v>No</v>
      </c>
      <c r="Z991" s="19" t="str">
        <f>UPPER(SalesData[[#This Row],[Customer_Name]])</f>
        <v>ADITYA JAIN</v>
      </c>
      <c r="AA991" s="19" t="str">
        <f>LOWER(SalesData[[#This Row],[Customer_Name]])</f>
        <v>aditya jain</v>
      </c>
      <c r="AB991" s="19">
        <f>LEN(SalesData[[#This Row],[Customer_Name]])</f>
        <v>11</v>
      </c>
      <c r="AC991" s="19" t="str">
        <f>LEFT(SalesData[[#This Row],[Order_ID]],3)</f>
        <v>ORD</v>
      </c>
      <c r="AD991" s="19" t="str">
        <f>RIGHT(SalesData[[#This Row],[Order_ID]],4)</f>
        <v>0649</v>
      </c>
      <c r="AE991" s="19" t="str">
        <f>_xlfn.CONCAT(SalesData[[#This Row],[Clean_Customer_Name]],"-",SalesData[[#This Row],[Region]])</f>
        <v>Aditya Jain-West</v>
      </c>
      <c r="AF991" s="19" t="str">
        <f>MID(SalesData[[#This Row],[Order_ID]],4,4)</f>
        <v>0649</v>
      </c>
      <c r="AG991" s="19" t="e">
        <f ca="1">_xlfn.SINGLE(_xlfn.XLOOKUP(SalesData[[#This Row],[Product]],Product_Master!A:A,Product_Master!B:B,"Not Found"))</f>
        <v>#NAME?</v>
      </c>
      <c r="AH991" s="19" t="str">
        <f>VLOOKUP(SalesData[[#This Row],[Product]],Product_Master!$A$1:$B$21,2,FALSE)</f>
        <v>Kavya</v>
      </c>
      <c r="AI991" s="16"/>
    </row>
    <row r="992" spans="1:35" ht="13.8">
      <c r="A992" s="16" t="s">
        <v>906</v>
      </c>
      <c r="B992" s="17">
        <v>45818</v>
      </c>
      <c r="C992" s="16" t="s">
        <v>104</v>
      </c>
      <c r="D992" s="16" t="s">
        <v>105</v>
      </c>
      <c r="E992" s="16" t="s">
        <v>132</v>
      </c>
      <c r="F992" s="16" t="s">
        <v>133</v>
      </c>
      <c r="G992" s="16" t="s">
        <v>40</v>
      </c>
      <c r="H992" s="16" t="s">
        <v>41</v>
      </c>
      <c r="I992" s="16" t="s">
        <v>84</v>
      </c>
      <c r="J992" s="16" t="s">
        <v>85</v>
      </c>
      <c r="K992" s="18">
        <v>1794.96</v>
      </c>
      <c r="L992" s="18">
        <v>490.76</v>
      </c>
      <c r="M992" s="19">
        <v>2</v>
      </c>
      <c r="N992" s="20">
        <v>0.1</v>
      </c>
      <c r="O992" s="19" t="s">
        <v>25</v>
      </c>
      <c r="P992" s="19" t="s">
        <v>98</v>
      </c>
      <c r="Q992" s="19" t="str">
        <f>TRIM(SalesData[[#This Row],[Customer_Name]])</f>
        <v>Aditya Jain</v>
      </c>
      <c r="R992" s="21">
        <f>SalesData[[#This Row],[Sales]]-SalesData[[#This Row],[Cost]]</f>
        <v>1304.2</v>
      </c>
      <c r="S992" s="22">
        <f>IFERROR(SalesData[[#This Row],[Profit]]/SalesData[[#This Row],[Sales]],0)</f>
        <v>0.7265900075767705</v>
      </c>
      <c r="T992" s="19">
        <f>YEAR(SalesData[[#This Row],[Order_Date]])</f>
        <v>2025</v>
      </c>
      <c r="U992" s="19" t="str">
        <f>TEXT(SalesData[[#This Row],[Order_Date]],"mmm")</f>
        <v>Jun</v>
      </c>
      <c r="V992" s="19" t="str">
        <f>"Q"&amp;ROUNDUP(MONTH(SalesData[[#This Row],[Order_Date]])/3,0)</f>
        <v>Q2</v>
      </c>
      <c r="W992" s="19" t="str">
        <f>IF(SalesData[[#This Row],[Sales]]&gt;=50000,"High",IF(AND(SalesData[[#This Row],[Sales]]&gt;= 20000, SalesData[[#This Row],[Sales]]&lt; 50000),"Medium","Low"))</f>
        <v>Low</v>
      </c>
      <c r="X992" s="19" t="str">
        <f>IF(SalesData[[#This Row],[Profit]]&gt;0,"Profit","Loss")</f>
        <v>Profit</v>
      </c>
      <c r="Y992" s="19" t="str">
        <f>IF(AND(SalesData[[#This Row],[Sales]]&gt;= 50000, SalesData[[#This Row],[Quantity]]&gt;=2),"Yes","No")</f>
        <v>No</v>
      </c>
      <c r="Z992" s="19" t="str">
        <f>UPPER(SalesData[[#This Row],[Customer_Name]])</f>
        <v>ADITYA JAIN</v>
      </c>
      <c r="AA992" s="19" t="str">
        <f>LOWER(SalesData[[#This Row],[Customer_Name]])</f>
        <v>aditya jain</v>
      </c>
      <c r="AB992" s="19">
        <f>LEN(SalesData[[#This Row],[Customer_Name]])</f>
        <v>11</v>
      </c>
      <c r="AC992" s="19" t="str">
        <f>LEFT(SalesData[[#This Row],[Order_ID]],3)</f>
        <v>ORD</v>
      </c>
      <c r="AD992" s="19" t="str">
        <f>RIGHT(SalesData[[#This Row],[Order_ID]],4)</f>
        <v>0753</v>
      </c>
      <c r="AE992" s="19" t="str">
        <f>_xlfn.CONCAT(SalesData[[#This Row],[Clean_Customer_Name]],"-",SalesData[[#This Row],[Region]])</f>
        <v>Aditya Jain-South</v>
      </c>
      <c r="AF992" s="19" t="str">
        <f>MID(SalesData[[#This Row],[Order_ID]],4,4)</f>
        <v>0753</v>
      </c>
      <c r="AG992" s="19" t="e">
        <f ca="1">_xlfn.SINGLE(_xlfn.XLOOKUP(SalesData[[#This Row],[Product]],Product_Master!A:A,Product_Master!B:B,"Not Found"))</f>
        <v>#NAME?</v>
      </c>
      <c r="AH992" s="19" t="str">
        <f>VLOOKUP(SalesData[[#This Row],[Product]],Product_Master!$A$1:$B$21,2,FALSE)</f>
        <v>Kavya</v>
      </c>
      <c r="AI992" s="16"/>
    </row>
    <row r="993" spans="1:35" ht="13.8">
      <c r="A993" s="16" t="s">
        <v>417</v>
      </c>
      <c r="B993" s="17">
        <v>45541</v>
      </c>
      <c r="C993" s="16" t="s">
        <v>104</v>
      </c>
      <c r="D993" s="16" t="s">
        <v>105</v>
      </c>
      <c r="E993" s="16" t="s">
        <v>38</v>
      </c>
      <c r="F993" s="16" t="s">
        <v>39</v>
      </c>
      <c r="G993" s="16" t="s">
        <v>40</v>
      </c>
      <c r="H993" s="16" t="s">
        <v>41</v>
      </c>
      <c r="I993" s="16" t="s">
        <v>42</v>
      </c>
      <c r="J993" s="16" t="s">
        <v>43</v>
      </c>
      <c r="K993" s="18">
        <v>3849.8</v>
      </c>
      <c r="L993" s="18">
        <v>960</v>
      </c>
      <c r="M993" s="19">
        <v>2</v>
      </c>
      <c r="N993" s="20">
        <v>0</v>
      </c>
      <c r="O993" s="19" t="s">
        <v>25</v>
      </c>
      <c r="P993" s="19" t="s">
        <v>58</v>
      </c>
      <c r="Q993" s="19" t="str">
        <f>TRIM(SalesData[[#This Row],[Customer_Name]])</f>
        <v>Aditya Jain</v>
      </c>
      <c r="R993" s="21">
        <f>SalesData[[#This Row],[Sales]]-SalesData[[#This Row],[Cost]]</f>
        <v>2889.8</v>
      </c>
      <c r="S993" s="22">
        <f>IFERROR(SalesData[[#This Row],[Profit]]/SalesData[[#This Row],[Sales]],0)</f>
        <v>0.7506363966959323</v>
      </c>
      <c r="T993" s="19">
        <f>YEAR(SalesData[[#This Row],[Order_Date]])</f>
        <v>2024</v>
      </c>
      <c r="U993" s="19" t="str">
        <f>TEXT(SalesData[[#This Row],[Order_Date]],"mmm")</f>
        <v>Sept</v>
      </c>
      <c r="V993" s="19" t="str">
        <f>"Q"&amp;ROUNDUP(MONTH(SalesData[[#This Row],[Order_Date]])/3,0)</f>
        <v>Q3</v>
      </c>
      <c r="W993" s="19" t="str">
        <f>IF(SalesData[[#This Row],[Sales]]&gt;=50000,"High",IF(AND(SalesData[[#This Row],[Sales]]&gt;= 20000, SalesData[[#This Row],[Sales]]&lt; 50000),"Medium","Low"))</f>
        <v>Low</v>
      </c>
      <c r="X993" s="19" t="str">
        <f>IF(SalesData[[#This Row],[Profit]]&gt;0,"Profit","Loss")</f>
        <v>Profit</v>
      </c>
      <c r="Y993" s="19" t="str">
        <f>IF(AND(SalesData[[#This Row],[Sales]]&gt;= 50000, SalesData[[#This Row],[Quantity]]&gt;=2),"Yes","No")</f>
        <v>No</v>
      </c>
      <c r="Z993" s="19" t="str">
        <f>UPPER(SalesData[[#This Row],[Customer_Name]])</f>
        <v>ADITYA JAIN</v>
      </c>
      <c r="AA993" s="19" t="str">
        <f>LOWER(SalesData[[#This Row],[Customer_Name]])</f>
        <v>aditya jain</v>
      </c>
      <c r="AB993" s="19">
        <f>LEN(SalesData[[#This Row],[Customer_Name]])</f>
        <v>11</v>
      </c>
      <c r="AC993" s="19" t="str">
        <f>LEFT(SalesData[[#This Row],[Order_ID]],3)</f>
        <v>ORD</v>
      </c>
      <c r="AD993" s="19" t="str">
        <f>RIGHT(SalesData[[#This Row],[Order_ID]],4)</f>
        <v>0264</v>
      </c>
      <c r="AE993" s="19" t="str">
        <f>_xlfn.CONCAT(SalesData[[#This Row],[Clean_Customer_Name]],"-",SalesData[[#This Row],[Region]])</f>
        <v>Aditya Jain-East</v>
      </c>
      <c r="AF993" s="19" t="str">
        <f>MID(SalesData[[#This Row],[Order_ID]],4,4)</f>
        <v>0264</v>
      </c>
      <c r="AG993" s="19" t="e">
        <f ca="1">_xlfn.SINGLE(_xlfn.XLOOKUP(SalesData[[#This Row],[Product]],Product_Master!A:A,Product_Master!B:B,"Not Found"))</f>
        <v>#NAME?</v>
      </c>
      <c r="AH993" s="19" t="str">
        <f>VLOOKUP(SalesData[[#This Row],[Product]],Product_Master!$A$1:$B$21,2,FALSE)</f>
        <v>Manish</v>
      </c>
      <c r="AI993" s="16"/>
    </row>
    <row r="994" spans="1:35" ht="13.8">
      <c r="A994" s="16" t="s">
        <v>910</v>
      </c>
      <c r="B994" s="17">
        <v>45966</v>
      </c>
      <c r="C994" s="16" t="s">
        <v>104</v>
      </c>
      <c r="D994" s="16" t="s">
        <v>105</v>
      </c>
      <c r="E994" s="16" t="s">
        <v>38</v>
      </c>
      <c r="F994" s="16" t="s">
        <v>39</v>
      </c>
      <c r="G994" s="16" t="s">
        <v>40</v>
      </c>
      <c r="H994" s="16" t="s">
        <v>41</v>
      </c>
      <c r="I994" s="16" t="s">
        <v>56</v>
      </c>
      <c r="J994" s="16" t="s">
        <v>57</v>
      </c>
      <c r="K994" s="18">
        <v>985.36</v>
      </c>
      <c r="L994" s="18">
        <v>461.92</v>
      </c>
      <c r="M994" s="19">
        <v>1</v>
      </c>
      <c r="N994" s="20">
        <v>0.2</v>
      </c>
      <c r="O994" s="19" t="s">
        <v>25</v>
      </c>
      <c r="P994" s="19" t="s">
        <v>58</v>
      </c>
      <c r="Q994" s="19" t="str">
        <f>TRIM(SalesData[[#This Row],[Customer_Name]])</f>
        <v>Aditya Jain</v>
      </c>
      <c r="R994" s="21">
        <f>SalesData[[#This Row],[Sales]]-SalesData[[#This Row],[Cost]]</f>
        <v>523.44000000000005</v>
      </c>
      <c r="S994" s="22">
        <f>IFERROR(SalesData[[#This Row],[Profit]]/SalesData[[#This Row],[Sales]],0)</f>
        <v>0.53121701713079483</v>
      </c>
      <c r="T994" s="19">
        <f>YEAR(SalesData[[#This Row],[Order_Date]])</f>
        <v>2025</v>
      </c>
      <c r="U994" s="19" t="str">
        <f>TEXT(SalesData[[#This Row],[Order_Date]],"mmm")</f>
        <v>Nov</v>
      </c>
      <c r="V994" s="19" t="str">
        <f>"Q"&amp;ROUNDUP(MONTH(SalesData[[#This Row],[Order_Date]])/3,0)</f>
        <v>Q4</v>
      </c>
      <c r="W994" s="19" t="str">
        <f>IF(SalesData[[#This Row],[Sales]]&gt;=50000,"High",IF(AND(SalesData[[#This Row],[Sales]]&gt;= 20000, SalesData[[#This Row],[Sales]]&lt; 50000),"Medium","Low"))</f>
        <v>Low</v>
      </c>
      <c r="X994" s="19" t="str">
        <f>IF(SalesData[[#This Row],[Profit]]&gt;0,"Profit","Loss")</f>
        <v>Profit</v>
      </c>
      <c r="Y994" s="19" t="str">
        <f>IF(AND(SalesData[[#This Row],[Sales]]&gt;= 50000, SalesData[[#This Row],[Quantity]]&gt;=2),"Yes","No")</f>
        <v>No</v>
      </c>
      <c r="Z994" s="19" t="str">
        <f>UPPER(SalesData[[#This Row],[Customer_Name]])</f>
        <v>ADITYA JAIN</v>
      </c>
      <c r="AA994" s="19" t="str">
        <f>LOWER(SalesData[[#This Row],[Customer_Name]])</f>
        <v>aditya jain</v>
      </c>
      <c r="AB994" s="19">
        <f>LEN(SalesData[[#This Row],[Customer_Name]])</f>
        <v>11</v>
      </c>
      <c r="AC994" s="19" t="str">
        <f>LEFT(SalesData[[#This Row],[Order_ID]],3)</f>
        <v>ORD</v>
      </c>
      <c r="AD994" s="19" t="str">
        <f>RIGHT(SalesData[[#This Row],[Order_ID]],4)</f>
        <v>0757</v>
      </c>
      <c r="AE994" s="19" t="str">
        <f>_xlfn.CONCAT(SalesData[[#This Row],[Clean_Customer_Name]],"-",SalesData[[#This Row],[Region]])</f>
        <v>Aditya Jain-West</v>
      </c>
      <c r="AF994" s="19" t="str">
        <f>MID(SalesData[[#This Row],[Order_ID]],4,4)</f>
        <v>0757</v>
      </c>
      <c r="AG994" s="19" t="e">
        <f ca="1">_xlfn.SINGLE(_xlfn.XLOOKUP(SalesData[[#This Row],[Product]],Product_Master!A:A,Product_Master!B:B,"Not Found"))</f>
        <v>#NAME?</v>
      </c>
      <c r="AH994" s="19" t="str">
        <f>VLOOKUP(SalesData[[#This Row],[Product]],Product_Master!$A$1:$B$21,2,FALSE)</f>
        <v>Manish</v>
      </c>
      <c r="AI994" s="16"/>
    </row>
    <row r="995" spans="1:35" ht="13.8">
      <c r="A995" s="16" t="s">
        <v>1058</v>
      </c>
      <c r="B995" s="17">
        <v>45730</v>
      </c>
      <c r="C995" s="16" t="s">
        <v>104</v>
      </c>
      <c r="D995" s="16" t="s">
        <v>105</v>
      </c>
      <c r="E995" s="16" t="s">
        <v>38</v>
      </c>
      <c r="F995" s="16" t="s">
        <v>39</v>
      </c>
      <c r="G995" s="16" t="s">
        <v>40</v>
      </c>
      <c r="H995" s="16" t="s">
        <v>41</v>
      </c>
      <c r="I995" s="16" t="s">
        <v>53</v>
      </c>
      <c r="J995" s="16" t="s">
        <v>54</v>
      </c>
      <c r="K995" s="18">
        <v>5716.95</v>
      </c>
      <c r="L995" s="18">
        <v>2559.6</v>
      </c>
      <c r="M995" s="19">
        <v>5</v>
      </c>
      <c r="N995" s="20">
        <v>0</v>
      </c>
      <c r="O995" s="19" t="s">
        <v>136</v>
      </c>
      <c r="P995" s="19" t="s">
        <v>77</v>
      </c>
      <c r="Q995" s="19" t="str">
        <f>TRIM(SalesData[[#This Row],[Customer_Name]])</f>
        <v>Aditya Jain</v>
      </c>
      <c r="R995" s="21">
        <f>SalesData[[#This Row],[Sales]]-SalesData[[#This Row],[Cost]]</f>
        <v>3157.35</v>
      </c>
      <c r="S995" s="22">
        <f>IFERROR(SalesData[[#This Row],[Profit]]/SalesData[[#This Row],[Sales]],0)</f>
        <v>0.55227875003279725</v>
      </c>
      <c r="T995" s="19">
        <f>YEAR(SalesData[[#This Row],[Order_Date]])</f>
        <v>2025</v>
      </c>
      <c r="U995" s="19" t="str">
        <f>TEXT(SalesData[[#This Row],[Order_Date]],"mmm")</f>
        <v>Mar</v>
      </c>
      <c r="V995" s="19" t="str">
        <f>"Q"&amp;ROUNDUP(MONTH(SalesData[[#This Row],[Order_Date]])/3,0)</f>
        <v>Q1</v>
      </c>
      <c r="W995" s="19" t="str">
        <f>IF(SalesData[[#This Row],[Sales]]&gt;=50000,"High",IF(AND(SalesData[[#This Row],[Sales]]&gt;= 20000, SalesData[[#This Row],[Sales]]&lt; 50000),"Medium","Low"))</f>
        <v>Low</v>
      </c>
      <c r="X995" s="19" t="str">
        <f>IF(SalesData[[#This Row],[Profit]]&gt;0,"Profit","Loss")</f>
        <v>Profit</v>
      </c>
      <c r="Y995" s="19" t="str">
        <f>IF(AND(SalesData[[#This Row],[Sales]]&gt;= 50000, SalesData[[#This Row],[Quantity]]&gt;=2),"Yes","No")</f>
        <v>No</v>
      </c>
      <c r="Z995" s="19" t="str">
        <f>UPPER(SalesData[[#This Row],[Customer_Name]])</f>
        <v>ADITYA JAIN</v>
      </c>
      <c r="AA995" s="19" t="str">
        <f>LOWER(SalesData[[#This Row],[Customer_Name]])</f>
        <v>aditya jain</v>
      </c>
      <c r="AB995" s="19">
        <f>LEN(SalesData[[#This Row],[Customer_Name]])</f>
        <v>11</v>
      </c>
      <c r="AC995" s="19" t="str">
        <f>LEFT(SalesData[[#This Row],[Order_ID]],3)</f>
        <v>ORD</v>
      </c>
      <c r="AD995" s="19" t="str">
        <f>RIGHT(SalesData[[#This Row],[Order_ID]],4)</f>
        <v>0905</v>
      </c>
      <c r="AE995" s="19" t="str">
        <f>_xlfn.CONCAT(SalesData[[#This Row],[Clean_Customer_Name]],"-",SalesData[[#This Row],[Region]])</f>
        <v>Aditya Jain-Central</v>
      </c>
      <c r="AF995" s="19" t="str">
        <f>MID(SalesData[[#This Row],[Order_ID]],4,4)</f>
        <v>0905</v>
      </c>
      <c r="AG995" s="19" t="e">
        <f ca="1">_xlfn.SINGLE(_xlfn.XLOOKUP(SalesData[[#This Row],[Product]],Product_Master!A:A,Product_Master!B:B,"Not Found"))</f>
        <v>#NAME?</v>
      </c>
      <c r="AH995" s="19" t="str">
        <f>VLOOKUP(SalesData[[#This Row],[Product]],Product_Master!$A$1:$B$21,2,FALSE)</f>
        <v>Manish</v>
      </c>
      <c r="AI995" s="16"/>
    </row>
    <row r="996" spans="1:35" ht="13.8">
      <c r="A996" s="16" t="s">
        <v>632</v>
      </c>
      <c r="B996" s="17">
        <v>45339</v>
      </c>
      <c r="C996" s="16" t="s">
        <v>104</v>
      </c>
      <c r="D996" s="16" t="s">
        <v>105</v>
      </c>
      <c r="E996" s="16" t="s">
        <v>87</v>
      </c>
      <c r="F996" s="16" t="s">
        <v>88</v>
      </c>
      <c r="G996" s="16" t="s">
        <v>89</v>
      </c>
      <c r="H996" s="16" t="s">
        <v>90</v>
      </c>
      <c r="I996" s="16" t="s">
        <v>56</v>
      </c>
      <c r="J996" s="16" t="s">
        <v>191</v>
      </c>
      <c r="K996" s="18">
        <v>2516.0500000000002</v>
      </c>
      <c r="L996" s="18">
        <v>1973.01</v>
      </c>
      <c r="M996" s="19">
        <v>1</v>
      </c>
      <c r="N996" s="20">
        <v>0.2</v>
      </c>
      <c r="O996" s="19" t="s">
        <v>44</v>
      </c>
      <c r="P996" s="19" t="s">
        <v>45</v>
      </c>
      <c r="Q996" s="19" t="str">
        <f>TRIM(SalesData[[#This Row],[Customer_Name]])</f>
        <v>Aditya Jain</v>
      </c>
      <c r="R996" s="21">
        <f>SalesData[[#This Row],[Sales]]-SalesData[[#This Row],[Cost]]</f>
        <v>543.04000000000019</v>
      </c>
      <c r="S996" s="22">
        <f>IFERROR(SalesData[[#This Row],[Profit]]/SalesData[[#This Row],[Sales]],0)</f>
        <v>0.21583036903082217</v>
      </c>
      <c r="T996" s="19">
        <f>YEAR(SalesData[[#This Row],[Order_Date]])</f>
        <v>2024</v>
      </c>
      <c r="U996" s="19" t="str">
        <f>TEXT(SalesData[[#This Row],[Order_Date]],"mmm")</f>
        <v>Feb</v>
      </c>
      <c r="V996" s="19" t="str">
        <f>"Q"&amp;ROUNDUP(MONTH(SalesData[[#This Row],[Order_Date]])/3,0)</f>
        <v>Q1</v>
      </c>
      <c r="W996" s="19" t="str">
        <f>IF(SalesData[[#This Row],[Sales]]&gt;=50000,"High",IF(AND(SalesData[[#This Row],[Sales]]&gt;= 20000, SalesData[[#This Row],[Sales]]&lt; 50000),"Medium","Low"))</f>
        <v>Low</v>
      </c>
      <c r="X996" s="19" t="str">
        <f>IF(SalesData[[#This Row],[Profit]]&gt;0,"Profit","Loss")</f>
        <v>Profit</v>
      </c>
      <c r="Y996" s="19" t="str">
        <f>IF(AND(SalesData[[#This Row],[Sales]]&gt;= 50000, SalesData[[#This Row],[Quantity]]&gt;=2),"Yes","No")</f>
        <v>No</v>
      </c>
      <c r="Z996" s="19" t="str">
        <f>UPPER(SalesData[[#This Row],[Customer_Name]])</f>
        <v>ADITYA JAIN</v>
      </c>
      <c r="AA996" s="19" t="str">
        <f>LOWER(SalesData[[#This Row],[Customer_Name]])</f>
        <v>aditya jain</v>
      </c>
      <c r="AB996" s="19">
        <f>LEN(SalesData[[#This Row],[Customer_Name]])</f>
        <v>11</v>
      </c>
      <c r="AC996" s="19" t="str">
        <f>LEFT(SalesData[[#This Row],[Order_ID]],3)</f>
        <v>ORD</v>
      </c>
      <c r="AD996" s="19" t="str">
        <f>RIGHT(SalesData[[#This Row],[Order_ID]],4)</f>
        <v>0479</v>
      </c>
      <c r="AE996" s="19" t="str">
        <f>_xlfn.CONCAT(SalesData[[#This Row],[Clean_Customer_Name]],"-",SalesData[[#This Row],[Region]])</f>
        <v>Aditya Jain-West</v>
      </c>
      <c r="AF996" s="19" t="str">
        <f>MID(SalesData[[#This Row],[Order_ID]],4,4)</f>
        <v>0479</v>
      </c>
      <c r="AG996" s="19" t="e">
        <f ca="1">_xlfn.SINGLE(_xlfn.XLOOKUP(SalesData[[#This Row],[Product]],Product_Master!A:A,Product_Master!B:B,"Not Found"))</f>
        <v>#NAME?</v>
      </c>
      <c r="AH996" s="19" t="str">
        <f>VLOOKUP(SalesData[[#This Row],[Product]],Product_Master!$A$1:$B$21,2,FALSE)</f>
        <v>Rahul</v>
      </c>
      <c r="AI996" s="16"/>
    </row>
    <row r="997" spans="1:35" ht="13.8">
      <c r="A997" s="16" t="s">
        <v>186</v>
      </c>
      <c r="B997" s="17">
        <v>45292</v>
      </c>
      <c r="C997" s="16" t="s">
        <v>104</v>
      </c>
      <c r="D997" s="16" t="s">
        <v>105</v>
      </c>
      <c r="E997" s="16" t="s">
        <v>187</v>
      </c>
      <c r="F997" s="16" t="s">
        <v>188</v>
      </c>
      <c r="G997" s="16" t="s">
        <v>89</v>
      </c>
      <c r="H997" s="16" t="s">
        <v>189</v>
      </c>
      <c r="I997" s="16" t="s">
        <v>53</v>
      </c>
      <c r="J997" s="16" t="s">
        <v>102</v>
      </c>
      <c r="K997" s="18">
        <v>21841.03</v>
      </c>
      <c r="L997" s="18">
        <v>15796.83</v>
      </c>
      <c r="M997" s="19">
        <v>3</v>
      </c>
      <c r="N997" s="20">
        <v>0.2</v>
      </c>
      <c r="O997" s="19" t="s">
        <v>34</v>
      </c>
      <c r="P997" s="19" t="s">
        <v>77</v>
      </c>
      <c r="Q997" s="19" t="str">
        <f>TRIM(SalesData[[#This Row],[Customer_Name]])</f>
        <v>Aditya Jain</v>
      </c>
      <c r="R997" s="21">
        <f>SalesData[[#This Row],[Sales]]-SalesData[[#This Row],[Cost]]</f>
        <v>6044.1999999999989</v>
      </c>
      <c r="S997" s="22">
        <f>IFERROR(SalesData[[#This Row],[Profit]]/SalesData[[#This Row],[Sales]],0)</f>
        <v>0.27673603305338618</v>
      </c>
      <c r="T997" s="19">
        <f>YEAR(SalesData[[#This Row],[Order_Date]])</f>
        <v>2024</v>
      </c>
      <c r="U997" s="19" t="str">
        <f>TEXT(SalesData[[#This Row],[Order_Date]],"mmm")</f>
        <v>Jan</v>
      </c>
      <c r="V997" s="19" t="str">
        <f>"Q"&amp;ROUNDUP(MONTH(SalesData[[#This Row],[Order_Date]])/3,0)</f>
        <v>Q1</v>
      </c>
      <c r="W997" s="19" t="str">
        <f>IF(SalesData[[#This Row],[Sales]]&gt;=50000,"High",IF(AND(SalesData[[#This Row],[Sales]]&gt;= 20000, SalesData[[#This Row],[Sales]]&lt; 50000),"Medium","Low"))</f>
        <v>Medium</v>
      </c>
      <c r="X997" s="19" t="str">
        <f>IF(SalesData[[#This Row],[Profit]]&gt;0,"Profit","Loss")</f>
        <v>Profit</v>
      </c>
      <c r="Y997" s="19" t="str">
        <f>IF(AND(SalesData[[#This Row],[Sales]]&gt;= 50000, SalesData[[#This Row],[Quantity]]&gt;=2),"Yes","No")</f>
        <v>No</v>
      </c>
      <c r="Z997" s="19" t="str">
        <f>UPPER(SalesData[[#This Row],[Customer_Name]])</f>
        <v>ADITYA JAIN</v>
      </c>
      <c r="AA997" s="19" t="str">
        <f>LOWER(SalesData[[#This Row],[Customer_Name]])</f>
        <v>aditya jain</v>
      </c>
      <c r="AB997" s="19">
        <f>LEN(SalesData[[#This Row],[Customer_Name]])</f>
        <v>11</v>
      </c>
      <c r="AC997" s="19" t="str">
        <f>LEFT(SalesData[[#This Row],[Order_ID]],3)</f>
        <v>ORD</v>
      </c>
      <c r="AD997" s="19" t="str">
        <f>RIGHT(SalesData[[#This Row],[Order_ID]],4)</f>
        <v>0049</v>
      </c>
      <c r="AE997" s="19" t="str">
        <f>_xlfn.CONCAT(SalesData[[#This Row],[Clean_Customer_Name]],"-",SalesData[[#This Row],[Region]])</f>
        <v>Aditya Jain-Central</v>
      </c>
      <c r="AF997" s="19" t="str">
        <f>MID(SalesData[[#This Row],[Order_ID]],4,4)</f>
        <v>0049</v>
      </c>
      <c r="AG997" s="19" t="e">
        <f ca="1">_xlfn.SINGLE(_xlfn.XLOOKUP(SalesData[[#This Row],[Product]],Product_Master!A:A,Product_Master!B:B,"Not Found"))</f>
        <v>#NAME?</v>
      </c>
      <c r="AH997" s="19" t="str">
        <f>VLOOKUP(SalesData[[#This Row],[Product]],Product_Master!$A$1:$B$21,2,FALSE)</f>
        <v>Amit</v>
      </c>
      <c r="AI997" s="16"/>
    </row>
    <row r="998" spans="1:35" ht="13.8">
      <c r="A998" s="16" t="s">
        <v>758</v>
      </c>
      <c r="B998" s="17">
        <v>45336</v>
      </c>
      <c r="C998" s="16" t="s">
        <v>104</v>
      </c>
      <c r="D998" s="16" t="s">
        <v>105</v>
      </c>
      <c r="E998" s="16" t="s">
        <v>187</v>
      </c>
      <c r="F998" s="16" t="s">
        <v>188</v>
      </c>
      <c r="G998" s="16" t="s">
        <v>89</v>
      </c>
      <c r="H998" s="16" t="s">
        <v>189</v>
      </c>
      <c r="I998" s="16" t="s">
        <v>56</v>
      </c>
      <c r="J998" s="16" t="s">
        <v>91</v>
      </c>
      <c r="K998" s="18">
        <v>19053.12</v>
      </c>
      <c r="L998" s="18">
        <v>11906.96</v>
      </c>
      <c r="M998" s="19">
        <v>2</v>
      </c>
      <c r="N998" s="20">
        <v>0.05</v>
      </c>
      <c r="O998" s="19" t="s">
        <v>76</v>
      </c>
      <c r="P998" s="19" t="s">
        <v>58</v>
      </c>
      <c r="Q998" s="19" t="str">
        <f>TRIM(SalesData[[#This Row],[Customer_Name]])</f>
        <v>Aditya Jain</v>
      </c>
      <c r="R998" s="21">
        <f>SalesData[[#This Row],[Sales]]-SalesData[[#This Row],[Cost]]</f>
        <v>7146.16</v>
      </c>
      <c r="S998" s="22">
        <f>IFERROR(SalesData[[#This Row],[Profit]]/SalesData[[#This Row],[Sales]],0)</f>
        <v>0.37506508120454812</v>
      </c>
      <c r="T998" s="19">
        <f>YEAR(SalesData[[#This Row],[Order_Date]])</f>
        <v>2024</v>
      </c>
      <c r="U998" s="19" t="str">
        <f>TEXT(SalesData[[#This Row],[Order_Date]],"mmm")</f>
        <v>Feb</v>
      </c>
      <c r="V998" s="19" t="str">
        <f>"Q"&amp;ROUNDUP(MONTH(SalesData[[#This Row],[Order_Date]])/3,0)</f>
        <v>Q1</v>
      </c>
      <c r="W998" s="19" t="str">
        <f>IF(SalesData[[#This Row],[Sales]]&gt;=50000,"High",IF(AND(SalesData[[#This Row],[Sales]]&gt;= 20000, SalesData[[#This Row],[Sales]]&lt; 50000),"Medium","Low"))</f>
        <v>Low</v>
      </c>
      <c r="X998" s="19" t="str">
        <f>IF(SalesData[[#This Row],[Profit]]&gt;0,"Profit","Loss")</f>
        <v>Profit</v>
      </c>
      <c r="Y998" s="19" t="str">
        <f>IF(AND(SalesData[[#This Row],[Sales]]&gt;= 50000, SalesData[[#This Row],[Quantity]]&gt;=2),"Yes","No")</f>
        <v>No</v>
      </c>
      <c r="Z998" s="19" t="str">
        <f>UPPER(SalesData[[#This Row],[Customer_Name]])</f>
        <v>ADITYA JAIN</v>
      </c>
      <c r="AA998" s="19" t="str">
        <f>LOWER(SalesData[[#This Row],[Customer_Name]])</f>
        <v>aditya jain</v>
      </c>
      <c r="AB998" s="19">
        <f>LEN(SalesData[[#This Row],[Customer_Name]])</f>
        <v>11</v>
      </c>
      <c r="AC998" s="19" t="str">
        <f>LEFT(SalesData[[#This Row],[Order_ID]],3)</f>
        <v>ORD</v>
      </c>
      <c r="AD998" s="19" t="str">
        <f>RIGHT(SalesData[[#This Row],[Order_ID]],4)</f>
        <v>0605</v>
      </c>
      <c r="AE998" s="19" t="str">
        <f>_xlfn.CONCAT(SalesData[[#This Row],[Clean_Customer_Name]],"-",SalesData[[#This Row],[Region]])</f>
        <v>Aditya Jain-West</v>
      </c>
      <c r="AF998" s="19" t="str">
        <f>MID(SalesData[[#This Row],[Order_ID]],4,4)</f>
        <v>0605</v>
      </c>
      <c r="AG998" s="19" t="e">
        <f ca="1">_xlfn.SINGLE(_xlfn.XLOOKUP(SalesData[[#This Row],[Product]],Product_Master!A:A,Product_Master!B:B,"Not Found"))</f>
        <v>#NAME?</v>
      </c>
      <c r="AH998" s="19" t="str">
        <f>VLOOKUP(SalesData[[#This Row],[Product]],Product_Master!$A$1:$B$21,2,FALSE)</f>
        <v>Amit</v>
      </c>
      <c r="AI998" s="16"/>
    </row>
    <row r="999" spans="1:35" ht="13.8">
      <c r="A999" s="16" t="s">
        <v>1006</v>
      </c>
      <c r="B999" s="17">
        <v>45603</v>
      </c>
      <c r="C999" s="16" t="s">
        <v>104</v>
      </c>
      <c r="D999" s="16" t="s">
        <v>105</v>
      </c>
      <c r="E999" s="16" t="s">
        <v>187</v>
      </c>
      <c r="F999" s="16" t="s">
        <v>188</v>
      </c>
      <c r="G999" s="16" t="s">
        <v>89</v>
      </c>
      <c r="H999" s="16" t="s">
        <v>189</v>
      </c>
      <c r="I999" s="16" t="s">
        <v>53</v>
      </c>
      <c r="J999" s="16" t="s">
        <v>102</v>
      </c>
      <c r="K999" s="18">
        <v>16777.939999999999</v>
      </c>
      <c r="L999" s="18">
        <v>17850.45</v>
      </c>
      <c r="M999" s="19">
        <v>3</v>
      </c>
      <c r="N999" s="20">
        <v>0.1</v>
      </c>
      <c r="O999" s="19" t="s">
        <v>34</v>
      </c>
      <c r="P999" s="19" t="s">
        <v>58</v>
      </c>
      <c r="Q999" s="19" t="str">
        <f>TRIM(SalesData[[#This Row],[Customer_Name]])</f>
        <v>Aditya Jain</v>
      </c>
      <c r="R999" s="21">
        <f>SalesData[[#This Row],[Sales]]-SalesData[[#This Row],[Cost]]</f>
        <v>-1072.510000000002</v>
      </c>
      <c r="S999" s="22">
        <f>IFERROR(SalesData[[#This Row],[Profit]]/SalesData[[#This Row],[Sales]],0)</f>
        <v>-6.3923819014730182E-2</v>
      </c>
      <c r="T999" s="19">
        <f>YEAR(SalesData[[#This Row],[Order_Date]])</f>
        <v>2024</v>
      </c>
      <c r="U999" s="19" t="str">
        <f>TEXT(SalesData[[#This Row],[Order_Date]],"mmm")</f>
        <v>Nov</v>
      </c>
      <c r="V999" s="19" t="str">
        <f>"Q"&amp;ROUNDUP(MONTH(SalesData[[#This Row],[Order_Date]])/3,0)</f>
        <v>Q4</v>
      </c>
      <c r="W999" s="19" t="str">
        <f>IF(SalesData[[#This Row],[Sales]]&gt;=50000,"High",IF(AND(SalesData[[#This Row],[Sales]]&gt;= 20000, SalesData[[#This Row],[Sales]]&lt; 50000),"Medium","Low"))</f>
        <v>Low</v>
      </c>
      <c r="X999" s="19" t="str">
        <f>IF(SalesData[[#This Row],[Profit]]&gt;0,"Profit","Loss")</f>
        <v>Loss</v>
      </c>
      <c r="Y999" s="19" t="str">
        <f>IF(AND(SalesData[[#This Row],[Sales]]&gt;= 50000, SalesData[[#This Row],[Quantity]]&gt;=2),"Yes","No")</f>
        <v>No</v>
      </c>
      <c r="Z999" s="19" t="str">
        <f>UPPER(SalesData[[#This Row],[Customer_Name]])</f>
        <v>ADITYA JAIN</v>
      </c>
      <c r="AA999" s="19" t="str">
        <f>LOWER(SalesData[[#This Row],[Customer_Name]])</f>
        <v>aditya jain</v>
      </c>
      <c r="AB999" s="19">
        <f>LEN(SalesData[[#This Row],[Customer_Name]])</f>
        <v>11</v>
      </c>
      <c r="AC999" s="19" t="str">
        <f>LEFT(SalesData[[#This Row],[Order_ID]],3)</f>
        <v>ORD</v>
      </c>
      <c r="AD999" s="19" t="str">
        <f>RIGHT(SalesData[[#This Row],[Order_ID]],4)</f>
        <v>0853</v>
      </c>
      <c r="AE999" s="19" t="str">
        <f>_xlfn.CONCAT(SalesData[[#This Row],[Clean_Customer_Name]],"-",SalesData[[#This Row],[Region]])</f>
        <v>Aditya Jain-Central</v>
      </c>
      <c r="AF999" s="19" t="str">
        <f>MID(SalesData[[#This Row],[Order_ID]],4,4)</f>
        <v>0853</v>
      </c>
      <c r="AG999" s="19" t="e">
        <f ca="1">_xlfn.SINGLE(_xlfn.XLOOKUP(SalesData[[#This Row],[Product]],Product_Master!A:A,Product_Master!B:B,"Not Found"))</f>
        <v>#NAME?</v>
      </c>
      <c r="AH999" s="19" t="str">
        <f>VLOOKUP(SalesData[[#This Row],[Product]],Product_Master!$A$1:$B$21,2,FALSE)</f>
        <v>Amit</v>
      </c>
      <c r="AI999" s="16"/>
    </row>
    <row r="1000" spans="1:35" ht="13.8">
      <c r="A1000" s="16" t="s">
        <v>481</v>
      </c>
      <c r="B1000" s="17">
        <v>45957</v>
      </c>
      <c r="C1000" s="16" t="s">
        <v>104</v>
      </c>
      <c r="D1000" s="16" t="s">
        <v>105</v>
      </c>
      <c r="E1000" s="16" t="s">
        <v>95</v>
      </c>
      <c r="F1000" s="16" t="s">
        <v>96</v>
      </c>
      <c r="G1000" s="16" t="s">
        <v>89</v>
      </c>
      <c r="H1000" s="16" t="s">
        <v>97</v>
      </c>
      <c r="I1000" s="16" t="s">
        <v>42</v>
      </c>
      <c r="J1000" s="16" t="s">
        <v>68</v>
      </c>
      <c r="K1000" s="18">
        <v>5835.31</v>
      </c>
      <c r="L1000" s="18">
        <v>3367.12</v>
      </c>
      <c r="M1000" s="19">
        <v>1</v>
      </c>
      <c r="N1000" s="20">
        <v>0.05</v>
      </c>
      <c r="O1000" s="19" t="s">
        <v>25</v>
      </c>
      <c r="P1000" s="19" t="s">
        <v>58</v>
      </c>
      <c r="Q1000" s="19" t="str">
        <f>TRIM(SalesData[[#This Row],[Customer_Name]])</f>
        <v>Aditya Jain</v>
      </c>
      <c r="R1000" s="21">
        <f>SalesData[[#This Row],[Sales]]-SalesData[[#This Row],[Cost]]</f>
        <v>2468.1900000000005</v>
      </c>
      <c r="S1000" s="22">
        <f>IFERROR(SalesData[[#This Row],[Profit]]/SalesData[[#This Row],[Sales]],0)</f>
        <v>0.42297495762864362</v>
      </c>
      <c r="T1000" s="19">
        <f>YEAR(SalesData[[#This Row],[Order_Date]])</f>
        <v>2025</v>
      </c>
      <c r="U1000" s="19" t="str">
        <f>TEXT(SalesData[[#This Row],[Order_Date]],"mmm")</f>
        <v>Oct</v>
      </c>
      <c r="V1000" s="19" t="str">
        <f>"Q"&amp;ROUNDUP(MONTH(SalesData[[#This Row],[Order_Date]])/3,0)</f>
        <v>Q4</v>
      </c>
      <c r="W1000" s="19" t="str">
        <f>IF(SalesData[[#This Row],[Sales]]&gt;=50000,"High",IF(AND(SalesData[[#This Row],[Sales]]&gt;= 20000, SalesData[[#This Row],[Sales]]&lt; 50000),"Medium","Low"))</f>
        <v>Low</v>
      </c>
      <c r="X1000" s="19" t="str">
        <f>IF(SalesData[[#This Row],[Profit]]&gt;0,"Profit","Loss")</f>
        <v>Profit</v>
      </c>
      <c r="Y1000" s="19" t="str">
        <f>IF(AND(SalesData[[#This Row],[Sales]]&gt;= 50000, SalesData[[#This Row],[Quantity]]&gt;=2),"Yes","No")</f>
        <v>No</v>
      </c>
      <c r="Z1000" s="19" t="str">
        <f>UPPER(SalesData[[#This Row],[Customer_Name]])</f>
        <v>ADITYA JAIN</v>
      </c>
      <c r="AA1000" s="19" t="str">
        <f>LOWER(SalesData[[#This Row],[Customer_Name]])</f>
        <v>aditya jain</v>
      </c>
      <c r="AB1000" s="19">
        <f>LEN(SalesData[[#This Row],[Customer_Name]])</f>
        <v>11</v>
      </c>
      <c r="AC1000" s="19" t="str">
        <f>LEFT(SalesData[[#This Row],[Order_ID]],3)</f>
        <v>ORD</v>
      </c>
      <c r="AD1000" s="19" t="str">
        <f>RIGHT(SalesData[[#This Row],[Order_ID]],4)</f>
        <v>0328</v>
      </c>
      <c r="AE1000" s="19" t="str">
        <f>_xlfn.CONCAT(SalesData[[#This Row],[Clean_Customer_Name]],"-",SalesData[[#This Row],[Region]])</f>
        <v>Aditya Jain-East</v>
      </c>
      <c r="AF1000" s="19" t="str">
        <f>MID(SalesData[[#This Row],[Order_ID]],4,4)</f>
        <v>0328</v>
      </c>
      <c r="AG1000" s="19" t="e">
        <f ca="1">_xlfn.SINGLE(_xlfn.XLOOKUP(SalesData[[#This Row],[Product]],Product_Master!A:A,Product_Master!B:B,"Not Found"))</f>
        <v>#NAME?</v>
      </c>
      <c r="AH1000" s="19" t="str">
        <f>VLOOKUP(SalesData[[#This Row],[Product]],Product_Master!$A$1:$B$21,2,FALSE)</f>
        <v>Neha</v>
      </c>
      <c r="AI1000" s="16"/>
    </row>
    <row r="1001" spans="1:35" ht="13.8">
      <c r="A1001" s="16" t="s">
        <v>751</v>
      </c>
      <c r="B1001" s="17">
        <v>45877</v>
      </c>
      <c r="C1001" s="16" t="s">
        <v>104</v>
      </c>
      <c r="D1001" s="16" t="s">
        <v>105</v>
      </c>
      <c r="E1001" s="16" t="s">
        <v>193</v>
      </c>
      <c r="F1001" s="16" t="s">
        <v>194</v>
      </c>
      <c r="G1001" s="16" t="s">
        <v>89</v>
      </c>
      <c r="H1001" s="16" t="s">
        <v>90</v>
      </c>
      <c r="I1001" s="16" t="s">
        <v>42</v>
      </c>
      <c r="J1001" s="16" t="s">
        <v>162</v>
      </c>
      <c r="K1001" s="18">
        <v>6848.35</v>
      </c>
      <c r="L1001" s="18">
        <v>2518.1</v>
      </c>
      <c r="M1001" s="19">
        <v>5</v>
      </c>
      <c r="N1001" s="20">
        <v>0</v>
      </c>
      <c r="O1001" s="19" t="s">
        <v>34</v>
      </c>
      <c r="P1001" s="19" t="s">
        <v>58</v>
      </c>
      <c r="Q1001" s="19" t="str">
        <f>TRIM(SalesData[[#This Row],[Customer_Name]])</f>
        <v>Aditya Jain</v>
      </c>
      <c r="R1001" s="21">
        <f>SalesData[[#This Row],[Sales]]-SalesData[[#This Row],[Cost]]</f>
        <v>4330.25</v>
      </c>
      <c r="S1001" s="22">
        <f>IFERROR(SalesData[[#This Row],[Profit]]/SalesData[[#This Row],[Sales]],0)</f>
        <v>0.6323055918578927</v>
      </c>
      <c r="T1001" s="19">
        <f>YEAR(SalesData[[#This Row],[Order_Date]])</f>
        <v>2025</v>
      </c>
      <c r="U1001" s="19" t="str">
        <f>TEXT(SalesData[[#This Row],[Order_Date]],"mmm")</f>
        <v>Aug</v>
      </c>
      <c r="V1001" s="19" t="str">
        <f>"Q"&amp;ROUNDUP(MONTH(SalesData[[#This Row],[Order_Date]])/3,0)</f>
        <v>Q3</v>
      </c>
      <c r="W1001" s="19" t="str">
        <f>IF(SalesData[[#This Row],[Sales]]&gt;=50000,"High",IF(AND(SalesData[[#This Row],[Sales]]&gt;= 20000, SalesData[[#This Row],[Sales]]&lt; 50000),"Medium","Low"))</f>
        <v>Low</v>
      </c>
      <c r="X1001" s="19" t="str">
        <f>IF(SalesData[[#This Row],[Profit]]&gt;0,"Profit","Loss")</f>
        <v>Profit</v>
      </c>
      <c r="Y1001" s="19" t="str">
        <f>IF(AND(SalesData[[#This Row],[Sales]]&gt;= 50000, SalesData[[#This Row],[Quantity]]&gt;=2),"Yes","No")</f>
        <v>No</v>
      </c>
      <c r="Z1001" s="19" t="str">
        <f>UPPER(SalesData[[#This Row],[Customer_Name]])</f>
        <v>ADITYA JAIN</v>
      </c>
      <c r="AA1001" s="19" t="str">
        <f>LOWER(SalesData[[#This Row],[Customer_Name]])</f>
        <v>aditya jain</v>
      </c>
      <c r="AB1001" s="19">
        <f>LEN(SalesData[[#This Row],[Customer_Name]])</f>
        <v>11</v>
      </c>
      <c r="AC1001" s="19" t="str">
        <f>LEFT(SalesData[[#This Row],[Order_ID]],3)</f>
        <v>ORD</v>
      </c>
      <c r="AD1001" s="19" t="str">
        <f>RIGHT(SalesData[[#This Row],[Order_ID]],4)</f>
        <v>0598</v>
      </c>
      <c r="AE1001" s="19" t="str">
        <f>_xlfn.CONCAT(SalesData[[#This Row],[Clean_Customer_Name]],"-",SalesData[[#This Row],[Region]])</f>
        <v>Aditya Jain-East</v>
      </c>
      <c r="AF1001" s="19" t="str">
        <f>MID(SalesData[[#This Row],[Order_ID]],4,4)</f>
        <v>0598</v>
      </c>
      <c r="AG1001" s="19" t="e">
        <f ca="1">_xlfn.SINGLE(_xlfn.XLOOKUP(SalesData[[#This Row],[Product]],Product_Master!A:A,Product_Master!B:B,"Not Found"))</f>
        <v>#NAME?</v>
      </c>
      <c r="AH1001" s="19" t="str">
        <f>VLOOKUP(SalesData[[#This Row],[Product]],Product_Master!$A$1:$B$21,2,FALSE)</f>
        <v>Simran</v>
      </c>
      <c r="AI1001" s="16"/>
    </row>
  </sheetData>
  <conditionalFormatting sqref="A1:A1048576">
    <cfRule type="duplicateValues" dxfId="1" priority="1"/>
  </conditionalFormatting>
  <conditionalFormatting sqref="A2:A1048576">
    <cfRule type="duplicateValues" dxfId="0" priority="2"/>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C82E6-C327-4597-A745-DE9C6D3FABF0}">
  <dimension ref="A1:K27"/>
  <sheetViews>
    <sheetView topLeftCell="E14" workbookViewId="0">
      <selection activeCell="G39" sqref="G39"/>
    </sheetView>
  </sheetViews>
  <sheetFormatPr defaultRowHeight="13.8"/>
  <cols>
    <col min="1" max="1" width="9.09765625" bestFit="1" customWidth="1"/>
    <col min="2" max="2" width="12.296875" bestFit="1" customWidth="1"/>
    <col min="3" max="3" width="16.69921875" bestFit="1" customWidth="1"/>
    <col min="4" max="4" width="14.8984375" bestFit="1" customWidth="1"/>
    <col min="5" max="6" width="16.69921875" bestFit="1" customWidth="1"/>
    <col min="7" max="7" width="14.19921875" bestFit="1" customWidth="1"/>
    <col min="8" max="8" width="12.3984375" bestFit="1" customWidth="1"/>
    <col min="10" max="10" width="18.59765625" bestFit="1" customWidth="1"/>
    <col min="11" max="11" width="12.3984375" bestFit="1" customWidth="1"/>
  </cols>
  <sheetData>
    <row r="1" spans="1:11">
      <c r="A1" s="24" t="s">
        <v>8</v>
      </c>
      <c r="B1" t="s">
        <v>1205</v>
      </c>
      <c r="D1" s="24" t="s">
        <v>1222</v>
      </c>
      <c r="E1" t="s">
        <v>1205</v>
      </c>
      <c r="G1" s="24" t="s">
        <v>5</v>
      </c>
      <c r="H1" t="s">
        <v>1205</v>
      </c>
      <c r="J1" s="24" t="s">
        <v>1223</v>
      </c>
      <c r="K1" t="s">
        <v>1205</v>
      </c>
    </row>
    <row r="2" spans="1:11">
      <c r="A2" s="25" t="s">
        <v>53</v>
      </c>
      <c r="B2" s="3">
        <v>5237039.3600000022</v>
      </c>
      <c r="D2" s="25" t="s">
        <v>21</v>
      </c>
      <c r="E2" s="3">
        <v>14670585.22000001</v>
      </c>
      <c r="G2" s="25" t="s">
        <v>188</v>
      </c>
      <c r="H2" s="3">
        <v>1356481.74</v>
      </c>
      <c r="J2" s="25" t="s">
        <v>1208</v>
      </c>
      <c r="K2" s="3">
        <v>15456936.58</v>
      </c>
    </row>
    <row r="3" spans="1:11">
      <c r="A3" s="25" t="s">
        <v>42</v>
      </c>
      <c r="B3" s="3">
        <v>6067721.0599999987</v>
      </c>
      <c r="D3" s="25" t="s">
        <v>40</v>
      </c>
      <c r="E3" s="3">
        <v>1409923.8100000005</v>
      </c>
      <c r="G3" s="25" t="s">
        <v>107</v>
      </c>
      <c r="H3" s="3">
        <v>309021.80999999994</v>
      </c>
      <c r="J3" s="26" t="s">
        <v>1209</v>
      </c>
      <c r="K3" s="3">
        <v>923718.02</v>
      </c>
    </row>
    <row r="4" spans="1:11">
      <c r="A4" s="25" t="s">
        <v>23</v>
      </c>
      <c r="B4" s="3">
        <v>5874946.9600000009</v>
      </c>
      <c r="D4" s="25" t="s">
        <v>51</v>
      </c>
      <c r="E4" s="3">
        <v>10100717.520000001</v>
      </c>
      <c r="G4" s="25" t="s">
        <v>124</v>
      </c>
      <c r="H4" s="3">
        <v>3948297.8800000008</v>
      </c>
      <c r="J4" s="26" t="s">
        <v>1210</v>
      </c>
      <c r="K4" s="3">
        <v>1883708.6100000003</v>
      </c>
    </row>
    <row r="5" spans="1:11">
      <c r="A5" s="25" t="s">
        <v>84</v>
      </c>
      <c r="B5" s="3">
        <v>6974975.5899999989</v>
      </c>
      <c r="D5" s="25" t="s">
        <v>89</v>
      </c>
      <c r="E5" s="3">
        <v>4308884.8399999989</v>
      </c>
      <c r="G5" s="25" t="s">
        <v>73</v>
      </c>
      <c r="H5" s="3">
        <v>996851.0499999997</v>
      </c>
      <c r="J5" s="26" t="s">
        <v>1221</v>
      </c>
      <c r="K5" s="3">
        <v>743073.3</v>
      </c>
    </row>
    <row r="6" spans="1:11">
      <c r="A6" s="25" t="s">
        <v>56</v>
      </c>
      <c r="B6" s="3">
        <v>6335428.4200000018</v>
      </c>
      <c r="G6" s="25" t="s">
        <v>194</v>
      </c>
      <c r="H6" s="3">
        <v>179788.72999999998</v>
      </c>
      <c r="J6" s="26" t="s">
        <v>1211</v>
      </c>
      <c r="K6" s="3">
        <v>1302885.6800000002</v>
      </c>
    </row>
    <row r="7" spans="1:11">
      <c r="G7" s="25" t="s">
        <v>63</v>
      </c>
      <c r="H7" s="3">
        <v>726025.00999999989</v>
      </c>
      <c r="J7" s="26" t="s">
        <v>1212</v>
      </c>
      <c r="K7" s="3">
        <v>1701487.5000000002</v>
      </c>
    </row>
    <row r="8" spans="1:11">
      <c r="G8" s="25" t="s">
        <v>173</v>
      </c>
      <c r="H8" s="3">
        <v>241567.2</v>
      </c>
      <c r="J8" s="26" t="s">
        <v>1213</v>
      </c>
      <c r="K8" s="3">
        <v>1560945.9299999997</v>
      </c>
    </row>
    <row r="9" spans="1:11">
      <c r="A9" s="24" t="s">
        <v>8</v>
      </c>
      <c r="B9" t="s">
        <v>1206</v>
      </c>
      <c r="D9" s="24" t="s">
        <v>1222</v>
      </c>
      <c r="E9" t="s">
        <v>1207</v>
      </c>
      <c r="G9" s="25" t="s">
        <v>39</v>
      </c>
      <c r="H9" s="3">
        <v>262071.14999999997</v>
      </c>
      <c r="J9" s="26" t="s">
        <v>1214</v>
      </c>
      <c r="K9" s="3">
        <v>916590.86</v>
      </c>
    </row>
    <row r="10" spans="1:11">
      <c r="A10" s="25" t="s">
        <v>53</v>
      </c>
      <c r="B10" s="3">
        <v>1724615.5700000003</v>
      </c>
      <c r="D10" s="25" t="s">
        <v>21</v>
      </c>
      <c r="E10" s="27">
        <v>266</v>
      </c>
      <c r="G10" s="25" t="s">
        <v>31</v>
      </c>
      <c r="H10" s="3">
        <v>7037458.5500000017</v>
      </c>
      <c r="J10" s="26" t="s">
        <v>1215</v>
      </c>
      <c r="K10" s="3">
        <v>920956.44999999984</v>
      </c>
    </row>
    <row r="11" spans="1:11">
      <c r="A11" s="25" t="s">
        <v>42</v>
      </c>
      <c r="B11" s="3">
        <v>1695740.7300000009</v>
      </c>
      <c r="D11" s="25" t="s">
        <v>40</v>
      </c>
      <c r="E11" s="27">
        <v>264</v>
      </c>
      <c r="G11" s="25" t="s">
        <v>183</v>
      </c>
      <c r="H11" s="3">
        <v>1530673.5800000003</v>
      </c>
      <c r="J11" s="26" t="s">
        <v>1216</v>
      </c>
      <c r="K11" s="3">
        <v>1025606.6399999998</v>
      </c>
    </row>
    <row r="12" spans="1:11">
      <c r="A12" s="25" t="s">
        <v>23</v>
      </c>
      <c r="B12" s="3">
        <v>1779101.0700000005</v>
      </c>
      <c r="D12" s="25" t="s">
        <v>51</v>
      </c>
      <c r="E12" s="27">
        <v>227</v>
      </c>
      <c r="G12" s="25" t="s">
        <v>88</v>
      </c>
      <c r="H12" s="3">
        <v>554989.15</v>
      </c>
      <c r="J12" s="26" t="s">
        <v>1217</v>
      </c>
      <c r="K12" s="3">
        <v>1394735.63</v>
      </c>
    </row>
    <row r="13" spans="1:11">
      <c r="A13" s="25" t="s">
        <v>84</v>
      </c>
      <c r="B13" s="3">
        <v>1983635.8299999998</v>
      </c>
      <c r="D13" s="25" t="s">
        <v>89</v>
      </c>
      <c r="E13" s="27">
        <v>243</v>
      </c>
      <c r="G13" s="25" t="s">
        <v>82</v>
      </c>
      <c r="H13" s="3">
        <v>4194370.08</v>
      </c>
      <c r="J13" s="26" t="s">
        <v>1218</v>
      </c>
      <c r="K13" s="3">
        <v>1689430.3799999997</v>
      </c>
    </row>
    <row r="14" spans="1:11">
      <c r="A14" s="25" t="s">
        <v>56</v>
      </c>
      <c r="B14" s="3">
        <v>1923582.8000000003</v>
      </c>
      <c r="G14" s="25" t="s">
        <v>153</v>
      </c>
      <c r="H14" s="3">
        <v>1596495.4900000002</v>
      </c>
      <c r="J14" s="26" t="s">
        <v>1219</v>
      </c>
      <c r="K14" s="3">
        <v>1393797.58</v>
      </c>
    </row>
    <row r="15" spans="1:11">
      <c r="G15" s="25" t="s">
        <v>118</v>
      </c>
      <c r="H15" s="3">
        <v>909098.25</v>
      </c>
      <c r="J15" s="25" t="s">
        <v>1220</v>
      </c>
      <c r="K15" s="3">
        <v>15033174.810000004</v>
      </c>
    </row>
    <row r="16" spans="1:11">
      <c r="G16" s="25" t="s">
        <v>111</v>
      </c>
      <c r="H16" s="3">
        <v>478971.87999999995</v>
      </c>
      <c r="J16" s="26" t="s">
        <v>1209</v>
      </c>
      <c r="K16" s="3">
        <v>1062299.98</v>
      </c>
    </row>
    <row r="17" spans="7:11">
      <c r="G17" s="25" t="s">
        <v>20</v>
      </c>
      <c r="H17" s="3">
        <v>1116236.0900000003</v>
      </c>
      <c r="J17" s="26" t="s">
        <v>1210</v>
      </c>
      <c r="K17" s="3">
        <v>1148589.19</v>
      </c>
    </row>
    <row r="18" spans="7:11">
      <c r="G18" s="25" t="s">
        <v>176</v>
      </c>
      <c r="H18" s="3">
        <v>2661005.4700000002</v>
      </c>
      <c r="J18" s="26" t="s">
        <v>1221</v>
      </c>
      <c r="K18" s="3">
        <v>1162416.54</v>
      </c>
    </row>
    <row r="19" spans="7:11">
      <c r="G19" s="25" t="s">
        <v>50</v>
      </c>
      <c r="H19" s="3">
        <v>1585464.8699999999</v>
      </c>
      <c r="J19" s="26" t="s">
        <v>1211</v>
      </c>
      <c r="K19" s="3">
        <v>1393344.2600000005</v>
      </c>
    </row>
    <row r="20" spans="7:11">
      <c r="G20" s="25" t="s">
        <v>133</v>
      </c>
      <c r="H20" s="3">
        <v>118291.77</v>
      </c>
      <c r="J20" s="26" t="s">
        <v>1212</v>
      </c>
      <c r="K20" s="3">
        <v>1215926.4400000002</v>
      </c>
    </row>
    <row r="21" spans="7:11">
      <c r="G21" s="25" t="s">
        <v>96</v>
      </c>
      <c r="H21" s="3">
        <v>686951.6399999999</v>
      </c>
      <c r="J21" s="26" t="s">
        <v>1213</v>
      </c>
      <c r="K21" s="3">
        <v>806165.72</v>
      </c>
    </row>
    <row r="22" spans="7:11">
      <c r="J22" s="26" t="s">
        <v>1214</v>
      </c>
      <c r="K22" s="3">
        <v>1101054.54</v>
      </c>
    </row>
    <row r="23" spans="7:11">
      <c r="J23" s="26" t="s">
        <v>1215</v>
      </c>
      <c r="K23" s="3">
        <v>1398247.6500000008</v>
      </c>
    </row>
    <row r="24" spans="7:11">
      <c r="J24" s="26" t="s">
        <v>1216</v>
      </c>
      <c r="K24" s="3">
        <v>1052692.6299999999</v>
      </c>
    </row>
    <row r="25" spans="7:11">
      <c r="J25" s="26" t="s">
        <v>1217</v>
      </c>
      <c r="K25" s="3">
        <v>1733530.1900000006</v>
      </c>
    </row>
    <row r="26" spans="7:11">
      <c r="J26" s="26" t="s">
        <v>1218</v>
      </c>
      <c r="K26" s="3">
        <v>1628962.8499999996</v>
      </c>
    </row>
    <row r="27" spans="7:11">
      <c r="J27" s="26" t="s">
        <v>1219</v>
      </c>
      <c r="K27" s="3">
        <v>1329944.8199999996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87D25-3B34-442B-8C0C-110F96ABC4B6}">
  <dimension ref="B3:H5"/>
  <sheetViews>
    <sheetView showGridLines="0" tabSelected="1" zoomScale="54" workbookViewId="0">
      <selection activeCell="K23" sqref="K23"/>
    </sheetView>
  </sheetViews>
  <sheetFormatPr defaultRowHeight="13.8"/>
  <cols>
    <col min="2" max="2" width="20.8984375" customWidth="1"/>
    <col min="4" max="4" width="18" customWidth="1"/>
    <col min="6" max="6" width="18.8984375" customWidth="1"/>
    <col min="8" max="8" width="19.296875" customWidth="1"/>
  </cols>
  <sheetData>
    <row r="3" spans="2:8" ht="20.399999999999999" customHeight="1">
      <c r="B3" s="29" t="s">
        <v>1224</v>
      </c>
      <c r="C3" s="12"/>
      <c r="D3" s="30" t="s">
        <v>1225</v>
      </c>
      <c r="F3" s="32" t="s">
        <v>1226</v>
      </c>
      <c r="H3" s="34" t="s">
        <v>1227</v>
      </c>
    </row>
    <row r="4" spans="2:8" ht="26.4" customHeight="1">
      <c r="B4" s="28">
        <f>SUM(SalesData[Sales])</f>
        <v>30490111.389999971</v>
      </c>
      <c r="C4" s="12"/>
      <c r="D4" s="31">
        <f>SUM(SalesData[Profit])</f>
        <v>9106675.9999999907</v>
      </c>
      <c r="F4" s="33">
        <f>COUNTA(SalesData[Order_ID])</f>
        <v>1000</v>
      </c>
      <c r="H4" s="35">
        <f>SUM(SalesData[Profit])/SUM(SalesData[Sales])</f>
        <v>0.29867637685924503</v>
      </c>
    </row>
    <row r="5" spans="2:8">
      <c r="B5" s="12"/>
      <c r="C5"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7017C-D113-49CD-8D53-95DEE2F2B073}">
  <dimension ref="A1:B21"/>
  <sheetViews>
    <sheetView workbookViewId="0">
      <selection activeCell="D3" sqref="D3"/>
    </sheetView>
  </sheetViews>
  <sheetFormatPr defaultRowHeight="13.8"/>
  <cols>
    <col min="1" max="1" width="15.3984375" customWidth="1"/>
  </cols>
  <sheetData>
    <row r="1" spans="1:2" ht="27.6">
      <c r="A1" s="7" t="s">
        <v>5</v>
      </c>
      <c r="B1" s="7" t="s">
        <v>1170</v>
      </c>
    </row>
    <row r="2" spans="1:2">
      <c r="A2" s="8" t="s">
        <v>31</v>
      </c>
      <c r="B2" s="8" t="s">
        <v>1181</v>
      </c>
    </row>
    <row r="3" spans="1:2">
      <c r="A3" s="8" t="s">
        <v>82</v>
      </c>
      <c r="B3" s="8" t="s">
        <v>1182</v>
      </c>
    </row>
    <row r="4" spans="1:2">
      <c r="A4" s="8" t="s">
        <v>63</v>
      </c>
      <c r="B4" s="8" t="s">
        <v>1183</v>
      </c>
    </row>
    <row r="5" spans="1:2">
      <c r="A5" s="8" t="s">
        <v>20</v>
      </c>
      <c r="B5" s="8" t="s">
        <v>1184</v>
      </c>
    </row>
    <row r="6" spans="1:2">
      <c r="A6" s="8" t="s">
        <v>153</v>
      </c>
      <c r="B6" s="8" t="s">
        <v>1185</v>
      </c>
    </row>
    <row r="7" spans="1:2">
      <c r="A7" s="8" t="s">
        <v>118</v>
      </c>
      <c r="B7" s="8" t="s">
        <v>1186</v>
      </c>
    </row>
    <row r="8" spans="1:2">
      <c r="A8" s="8" t="s">
        <v>50</v>
      </c>
      <c r="B8" s="8" t="s">
        <v>1187</v>
      </c>
    </row>
    <row r="9" spans="1:2">
      <c r="A9" s="8" t="s">
        <v>73</v>
      </c>
      <c r="B9" s="8" t="s">
        <v>1188</v>
      </c>
    </row>
    <row r="10" spans="1:2">
      <c r="A10" s="8" t="s">
        <v>176</v>
      </c>
      <c r="B10" s="8" t="s">
        <v>1189</v>
      </c>
    </row>
    <row r="11" spans="1:2">
      <c r="A11" s="8" t="s">
        <v>124</v>
      </c>
      <c r="B11" s="8" t="s">
        <v>1190</v>
      </c>
    </row>
    <row r="12" spans="1:2">
      <c r="A12" s="8" t="s">
        <v>111</v>
      </c>
      <c r="B12" s="8" t="s">
        <v>1191</v>
      </c>
    </row>
    <row r="13" spans="1:2">
      <c r="A13" s="8" t="s">
        <v>173</v>
      </c>
      <c r="B13" s="8" t="s">
        <v>1192</v>
      </c>
    </row>
    <row r="14" spans="1:2">
      <c r="A14" s="8" t="s">
        <v>107</v>
      </c>
      <c r="B14" s="8" t="s">
        <v>1193</v>
      </c>
    </row>
    <row r="15" spans="1:2">
      <c r="A15" s="8" t="s">
        <v>133</v>
      </c>
      <c r="B15" s="8" t="s">
        <v>1194</v>
      </c>
    </row>
    <row r="16" spans="1:2">
      <c r="A16" s="8" t="s">
        <v>39</v>
      </c>
      <c r="B16" s="8" t="s">
        <v>1195</v>
      </c>
    </row>
    <row r="17" spans="1:2">
      <c r="A17" s="8" t="s">
        <v>88</v>
      </c>
      <c r="B17" s="8" t="s">
        <v>1181</v>
      </c>
    </row>
    <row r="18" spans="1:2">
      <c r="A18" s="8" t="s">
        <v>183</v>
      </c>
      <c r="B18" s="8" t="s">
        <v>1182</v>
      </c>
    </row>
    <row r="19" spans="1:2">
      <c r="A19" s="8" t="s">
        <v>188</v>
      </c>
      <c r="B19" s="8" t="s">
        <v>1183</v>
      </c>
    </row>
    <row r="20" spans="1:2">
      <c r="A20" s="8" t="s">
        <v>96</v>
      </c>
      <c r="B20" s="8" t="s">
        <v>1184</v>
      </c>
    </row>
    <row r="21" spans="1:2">
      <c r="A21" s="8" t="s">
        <v>194</v>
      </c>
      <c r="B21" s="8" t="s">
        <v>1185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election activeCell="B3" sqref="B3"/>
    </sheetView>
  </sheetViews>
  <sheetFormatPr defaultRowHeight="13.8"/>
  <cols>
    <col min="1" max="1" width="24" customWidth="1"/>
    <col min="2" max="2" width="85" customWidth="1"/>
  </cols>
  <sheetData>
    <row r="1" spans="1:2" ht="24" customHeight="1">
      <c r="A1" s="9" t="s">
        <v>1196</v>
      </c>
      <c r="B1" s="9"/>
    </row>
    <row r="2" spans="1:2" ht="24" customHeight="1">
      <c r="A2" s="5" t="s">
        <v>1197</v>
      </c>
      <c r="B2" s="6" t="s">
        <v>1198</v>
      </c>
    </row>
    <row r="3" spans="1:2" ht="24" customHeight="1">
      <c r="A3" s="5" t="s">
        <v>1199</v>
      </c>
      <c r="B3" s="6" t="s">
        <v>1200</v>
      </c>
    </row>
    <row r="4" spans="1:2" ht="24" customHeight="1">
      <c r="A4" s="5" t="s">
        <v>1201</v>
      </c>
      <c r="B4" s="6" t="s">
        <v>1202</v>
      </c>
    </row>
    <row r="5" spans="1:2" ht="24" customHeight="1">
      <c r="A5" s="5" t="s">
        <v>1203</v>
      </c>
      <c r="B5" s="6" t="s">
        <v>1204</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Cleaned_Data</vt:lpstr>
      <vt:lpstr>Pivot_Analysis</vt:lpstr>
      <vt:lpstr>Dashboard</vt:lpstr>
      <vt:lpstr>Product_Master</vt:lpstr>
      <vt:lpstr>Project_Guide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Akanksha Patel</dc:creator>
  <cp:keywords/>
  <dc:description/>
  <cp:lastModifiedBy>Akanksha Patel</cp:lastModifiedBy>
  <cp:revision/>
  <dcterms:created xsi:type="dcterms:W3CDTF">2026-10-06T06:20:20Z</dcterms:created>
  <dcterms:modified xsi:type="dcterms:W3CDTF">2026-10-06T10:40:44Z</dcterms:modified>
  <cp:category/>
  <cp:contentStatus/>
</cp:coreProperties>
</file>